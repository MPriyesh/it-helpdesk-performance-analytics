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40"/>
  </bookViews>
  <sheets>
    <sheet name="tickets_qhiNK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<sst xmlns="http://schemas.openxmlformats.org/spreadsheetml/2006/main" count="45017" uniqueCount="5563">
  <si>
    <t>ticket_id</t>
  </si>
  <si>
    <t>emp_id</t>
  </si>
  <si>
    <t>dept_id</t>
  </si>
  <si>
    <t>ticket_type</t>
  </si>
  <si>
    <t>category</t>
  </si>
  <si>
    <t>priority</t>
  </si>
  <si>
    <t>status</t>
  </si>
  <si>
    <t>raised_date</t>
  </si>
  <si>
    <t>resolved_date</t>
  </si>
  <si>
    <t>resolution_hrs</t>
  </si>
  <si>
    <t>sla_breached</t>
  </si>
  <si>
    <t>reopen_count</t>
  </si>
  <si>
    <t>satisfaction_score</t>
  </si>
  <si>
    <t>assigned_to</t>
  </si>
  <si>
    <t>Month_Raised</t>
  </si>
  <si>
    <t>resolution_category</t>
  </si>
  <si>
    <t>year_raised</t>
  </si>
  <si>
    <t>TKT00001</t>
  </si>
  <si>
    <t>EMP0050</t>
  </si>
  <si>
    <t>DEPT11</t>
  </si>
  <si>
    <t>Change Request</t>
  </si>
  <si>
    <t>Other</t>
  </si>
  <si>
    <t>Low</t>
  </si>
  <si>
    <t>Resolved</t>
  </si>
  <si>
    <t>No</t>
  </si>
  <si>
    <t>EMP0260</t>
  </si>
  <si>
    <t>TKT00002</t>
  </si>
  <si>
    <t>EMP0113</t>
  </si>
  <si>
    <t>DEPT07</t>
  </si>
  <si>
    <t>Bug</t>
  </si>
  <si>
    <t>Cloud</t>
  </si>
  <si>
    <t>Closed</t>
  </si>
  <si>
    <t>Yes</t>
  </si>
  <si>
    <t>EMP0314</t>
  </si>
  <si>
    <t>TKT00003</t>
  </si>
  <si>
    <t>EMP0058</t>
  </si>
  <si>
    <t>Problem</t>
  </si>
  <si>
    <t>Application</t>
  </si>
  <si>
    <t>High</t>
  </si>
  <si>
    <t>EMP0358</t>
  </si>
  <si>
    <t>TKT00004</t>
  </si>
  <si>
    <t>EMP0494</t>
  </si>
  <si>
    <t>DEPT09</t>
  </si>
  <si>
    <t>Incident</t>
  </si>
  <si>
    <t>Software</t>
  </si>
  <si>
    <t>Critical</t>
  </si>
  <si>
    <t>In Progress</t>
  </si>
  <si>
    <t>EMP0498</t>
  </si>
  <si>
    <t>TKT00005</t>
  </si>
  <si>
    <t>EMP0452</t>
  </si>
  <si>
    <t>DEPT13</t>
  </si>
  <si>
    <t>Network</t>
  </si>
  <si>
    <t>EMP0390</t>
  </si>
  <si>
    <t>TKT00006</t>
  </si>
  <si>
    <t>EMP0460</t>
  </si>
  <si>
    <t>DEPT04</t>
  </si>
  <si>
    <t>Access</t>
  </si>
  <si>
    <t>EMP0146</t>
  </si>
  <si>
    <t>TKT00007</t>
  </si>
  <si>
    <t>EMP0387</t>
  </si>
  <si>
    <t>DEPT10</t>
  </si>
  <si>
    <t>EMP0033</t>
  </si>
  <si>
    <t>TKT00008</t>
  </si>
  <si>
    <t>EMP0392</t>
  </si>
  <si>
    <t>DEPT15</t>
  </si>
  <si>
    <t>EMP0037</t>
  </si>
  <si>
    <t>TKT00009</t>
  </si>
  <si>
    <t>EMP0148</t>
  </si>
  <si>
    <t>DEPT01</t>
  </si>
  <si>
    <t>Security</t>
  </si>
  <si>
    <t>Medium</t>
  </si>
  <si>
    <t>EMP0278</t>
  </si>
  <si>
    <t>TKT00010</t>
  </si>
  <si>
    <t>EMP0215</t>
  </si>
  <si>
    <t>Open</t>
  </si>
  <si>
    <t>EMP0154</t>
  </si>
  <si>
    <t>TKT00011</t>
  </si>
  <si>
    <t>EMP0497</t>
  </si>
  <si>
    <t>DEPT20</t>
  </si>
  <si>
    <t>EMP0321</t>
  </si>
  <si>
    <t>TKT00012</t>
  </si>
  <si>
    <t>EMP0229</t>
  </si>
  <si>
    <t>DEPT17</t>
  </si>
  <si>
    <t>Database</t>
  </si>
  <si>
    <t>EMP0315</t>
  </si>
  <si>
    <t>TKT00013</t>
  </si>
  <si>
    <t>EMP0167</t>
  </si>
  <si>
    <t>EMP0466</t>
  </si>
  <si>
    <t>TKT00014</t>
  </si>
  <si>
    <t>EMP0127</t>
  </si>
  <si>
    <t>Service Request</t>
  </si>
  <si>
    <t>Reopened</t>
  </si>
  <si>
    <t>EMP0049</t>
  </si>
  <si>
    <t>TKT00015</t>
  </si>
  <si>
    <t>EMP0340</t>
  </si>
  <si>
    <t>DEPT06</t>
  </si>
  <si>
    <t>EMP0490</t>
  </si>
  <si>
    <t>TKT00016</t>
  </si>
  <si>
    <t>EMP0218</t>
  </si>
  <si>
    <t>EMP0114</t>
  </si>
  <si>
    <t>TKT00017</t>
  </si>
  <si>
    <t>EMP0060</t>
  </si>
  <si>
    <t>DEPT02</t>
  </si>
  <si>
    <t>EMP0335</t>
  </si>
  <si>
    <t>TKT00018</t>
  </si>
  <si>
    <t>EMP0091</t>
  </si>
  <si>
    <t>Email</t>
  </si>
  <si>
    <t>EMP0173</t>
  </si>
  <si>
    <t>TKT00019</t>
  </si>
  <si>
    <t>EMP0238</t>
  </si>
  <si>
    <t>EMP0451</t>
  </si>
  <si>
    <t>TKT00020</t>
  </si>
  <si>
    <t>EMP0316</t>
  </si>
  <si>
    <t>TKT00021</t>
  </si>
  <si>
    <t>EMP0164</t>
  </si>
  <si>
    <t>TKT00022</t>
  </si>
  <si>
    <t>EMP0339</t>
  </si>
  <si>
    <t>DEPT19</t>
  </si>
  <si>
    <t>EMP0457</t>
  </si>
  <si>
    <t>TKT00023</t>
  </si>
  <si>
    <t>EMP0059</t>
  </si>
  <si>
    <t>EMP0090</t>
  </si>
  <si>
    <t>TKT00024</t>
  </si>
  <si>
    <t>EMP0178</t>
  </si>
  <si>
    <t>EMP0492</t>
  </si>
  <si>
    <t>TKT00025</t>
  </si>
  <si>
    <t>EMP0357</t>
  </si>
  <si>
    <t>EMP0280</t>
  </si>
  <si>
    <t>TKT00026</t>
  </si>
  <si>
    <t>EMP0204</t>
  </si>
  <si>
    <t>EMP0184</t>
  </si>
  <si>
    <t>TKT00027</t>
  </si>
  <si>
    <t>EMP0361</t>
  </si>
  <si>
    <t>DEPT12</t>
  </si>
  <si>
    <t>TKT00028</t>
  </si>
  <si>
    <t>EMP0066</t>
  </si>
  <si>
    <t>TKT00029</t>
  </si>
  <si>
    <t>EMP0397</t>
  </si>
  <si>
    <t>EMP0385</t>
  </si>
  <si>
    <t>TKT00030</t>
  </si>
  <si>
    <t>DEPT08</t>
  </si>
  <si>
    <t>EMP0125</t>
  </si>
  <si>
    <t>TKT00031</t>
  </si>
  <si>
    <t>EMP0248</t>
  </si>
  <si>
    <t>TKT00032</t>
  </si>
  <si>
    <t>EMP0431</t>
  </si>
  <si>
    <t>EMP0192</t>
  </si>
  <si>
    <t>TKT00033</t>
  </si>
  <si>
    <t>EMP0413</t>
  </si>
  <si>
    <t>EMP0352</t>
  </si>
  <si>
    <t>TKT00034</t>
  </si>
  <si>
    <t>EMP0443</t>
  </si>
  <si>
    <t>EMP0291</t>
  </si>
  <si>
    <t>TKT00035</t>
  </si>
  <si>
    <t>EMP0251</t>
  </si>
  <si>
    <t>EMP0175</t>
  </si>
  <si>
    <t>TKT00036</t>
  </si>
  <si>
    <t>EMP0308</t>
  </si>
  <si>
    <t>EMP0076</t>
  </si>
  <si>
    <t>TKT00037</t>
  </si>
  <si>
    <t>EMP0211</t>
  </si>
  <si>
    <t>EMP0024</t>
  </si>
  <si>
    <t>TKT00038</t>
  </si>
  <si>
    <t>EMP0186</t>
  </si>
  <si>
    <t>TKT00039</t>
  </si>
  <si>
    <t>EMP0121</t>
  </si>
  <si>
    <t>Hardware</t>
  </si>
  <si>
    <t>EMP0199</t>
  </si>
  <si>
    <t>TKT00040</t>
  </si>
  <si>
    <t>EMP0015</t>
  </si>
  <si>
    <t>TKT00041</t>
  </si>
  <si>
    <t>EMP0149</t>
  </si>
  <si>
    <t>EMP0018</t>
  </si>
  <si>
    <t>TKT00042</t>
  </si>
  <si>
    <t>EMP0138</t>
  </si>
  <si>
    <t>DEPT16</t>
  </si>
  <si>
    <t>EMP0031</t>
  </si>
  <si>
    <t>TKT00043</t>
  </si>
  <si>
    <t>EMP0209</t>
  </si>
  <si>
    <t>TKT00044</t>
  </si>
  <si>
    <t>EMP0111</t>
  </si>
  <si>
    <t>TKT00045</t>
  </si>
  <si>
    <t>EMP0456</t>
  </si>
  <si>
    <t>EMP0250</t>
  </si>
  <si>
    <t>TKT00046</t>
  </si>
  <si>
    <t>EMP0436</t>
  </si>
  <si>
    <t>EMP0292</t>
  </si>
  <si>
    <t>TKT00047</t>
  </si>
  <si>
    <t>EMP0401</t>
  </si>
  <si>
    <t>EMP0482</t>
  </si>
  <si>
    <t>TKT00048</t>
  </si>
  <si>
    <t>EMP0210</t>
  </si>
  <si>
    <t>EMP0296</t>
  </si>
  <si>
    <t>TKT00049</t>
  </si>
  <si>
    <t>EMP0032</t>
  </si>
  <si>
    <t>EMP0007</t>
  </si>
  <si>
    <t>TKT00050</t>
  </si>
  <si>
    <t>EMP0288</t>
  </si>
  <si>
    <t>EMP0330</t>
  </si>
  <si>
    <t>TKT00051</t>
  </si>
  <si>
    <t>EMP0396</t>
  </si>
  <si>
    <t>DEPT18</t>
  </si>
  <si>
    <t>EMP0010</t>
  </si>
  <si>
    <t>TKT00052</t>
  </si>
  <si>
    <t>EMP0166</t>
  </si>
  <si>
    <t>TKT00053</t>
  </si>
  <si>
    <t>EMP0134</t>
  </si>
  <si>
    <t>EMP0293</t>
  </si>
  <si>
    <t>TKT00054</t>
  </si>
  <si>
    <t>EMP0346</t>
  </si>
  <si>
    <t>EMP0220</t>
  </si>
  <si>
    <t>TKT00055</t>
  </si>
  <si>
    <t>EMP0163</t>
  </si>
  <si>
    <t>DEPT03</t>
  </si>
  <si>
    <t>EMP0483</t>
  </si>
  <si>
    <t>TKT00056</t>
  </si>
  <si>
    <t>EMP0468</t>
  </si>
  <si>
    <t>TKT00057</t>
  </si>
  <si>
    <t>EMP0201</t>
  </si>
  <si>
    <t>TKT00058</t>
  </si>
  <si>
    <t>EMP0415</t>
  </si>
  <si>
    <t>EMP0423</t>
  </si>
  <si>
    <t>TKT00059</t>
  </si>
  <si>
    <t>EMP0227</t>
  </si>
  <si>
    <t>EMP0281</t>
  </si>
  <si>
    <t>TKT00060</t>
  </si>
  <si>
    <t>TKT00061</t>
  </si>
  <si>
    <t>EMP0205</t>
  </si>
  <si>
    <t>EMP0038</t>
  </si>
  <si>
    <t>TKT00062</t>
  </si>
  <si>
    <t>TKT00063</t>
  </si>
  <si>
    <t>TKT00064</t>
  </si>
  <si>
    <t>EMP0028</t>
  </si>
  <si>
    <t>EMP0368</t>
  </si>
  <si>
    <t>TKT00065</t>
  </si>
  <si>
    <t>EMP0225</t>
  </si>
  <si>
    <t>TKT00066</t>
  </si>
  <si>
    <t>EMP0249</t>
  </si>
  <si>
    <t>EMP0245</t>
  </si>
  <si>
    <t>TKT00067</t>
  </si>
  <si>
    <t>EMP0373</t>
  </si>
  <si>
    <t>EMP0135</t>
  </si>
  <si>
    <t>TKT00068</t>
  </si>
  <si>
    <t>EMP0023</t>
  </si>
  <si>
    <t>TKT00069</t>
  </si>
  <si>
    <t>EMP0174</t>
  </si>
  <si>
    <t>EMP0399</t>
  </si>
  <si>
    <t>TKT00070</t>
  </si>
  <si>
    <t>EMP0326</t>
  </si>
  <si>
    <t>TKT00071</t>
  </si>
  <si>
    <t>EMP0420</t>
  </si>
  <si>
    <t>EMP0459</t>
  </si>
  <si>
    <t>TKT00072</t>
  </si>
  <si>
    <t>EMP0124</t>
  </si>
  <si>
    <t>TKT00073</t>
  </si>
  <si>
    <t>EMP0158</t>
  </si>
  <si>
    <t>EMP0246</t>
  </si>
  <si>
    <t>TKT00074</t>
  </si>
  <si>
    <t>EMP0230</t>
  </si>
  <si>
    <t>EMP0257</t>
  </si>
  <si>
    <t>TKT00075</t>
  </si>
  <si>
    <t>DEPT14</t>
  </si>
  <si>
    <t>EMP0137</t>
  </si>
  <si>
    <t>TKT00076</t>
  </si>
  <si>
    <t>EMP0356</t>
  </si>
  <si>
    <t>TKT00077</t>
  </si>
  <si>
    <t>EMP0294</t>
  </si>
  <si>
    <t>EMP0349</t>
  </si>
  <si>
    <t>TKT00078</t>
  </si>
  <si>
    <t>EMP0449</t>
  </si>
  <si>
    <t>EMP0065</t>
  </si>
  <si>
    <t>TKT00079</t>
  </si>
  <si>
    <t>EMP0086</t>
  </si>
  <si>
    <t>EMP0367</t>
  </si>
  <si>
    <t>TKT00080</t>
  </si>
  <si>
    <t>EMP0275</t>
  </si>
  <si>
    <t>TKT00081</t>
  </si>
  <si>
    <t>EMP0106</t>
  </si>
  <si>
    <t>TKT00082</t>
  </si>
  <si>
    <t>EMP0400</t>
  </si>
  <si>
    <t>EMP0112</t>
  </si>
  <si>
    <t>TKT00083</t>
  </si>
  <si>
    <t>TKT00084</t>
  </si>
  <si>
    <t>EMP0057</t>
  </si>
  <si>
    <t>EMP0100</t>
  </si>
  <si>
    <t>TKT00085</t>
  </si>
  <si>
    <t>EMP0486</t>
  </si>
  <si>
    <t>DEPT05</t>
  </si>
  <si>
    <t>TKT00086</t>
  </si>
  <si>
    <t>EMP0496</t>
  </si>
  <si>
    <t>EMP0435</t>
  </si>
  <si>
    <t>TKT00087</t>
  </si>
  <si>
    <t>TKT00088</t>
  </si>
  <si>
    <t>EMP0313</t>
  </si>
  <si>
    <t>TKT00089</t>
  </si>
  <si>
    <t>EMP0169</t>
  </si>
  <si>
    <t>EMP0298</t>
  </si>
  <si>
    <t>TKT00090</t>
  </si>
  <si>
    <t>EMP0067</t>
  </si>
  <si>
    <t>TKT00091</t>
  </si>
  <si>
    <t>EMP0310</t>
  </si>
  <si>
    <t>TKT00092</t>
  </si>
  <si>
    <t>EMP0277</t>
  </si>
  <si>
    <t>TKT00093</t>
  </si>
  <si>
    <t>EMP0011</t>
  </si>
  <si>
    <t>EMP0442</t>
  </si>
  <si>
    <t>TKT00094</t>
  </si>
  <si>
    <t>EMP0487</t>
  </si>
  <si>
    <t>EMP0116</t>
  </si>
  <si>
    <t>TKT00095</t>
  </si>
  <si>
    <t>EMP0370</t>
  </si>
  <si>
    <t>TKT00096</t>
  </si>
  <si>
    <t>EMP0002</t>
  </si>
  <si>
    <t>TKT00097</t>
  </si>
  <si>
    <t>EMP0411</t>
  </si>
  <si>
    <t>EMP0202</t>
  </si>
  <si>
    <t>TKT00098</t>
  </si>
  <si>
    <t>EMP0195</t>
  </si>
  <si>
    <t>EMP0252</t>
  </si>
  <si>
    <t>TKT00099</t>
  </si>
  <si>
    <t>EMP0047</t>
  </si>
  <si>
    <t>EMP0235</t>
  </si>
  <si>
    <t>TKT00100</t>
  </si>
  <si>
    <t>EMP0194</t>
  </si>
  <si>
    <t>TKT00101</t>
  </si>
  <si>
    <t>EMP0389</t>
  </si>
  <si>
    <t>TKT00102</t>
  </si>
  <si>
    <t>EMP0171</t>
  </si>
  <si>
    <t>TKT00103</t>
  </si>
  <si>
    <t>EMP0434</t>
  </si>
  <si>
    <t>TKT00104</t>
  </si>
  <si>
    <t>EMP0181</t>
  </si>
  <si>
    <t>EMP0081</t>
  </si>
  <si>
    <t>TKT00105</t>
  </si>
  <si>
    <t>EMP0393</t>
  </si>
  <si>
    <t>EMP0172</t>
  </si>
  <si>
    <t>TKT00106</t>
  </si>
  <si>
    <t>EMP0168</t>
  </si>
  <si>
    <t>TKT00107</t>
  </si>
  <si>
    <t>EMP0284</t>
  </si>
  <si>
    <t>EMP0005</t>
  </si>
  <si>
    <t>TKT00108</t>
  </si>
  <si>
    <t>TKT00109</t>
  </si>
  <si>
    <t>EMP0336</t>
  </si>
  <si>
    <t>EMP0083</t>
  </si>
  <si>
    <t>TKT00110</t>
  </si>
  <si>
    <t>EMP0026</t>
  </si>
  <si>
    <t>EMP0325</t>
  </si>
  <si>
    <t>TKT00111</t>
  </si>
  <si>
    <t>EMP0266</t>
  </si>
  <si>
    <t>EMP0179</t>
  </si>
  <si>
    <t>TKT00112</t>
  </si>
  <si>
    <t>EMP0108</t>
  </si>
  <si>
    <t>EMP0425</t>
  </si>
  <si>
    <t>TKT00113</t>
  </si>
  <si>
    <t>EMP0006</t>
  </si>
  <si>
    <t>TKT00114</t>
  </si>
  <si>
    <t>TKT00115</t>
  </si>
  <si>
    <t>EMP0102</t>
  </si>
  <si>
    <t>EMP0253</t>
  </si>
  <si>
    <t>TKT00116</t>
  </si>
  <si>
    <t>EMP0109</t>
  </si>
  <si>
    <t>TKT00117</t>
  </si>
  <si>
    <t>EMP0430</t>
  </si>
  <si>
    <t>TKT00118</t>
  </si>
  <si>
    <t>EMP0161</t>
  </si>
  <si>
    <t>TKT00119</t>
  </si>
  <si>
    <t>EMP0203</t>
  </si>
  <si>
    <t>EMP0131</t>
  </si>
  <si>
    <t>TKT00120</t>
  </si>
  <si>
    <t>EMP0441</t>
  </si>
  <si>
    <t>TKT00121</t>
  </si>
  <si>
    <t>EMP0461</t>
  </si>
  <si>
    <t>TKT00122</t>
  </si>
  <si>
    <t>EMP0118</t>
  </si>
  <si>
    <t>TKT00123</t>
  </si>
  <si>
    <t>EMP0095</t>
  </si>
  <si>
    <t>TKT00124</t>
  </si>
  <si>
    <t>EMP0147</t>
  </si>
  <si>
    <t>TKT00125</t>
  </si>
  <si>
    <t>EMP0055</t>
  </si>
  <si>
    <t>TKT00126</t>
  </si>
  <si>
    <t>EMP0467</t>
  </si>
  <si>
    <t>EMP0236</t>
  </si>
  <si>
    <t>TKT00127</t>
  </si>
  <si>
    <t>EMP0276</t>
  </si>
  <si>
    <t>TKT00128</t>
  </si>
  <si>
    <t>EMP0170</t>
  </si>
  <si>
    <t>TKT00129</t>
  </si>
  <si>
    <t>EMP0212</t>
  </si>
  <si>
    <t>TKT00130</t>
  </si>
  <si>
    <t>EMP0299</t>
  </si>
  <si>
    <t>TKT00131</t>
  </si>
  <si>
    <t>TKT00132</t>
  </si>
  <si>
    <t>EMP0376</t>
  </si>
  <si>
    <t>EMP0322</t>
  </si>
  <si>
    <t>TKT00133</t>
  </si>
  <si>
    <t>EMP0128</t>
  </si>
  <si>
    <t>EMP0096</t>
  </si>
  <si>
    <t>TKT00134</t>
  </si>
  <si>
    <t>TKT00135</t>
  </si>
  <si>
    <t>EMP0485</t>
  </si>
  <si>
    <t>TKT00136</t>
  </si>
  <si>
    <t>EMP0019</t>
  </si>
  <si>
    <t>TKT00137</t>
  </si>
  <si>
    <t>EMP0433</t>
  </si>
  <si>
    <t>EMP0360</t>
  </si>
  <si>
    <t>TKT00138</t>
  </si>
  <si>
    <t>TKT00139</t>
  </si>
  <si>
    <t>EMP0077</t>
  </si>
  <si>
    <t>TKT00140</t>
  </si>
  <si>
    <t>TKT00141</t>
  </si>
  <si>
    <t>EMP0270</t>
  </si>
  <si>
    <t>EMP0405</t>
  </si>
  <si>
    <t>TKT00142</t>
  </si>
  <si>
    <t>EMP0053</t>
  </si>
  <si>
    <t>TKT00143</t>
  </si>
  <si>
    <t>TKT00144</t>
  </si>
  <si>
    <t>TKT00145</t>
  </si>
  <si>
    <t>EMP0406</t>
  </si>
  <si>
    <t>EMP0439</t>
  </si>
  <si>
    <t>TKT00146</t>
  </si>
  <si>
    <t>TKT00147</t>
  </si>
  <si>
    <t>EMP0022</t>
  </si>
  <si>
    <t>EMP0036</t>
  </si>
  <si>
    <t>TKT00148</t>
  </si>
  <si>
    <t>EMP0008</t>
  </si>
  <si>
    <t>TKT00149</t>
  </si>
  <si>
    <t>EMP0145</t>
  </si>
  <si>
    <t>EMP0378</t>
  </si>
  <si>
    <t>TKT00150</t>
  </si>
  <si>
    <t>EMP0155</t>
  </si>
  <si>
    <t>EMP0404</t>
  </si>
  <si>
    <t>TKT00151</t>
  </si>
  <si>
    <t>EMP0013</t>
  </si>
  <si>
    <t>EMP0017</t>
  </si>
  <si>
    <t>TKT00152</t>
  </si>
  <si>
    <t>TKT00153</t>
  </si>
  <si>
    <t>EMP0324</t>
  </si>
  <si>
    <t>EMP0021</t>
  </si>
  <si>
    <t>TKT00154</t>
  </si>
  <si>
    <t>TKT00155</t>
  </si>
  <si>
    <t>EMP0353</t>
  </si>
  <si>
    <t>TKT00156</t>
  </si>
  <si>
    <t>TKT00157</t>
  </si>
  <si>
    <t>EMP0216</t>
  </si>
  <si>
    <t>TKT00158</t>
  </si>
  <si>
    <t>EMP0140</t>
  </si>
  <si>
    <t>TKT00159</t>
  </si>
  <si>
    <t>EMP0384</t>
  </si>
  <si>
    <t>EMP0347</t>
  </si>
  <si>
    <t>TKT00160</t>
  </si>
  <si>
    <t>EMP0064</t>
  </si>
  <si>
    <t>TKT00161</t>
  </si>
  <si>
    <t>EMP0417</t>
  </si>
  <si>
    <t>EMP0183</t>
  </si>
  <si>
    <t>TKT00162</t>
  </si>
  <si>
    <t>EMP0402</t>
  </si>
  <si>
    <t>EMP0126</t>
  </si>
  <si>
    <t>TKT00163</t>
  </si>
  <si>
    <t>EMP0003</t>
  </si>
  <si>
    <t>TKT00164</t>
  </si>
  <si>
    <t>EMP0327</t>
  </si>
  <si>
    <t>TKT00165</t>
  </si>
  <si>
    <t>EMP0206</t>
  </si>
  <si>
    <t>TKT00166</t>
  </si>
  <si>
    <t>EMP0068</t>
  </si>
  <si>
    <t>TKT00167</t>
  </si>
  <si>
    <t>EMP0419</t>
  </si>
  <si>
    <t>TKT00168</t>
  </si>
  <si>
    <t>EMP0380</t>
  </si>
  <si>
    <t>EMP0285</t>
  </si>
  <si>
    <t>TKT00169</t>
  </si>
  <si>
    <t>TKT00170</t>
  </si>
  <si>
    <t>EMP0139</t>
  </si>
  <si>
    <t>TKT00171</t>
  </si>
  <si>
    <t>EMP0262</t>
  </si>
  <si>
    <t>TKT00172</t>
  </si>
  <si>
    <t>EMP0044</t>
  </si>
  <si>
    <t>EMP0130</t>
  </si>
  <si>
    <t>TKT00173</t>
  </si>
  <si>
    <t>EMP0040</t>
  </si>
  <si>
    <t>TKT00174</t>
  </si>
  <si>
    <t>TKT00175</t>
  </si>
  <si>
    <t>EMP0259</t>
  </si>
  <si>
    <t>EMP0078</t>
  </si>
  <si>
    <t>TKT00176</t>
  </si>
  <si>
    <t>EMP0454</t>
  </si>
  <si>
    <t>TKT00177</t>
  </si>
  <si>
    <t>EMP0463</t>
  </si>
  <si>
    <t>TKT00178</t>
  </si>
  <si>
    <t>EMP0391</t>
  </si>
  <si>
    <t>TKT00179</t>
  </si>
  <si>
    <t>EMP0046</t>
  </si>
  <si>
    <t>TKT00180</t>
  </si>
  <si>
    <t>EMP0213</t>
  </si>
  <si>
    <t>EMP0197</t>
  </si>
  <si>
    <t>TKT00181</t>
  </si>
  <si>
    <t>TKT00182</t>
  </si>
  <si>
    <t>EMP0228</t>
  </si>
  <si>
    <t>TKT00183</t>
  </si>
  <si>
    <t>EMP0381</t>
  </si>
  <si>
    <t>TKT00184</t>
  </si>
  <si>
    <t>EMP0426</t>
  </si>
  <si>
    <t>EMP0407</t>
  </si>
  <si>
    <t>TKT00185</t>
  </si>
  <si>
    <t>EMP0070</t>
  </si>
  <si>
    <t>TKT00186</t>
  </si>
  <si>
    <t>TKT00187</t>
  </si>
  <si>
    <t>EMP0471</t>
  </si>
  <si>
    <t>EMP0475</t>
  </si>
  <si>
    <t>TKT00188</t>
  </si>
  <si>
    <t>EMP0004</t>
  </si>
  <si>
    <t>TKT00189</t>
  </si>
  <si>
    <t>TKT00190</t>
  </si>
  <si>
    <t>EMP0377</t>
  </si>
  <si>
    <t>TKT00191</t>
  </si>
  <si>
    <t>EMP0302</t>
  </si>
  <si>
    <t>EMP0348</t>
  </si>
  <si>
    <t>TKT00192</t>
  </si>
  <si>
    <t>TKT00193</t>
  </si>
  <si>
    <t>EMP0491</t>
  </si>
  <si>
    <t>TKT00194</t>
  </si>
  <si>
    <t>EMP0500</t>
  </si>
  <si>
    <t>TKT00195</t>
  </si>
  <si>
    <t>EMP0473</t>
  </si>
  <si>
    <t>TKT00196</t>
  </si>
  <si>
    <t>EMP0311</t>
  </si>
  <si>
    <t>TKT00197</t>
  </si>
  <si>
    <t>EMP0440</t>
  </si>
  <si>
    <t>EMP0234</t>
  </si>
  <si>
    <t>TKT00198</t>
  </si>
  <si>
    <t>EMP0160</t>
  </si>
  <si>
    <t>TKT00199</t>
  </si>
  <si>
    <t>TKT00200</t>
  </si>
  <si>
    <t>TKT00201</t>
  </si>
  <si>
    <t>EMP0289</t>
  </si>
  <si>
    <t>TKT00202</t>
  </si>
  <si>
    <t>EMP0263</t>
  </si>
  <si>
    <t>TKT00203</t>
  </si>
  <si>
    <t>TKT00204</t>
  </si>
  <si>
    <t>EMP0012</t>
  </si>
  <si>
    <t>EMP0279</t>
  </si>
  <si>
    <t>TKT00205</t>
  </si>
  <si>
    <t>EMP0231</t>
  </si>
  <si>
    <t>TKT00206</t>
  </si>
  <si>
    <t>EMP0141</t>
  </si>
  <si>
    <t>TKT00207</t>
  </si>
  <si>
    <t>TKT00208</t>
  </si>
  <si>
    <t>EMP0104</t>
  </si>
  <si>
    <t>EMP0290</t>
  </si>
  <si>
    <t>TKT00209</t>
  </si>
  <si>
    <t>EMP0052</t>
  </si>
  <si>
    <t>TKT00210</t>
  </si>
  <si>
    <t>EMP0136</t>
  </si>
  <si>
    <t>TKT00211</t>
  </si>
  <si>
    <t>EMP0045</t>
  </si>
  <si>
    <t>TKT00212</t>
  </si>
  <si>
    <t>EMP0088</t>
  </si>
  <si>
    <t>TKT00213</t>
  </si>
  <si>
    <t>EMP0304</t>
  </si>
  <si>
    <t>TKT00214</t>
  </si>
  <si>
    <t>EMP0242</t>
  </si>
  <si>
    <t>TKT00215</t>
  </si>
  <si>
    <t>EMP0193</t>
  </si>
  <si>
    <t>TKT00216</t>
  </si>
  <si>
    <t>EMP0150</t>
  </si>
  <si>
    <t>EMP0395</t>
  </si>
  <si>
    <t>TKT00217</t>
  </si>
  <si>
    <t>EMP0217</t>
  </si>
  <si>
    <t>TKT00218</t>
  </si>
  <si>
    <t>EMP0048</t>
  </si>
  <si>
    <t>TKT00219</t>
  </si>
  <si>
    <t>TKT00220</t>
  </si>
  <si>
    <t>TKT00221</t>
  </si>
  <si>
    <t>TKT00222</t>
  </si>
  <si>
    <t>EMP0119</t>
  </si>
  <si>
    <t>TKT00223</t>
  </si>
  <si>
    <t>EMP0143</t>
  </si>
  <si>
    <t>EMP0489</t>
  </si>
  <si>
    <t>TKT00224</t>
  </si>
  <si>
    <t>EMP0432</t>
  </si>
  <si>
    <t>TKT00225</t>
  </si>
  <si>
    <t>TKT00226</t>
  </si>
  <si>
    <t>EMP0465</t>
  </si>
  <si>
    <t>TKT00227</t>
  </si>
  <si>
    <t>EMP0344</t>
  </si>
  <si>
    <t>TKT00228</t>
  </si>
  <si>
    <t>EMP0274</t>
  </si>
  <si>
    <t>EMP0412</t>
  </si>
  <si>
    <t>TKT00229</t>
  </si>
  <si>
    <t>TKT00230</t>
  </si>
  <si>
    <t>EMP0092</t>
  </si>
  <si>
    <t>TKT00231</t>
  </si>
  <si>
    <t>EMP0196</t>
  </si>
  <si>
    <t>EMP0409</t>
  </si>
  <si>
    <t>TKT00232</t>
  </si>
  <si>
    <t>EMP0009</t>
  </si>
  <si>
    <t>TKT00233</t>
  </si>
  <si>
    <t>EMP0255</t>
  </si>
  <si>
    <t>EMP0453</t>
  </si>
  <si>
    <t>TKT00234</t>
  </si>
  <si>
    <t>TKT00235</t>
  </si>
  <si>
    <t>EMP0073</t>
  </si>
  <si>
    <t>TKT00236</t>
  </si>
  <si>
    <t>EMP0488</t>
  </si>
  <si>
    <t>TKT00237</t>
  </si>
  <si>
    <t>EMP0191</t>
  </si>
  <si>
    <t>EMP0190</t>
  </si>
  <si>
    <t>TKT00238</t>
  </si>
  <si>
    <t>EMP0182</t>
  </si>
  <si>
    <t>TKT00239</t>
  </si>
  <si>
    <t>EMP0267</t>
  </si>
  <si>
    <t>TKT00240</t>
  </si>
  <si>
    <t>EMP0366</t>
  </si>
  <si>
    <t>TKT00241</t>
  </si>
  <si>
    <t>EMP0056</t>
  </si>
  <si>
    <t>TKT00242</t>
  </si>
  <si>
    <t>EMP0232</t>
  </si>
  <si>
    <t>TKT00243</t>
  </si>
  <si>
    <t>EMP0115</t>
  </si>
  <si>
    <t>EMP0237</t>
  </si>
  <si>
    <t>TKT00244</t>
  </si>
  <si>
    <t>TKT00245</t>
  </si>
  <si>
    <t>TKT00246</t>
  </si>
  <si>
    <t>TKT00247</t>
  </si>
  <si>
    <t>TKT00248</t>
  </si>
  <si>
    <t>EMP0306</t>
  </si>
  <si>
    <t>TKT00249</t>
  </si>
  <si>
    <t>TKT00250</t>
  </si>
  <si>
    <t>EMP0001</t>
  </si>
  <si>
    <t>TKT00251</t>
  </si>
  <si>
    <t>TKT00252</t>
  </si>
  <si>
    <t>TKT00253</t>
  </si>
  <si>
    <t>TKT00254</t>
  </si>
  <si>
    <t>TKT00255</t>
  </si>
  <si>
    <t>TKT00256</t>
  </si>
  <si>
    <t>EMP0177</t>
  </si>
  <si>
    <t>TKT00257</t>
  </si>
  <si>
    <t>TKT00258</t>
  </si>
  <si>
    <t>EMP0074</t>
  </si>
  <si>
    <t>TKT00259</t>
  </si>
  <si>
    <t>TKT00260</t>
  </si>
  <si>
    <t>EMP0323</t>
  </si>
  <si>
    <t>TKT00261</t>
  </si>
  <si>
    <t>TKT00262</t>
  </si>
  <si>
    <t>EMP0043</t>
  </si>
  <si>
    <t>EMP0282</t>
  </si>
  <si>
    <t>TKT00263</t>
  </si>
  <si>
    <t>TKT00264</t>
  </si>
  <si>
    <t>EMP0093</t>
  </si>
  <si>
    <t>TKT00265</t>
  </si>
  <si>
    <t>EMP0087</t>
  </si>
  <si>
    <t>EMP0097</t>
  </si>
  <si>
    <t>TKT00266</t>
  </si>
  <si>
    <t>EMP0107</t>
  </si>
  <si>
    <t>EMP0221</t>
  </si>
  <si>
    <t>TKT00267</t>
  </si>
  <si>
    <t>EMP0359</t>
  </si>
  <si>
    <t>TKT00268</t>
  </si>
  <si>
    <t>TKT00269</t>
  </si>
  <si>
    <t>TKT00270</t>
  </si>
  <si>
    <t>EMP0051</t>
  </si>
  <si>
    <t>TKT00271</t>
  </si>
  <si>
    <t>EMP0332</t>
  </si>
  <si>
    <t>TKT00272</t>
  </si>
  <si>
    <t>EMP0408</t>
  </si>
  <si>
    <t>TKT00273</t>
  </si>
  <si>
    <t>EMP0312</t>
  </si>
  <si>
    <t>TKT00274</t>
  </si>
  <si>
    <t>EMP0207</t>
  </si>
  <si>
    <t>EMP0372</t>
  </si>
  <si>
    <t>TKT00275</t>
  </si>
  <si>
    <t>TKT00276</t>
  </si>
  <si>
    <t>TKT00277</t>
  </si>
  <si>
    <t>EMP0243</t>
  </si>
  <si>
    <t>EMP0035</t>
  </si>
  <si>
    <t>TKT00278</t>
  </si>
  <si>
    <t>EMP0268</t>
  </si>
  <si>
    <t>TKT00279</t>
  </si>
  <si>
    <t>EMP0371</t>
  </si>
  <si>
    <t>TKT00280</t>
  </si>
  <si>
    <t>TKT00281</t>
  </si>
  <si>
    <t>EMP0269</t>
  </si>
  <si>
    <t>TKT00282</t>
  </si>
  <si>
    <t>EMP0403</t>
  </si>
  <si>
    <t>TKT00283</t>
  </si>
  <si>
    <t>EMP0120</t>
  </si>
  <si>
    <t>TKT00284</t>
  </si>
  <si>
    <t>TKT00285</t>
  </si>
  <si>
    <t>TKT00286</t>
  </si>
  <si>
    <t>TKT00287</t>
  </si>
  <si>
    <t>TKT00288</t>
  </si>
  <si>
    <t>TKT00289</t>
  </si>
  <si>
    <t>TKT00290</t>
  </si>
  <si>
    <t>TKT00291</t>
  </si>
  <si>
    <t>EMP0188</t>
  </si>
  <si>
    <t>TKT00292</t>
  </si>
  <si>
    <t>EMP0428</t>
  </si>
  <si>
    <t>TKT00293</t>
  </si>
  <si>
    <t>TKT00294</t>
  </si>
  <si>
    <t>EMP0223</t>
  </si>
  <si>
    <t>TKT00295</t>
  </si>
  <si>
    <t>EMP0165</t>
  </si>
  <si>
    <t>TKT00296</t>
  </si>
  <si>
    <t>TKT00297</t>
  </si>
  <si>
    <t>TKT00298</t>
  </si>
  <si>
    <t>EMP0307</t>
  </si>
  <si>
    <t>EMP0258</t>
  </si>
  <si>
    <t>TKT00299</t>
  </si>
  <si>
    <t>EMP0224</t>
  </si>
  <si>
    <t>TKT00300</t>
  </si>
  <si>
    <t>EMP0447</t>
  </si>
  <si>
    <t>TKT00301</t>
  </si>
  <si>
    <t>TKT00302</t>
  </si>
  <si>
    <t>TKT00303</t>
  </si>
  <si>
    <t>EMP0354</t>
  </si>
  <si>
    <t>TKT00304</t>
  </si>
  <si>
    <t>TKT00305</t>
  </si>
  <si>
    <t>TKT00306</t>
  </si>
  <si>
    <t>EMP0042</t>
  </si>
  <si>
    <t>TKT00307</t>
  </si>
  <si>
    <t>EMP0374</t>
  </si>
  <si>
    <t>TKT00308</t>
  </si>
  <si>
    <t>TKT00309</t>
  </si>
  <si>
    <t>TKT00310</t>
  </si>
  <si>
    <t>EMP0256</t>
  </si>
  <si>
    <t>TKT00311</t>
  </si>
  <si>
    <t>TKT00312</t>
  </si>
  <si>
    <t>TKT00313</t>
  </si>
  <si>
    <t>EMP0334</t>
  </si>
  <si>
    <t>TKT00314</t>
  </si>
  <si>
    <t>TKT00315</t>
  </si>
  <si>
    <t>EMP0499</t>
  </si>
  <si>
    <t>TKT00316</t>
  </si>
  <si>
    <t>EMP0241</t>
  </si>
  <si>
    <t>TKT00317</t>
  </si>
  <si>
    <t>EMP0363</t>
  </si>
  <si>
    <t>TKT00318</t>
  </si>
  <si>
    <t>TKT00319</t>
  </si>
  <si>
    <t>EMP0264</t>
  </si>
  <si>
    <t>TKT00320</t>
  </si>
  <si>
    <t>TKT00321</t>
  </si>
  <si>
    <t>TKT00322</t>
  </si>
  <si>
    <t>EMP0379</t>
  </si>
  <si>
    <t>TKT00323</t>
  </si>
  <si>
    <t>EMP0265</t>
  </si>
  <si>
    <t>TKT00324</t>
  </si>
  <si>
    <t>TKT00325</t>
  </si>
  <si>
    <t>EMP0472</t>
  </si>
  <si>
    <t>TKT00326</t>
  </si>
  <si>
    <t>EMP0054</t>
  </si>
  <si>
    <t>TKT00327</t>
  </si>
  <si>
    <t>TKT00328</t>
  </si>
  <si>
    <t>TKT00329</t>
  </si>
  <si>
    <t>TKT00330</t>
  </si>
  <si>
    <t>EMP0470</t>
  </si>
  <si>
    <t>TKT00331</t>
  </si>
  <si>
    <t>EMP0122</t>
  </si>
  <si>
    <t>TKT00332</t>
  </si>
  <si>
    <t>EMP0388</t>
  </si>
  <si>
    <t>TKT00333</t>
  </si>
  <si>
    <t>TKT00334</t>
  </si>
  <si>
    <t>TKT00335</t>
  </si>
  <si>
    <t>EMP0414</t>
  </si>
  <si>
    <t>TKT00336</t>
  </si>
  <si>
    <t>TKT00337</t>
  </si>
  <si>
    <t>EMP0063</t>
  </si>
  <si>
    <t>TKT00338</t>
  </si>
  <si>
    <t>TKT00339</t>
  </si>
  <si>
    <t>TKT00340</t>
  </si>
  <si>
    <t>TKT00341</t>
  </si>
  <si>
    <t>EMP0446</t>
  </si>
  <si>
    <t>TKT00342</t>
  </si>
  <si>
    <t>TKT00343</t>
  </si>
  <si>
    <t>TKT00344</t>
  </si>
  <si>
    <t>EMP0020</t>
  </si>
  <si>
    <t>TKT00345</t>
  </si>
  <si>
    <t>EMP0080</t>
  </si>
  <si>
    <t>TKT00346</t>
  </si>
  <si>
    <t>EMP0261</t>
  </si>
  <si>
    <t>TKT00347</t>
  </si>
  <si>
    <t>EMP0254</t>
  </si>
  <si>
    <t>TKT00348</t>
  </si>
  <si>
    <t>TKT00349</t>
  </si>
  <si>
    <t>TKT00350</t>
  </si>
  <si>
    <t>TKT00351</t>
  </si>
  <si>
    <t>EMP0089</t>
  </si>
  <si>
    <t>TKT00352</t>
  </si>
  <si>
    <t>TKT00353</t>
  </si>
  <si>
    <t>EMP0072</t>
  </si>
  <si>
    <t>TKT00354</t>
  </si>
  <si>
    <t>EMP0142</t>
  </si>
  <si>
    <t>TKT00355</t>
  </si>
  <si>
    <t>EMP0448</t>
  </si>
  <si>
    <t>TKT00356</t>
  </si>
  <si>
    <t>EMP0493</t>
  </si>
  <si>
    <t>TKT00357</t>
  </si>
  <si>
    <t>TKT00358</t>
  </si>
  <si>
    <t>TKT00359</t>
  </si>
  <si>
    <t>EMP0444</t>
  </si>
  <si>
    <t>TKT00360</t>
  </si>
  <si>
    <t>EMP0152</t>
  </si>
  <si>
    <t>TKT00361</t>
  </si>
  <si>
    <t>EMP0061</t>
  </si>
  <si>
    <t>EMP0337</t>
  </si>
  <si>
    <t>TKT00362</t>
  </si>
  <si>
    <t>TKT00363</t>
  </si>
  <si>
    <t>EMP0151</t>
  </si>
  <si>
    <t>TKT00364</t>
  </si>
  <si>
    <t>EMP0369</t>
  </si>
  <si>
    <t>EMP0071</t>
  </si>
  <si>
    <t>TKT00365</t>
  </si>
  <si>
    <t>TKT00366</t>
  </si>
  <si>
    <t>TKT00367</t>
  </si>
  <si>
    <t>TKT00368</t>
  </si>
  <si>
    <t>TKT00369</t>
  </si>
  <si>
    <t>EMP0084</t>
  </si>
  <si>
    <t>TKT00370</t>
  </si>
  <si>
    <t>TKT00371</t>
  </si>
  <si>
    <t>TKT00372</t>
  </si>
  <si>
    <t>TKT00373</t>
  </si>
  <si>
    <t>EMP0283</t>
  </si>
  <si>
    <t>TKT00374</t>
  </si>
  <si>
    <t>EMP0110</t>
  </si>
  <si>
    <t>TKT00375</t>
  </si>
  <si>
    <t>EMP0333</t>
  </si>
  <si>
    <t>TKT00376</t>
  </si>
  <si>
    <t>EMP0085</t>
  </si>
  <si>
    <t>TKT00377</t>
  </si>
  <si>
    <t>TKT00378</t>
  </si>
  <si>
    <t>TKT00379</t>
  </si>
  <si>
    <t>TKT00380</t>
  </si>
  <si>
    <t>EMP0351</t>
  </si>
  <si>
    <t>TKT00381</t>
  </si>
  <si>
    <t>EMP0105</t>
  </si>
  <si>
    <t>TKT00382</t>
  </si>
  <si>
    <t>TKT00383</t>
  </si>
  <si>
    <t>TKT00384</t>
  </si>
  <si>
    <t>TKT00385</t>
  </si>
  <si>
    <t>TKT00386</t>
  </si>
  <si>
    <t>TKT00387</t>
  </si>
  <si>
    <t>TKT00388</t>
  </si>
  <si>
    <t>TKT00389</t>
  </si>
  <si>
    <t>EMP0129</t>
  </si>
  <si>
    <t>TKT00390</t>
  </si>
  <si>
    <t>TKT00391</t>
  </si>
  <si>
    <t>TKT00392</t>
  </si>
  <si>
    <t>TKT00393</t>
  </si>
  <si>
    <t>EMP0480</t>
  </si>
  <si>
    <t>TKT00394</t>
  </si>
  <si>
    <t>TKT00395</t>
  </si>
  <si>
    <t>TKT00396</t>
  </si>
  <si>
    <t>EMP0383</t>
  </si>
  <si>
    <t>EMP0375</t>
  </si>
  <si>
    <t>TKT00397</t>
  </si>
  <si>
    <t>TKT00398</t>
  </si>
  <si>
    <t>EMP0437</t>
  </si>
  <si>
    <t>EMP0474</t>
  </si>
  <si>
    <t>TKT00399</t>
  </si>
  <si>
    <t>EMP0476</t>
  </si>
  <si>
    <t>TKT00400</t>
  </si>
  <si>
    <t>TKT00401</t>
  </si>
  <si>
    <t>TKT00402</t>
  </si>
  <si>
    <t>TKT00403</t>
  </si>
  <si>
    <t>TKT00404</t>
  </si>
  <si>
    <t>EMP0034</t>
  </si>
  <si>
    <t>TKT00405</t>
  </si>
  <si>
    <t>TKT00406</t>
  </si>
  <si>
    <t>TKT00407</t>
  </si>
  <si>
    <t>TKT00408</t>
  </si>
  <si>
    <t>EMP0214</t>
  </si>
  <si>
    <t>TKT00409</t>
  </si>
  <si>
    <t>EMP0185</t>
  </si>
  <si>
    <t>TKT00410</t>
  </si>
  <si>
    <t>TKT00411</t>
  </si>
  <si>
    <t>EMP0309</t>
  </si>
  <si>
    <t>TKT00412</t>
  </si>
  <si>
    <t>EMP0364</t>
  </si>
  <si>
    <t>TKT00413</t>
  </si>
  <si>
    <t>EMP0101</t>
  </si>
  <si>
    <t>TKT00414</t>
  </si>
  <si>
    <t>TKT00415</t>
  </si>
  <si>
    <t>TKT00416</t>
  </si>
  <si>
    <t>EMP0345</t>
  </si>
  <si>
    <t>TKT00417</t>
  </si>
  <si>
    <t>EMP0103</t>
  </si>
  <si>
    <t>TKT00418</t>
  </si>
  <si>
    <t>TKT00419</t>
  </si>
  <si>
    <t>TKT00420</t>
  </si>
  <si>
    <t>TKT00421</t>
  </si>
  <si>
    <t>TKT00422</t>
  </si>
  <si>
    <t>TKT00423</t>
  </si>
  <si>
    <t>TKT00424</t>
  </si>
  <si>
    <t>TKT00425</t>
  </si>
  <si>
    <t>EMP0320</t>
  </si>
  <si>
    <t>TKT00426</t>
  </si>
  <si>
    <t>EMP0240</t>
  </si>
  <si>
    <t>TKT00427</t>
  </si>
  <si>
    <t>EMP0305</t>
  </si>
  <si>
    <t>TKT00428</t>
  </si>
  <si>
    <t>TKT00429</t>
  </si>
  <si>
    <t>TKT00430</t>
  </si>
  <si>
    <t>EMP0180</t>
  </si>
  <si>
    <t>TKT00431</t>
  </si>
  <si>
    <t>TKT00432</t>
  </si>
  <si>
    <t>EMP0287</t>
  </si>
  <si>
    <t>TKT00433</t>
  </si>
  <si>
    <t>TKT00434</t>
  </si>
  <si>
    <t>TKT00435</t>
  </si>
  <si>
    <t>TKT00436</t>
  </si>
  <si>
    <t>TKT00437</t>
  </si>
  <si>
    <t>TKT00438</t>
  </si>
  <si>
    <t>TKT00439</t>
  </si>
  <si>
    <t>EMP0099</t>
  </si>
  <si>
    <t>TKT00440</t>
  </si>
  <si>
    <t>TKT00441</t>
  </si>
  <si>
    <t>EMP0477</t>
  </si>
  <si>
    <t>TKT00442</t>
  </si>
  <si>
    <t>EMP0421</t>
  </si>
  <si>
    <t>TKT00443</t>
  </si>
  <si>
    <t>TKT00444</t>
  </si>
  <si>
    <t>EMP0445</t>
  </si>
  <si>
    <t>TKT00445</t>
  </si>
  <si>
    <t>EMP0219</t>
  </si>
  <si>
    <t>TKT00446</t>
  </si>
  <si>
    <t>EMP0300</t>
  </si>
  <si>
    <t>TKT00447</t>
  </si>
  <si>
    <t>TKT00448</t>
  </si>
  <si>
    <t>EMP0157</t>
  </si>
  <si>
    <t>TKT00449</t>
  </si>
  <si>
    <t>EMP0189</t>
  </si>
  <si>
    <t>TKT00450</t>
  </si>
  <si>
    <t>TKT00451</t>
  </si>
  <si>
    <t>TKT00452</t>
  </si>
  <si>
    <t>EMP0398</t>
  </si>
  <si>
    <t>TKT00453</t>
  </si>
  <si>
    <t>EMP0479</t>
  </si>
  <si>
    <t>TKT00454</t>
  </si>
  <si>
    <t>TKT00455</t>
  </si>
  <si>
    <t>TKT00456</t>
  </si>
  <si>
    <t>TKT00457</t>
  </si>
  <si>
    <t>EMP0329</t>
  </si>
  <si>
    <t>TKT00458</t>
  </si>
  <si>
    <t>EMP0338</t>
  </si>
  <si>
    <t>TKT00459</t>
  </si>
  <si>
    <t>TKT00460</t>
  </si>
  <si>
    <t>EMP0025</t>
  </si>
  <si>
    <t>TKT00461</t>
  </si>
  <si>
    <t>TKT00462</t>
  </si>
  <si>
    <t>EMP0079</t>
  </si>
  <si>
    <t>TKT00463</t>
  </si>
  <si>
    <t>TKT00464</t>
  </si>
  <si>
    <t>TKT00465</t>
  </si>
  <si>
    <t>TKT00466</t>
  </si>
  <si>
    <t>EMP0144</t>
  </si>
  <si>
    <t>EMP0350</t>
  </si>
  <si>
    <t>TKT00467</t>
  </si>
  <si>
    <t>TKT00468</t>
  </si>
  <si>
    <t>EMP0030</t>
  </si>
  <si>
    <t>TKT00469</t>
  </si>
  <si>
    <t>TKT00470</t>
  </si>
  <si>
    <t>TKT00471</t>
  </si>
  <si>
    <t>TKT00472</t>
  </si>
  <si>
    <t>TKT00473</t>
  </si>
  <si>
    <t>TKT00474</t>
  </si>
  <si>
    <t>EMP0301</t>
  </si>
  <si>
    <t>TKT00475</t>
  </si>
  <si>
    <t>EMP0331</t>
  </si>
  <si>
    <t>TKT00476</t>
  </si>
  <si>
    <t>EMP0226</t>
  </si>
  <si>
    <t>TKT00477</t>
  </si>
  <si>
    <t>TKT00478</t>
  </si>
  <si>
    <t>TKT00479</t>
  </si>
  <si>
    <t>EMP0295</t>
  </si>
  <si>
    <t>TKT00480</t>
  </si>
  <si>
    <t>TKT00481</t>
  </si>
  <si>
    <t>TKT00482</t>
  </si>
  <si>
    <t>TKT00483</t>
  </si>
  <si>
    <t>TKT00484</t>
  </si>
  <si>
    <t>TKT00485</t>
  </si>
  <si>
    <t>EMP0495</t>
  </si>
  <si>
    <t>TKT00486</t>
  </si>
  <si>
    <t>TKT00487</t>
  </si>
  <si>
    <t>TKT00488</t>
  </si>
  <si>
    <t>EMP0394</t>
  </si>
  <si>
    <t>TKT00489</t>
  </si>
  <si>
    <t>TKT00490</t>
  </si>
  <si>
    <t>EMP0343</t>
  </si>
  <si>
    <t>TKT00491</t>
  </si>
  <si>
    <t>TKT00492</t>
  </si>
  <si>
    <t>TKT00493</t>
  </si>
  <si>
    <t>TKT00494</t>
  </si>
  <si>
    <t>TKT00495</t>
  </si>
  <si>
    <t>TKT00496</t>
  </si>
  <si>
    <t>TKT00497</t>
  </si>
  <si>
    <t>TKT00498</t>
  </si>
  <si>
    <t>TKT00499</t>
  </si>
  <si>
    <t>TKT00500</t>
  </si>
  <si>
    <t>TKT00501</t>
  </si>
  <si>
    <t>TKT00502</t>
  </si>
  <si>
    <t>TKT00503</t>
  </si>
  <si>
    <t>TKT00504</t>
  </si>
  <si>
    <t>EMP0153</t>
  </si>
  <si>
    <t>TKT00505</t>
  </si>
  <si>
    <t>TKT00506</t>
  </si>
  <si>
    <t>EMP0244</t>
  </si>
  <si>
    <t>TKT00507</t>
  </si>
  <si>
    <t>TKT00508</t>
  </si>
  <si>
    <t>TKT00509</t>
  </si>
  <si>
    <t>TKT00510</t>
  </si>
  <si>
    <t>EMP0484</t>
  </si>
  <si>
    <t>TKT00511</t>
  </si>
  <si>
    <t>EMP0082</t>
  </si>
  <si>
    <t>TKT00512</t>
  </si>
  <si>
    <t>TKT00513</t>
  </si>
  <si>
    <t>EMP0027</t>
  </si>
  <si>
    <t>TKT00514</t>
  </si>
  <si>
    <t>TKT00515</t>
  </si>
  <si>
    <t>EMP0272</t>
  </si>
  <si>
    <t>TKT00516</t>
  </si>
  <si>
    <t>TKT00517</t>
  </si>
  <si>
    <t>EMP0062</t>
  </si>
  <si>
    <t>TKT00518</t>
  </si>
  <si>
    <t>TKT00519</t>
  </si>
  <si>
    <t>EMP0341</t>
  </si>
  <si>
    <t>TKT00520</t>
  </si>
  <si>
    <t>TKT00521</t>
  </si>
  <si>
    <t>TKT00522</t>
  </si>
  <si>
    <t>TKT00523</t>
  </si>
  <si>
    <t>TKT00524</t>
  </si>
  <si>
    <t>TKT00525</t>
  </si>
  <si>
    <t>TKT00526</t>
  </si>
  <si>
    <t>TKT00527</t>
  </si>
  <si>
    <t>TKT00528</t>
  </si>
  <si>
    <t>TKT00529</t>
  </si>
  <si>
    <t>TKT00530</t>
  </si>
  <si>
    <t>EMP0318</t>
  </si>
  <si>
    <t>TKT00531</t>
  </si>
  <si>
    <t>EMP0198</t>
  </si>
  <si>
    <t>TKT00532</t>
  </si>
  <si>
    <t>EMP0362</t>
  </si>
  <si>
    <t>TKT00533</t>
  </si>
  <si>
    <t>TKT00534</t>
  </si>
  <si>
    <t>TKT00535</t>
  </si>
  <si>
    <t>TKT00536</t>
  </si>
  <si>
    <t>TKT00537</t>
  </si>
  <si>
    <t>TKT00538</t>
  </si>
  <si>
    <t>TKT00539</t>
  </si>
  <si>
    <t>TKT00540</t>
  </si>
  <si>
    <t>EMP0041</t>
  </si>
  <si>
    <t>EMP0481</t>
  </si>
  <si>
    <t>TKT00541</t>
  </si>
  <si>
    <t>TKT00542</t>
  </si>
  <si>
    <t>TKT00543</t>
  </si>
  <si>
    <t>TKT00544</t>
  </si>
  <si>
    <t>TKT00545</t>
  </si>
  <si>
    <t>TKT00546</t>
  </si>
  <si>
    <t>EMP0029</t>
  </si>
  <si>
    <t>TKT00547</t>
  </si>
  <si>
    <t>TKT00548</t>
  </si>
  <si>
    <t>EMP0208</t>
  </si>
  <si>
    <t>TKT00549</t>
  </si>
  <si>
    <t>EMP0427</t>
  </si>
  <si>
    <t>EMP0286</t>
  </si>
  <si>
    <t>TKT00550</t>
  </si>
  <si>
    <t>TKT00551</t>
  </si>
  <si>
    <t>EMP0365</t>
  </si>
  <si>
    <t>TKT00552</t>
  </si>
  <si>
    <t>TKT00553</t>
  </si>
  <si>
    <t>TKT00554</t>
  </si>
  <si>
    <t>TKT00555</t>
  </si>
  <si>
    <t>TKT00556</t>
  </si>
  <si>
    <t>TKT00557</t>
  </si>
  <si>
    <t>TKT00558</t>
  </si>
  <si>
    <t>TKT00559</t>
  </si>
  <si>
    <t>TKT00560</t>
  </si>
  <si>
    <t>TKT00561</t>
  </si>
  <si>
    <t>EMP0386</t>
  </si>
  <si>
    <t>TKT00562</t>
  </si>
  <si>
    <t>EMP0450</t>
  </si>
  <si>
    <t>TKT00563</t>
  </si>
  <si>
    <t>TKT00564</t>
  </si>
  <si>
    <t>TKT00565</t>
  </si>
  <si>
    <t>TKT00566</t>
  </si>
  <si>
    <t>TKT00567</t>
  </si>
  <si>
    <t>TKT00568</t>
  </si>
  <si>
    <t>TKT00569</t>
  </si>
  <si>
    <t>TKT00570</t>
  </si>
  <si>
    <t>TKT00571</t>
  </si>
  <si>
    <t>TKT00572</t>
  </si>
  <si>
    <t>EMP0438</t>
  </si>
  <si>
    <t>TKT00573</t>
  </si>
  <si>
    <t>EMP0239</t>
  </si>
  <si>
    <t>TKT00574</t>
  </si>
  <si>
    <t>TKT00575</t>
  </si>
  <si>
    <t>TKT00576</t>
  </si>
  <si>
    <t>TKT00577</t>
  </si>
  <si>
    <t>TKT00578</t>
  </si>
  <si>
    <t>TKT00579</t>
  </si>
  <si>
    <t>EMP0156</t>
  </si>
  <si>
    <t>TKT00580</t>
  </si>
  <si>
    <t>TKT00581</t>
  </si>
  <si>
    <t>TKT00582</t>
  </si>
  <si>
    <t>TKT00583</t>
  </si>
  <si>
    <t>TKT00584</t>
  </si>
  <si>
    <t>TKT00585</t>
  </si>
  <si>
    <t>EMP0098</t>
  </si>
  <si>
    <t>TKT00586</t>
  </si>
  <si>
    <t>TKT00587</t>
  </si>
  <si>
    <t>TKT00588</t>
  </si>
  <si>
    <t>TKT00589</t>
  </si>
  <si>
    <t>EMP0478</t>
  </si>
  <si>
    <t>TKT00590</t>
  </si>
  <si>
    <t>TKT00591</t>
  </si>
  <si>
    <t>TKT00592</t>
  </si>
  <si>
    <t>TKT00593</t>
  </si>
  <si>
    <t>TKT00594</t>
  </si>
  <si>
    <t>TKT00595</t>
  </si>
  <si>
    <t>TKT00596</t>
  </si>
  <si>
    <t>TKT00597</t>
  </si>
  <si>
    <t>TKT00598</t>
  </si>
  <si>
    <t>TKT00599</t>
  </si>
  <si>
    <t>EMP0159</t>
  </si>
  <si>
    <t>TKT00600</t>
  </si>
  <si>
    <t>TKT00601</t>
  </si>
  <si>
    <t>TKT00602</t>
  </si>
  <si>
    <t>TKT00603</t>
  </si>
  <si>
    <t>TKT00604</t>
  </si>
  <si>
    <t>EMP0469</t>
  </si>
  <si>
    <t>TKT00605</t>
  </si>
  <si>
    <t>TKT00606</t>
  </si>
  <si>
    <t>TKT00607</t>
  </si>
  <si>
    <t>TKT00608</t>
  </si>
  <si>
    <t>TKT00609</t>
  </si>
  <si>
    <t>TKT00610</t>
  </si>
  <si>
    <t>EMP0233</t>
  </si>
  <si>
    <t>TKT00611</t>
  </si>
  <si>
    <t>TKT00612</t>
  </si>
  <si>
    <t>TKT00613</t>
  </si>
  <si>
    <t>TKT00614</t>
  </si>
  <si>
    <t>TKT00615</t>
  </si>
  <si>
    <t>TKT00616</t>
  </si>
  <si>
    <t>EMP0069</t>
  </si>
  <si>
    <t>TKT00617</t>
  </si>
  <si>
    <t>TKT00618</t>
  </si>
  <si>
    <t>TKT00619</t>
  </si>
  <si>
    <t>TKT00620</t>
  </si>
  <si>
    <t>TKT00621</t>
  </si>
  <si>
    <t>TKT00622</t>
  </si>
  <si>
    <t>TKT00623</t>
  </si>
  <si>
    <t>TKT00624</t>
  </si>
  <si>
    <t>TKT00625</t>
  </si>
  <si>
    <t>TKT00626</t>
  </si>
  <si>
    <t>EMP0422</t>
  </si>
  <si>
    <t>TKT00627</t>
  </si>
  <si>
    <t>EMP0016</t>
  </si>
  <si>
    <t>TKT00628</t>
  </si>
  <si>
    <t>TKT00629</t>
  </si>
  <si>
    <t>TKT00630</t>
  </si>
  <si>
    <t>TKT00631</t>
  </si>
  <si>
    <t>TKT00632</t>
  </si>
  <si>
    <t>TKT00633</t>
  </si>
  <si>
    <t>TKT00634</t>
  </si>
  <si>
    <t>EMP0176</t>
  </si>
  <si>
    <t>TKT00635</t>
  </si>
  <si>
    <t>TKT00636</t>
  </si>
  <si>
    <t>TKT00637</t>
  </si>
  <si>
    <t>TKT00638</t>
  </si>
  <si>
    <t>TKT00639</t>
  </si>
  <si>
    <t>TKT00640</t>
  </si>
  <si>
    <t>TKT00641</t>
  </si>
  <si>
    <t>TKT00642</t>
  </si>
  <si>
    <t>TKT00643</t>
  </si>
  <si>
    <t>TKT00644</t>
  </si>
  <si>
    <t>TKT00645</t>
  </si>
  <si>
    <t>TKT00646</t>
  </si>
  <si>
    <t>TKT00647</t>
  </si>
  <si>
    <t>TKT00648</t>
  </si>
  <si>
    <t>TKT00649</t>
  </si>
  <si>
    <t>EMP0458</t>
  </si>
  <si>
    <t>TKT00650</t>
  </si>
  <si>
    <t>TKT00651</t>
  </si>
  <si>
    <t>TKT00652</t>
  </si>
  <si>
    <t>TKT00653</t>
  </si>
  <si>
    <t>TKT00654</t>
  </si>
  <si>
    <t>TKT00655</t>
  </si>
  <si>
    <t>TKT00656</t>
  </si>
  <si>
    <t>TKT00657</t>
  </si>
  <si>
    <t>TKT00658</t>
  </si>
  <si>
    <t>TKT00659</t>
  </si>
  <si>
    <t>EMP0317</t>
  </si>
  <si>
    <t>TKT00660</t>
  </si>
  <si>
    <t>TKT00661</t>
  </si>
  <si>
    <t>TKT00662</t>
  </si>
  <si>
    <t>EMP0319</t>
  </si>
  <si>
    <t>TKT00663</t>
  </si>
  <si>
    <t>TKT00664</t>
  </si>
  <si>
    <t>TKT00665</t>
  </si>
  <si>
    <t>TKT00666</t>
  </si>
  <si>
    <t>EMP0328</t>
  </si>
  <si>
    <t>TKT00667</t>
  </si>
  <si>
    <t>EMP0123</t>
  </si>
  <si>
    <t>TKT00668</t>
  </si>
  <si>
    <t>TKT00669</t>
  </si>
  <si>
    <t>TKT00670</t>
  </si>
  <si>
    <t>TKT00671</t>
  </si>
  <si>
    <t>TKT00672</t>
  </si>
  <si>
    <t>TKT00673</t>
  </si>
  <si>
    <t>TKT00674</t>
  </si>
  <si>
    <t>TKT00675</t>
  </si>
  <si>
    <t>TKT00676</t>
  </si>
  <si>
    <t>TKT00677</t>
  </si>
  <si>
    <t>TKT00678</t>
  </si>
  <si>
    <t>TKT00679</t>
  </si>
  <si>
    <t>TKT00680</t>
  </si>
  <si>
    <t>EMP0429</t>
  </si>
  <si>
    <t>TKT00681</t>
  </si>
  <si>
    <t>TKT00682</t>
  </si>
  <si>
    <t>TKT00683</t>
  </si>
  <si>
    <t>TKT00684</t>
  </si>
  <si>
    <t>TKT00685</t>
  </si>
  <si>
    <t>TKT00686</t>
  </si>
  <si>
    <t>EMP0455</t>
  </si>
  <si>
    <t>TKT00687</t>
  </si>
  <si>
    <t>TKT00688</t>
  </si>
  <si>
    <t>EMP0464</t>
  </si>
  <si>
    <t>TKT00689</t>
  </si>
  <si>
    <t>TKT00690</t>
  </si>
  <si>
    <t>TKT00691</t>
  </si>
  <si>
    <t>TKT00692</t>
  </si>
  <si>
    <t>TKT00693</t>
  </si>
  <si>
    <t>TKT00694</t>
  </si>
  <si>
    <t>TKT00695</t>
  </si>
  <si>
    <t>TKT00696</t>
  </si>
  <si>
    <t>TKT00697</t>
  </si>
  <si>
    <t>TKT00698</t>
  </si>
  <si>
    <t>TKT00699</t>
  </si>
  <si>
    <t>EMP0342</t>
  </si>
  <si>
    <t>TKT00700</t>
  </si>
  <si>
    <t>TKT00701</t>
  </si>
  <si>
    <t>EMP0187</t>
  </si>
  <si>
    <t>TKT00702</t>
  </si>
  <si>
    <t>EMP0273</t>
  </si>
  <si>
    <t>TKT00703</t>
  </si>
  <si>
    <t>TKT00704</t>
  </si>
  <si>
    <t>TKT00705</t>
  </si>
  <si>
    <t>TKT00706</t>
  </si>
  <si>
    <t>TKT00707</t>
  </si>
  <si>
    <t>TKT00708</t>
  </si>
  <si>
    <t>TKT00709</t>
  </si>
  <si>
    <t>TKT00710</t>
  </si>
  <si>
    <t>EMP0418</t>
  </si>
  <si>
    <t>TKT00711</t>
  </si>
  <si>
    <t>TKT00712</t>
  </si>
  <si>
    <t>TKT00713</t>
  </si>
  <si>
    <t>TKT00714</t>
  </si>
  <si>
    <t>TKT00715</t>
  </si>
  <si>
    <t>TKT00716</t>
  </si>
  <si>
    <t>TKT00717</t>
  </si>
  <si>
    <t>TKT00718</t>
  </si>
  <si>
    <t>TKT00719</t>
  </si>
  <si>
    <t>TKT00720</t>
  </si>
  <si>
    <t>TKT00721</t>
  </si>
  <si>
    <t>TKT00722</t>
  </si>
  <si>
    <t>EMP0271</t>
  </si>
  <si>
    <t>TKT00723</t>
  </si>
  <si>
    <t>TKT00724</t>
  </si>
  <si>
    <t>TKT00725</t>
  </si>
  <si>
    <t>TKT00726</t>
  </si>
  <si>
    <t>TKT00727</t>
  </si>
  <si>
    <t>TKT00728</t>
  </si>
  <si>
    <t>TKT00729</t>
  </si>
  <si>
    <t>TKT00730</t>
  </si>
  <si>
    <t>TKT00731</t>
  </si>
  <si>
    <t>TKT00732</t>
  </si>
  <si>
    <t>TKT00733</t>
  </si>
  <si>
    <t>TKT00734</t>
  </si>
  <si>
    <t>EMP0200</t>
  </si>
  <si>
    <t>TKT00735</t>
  </si>
  <si>
    <t>TKT00736</t>
  </si>
  <si>
    <t>TKT00737</t>
  </si>
  <si>
    <t>TKT00738</t>
  </si>
  <si>
    <t>TKT00739</t>
  </si>
  <si>
    <t>TKT00740</t>
  </si>
  <si>
    <t>TKT00741</t>
  </si>
  <si>
    <t>TKT00742</t>
  </si>
  <si>
    <t>TKT00743</t>
  </si>
  <si>
    <t>TKT00744</t>
  </si>
  <si>
    <t>TKT00745</t>
  </si>
  <si>
    <t>TKT00746</t>
  </si>
  <si>
    <t>EMP0094</t>
  </si>
  <si>
    <t>TKT00747</t>
  </si>
  <si>
    <t>TKT00748</t>
  </si>
  <si>
    <t>TKT00749</t>
  </si>
  <si>
    <t>TKT00750</t>
  </si>
  <si>
    <t>TKT00751</t>
  </si>
  <si>
    <t>EMP0303</t>
  </si>
  <si>
    <t>TKT00752</t>
  </si>
  <si>
    <t>TKT00753</t>
  </si>
  <si>
    <t>TKT00754</t>
  </si>
  <si>
    <t>EMP0462</t>
  </si>
  <si>
    <t>TKT00755</t>
  </si>
  <si>
    <t>TKT00756</t>
  </si>
  <si>
    <t>TKT00757</t>
  </si>
  <si>
    <t>TKT00758</t>
  </si>
  <si>
    <t>TKT00759</t>
  </si>
  <si>
    <t>TKT00760</t>
  </si>
  <si>
    <t>TKT00761</t>
  </si>
  <si>
    <t>TKT00762</t>
  </si>
  <si>
    <t>TKT00763</t>
  </si>
  <si>
    <t>TKT00764</t>
  </si>
  <si>
    <t>TKT00765</t>
  </si>
  <si>
    <t>TKT00766</t>
  </si>
  <si>
    <t>TKT00767</t>
  </si>
  <si>
    <t>TKT00768</t>
  </si>
  <si>
    <t>TKT00769</t>
  </si>
  <si>
    <t>TKT00770</t>
  </si>
  <si>
    <t>TKT00771</t>
  </si>
  <si>
    <t>TKT00772</t>
  </si>
  <si>
    <t>TKT00773</t>
  </si>
  <si>
    <t>TKT00774</t>
  </si>
  <si>
    <t>TKT00775</t>
  </si>
  <si>
    <t>TKT00776</t>
  </si>
  <si>
    <t>TKT00777</t>
  </si>
  <si>
    <t>TKT00778</t>
  </si>
  <si>
    <t>TKT00779</t>
  </si>
  <si>
    <t>TKT00780</t>
  </si>
  <si>
    <t>TKT00781</t>
  </si>
  <si>
    <t>TKT00782</t>
  </si>
  <si>
    <t>TKT00783</t>
  </si>
  <si>
    <t>TKT00784</t>
  </si>
  <si>
    <t>TKT00785</t>
  </si>
  <si>
    <t>TKT00786</t>
  </si>
  <si>
    <t>TKT00787</t>
  </si>
  <si>
    <t>TKT00788</t>
  </si>
  <si>
    <t>TKT00789</t>
  </si>
  <si>
    <t>EMP0162</t>
  </si>
  <si>
    <t>TKT00790</t>
  </si>
  <si>
    <t>TKT00791</t>
  </si>
  <si>
    <t>TKT00792</t>
  </si>
  <si>
    <t>TKT00793</t>
  </si>
  <si>
    <t>TKT00794</t>
  </si>
  <si>
    <t>TKT00795</t>
  </si>
  <si>
    <t>TKT00796</t>
  </si>
  <si>
    <t>TKT00797</t>
  </si>
  <si>
    <t>TKT00798</t>
  </si>
  <si>
    <t>TKT00799</t>
  </si>
  <si>
    <t>EMP0133</t>
  </si>
  <si>
    <t>TKT00800</t>
  </si>
  <si>
    <t>TKT00801</t>
  </si>
  <si>
    <t>TKT00802</t>
  </si>
  <si>
    <t>TKT00803</t>
  </si>
  <si>
    <t>TKT00804</t>
  </si>
  <si>
    <t>TKT00805</t>
  </si>
  <si>
    <t>TKT00806</t>
  </si>
  <si>
    <t>EMP0297</t>
  </si>
  <si>
    <t>TKT00807</t>
  </si>
  <si>
    <t>TKT00808</t>
  </si>
  <si>
    <t>TKT00809</t>
  </si>
  <si>
    <t>TKT00810</t>
  </si>
  <si>
    <t>TKT00811</t>
  </si>
  <si>
    <t>TKT00812</t>
  </si>
  <si>
    <t>TKT00813</t>
  </si>
  <si>
    <t>TKT00814</t>
  </si>
  <si>
    <t>TKT00815</t>
  </si>
  <si>
    <t>TKT00816</t>
  </si>
  <si>
    <t>TKT00817</t>
  </si>
  <si>
    <t>TKT00818</t>
  </si>
  <si>
    <t>TKT00819</t>
  </si>
  <si>
    <t>TKT00820</t>
  </si>
  <si>
    <t>TKT00821</t>
  </si>
  <si>
    <t>TKT00822</t>
  </si>
  <si>
    <t>TKT00823</t>
  </si>
  <si>
    <t>TKT00824</t>
  </si>
  <si>
    <t>TKT00825</t>
  </si>
  <si>
    <t>TKT00826</t>
  </si>
  <si>
    <t>TKT00827</t>
  </si>
  <si>
    <t>TKT00828</t>
  </si>
  <si>
    <t>TKT00829</t>
  </si>
  <si>
    <t>TKT00830</t>
  </si>
  <si>
    <t>TKT00831</t>
  </si>
  <si>
    <t>EMP0416</t>
  </si>
  <si>
    <t>TKT00832</t>
  </si>
  <si>
    <t>TKT00833</t>
  </si>
  <si>
    <t>TKT00834</t>
  </si>
  <si>
    <t>TKT00835</t>
  </si>
  <si>
    <t>TKT00836</t>
  </si>
  <si>
    <t>TKT00837</t>
  </si>
  <si>
    <t>TKT00838</t>
  </si>
  <si>
    <t>TKT00839</t>
  </si>
  <si>
    <t>TKT00840</t>
  </si>
  <si>
    <t>TKT00841</t>
  </si>
  <si>
    <t>TKT00842</t>
  </si>
  <si>
    <t>TKT00843</t>
  </si>
  <si>
    <t>TKT00844</t>
  </si>
  <si>
    <t>TKT00845</t>
  </si>
  <si>
    <t>TKT00846</t>
  </si>
  <si>
    <t>TKT00847</t>
  </si>
  <si>
    <t>TKT00848</t>
  </si>
  <si>
    <t>TKT00849</t>
  </si>
  <si>
    <t>TKT00850</t>
  </si>
  <si>
    <t>TKT00851</t>
  </si>
  <si>
    <t>TKT00852</t>
  </si>
  <si>
    <t>TKT00853</t>
  </si>
  <si>
    <t>TKT00854</t>
  </si>
  <si>
    <t>TKT00855</t>
  </si>
  <si>
    <t>TKT00856</t>
  </si>
  <si>
    <t>TKT00857</t>
  </si>
  <si>
    <t>TKT00858</t>
  </si>
  <si>
    <t>TKT00859</t>
  </si>
  <si>
    <t>TKT00860</t>
  </si>
  <si>
    <t>TKT00861</t>
  </si>
  <si>
    <t>TKT00862</t>
  </si>
  <si>
    <t>TKT00863</t>
  </si>
  <si>
    <t>TKT00864</t>
  </si>
  <si>
    <t>TKT00865</t>
  </si>
  <si>
    <t>TKT00866</t>
  </si>
  <si>
    <t>TKT00867</t>
  </si>
  <si>
    <t>TKT00868</t>
  </si>
  <si>
    <t>TKT00869</t>
  </si>
  <si>
    <t>TKT00870</t>
  </si>
  <si>
    <t>TKT00871</t>
  </si>
  <si>
    <t>TKT00872</t>
  </si>
  <si>
    <t>TKT00873</t>
  </si>
  <si>
    <t>TKT00874</t>
  </si>
  <si>
    <t>TKT00875</t>
  </si>
  <si>
    <t>TKT00876</t>
  </si>
  <si>
    <t>TKT00877</t>
  </si>
  <si>
    <t>TKT00878</t>
  </si>
  <si>
    <t>TKT00879</t>
  </si>
  <si>
    <t>TKT00880</t>
  </si>
  <si>
    <t>TKT00881</t>
  </si>
  <si>
    <t>TKT00882</t>
  </si>
  <si>
    <t>TKT00883</t>
  </si>
  <si>
    <t>TKT00884</t>
  </si>
  <si>
    <t>TKT00885</t>
  </si>
  <si>
    <t>TKT00886</t>
  </si>
  <si>
    <t>TKT00887</t>
  </si>
  <si>
    <t>TKT00888</t>
  </si>
  <si>
    <t>TKT00889</t>
  </si>
  <si>
    <t>TKT00890</t>
  </si>
  <si>
    <t>TKT00891</t>
  </si>
  <si>
    <t>TKT00892</t>
  </si>
  <si>
    <t>TKT00893</t>
  </si>
  <si>
    <t>TKT00894</t>
  </si>
  <si>
    <t>TKT00895</t>
  </si>
  <si>
    <t>TKT00896</t>
  </si>
  <si>
    <t>TKT00897</t>
  </si>
  <si>
    <t>TKT00898</t>
  </si>
  <si>
    <t>TKT00899</t>
  </si>
  <si>
    <t>TKT00900</t>
  </si>
  <si>
    <t>TKT00901</t>
  </si>
  <si>
    <t>TKT00902</t>
  </si>
  <si>
    <t>TKT00903</t>
  </si>
  <si>
    <t>TKT00904</t>
  </si>
  <si>
    <t>TKT00905</t>
  </si>
  <si>
    <t>TKT00906</t>
  </si>
  <si>
    <t>TKT00907</t>
  </si>
  <si>
    <t>TKT00908</t>
  </si>
  <si>
    <t>TKT00909</t>
  </si>
  <si>
    <t>TKT00910</t>
  </si>
  <si>
    <t>TKT00911</t>
  </si>
  <si>
    <t>TKT00912</t>
  </si>
  <si>
    <t>TKT00913</t>
  </si>
  <si>
    <t>TKT00914</t>
  </si>
  <si>
    <t>TKT00915</t>
  </si>
  <si>
    <t>TKT00916</t>
  </si>
  <si>
    <t>TKT00917</t>
  </si>
  <si>
    <t>TKT00918</t>
  </si>
  <si>
    <t>TKT00919</t>
  </si>
  <si>
    <t>TKT00920</t>
  </si>
  <si>
    <t>TKT00921</t>
  </si>
  <si>
    <t>TKT00922</t>
  </si>
  <si>
    <t>EMP0222</t>
  </si>
  <si>
    <t>TKT00923</t>
  </si>
  <si>
    <t>TKT00924</t>
  </si>
  <si>
    <t>TKT00925</t>
  </si>
  <si>
    <t>TKT00926</t>
  </si>
  <si>
    <t>TKT00927</t>
  </si>
  <si>
    <t>TKT00928</t>
  </si>
  <si>
    <t>TKT00929</t>
  </si>
  <si>
    <t>TKT00930</t>
  </si>
  <si>
    <t>TKT00931</t>
  </si>
  <si>
    <t>TKT00932</t>
  </si>
  <si>
    <t>TKT00933</t>
  </si>
  <si>
    <t>TKT00934</t>
  </si>
  <si>
    <t>TKT00935</t>
  </si>
  <si>
    <t>TKT00936</t>
  </si>
  <si>
    <t>TKT00937</t>
  </si>
  <si>
    <t>TKT00938</t>
  </si>
  <si>
    <t>TKT00939</t>
  </si>
  <si>
    <t>TKT00940</t>
  </si>
  <si>
    <t>TKT00941</t>
  </si>
  <si>
    <t>TKT00942</t>
  </si>
  <si>
    <t>TKT00943</t>
  </si>
  <si>
    <t>TKT00944</t>
  </si>
  <si>
    <t>TKT00945</t>
  </si>
  <si>
    <t>TKT00946</t>
  </si>
  <si>
    <t>TKT00947</t>
  </si>
  <si>
    <t>TKT00948</t>
  </si>
  <si>
    <t>TKT00949</t>
  </si>
  <si>
    <t>EMP0355</t>
  </si>
  <si>
    <t>TKT00950</t>
  </si>
  <si>
    <t>TKT00951</t>
  </si>
  <si>
    <t>TKT00952</t>
  </si>
  <si>
    <t>TKT00953</t>
  </si>
  <si>
    <t>TKT00954</t>
  </si>
  <si>
    <t>TKT00955</t>
  </si>
  <si>
    <t>TKT00956</t>
  </si>
  <si>
    <t>TKT00957</t>
  </si>
  <si>
    <t>TKT00958</t>
  </si>
  <si>
    <t>TKT00959</t>
  </si>
  <si>
    <t>TKT00960</t>
  </si>
  <si>
    <t>TKT00961</t>
  </si>
  <si>
    <t>TKT00962</t>
  </si>
  <si>
    <t>TKT00963</t>
  </si>
  <si>
    <t>TKT00964</t>
  </si>
  <si>
    <t>TKT00965</t>
  </si>
  <si>
    <t>TKT00966</t>
  </si>
  <si>
    <t>TKT00967</t>
  </si>
  <si>
    <t>TKT00968</t>
  </si>
  <si>
    <t>TKT00969</t>
  </si>
  <si>
    <t>TKT00970</t>
  </si>
  <si>
    <t>TKT00971</t>
  </si>
  <si>
    <t>TKT00972</t>
  </si>
  <si>
    <t>TKT00973</t>
  </si>
  <si>
    <t>TKT00974</t>
  </si>
  <si>
    <t>TKT00975</t>
  </si>
  <si>
    <t>TKT00976</t>
  </si>
  <si>
    <t>TKT00977</t>
  </si>
  <si>
    <t>TKT00978</t>
  </si>
  <si>
    <t>TKT00979</t>
  </si>
  <si>
    <t>EMP0424</t>
  </si>
  <si>
    <t>TKT00980</t>
  </si>
  <si>
    <t>TKT00981</t>
  </si>
  <si>
    <t>TKT00982</t>
  </si>
  <si>
    <t>TKT00983</t>
  </si>
  <si>
    <t>TKT00984</t>
  </si>
  <si>
    <t>TKT00985</t>
  </si>
  <si>
    <t>TKT00986</t>
  </si>
  <si>
    <t>TKT00987</t>
  </si>
  <si>
    <t>TKT00988</t>
  </si>
  <si>
    <t>TKT00989</t>
  </si>
  <si>
    <t>TKT00990</t>
  </si>
  <si>
    <t>TKT00991</t>
  </si>
  <si>
    <t>TKT00992</t>
  </si>
  <si>
    <t>TKT00993</t>
  </si>
  <si>
    <t>TKT00994</t>
  </si>
  <si>
    <t>TKT00995</t>
  </si>
  <si>
    <t>TKT00996</t>
  </si>
  <si>
    <t>TKT00997</t>
  </si>
  <si>
    <t>TKT00998</t>
  </si>
  <si>
    <t>TKT00999</t>
  </si>
  <si>
    <t>TKT01000</t>
  </si>
  <si>
    <t>TKT01001</t>
  </si>
  <si>
    <t>TKT01002</t>
  </si>
  <si>
    <t>TKT01003</t>
  </si>
  <si>
    <t>TKT01004</t>
  </si>
  <si>
    <t>TKT01005</t>
  </si>
  <si>
    <t>TKT01006</t>
  </si>
  <si>
    <t>TKT01007</t>
  </si>
  <si>
    <t>TKT01008</t>
  </si>
  <si>
    <t>TKT01009</t>
  </si>
  <si>
    <t>TKT01010</t>
  </si>
  <si>
    <t>TKT01011</t>
  </si>
  <si>
    <t>TKT01012</t>
  </si>
  <si>
    <t>TKT01013</t>
  </si>
  <si>
    <t>TKT01014</t>
  </si>
  <si>
    <t>TKT01015</t>
  </si>
  <si>
    <t>TKT01016</t>
  </si>
  <si>
    <t>TKT01017</t>
  </si>
  <si>
    <t>TKT01018</t>
  </si>
  <si>
    <t>TKT01019</t>
  </si>
  <si>
    <t>TKT01020</t>
  </si>
  <si>
    <t>TKT01021</t>
  </si>
  <si>
    <t>TKT01022</t>
  </si>
  <si>
    <t>TKT01023</t>
  </si>
  <si>
    <t>EMP0014</t>
  </si>
  <si>
    <t>TKT01024</t>
  </si>
  <si>
    <t>TKT01025</t>
  </si>
  <si>
    <t>TKT01026</t>
  </si>
  <si>
    <t>EMP0117</t>
  </si>
  <si>
    <t>TKT01027</t>
  </si>
  <si>
    <t>TKT01028</t>
  </si>
  <si>
    <t>TKT01029</t>
  </si>
  <si>
    <t>TKT01030</t>
  </si>
  <si>
    <t>TKT01031</t>
  </si>
  <si>
    <t>TKT01032</t>
  </si>
  <si>
    <t>TKT01033</t>
  </si>
  <si>
    <t>TKT01034</t>
  </si>
  <si>
    <t>TKT01035</t>
  </si>
  <si>
    <t>TKT01036</t>
  </si>
  <si>
    <t>TKT01037</t>
  </si>
  <si>
    <t>TKT01038</t>
  </si>
  <si>
    <t>TKT01039</t>
  </si>
  <si>
    <t>TKT01040</t>
  </si>
  <si>
    <t>TKT01041</t>
  </si>
  <si>
    <t>TKT01042</t>
  </si>
  <si>
    <t>TKT01043</t>
  </si>
  <si>
    <t>TKT01044</t>
  </si>
  <si>
    <t>TKT01045</t>
  </si>
  <si>
    <t>TKT01046</t>
  </si>
  <si>
    <t>TKT01047</t>
  </si>
  <si>
    <t>TKT01048</t>
  </si>
  <si>
    <t>TKT01049</t>
  </si>
  <si>
    <t>TKT01050</t>
  </si>
  <si>
    <t>TKT01051</t>
  </si>
  <si>
    <t>TKT01052</t>
  </si>
  <si>
    <t>TKT01053</t>
  </si>
  <si>
    <t>TKT01054</t>
  </si>
  <si>
    <t>TKT01055</t>
  </si>
  <si>
    <t>TKT01056</t>
  </si>
  <si>
    <t>TKT01057</t>
  </si>
  <si>
    <t>TKT01058</t>
  </si>
  <si>
    <t>TKT01059</t>
  </si>
  <si>
    <t>TKT01060</t>
  </si>
  <si>
    <t>TKT01061</t>
  </si>
  <si>
    <t>TKT01062</t>
  </si>
  <si>
    <t>TKT01063</t>
  </si>
  <si>
    <t>TKT01064</t>
  </si>
  <si>
    <t>TKT01065</t>
  </si>
  <si>
    <t>TKT01066</t>
  </si>
  <si>
    <t>TKT01067</t>
  </si>
  <si>
    <t>TKT01068</t>
  </si>
  <si>
    <t>TKT01069</t>
  </si>
  <si>
    <t>TKT01070</t>
  </si>
  <si>
    <t>TKT01071</t>
  </si>
  <si>
    <t>TKT01072</t>
  </si>
  <si>
    <t>TKT01073</t>
  </si>
  <si>
    <t>TKT01074</t>
  </si>
  <si>
    <t>TKT01075</t>
  </si>
  <si>
    <t>TKT01076</t>
  </si>
  <si>
    <t>TKT01077</t>
  </si>
  <si>
    <t>TKT01078</t>
  </si>
  <si>
    <t>TKT01079</t>
  </si>
  <si>
    <t>TKT01080</t>
  </si>
  <si>
    <t>TKT01081</t>
  </si>
  <si>
    <t>TKT01082</t>
  </si>
  <si>
    <t>TKT01083</t>
  </si>
  <si>
    <t>TKT01084</t>
  </si>
  <si>
    <t>TKT01085</t>
  </si>
  <si>
    <t>TKT01086</t>
  </si>
  <si>
    <t>EMP0247</t>
  </si>
  <si>
    <t>TKT01087</t>
  </si>
  <si>
    <t>TKT01088</t>
  </si>
  <si>
    <t>TKT01089</t>
  </si>
  <si>
    <t>TKT01090</t>
  </si>
  <si>
    <t>TKT01091</t>
  </si>
  <si>
    <t>TKT01092</t>
  </si>
  <si>
    <t>TKT01093</t>
  </si>
  <si>
    <t>TKT01094</t>
  </si>
  <si>
    <t>TKT01095</t>
  </si>
  <si>
    <t>TKT01096</t>
  </si>
  <si>
    <t>TKT01097</t>
  </si>
  <si>
    <t>TKT01098</t>
  </si>
  <si>
    <t>TKT01099</t>
  </si>
  <si>
    <t>TKT01100</t>
  </si>
  <si>
    <t>TKT01101</t>
  </si>
  <si>
    <t>TKT01102</t>
  </si>
  <si>
    <t>TKT01103</t>
  </si>
  <si>
    <t>TKT01104</t>
  </si>
  <si>
    <t>TKT01105</t>
  </si>
  <si>
    <t>TKT01106</t>
  </si>
  <si>
    <t>TKT01107</t>
  </si>
  <si>
    <t>TKT01108</t>
  </si>
  <si>
    <t>TKT01109</t>
  </si>
  <si>
    <t>TKT01110</t>
  </si>
  <si>
    <t>TKT01111</t>
  </si>
  <si>
    <t>TKT01112</t>
  </si>
  <si>
    <t>TKT01113</t>
  </si>
  <si>
    <t>TKT01114</t>
  </si>
  <si>
    <t>TKT01115</t>
  </si>
  <si>
    <t>TKT01116</t>
  </si>
  <si>
    <t>TKT01117</t>
  </si>
  <si>
    <t>TKT01118</t>
  </si>
  <si>
    <t>TKT01119</t>
  </si>
  <si>
    <t>TKT01120</t>
  </si>
  <si>
    <t>TKT01121</t>
  </si>
  <si>
    <t>TKT01122</t>
  </si>
  <si>
    <t>TKT01123</t>
  </si>
  <si>
    <t>TKT01124</t>
  </si>
  <si>
    <t>TKT01125</t>
  </si>
  <si>
    <t>TKT01126</t>
  </si>
  <si>
    <t>TKT01127</t>
  </si>
  <si>
    <t>TKT01128</t>
  </si>
  <si>
    <t>TKT01129</t>
  </si>
  <si>
    <t>TKT01130</t>
  </si>
  <si>
    <t>TKT01131</t>
  </si>
  <si>
    <t>TKT01132</t>
  </si>
  <si>
    <t>TKT01133</t>
  </si>
  <si>
    <t>TKT01134</t>
  </si>
  <si>
    <t>TKT01135</t>
  </si>
  <si>
    <t>TKT01136</t>
  </si>
  <si>
    <t>TKT01137</t>
  </si>
  <si>
    <t>TKT01138</t>
  </si>
  <si>
    <t>TKT01139</t>
  </si>
  <si>
    <t>TKT01140</t>
  </si>
  <si>
    <t>TKT01141</t>
  </si>
  <si>
    <t>TKT01142</t>
  </si>
  <si>
    <t>TKT01143</t>
  </si>
  <si>
    <t>TKT01144</t>
  </si>
  <si>
    <t>TKT01145</t>
  </si>
  <si>
    <t>TKT01146</t>
  </si>
  <si>
    <t>TKT01147</t>
  </si>
  <si>
    <t>TKT01148</t>
  </si>
  <si>
    <t>TKT01149</t>
  </si>
  <si>
    <t>TKT01150</t>
  </si>
  <si>
    <t>TKT01151</t>
  </si>
  <si>
    <t>TKT01152</t>
  </si>
  <si>
    <t>TKT01153</t>
  </si>
  <si>
    <t>TKT01154</t>
  </si>
  <si>
    <t>TKT01155</t>
  </si>
  <si>
    <t>TKT01156</t>
  </si>
  <si>
    <t>TKT01157</t>
  </si>
  <si>
    <t>TKT01158</t>
  </si>
  <si>
    <t>TKT01159</t>
  </si>
  <si>
    <t>TKT01160</t>
  </si>
  <si>
    <t>TKT01161</t>
  </si>
  <si>
    <t>TKT01162</t>
  </si>
  <si>
    <t>TKT01163</t>
  </si>
  <si>
    <t>TKT01164</t>
  </si>
  <si>
    <t>TKT01165</t>
  </si>
  <si>
    <t>TKT01166</t>
  </si>
  <si>
    <t>TKT01167</t>
  </si>
  <si>
    <t>TKT01168</t>
  </si>
  <si>
    <t>TKT01169</t>
  </si>
  <si>
    <t>TKT01170</t>
  </si>
  <si>
    <t>TKT01171</t>
  </si>
  <si>
    <t>TKT01172</t>
  </si>
  <si>
    <t>TKT01173</t>
  </si>
  <si>
    <t>TKT01174</t>
  </si>
  <si>
    <t>TKT01175</t>
  </si>
  <si>
    <t>TKT01176</t>
  </si>
  <si>
    <t>TKT01177</t>
  </si>
  <si>
    <t>TKT01178</t>
  </si>
  <si>
    <t>TKT01179</t>
  </si>
  <si>
    <t>TKT01180</t>
  </si>
  <si>
    <t>TKT01181</t>
  </si>
  <si>
    <t>TKT01182</t>
  </si>
  <si>
    <t>TKT01183</t>
  </si>
  <si>
    <t>TKT01184</t>
  </si>
  <si>
    <t>TKT01185</t>
  </si>
  <si>
    <t>TKT01186</t>
  </si>
  <si>
    <t>TKT01187</t>
  </si>
  <si>
    <t>TKT01188</t>
  </si>
  <si>
    <t>TKT01189</t>
  </si>
  <si>
    <t>TKT01190</t>
  </si>
  <si>
    <t>TKT01191</t>
  </si>
  <si>
    <t>TKT01192</t>
  </si>
  <si>
    <t>TKT01193</t>
  </si>
  <si>
    <t>TKT01194</t>
  </si>
  <si>
    <t>TKT01195</t>
  </si>
  <si>
    <t>TKT01196</t>
  </si>
  <si>
    <t>TKT01197</t>
  </si>
  <si>
    <t>TKT01198</t>
  </si>
  <si>
    <t>TKT01199</t>
  </si>
  <si>
    <t>TKT01200</t>
  </si>
  <si>
    <t>TKT01201</t>
  </si>
  <si>
    <t>TKT01202</t>
  </si>
  <si>
    <t>EMP0075</t>
  </si>
  <si>
    <t>TKT01203</t>
  </si>
  <si>
    <t>TKT01204</t>
  </si>
  <si>
    <t>TKT01205</t>
  </si>
  <si>
    <t>TKT01206</t>
  </si>
  <si>
    <t>TKT01207</t>
  </si>
  <si>
    <t>TKT01208</t>
  </si>
  <si>
    <t>TKT01209</t>
  </si>
  <si>
    <t>TKT01210</t>
  </si>
  <si>
    <t>TKT01211</t>
  </si>
  <si>
    <t>TKT01212</t>
  </si>
  <si>
    <t>TKT01213</t>
  </si>
  <si>
    <t>TKT01214</t>
  </si>
  <si>
    <t>TKT01215</t>
  </si>
  <si>
    <t>TKT01216</t>
  </si>
  <si>
    <t>TKT01217</t>
  </si>
  <si>
    <t>TKT01218</t>
  </si>
  <si>
    <t>TKT01219</t>
  </si>
  <si>
    <t>TKT01220</t>
  </si>
  <si>
    <t>TKT01221</t>
  </si>
  <si>
    <t>TKT01222</t>
  </si>
  <si>
    <t>TKT01223</t>
  </si>
  <si>
    <t>TKT01224</t>
  </si>
  <si>
    <t>TKT01225</t>
  </si>
  <si>
    <t>TKT01226</t>
  </si>
  <si>
    <t>TKT01227</t>
  </si>
  <si>
    <t>TKT01228</t>
  </si>
  <si>
    <t>TKT01229</t>
  </si>
  <si>
    <t>TKT01230</t>
  </si>
  <si>
    <t>TKT01231</t>
  </si>
  <si>
    <t>TKT01232</t>
  </si>
  <si>
    <t>TKT01233</t>
  </si>
  <si>
    <t>TKT01234</t>
  </si>
  <si>
    <t>TKT01235</t>
  </si>
  <si>
    <t>TKT01236</t>
  </si>
  <si>
    <t>TKT01237</t>
  </si>
  <si>
    <t>TKT01238</t>
  </si>
  <si>
    <t>TKT01239</t>
  </si>
  <si>
    <t>TKT01240</t>
  </si>
  <si>
    <t>TKT01241</t>
  </si>
  <si>
    <t>TKT01242</t>
  </si>
  <si>
    <t>TKT01243</t>
  </si>
  <si>
    <t>TKT01244</t>
  </si>
  <si>
    <t>TKT01245</t>
  </si>
  <si>
    <t>TKT01246</t>
  </si>
  <si>
    <t>TKT01247</t>
  </si>
  <si>
    <t>TKT01248</t>
  </si>
  <si>
    <t>TKT01249</t>
  </si>
  <si>
    <t>TKT01250</t>
  </si>
  <si>
    <t>TKT01251</t>
  </si>
  <si>
    <t>TKT01252</t>
  </si>
  <si>
    <t>TKT01253</t>
  </si>
  <si>
    <t>TKT01254</t>
  </si>
  <si>
    <t>TKT01255</t>
  </si>
  <si>
    <t>TKT01256</t>
  </si>
  <si>
    <t>TKT01257</t>
  </si>
  <si>
    <t>TKT01258</t>
  </si>
  <si>
    <t>TKT01259</t>
  </si>
  <si>
    <t>TKT01260</t>
  </si>
  <si>
    <t>TKT01261</t>
  </si>
  <si>
    <t>TKT01262</t>
  </si>
  <si>
    <t>TKT01263</t>
  </si>
  <si>
    <t>TKT01264</t>
  </si>
  <si>
    <t>TKT01265</t>
  </si>
  <si>
    <t>TKT01266</t>
  </si>
  <si>
    <t>TKT01267</t>
  </si>
  <si>
    <t>TKT01268</t>
  </si>
  <si>
    <t>TKT01269</t>
  </si>
  <si>
    <t>TKT01270</t>
  </si>
  <si>
    <t>TKT01271</t>
  </si>
  <si>
    <t>TKT01272</t>
  </si>
  <si>
    <t>TKT01273</t>
  </si>
  <si>
    <t>TKT01274</t>
  </si>
  <si>
    <t>EMP0132</t>
  </si>
  <si>
    <t>TKT01275</t>
  </si>
  <si>
    <t>TKT01276</t>
  </si>
  <si>
    <t>TKT01277</t>
  </si>
  <si>
    <t>TKT01278</t>
  </si>
  <si>
    <t>TKT01279</t>
  </si>
  <si>
    <t>TKT01280</t>
  </si>
  <si>
    <t>TKT01281</t>
  </si>
  <si>
    <t>TKT01282</t>
  </si>
  <si>
    <t>TKT01283</t>
  </si>
  <si>
    <t>TKT01284</t>
  </si>
  <si>
    <t>TKT01285</t>
  </si>
  <si>
    <t>TKT01286</t>
  </si>
  <si>
    <t>TKT01287</t>
  </si>
  <si>
    <t>TKT01288</t>
  </si>
  <si>
    <t>TKT01289</t>
  </si>
  <si>
    <t>TKT01290</t>
  </si>
  <si>
    <t>TKT01291</t>
  </si>
  <si>
    <t>TKT01292</t>
  </si>
  <si>
    <t>TKT01293</t>
  </si>
  <si>
    <t>TKT01294</t>
  </si>
  <si>
    <t>TKT01295</t>
  </si>
  <si>
    <t>TKT01296</t>
  </si>
  <si>
    <t>TKT01297</t>
  </si>
  <si>
    <t>EMP0410</t>
  </si>
  <si>
    <t>TKT01298</t>
  </si>
  <si>
    <t>TKT01299</t>
  </si>
  <si>
    <t>TKT01300</t>
  </si>
  <si>
    <t>TKT01301</t>
  </si>
  <si>
    <t>TKT01302</t>
  </si>
  <si>
    <t>TKT01303</t>
  </si>
  <si>
    <t>TKT01304</t>
  </si>
  <si>
    <t>TKT01305</t>
  </si>
  <si>
    <t>TKT01306</t>
  </si>
  <si>
    <t>TKT01307</t>
  </si>
  <si>
    <t>TKT01308</t>
  </si>
  <si>
    <t>TKT01309</t>
  </si>
  <si>
    <t>TKT01310</t>
  </si>
  <si>
    <t>TKT01311</t>
  </si>
  <si>
    <t>TKT01312</t>
  </si>
  <si>
    <t>TKT01313</t>
  </si>
  <si>
    <t>TKT01314</t>
  </si>
  <si>
    <t>TKT01315</t>
  </si>
  <si>
    <t>TKT01316</t>
  </si>
  <si>
    <t>TKT01317</t>
  </si>
  <si>
    <t>TKT01318</t>
  </si>
  <si>
    <t>TKT01319</t>
  </si>
  <si>
    <t>TKT01320</t>
  </si>
  <si>
    <t>TKT01321</t>
  </si>
  <si>
    <t>TKT01322</t>
  </si>
  <si>
    <t>TKT01323</t>
  </si>
  <si>
    <t>TKT01324</t>
  </si>
  <si>
    <t>TKT01325</t>
  </si>
  <si>
    <t>TKT01326</t>
  </si>
  <si>
    <t>TKT01327</t>
  </si>
  <si>
    <t>TKT01328</t>
  </si>
  <si>
    <t>TKT01329</t>
  </si>
  <si>
    <t>TKT01330</t>
  </si>
  <si>
    <t>TKT01331</t>
  </si>
  <si>
    <t>TKT01332</t>
  </si>
  <si>
    <t>TKT01333</t>
  </si>
  <si>
    <t>TKT01334</t>
  </si>
  <si>
    <t>TKT01335</t>
  </si>
  <si>
    <t>TKT01336</t>
  </si>
  <si>
    <t>TKT01337</t>
  </si>
  <si>
    <t>TKT01338</t>
  </si>
  <si>
    <t>TKT01339</t>
  </si>
  <si>
    <t>TKT01340</t>
  </si>
  <si>
    <t>TKT01341</t>
  </si>
  <si>
    <t>TKT01342</t>
  </si>
  <si>
    <t>TKT01343</t>
  </si>
  <si>
    <t>TKT01344</t>
  </si>
  <si>
    <t>TKT01345</t>
  </si>
  <si>
    <t>TKT01346</t>
  </si>
  <si>
    <t>TKT01347</t>
  </si>
  <si>
    <t>TKT01348</t>
  </si>
  <si>
    <t>TKT01349</t>
  </si>
  <si>
    <t>TKT01350</t>
  </si>
  <si>
    <t>TKT01351</t>
  </si>
  <si>
    <t>TKT01352</t>
  </si>
  <si>
    <t>TKT01353</t>
  </si>
  <si>
    <t>TKT01354</t>
  </si>
  <si>
    <t>TKT01355</t>
  </si>
  <si>
    <t>TKT01356</t>
  </si>
  <si>
    <t>TKT01357</t>
  </si>
  <si>
    <t>TKT01358</t>
  </si>
  <si>
    <t>TKT01359</t>
  </si>
  <si>
    <t>TKT01360</t>
  </si>
  <si>
    <t>TKT01361</t>
  </si>
  <si>
    <t>TKT01362</t>
  </si>
  <si>
    <t>TKT01363</t>
  </si>
  <si>
    <t>TKT01364</t>
  </si>
  <si>
    <t>TKT01365</t>
  </si>
  <si>
    <t>TKT01366</t>
  </si>
  <si>
    <t>TKT01367</t>
  </si>
  <si>
    <t>TKT01368</t>
  </si>
  <si>
    <t>TKT01369</t>
  </si>
  <si>
    <t>TKT01370</t>
  </si>
  <si>
    <t>TKT01371</t>
  </si>
  <si>
    <t>TKT01372</t>
  </si>
  <si>
    <t>TKT01373</t>
  </si>
  <si>
    <t>TKT01374</t>
  </si>
  <si>
    <t>TKT01375</t>
  </si>
  <si>
    <t>TKT01376</t>
  </si>
  <si>
    <t>TKT01377</t>
  </si>
  <si>
    <t>TKT01378</t>
  </si>
  <si>
    <t>TKT01379</t>
  </si>
  <si>
    <t>TKT01380</t>
  </si>
  <si>
    <t>TKT01381</t>
  </si>
  <si>
    <t>TKT01382</t>
  </si>
  <si>
    <t>TKT01383</t>
  </si>
  <si>
    <t>TKT01384</t>
  </si>
  <si>
    <t>TKT01385</t>
  </si>
  <si>
    <t>TKT01386</t>
  </si>
  <si>
    <t>TKT01387</t>
  </si>
  <si>
    <t>TKT01388</t>
  </si>
  <si>
    <t>TKT01389</t>
  </si>
  <si>
    <t>TKT01390</t>
  </si>
  <si>
    <t>TKT01391</t>
  </si>
  <si>
    <t>TKT01392</t>
  </si>
  <si>
    <t>TKT01393</t>
  </si>
  <si>
    <t>TKT01394</t>
  </si>
  <si>
    <t>TKT01395</t>
  </si>
  <si>
    <t>TKT01396</t>
  </si>
  <si>
    <t>TKT01397</t>
  </si>
  <si>
    <t>TKT01398</t>
  </si>
  <si>
    <t>TKT01399</t>
  </si>
  <si>
    <t>TKT01400</t>
  </si>
  <si>
    <t>TKT01401</t>
  </si>
  <si>
    <t>TKT01402</t>
  </si>
  <si>
    <t>TKT01403</t>
  </si>
  <si>
    <t>TKT01404</t>
  </si>
  <si>
    <t>TKT01405</t>
  </si>
  <si>
    <t>TKT01406</t>
  </si>
  <si>
    <t>TKT01407</t>
  </si>
  <si>
    <t>TKT01408</t>
  </si>
  <si>
    <t>TKT01409</t>
  </si>
  <si>
    <t>TKT01410</t>
  </si>
  <si>
    <t>TKT01411</t>
  </si>
  <si>
    <t>TKT01412</t>
  </si>
  <si>
    <t>TKT01413</t>
  </si>
  <si>
    <t>TKT01414</t>
  </si>
  <si>
    <t>TKT01415</t>
  </si>
  <si>
    <t>TKT01416</t>
  </si>
  <si>
    <t>TKT01417</t>
  </si>
  <si>
    <t>TKT01418</t>
  </si>
  <si>
    <t>TKT01419</t>
  </si>
  <si>
    <t>TKT01420</t>
  </si>
  <si>
    <t>TKT01421</t>
  </si>
  <si>
    <t>TKT01422</t>
  </si>
  <si>
    <t>TKT01423</t>
  </si>
  <si>
    <t>TKT01424</t>
  </si>
  <si>
    <t>TKT01425</t>
  </si>
  <si>
    <t>TKT01426</t>
  </si>
  <si>
    <t>TKT01427</t>
  </si>
  <si>
    <t>TKT01428</t>
  </si>
  <si>
    <t>TKT01429</t>
  </si>
  <si>
    <t>TKT01430</t>
  </si>
  <si>
    <t>TKT01431</t>
  </si>
  <si>
    <t>TKT01432</t>
  </si>
  <si>
    <t>TKT01433</t>
  </si>
  <si>
    <t>TKT01434</t>
  </si>
  <si>
    <t>TKT01435</t>
  </si>
  <si>
    <t>TKT01436</t>
  </si>
  <si>
    <t>TKT01437</t>
  </si>
  <si>
    <t>TKT01438</t>
  </si>
  <si>
    <t>TKT01439</t>
  </si>
  <si>
    <t>TKT01440</t>
  </si>
  <si>
    <t>TKT01441</t>
  </si>
  <si>
    <t>TKT01442</t>
  </si>
  <si>
    <t>TKT01443</t>
  </si>
  <si>
    <t>TKT01444</t>
  </si>
  <si>
    <t>TKT01445</t>
  </si>
  <si>
    <t>TKT01446</t>
  </si>
  <si>
    <t>TKT01447</t>
  </si>
  <si>
    <t>TKT01448</t>
  </si>
  <si>
    <t>TKT01449</t>
  </si>
  <si>
    <t>TKT01450</t>
  </si>
  <si>
    <t>TKT01451</t>
  </si>
  <si>
    <t>TKT01452</t>
  </si>
  <si>
    <t>TKT01453</t>
  </si>
  <si>
    <t>TKT01454</t>
  </si>
  <si>
    <t>TKT01455</t>
  </si>
  <si>
    <t>TKT01456</t>
  </si>
  <si>
    <t>TKT01457</t>
  </si>
  <si>
    <t>TKT01458</t>
  </si>
  <si>
    <t>TKT01459</t>
  </si>
  <si>
    <t>TKT01460</t>
  </si>
  <si>
    <t>TKT01461</t>
  </si>
  <si>
    <t>TKT01462</t>
  </si>
  <si>
    <t>TKT01463</t>
  </si>
  <si>
    <t>TKT01464</t>
  </si>
  <si>
    <t>TKT01465</t>
  </si>
  <si>
    <t>TKT01466</t>
  </si>
  <si>
    <t>TKT01467</t>
  </si>
  <si>
    <t>TKT01468</t>
  </si>
  <si>
    <t>TKT01469</t>
  </si>
  <si>
    <t>TKT01470</t>
  </si>
  <si>
    <t>TKT01471</t>
  </si>
  <si>
    <t>TKT01472</t>
  </si>
  <si>
    <t>TKT01473</t>
  </si>
  <si>
    <t>TKT01474</t>
  </si>
  <si>
    <t>TKT01475</t>
  </si>
  <si>
    <t>TKT01476</t>
  </si>
  <si>
    <t>TKT01477</t>
  </si>
  <si>
    <t>TKT01478</t>
  </si>
  <si>
    <t>TKT01479</t>
  </si>
  <si>
    <t>TKT01480</t>
  </si>
  <si>
    <t>TKT01481</t>
  </si>
  <si>
    <t>TKT01482</t>
  </si>
  <si>
    <t>TKT01483</t>
  </si>
  <si>
    <t>TKT01484</t>
  </si>
  <si>
    <t>TKT01485</t>
  </si>
  <si>
    <t>TKT01486</t>
  </si>
  <si>
    <t>TKT01487</t>
  </si>
  <si>
    <t>TKT01488</t>
  </si>
  <si>
    <t>TKT01489</t>
  </si>
  <si>
    <t>TKT01490</t>
  </si>
  <si>
    <t>TKT01491</t>
  </si>
  <si>
    <t>TKT01492</t>
  </si>
  <si>
    <t>TKT01493</t>
  </si>
  <si>
    <t>TKT01494</t>
  </si>
  <si>
    <t>TKT01495</t>
  </si>
  <si>
    <t>TKT01496</t>
  </si>
  <si>
    <t>TKT01497</t>
  </si>
  <si>
    <t>TKT01498</t>
  </si>
  <si>
    <t>TKT01499</t>
  </si>
  <si>
    <t>TKT01500</t>
  </si>
  <si>
    <t>TKT01501</t>
  </si>
  <si>
    <t>TKT01502</t>
  </si>
  <si>
    <t>TKT01503</t>
  </si>
  <si>
    <t>TKT01504</t>
  </si>
  <si>
    <t>TKT01505</t>
  </si>
  <si>
    <t>TKT01506</t>
  </si>
  <si>
    <t>TKT01507</t>
  </si>
  <si>
    <t>TKT01508</t>
  </si>
  <si>
    <t>TKT01509</t>
  </si>
  <si>
    <t>TKT01510</t>
  </si>
  <si>
    <t>TKT01511</t>
  </si>
  <si>
    <t>TKT01512</t>
  </si>
  <si>
    <t>TKT01513</t>
  </si>
  <si>
    <t>TKT01514</t>
  </si>
  <si>
    <t>TKT01515</t>
  </si>
  <si>
    <t>TKT01516</t>
  </si>
  <si>
    <t>TKT01517</t>
  </si>
  <si>
    <t>TKT01518</t>
  </si>
  <si>
    <t>TKT01519</t>
  </si>
  <si>
    <t>TKT01520</t>
  </si>
  <si>
    <t>TKT01521</t>
  </si>
  <si>
    <t>TKT01522</t>
  </si>
  <si>
    <t>TKT01523</t>
  </si>
  <si>
    <t>TKT01524</t>
  </si>
  <si>
    <t>TKT01525</t>
  </si>
  <si>
    <t>TKT01526</t>
  </si>
  <si>
    <t>TKT01527</t>
  </si>
  <si>
    <t>TKT01528</t>
  </si>
  <si>
    <t>TKT01529</t>
  </si>
  <si>
    <t>TKT01530</t>
  </si>
  <si>
    <t>TKT01531</t>
  </si>
  <si>
    <t>TKT01532</t>
  </si>
  <si>
    <t>TKT01533</t>
  </si>
  <si>
    <t>TKT01534</t>
  </si>
  <si>
    <t>TKT01535</t>
  </si>
  <si>
    <t>TKT01536</t>
  </si>
  <si>
    <t>TKT01537</t>
  </si>
  <si>
    <t>TKT01538</t>
  </si>
  <si>
    <t>TKT01539</t>
  </si>
  <si>
    <t>TKT01540</t>
  </si>
  <si>
    <t>TKT01541</t>
  </si>
  <si>
    <t>TKT01542</t>
  </si>
  <si>
    <t>TKT01543</t>
  </si>
  <si>
    <t>TKT01544</t>
  </si>
  <si>
    <t>TKT01545</t>
  </si>
  <si>
    <t>TKT01546</t>
  </si>
  <si>
    <t>TKT01547</t>
  </si>
  <si>
    <t>TKT01548</t>
  </si>
  <si>
    <t>TKT01549</t>
  </si>
  <si>
    <t>TKT01550</t>
  </si>
  <si>
    <t>TKT01551</t>
  </si>
  <si>
    <t>TKT01552</t>
  </si>
  <si>
    <t>TKT01553</t>
  </si>
  <si>
    <t>TKT01554</t>
  </si>
  <si>
    <t>TKT01555</t>
  </si>
  <si>
    <t>TKT01556</t>
  </si>
  <si>
    <t>TKT01557</t>
  </si>
  <si>
    <t>TKT01558</t>
  </si>
  <si>
    <t>TKT01559</t>
  </si>
  <si>
    <t>TKT01560</t>
  </si>
  <si>
    <t>TKT01561</t>
  </si>
  <si>
    <t>TKT01562</t>
  </si>
  <si>
    <t>TKT01563</t>
  </si>
  <si>
    <t>TKT01564</t>
  </si>
  <si>
    <t>TKT01565</t>
  </si>
  <si>
    <t>TKT01566</t>
  </si>
  <si>
    <t>TKT01567</t>
  </si>
  <si>
    <t>TKT01568</t>
  </si>
  <si>
    <t>TKT01569</t>
  </si>
  <si>
    <t>TKT01570</t>
  </si>
  <si>
    <t>TKT01571</t>
  </si>
  <si>
    <t>TKT01572</t>
  </si>
  <si>
    <t>TKT01573</t>
  </si>
  <si>
    <t>TKT01574</t>
  </si>
  <si>
    <t>TKT01575</t>
  </si>
  <si>
    <t>TKT01576</t>
  </si>
  <si>
    <t>TKT01577</t>
  </si>
  <si>
    <t>TKT01578</t>
  </si>
  <si>
    <t>TKT01579</t>
  </si>
  <si>
    <t>TKT01580</t>
  </si>
  <si>
    <t>TKT01581</t>
  </si>
  <si>
    <t>TKT01582</t>
  </si>
  <si>
    <t>TKT01583</t>
  </si>
  <si>
    <t>TKT01584</t>
  </si>
  <si>
    <t>TKT01585</t>
  </si>
  <si>
    <t>TKT01586</t>
  </si>
  <si>
    <t>TKT01587</t>
  </si>
  <si>
    <t>TKT01588</t>
  </si>
  <si>
    <t>TKT01589</t>
  </si>
  <si>
    <t>TKT01590</t>
  </si>
  <si>
    <t>TKT01591</t>
  </si>
  <si>
    <t>TKT01592</t>
  </si>
  <si>
    <t>TKT01593</t>
  </si>
  <si>
    <t>TKT01594</t>
  </si>
  <si>
    <t>TKT01595</t>
  </si>
  <si>
    <t>TKT01596</t>
  </si>
  <si>
    <t>TKT01597</t>
  </si>
  <si>
    <t>TKT01598</t>
  </si>
  <si>
    <t>TKT01599</t>
  </si>
  <si>
    <t>TKT01600</t>
  </si>
  <si>
    <t>TKT01601</t>
  </si>
  <si>
    <t>TKT01602</t>
  </si>
  <si>
    <t>TKT01603</t>
  </si>
  <si>
    <t>TKT01604</t>
  </si>
  <si>
    <t>TKT01605</t>
  </si>
  <si>
    <t>TKT01606</t>
  </si>
  <si>
    <t>TKT01607</t>
  </si>
  <si>
    <t>TKT01608</t>
  </si>
  <si>
    <t>TKT01609</t>
  </si>
  <si>
    <t>TKT01610</t>
  </si>
  <si>
    <t>TKT01611</t>
  </si>
  <si>
    <t>TKT01612</t>
  </si>
  <si>
    <t>TKT01613</t>
  </si>
  <si>
    <t>TKT01614</t>
  </si>
  <si>
    <t>TKT01615</t>
  </si>
  <si>
    <t>TKT01616</t>
  </si>
  <si>
    <t>TKT01617</t>
  </si>
  <si>
    <t>TKT01618</t>
  </si>
  <si>
    <t>TKT01619</t>
  </si>
  <si>
    <t>TKT01620</t>
  </si>
  <si>
    <t>TKT01621</t>
  </si>
  <si>
    <t>TKT01622</t>
  </si>
  <si>
    <t>TKT01623</t>
  </si>
  <si>
    <t>TKT01624</t>
  </si>
  <si>
    <t>TKT01625</t>
  </si>
  <si>
    <t>TKT01626</t>
  </si>
  <si>
    <t>TKT01627</t>
  </si>
  <si>
    <t>TKT01628</t>
  </si>
  <si>
    <t>TKT01629</t>
  </si>
  <si>
    <t>TKT01630</t>
  </si>
  <si>
    <t>TKT01631</t>
  </si>
  <si>
    <t>TKT01632</t>
  </si>
  <si>
    <t>TKT01633</t>
  </si>
  <si>
    <t>TKT01634</t>
  </si>
  <si>
    <t>TKT01635</t>
  </si>
  <si>
    <t>TKT01636</t>
  </si>
  <si>
    <t>TKT01637</t>
  </si>
  <si>
    <t>TKT01638</t>
  </si>
  <si>
    <t>TKT01639</t>
  </si>
  <si>
    <t>TKT01640</t>
  </si>
  <si>
    <t>TKT01641</t>
  </si>
  <si>
    <t>TKT01642</t>
  </si>
  <si>
    <t>TKT01643</t>
  </si>
  <si>
    <t>EMP0382</t>
  </si>
  <si>
    <t>TKT01644</t>
  </si>
  <si>
    <t>TKT01645</t>
  </si>
  <si>
    <t>TKT01646</t>
  </si>
  <si>
    <t>TKT01647</t>
  </si>
  <si>
    <t>TKT01648</t>
  </si>
  <si>
    <t>TKT01649</t>
  </si>
  <si>
    <t>TKT01650</t>
  </si>
  <si>
    <t>TKT01651</t>
  </si>
  <si>
    <t>TKT01652</t>
  </si>
  <si>
    <t>TKT01653</t>
  </si>
  <si>
    <t>TKT01654</t>
  </si>
  <si>
    <t>TKT01655</t>
  </si>
  <si>
    <t>TKT01656</t>
  </si>
  <si>
    <t>TKT01657</t>
  </si>
  <si>
    <t>TKT01658</t>
  </si>
  <si>
    <t>TKT01659</t>
  </si>
  <si>
    <t>TKT01660</t>
  </si>
  <si>
    <t>TKT01661</t>
  </si>
  <si>
    <t>TKT01662</t>
  </si>
  <si>
    <t>TKT01663</t>
  </si>
  <si>
    <t>TKT01664</t>
  </si>
  <si>
    <t>TKT01665</t>
  </si>
  <si>
    <t>TKT01666</t>
  </si>
  <si>
    <t>TKT01667</t>
  </si>
  <si>
    <t>TKT01668</t>
  </si>
  <si>
    <t>TKT01669</t>
  </si>
  <si>
    <t>TKT01670</t>
  </si>
  <si>
    <t>TKT01671</t>
  </si>
  <si>
    <t>TKT01672</t>
  </si>
  <si>
    <t>TKT01673</t>
  </si>
  <si>
    <t>TKT01674</t>
  </si>
  <si>
    <t>TKT01675</t>
  </si>
  <si>
    <t>TKT01676</t>
  </si>
  <si>
    <t>TKT01677</t>
  </si>
  <si>
    <t>TKT01678</t>
  </si>
  <si>
    <t>TKT01679</t>
  </si>
  <si>
    <t>TKT01680</t>
  </si>
  <si>
    <t>TKT01681</t>
  </si>
  <si>
    <t>TKT01682</t>
  </si>
  <si>
    <t>TKT01683</t>
  </si>
  <si>
    <t>TKT01684</t>
  </si>
  <si>
    <t>TKT01685</t>
  </si>
  <si>
    <t>TKT01686</t>
  </si>
  <si>
    <t>TKT01687</t>
  </si>
  <si>
    <t>TKT01688</t>
  </si>
  <si>
    <t>TKT01689</t>
  </si>
  <si>
    <t>TKT01690</t>
  </si>
  <si>
    <t>TKT01691</t>
  </si>
  <si>
    <t>TKT01692</t>
  </si>
  <si>
    <t>TKT01693</t>
  </si>
  <si>
    <t>TKT01694</t>
  </si>
  <si>
    <t>TKT01695</t>
  </si>
  <si>
    <t>TKT01696</t>
  </si>
  <si>
    <t>TKT01697</t>
  </si>
  <si>
    <t>TKT01698</t>
  </si>
  <si>
    <t>TKT01699</t>
  </si>
  <si>
    <t>TKT01700</t>
  </si>
  <si>
    <t>TKT01701</t>
  </si>
  <si>
    <t>TKT01702</t>
  </si>
  <si>
    <t>TKT01703</t>
  </si>
  <si>
    <t>TKT01704</t>
  </si>
  <si>
    <t>TKT01705</t>
  </si>
  <si>
    <t>TKT01706</t>
  </si>
  <si>
    <t>TKT01707</t>
  </si>
  <si>
    <t>TKT01708</t>
  </si>
  <si>
    <t>TKT01709</t>
  </si>
  <si>
    <t>TKT01710</t>
  </si>
  <si>
    <t>TKT01711</t>
  </si>
  <si>
    <t>TKT01712</t>
  </si>
  <si>
    <t>TKT01713</t>
  </si>
  <si>
    <t>TKT01714</t>
  </si>
  <si>
    <t>TKT01715</t>
  </si>
  <si>
    <t>TKT01716</t>
  </si>
  <si>
    <t>TKT01717</t>
  </si>
  <si>
    <t>TKT01718</t>
  </si>
  <si>
    <t>TKT01719</t>
  </si>
  <si>
    <t>TKT01720</t>
  </si>
  <si>
    <t>TKT01721</t>
  </si>
  <si>
    <t>TKT01722</t>
  </si>
  <si>
    <t>TKT01723</t>
  </si>
  <si>
    <t>TKT01724</t>
  </si>
  <si>
    <t>TKT01725</t>
  </si>
  <si>
    <t>TKT01726</t>
  </si>
  <si>
    <t>TKT01727</t>
  </si>
  <si>
    <t>TKT01728</t>
  </si>
  <si>
    <t>TKT01729</t>
  </si>
  <si>
    <t>TKT01730</t>
  </si>
  <si>
    <t>TKT01731</t>
  </si>
  <si>
    <t>TKT01732</t>
  </si>
  <si>
    <t>TKT01733</t>
  </si>
  <si>
    <t>TKT01734</t>
  </si>
  <si>
    <t>TKT01735</t>
  </si>
  <si>
    <t>TKT01736</t>
  </si>
  <si>
    <t>TKT01737</t>
  </si>
  <si>
    <t>TKT01738</t>
  </si>
  <si>
    <t>TKT01739</t>
  </si>
  <si>
    <t>TKT01740</t>
  </si>
  <si>
    <t>TKT01741</t>
  </si>
  <si>
    <t>TKT01742</t>
  </si>
  <si>
    <t>TKT01743</t>
  </si>
  <si>
    <t>TKT01744</t>
  </si>
  <si>
    <t>TKT01745</t>
  </si>
  <si>
    <t>TKT01746</t>
  </si>
  <si>
    <t>TKT01747</t>
  </si>
  <si>
    <t>TKT01748</t>
  </si>
  <si>
    <t>TKT01749</t>
  </si>
  <si>
    <t>TKT01750</t>
  </si>
  <si>
    <t>TKT01751</t>
  </si>
  <si>
    <t>TKT01752</t>
  </si>
  <si>
    <t>TKT01753</t>
  </si>
  <si>
    <t>TKT01754</t>
  </si>
  <si>
    <t>TKT01755</t>
  </si>
  <si>
    <t>TKT01756</t>
  </si>
  <si>
    <t>TKT01757</t>
  </si>
  <si>
    <t>TKT01758</t>
  </si>
  <si>
    <t>TKT01759</t>
  </si>
  <si>
    <t>TKT01760</t>
  </si>
  <si>
    <t>TKT01761</t>
  </si>
  <si>
    <t>TKT01762</t>
  </si>
  <si>
    <t>TKT01763</t>
  </si>
  <si>
    <t>TKT01764</t>
  </si>
  <si>
    <t>TKT01765</t>
  </si>
  <si>
    <t>TKT01766</t>
  </si>
  <si>
    <t>TKT01767</t>
  </si>
  <si>
    <t>TKT01768</t>
  </si>
  <si>
    <t>TKT01769</t>
  </si>
  <si>
    <t>TKT01770</t>
  </si>
  <si>
    <t>TKT01771</t>
  </si>
  <si>
    <t>TKT01772</t>
  </si>
  <si>
    <t>TKT01773</t>
  </si>
  <si>
    <t>TKT01774</t>
  </si>
  <si>
    <t>TKT01775</t>
  </si>
  <si>
    <t>TKT01776</t>
  </si>
  <si>
    <t>TKT01777</t>
  </si>
  <si>
    <t>TKT01778</t>
  </si>
  <si>
    <t>TKT01779</t>
  </si>
  <si>
    <t>TKT01780</t>
  </si>
  <si>
    <t>TKT01781</t>
  </si>
  <si>
    <t>TKT01782</t>
  </si>
  <si>
    <t>TKT01783</t>
  </si>
  <si>
    <t>TKT01784</t>
  </si>
  <si>
    <t>TKT01785</t>
  </si>
  <si>
    <t>TKT01786</t>
  </si>
  <si>
    <t>TKT01787</t>
  </si>
  <si>
    <t>TKT01788</t>
  </si>
  <si>
    <t>TKT01789</t>
  </si>
  <si>
    <t>TKT01790</t>
  </si>
  <si>
    <t>TKT01791</t>
  </si>
  <si>
    <t>TKT01792</t>
  </si>
  <si>
    <t>TKT01793</t>
  </si>
  <si>
    <t>TKT01794</t>
  </si>
  <si>
    <t>TKT01795</t>
  </si>
  <si>
    <t>TKT01796</t>
  </si>
  <si>
    <t>TKT01797</t>
  </si>
  <si>
    <t>TKT01798</t>
  </si>
  <si>
    <t>TKT01799</t>
  </si>
  <si>
    <t>TKT01800</t>
  </si>
  <si>
    <t>TKT01801</t>
  </si>
  <si>
    <t>TKT01802</t>
  </si>
  <si>
    <t>TKT01803</t>
  </si>
  <si>
    <t>TKT01804</t>
  </si>
  <si>
    <t>TKT01805</t>
  </si>
  <si>
    <t>TKT01806</t>
  </si>
  <si>
    <t>TKT01807</t>
  </si>
  <si>
    <t>TKT01808</t>
  </si>
  <si>
    <t>TKT01809</t>
  </si>
  <si>
    <t>TKT01810</t>
  </si>
  <si>
    <t>TKT01811</t>
  </si>
  <si>
    <t>TKT01812</t>
  </si>
  <si>
    <t>TKT01813</t>
  </si>
  <si>
    <t>TKT01814</t>
  </si>
  <si>
    <t>TKT01815</t>
  </si>
  <si>
    <t>TKT01816</t>
  </si>
  <si>
    <t>TKT01817</t>
  </si>
  <si>
    <t>TKT01818</t>
  </si>
  <si>
    <t>TKT01819</t>
  </si>
  <si>
    <t>TKT01820</t>
  </si>
  <si>
    <t>TKT01821</t>
  </si>
  <si>
    <t>TKT01822</t>
  </si>
  <si>
    <t>TKT01823</t>
  </si>
  <si>
    <t>TKT01824</t>
  </si>
  <si>
    <t>TKT01825</t>
  </si>
  <si>
    <t>TKT01826</t>
  </si>
  <si>
    <t>TKT01827</t>
  </si>
  <si>
    <t>TKT01828</t>
  </si>
  <si>
    <t>TKT01829</t>
  </si>
  <si>
    <t>TKT01830</t>
  </si>
  <si>
    <t>TKT01831</t>
  </si>
  <si>
    <t>TKT01832</t>
  </si>
  <si>
    <t>TKT01833</t>
  </si>
  <si>
    <t>TKT01834</t>
  </si>
  <si>
    <t>TKT01835</t>
  </si>
  <si>
    <t>TKT01836</t>
  </si>
  <si>
    <t>TKT01837</t>
  </si>
  <si>
    <t>TKT01838</t>
  </si>
  <si>
    <t>TKT01839</t>
  </si>
  <si>
    <t>TKT01840</t>
  </si>
  <si>
    <t>TKT01841</t>
  </si>
  <si>
    <t>TKT01842</t>
  </si>
  <si>
    <t>TKT01843</t>
  </si>
  <si>
    <t>TKT01844</t>
  </si>
  <si>
    <t>TKT01845</t>
  </si>
  <si>
    <t>TKT01846</t>
  </si>
  <si>
    <t>TKT01847</t>
  </si>
  <si>
    <t>TKT01848</t>
  </si>
  <si>
    <t>TKT01849</t>
  </si>
  <si>
    <t>TKT01850</t>
  </si>
  <si>
    <t>TKT01851</t>
  </si>
  <si>
    <t>TKT01852</t>
  </si>
  <si>
    <t>TKT01853</t>
  </si>
  <si>
    <t>TKT01854</t>
  </si>
  <si>
    <t>TKT01855</t>
  </si>
  <si>
    <t>TKT01856</t>
  </si>
  <si>
    <t>TKT01857</t>
  </si>
  <si>
    <t>TKT01858</t>
  </si>
  <si>
    <t>TKT01859</t>
  </si>
  <si>
    <t>TKT01860</t>
  </si>
  <si>
    <t>TKT01861</t>
  </si>
  <si>
    <t>TKT01862</t>
  </si>
  <si>
    <t>TKT01863</t>
  </si>
  <si>
    <t>TKT01864</t>
  </si>
  <si>
    <t>TKT01865</t>
  </si>
  <si>
    <t>TKT01866</t>
  </si>
  <si>
    <t>TKT01867</t>
  </si>
  <si>
    <t>TKT01868</t>
  </si>
  <si>
    <t>TKT01869</t>
  </si>
  <si>
    <t>TKT01870</t>
  </si>
  <si>
    <t>TKT01871</t>
  </si>
  <si>
    <t>TKT01872</t>
  </si>
  <si>
    <t>TKT01873</t>
  </si>
  <si>
    <t>TKT01874</t>
  </si>
  <si>
    <t>TKT01875</t>
  </si>
  <si>
    <t>TKT01876</t>
  </si>
  <si>
    <t>TKT01877</t>
  </si>
  <si>
    <t>TKT01878</t>
  </si>
  <si>
    <t>TKT01879</t>
  </si>
  <si>
    <t>TKT01880</t>
  </si>
  <si>
    <t>TKT01881</t>
  </si>
  <si>
    <t>TKT01882</t>
  </si>
  <si>
    <t>TKT01883</t>
  </si>
  <si>
    <t>TKT01884</t>
  </si>
  <si>
    <t>TKT01885</t>
  </si>
  <si>
    <t>TKT01886</t>
  </si>
  <si>
    <t>TKT01887</t>
  </si>
  <si>
    <t>TKT01888</t>
  </si>
  <si>
    <t>TKT01889</t>
  </si>
  <si>
    <t>TKT01890</t>
  </si>
  <si>
    <t>TKT01891</t>
  </si>
  <si>
    <t>TKT01892</t>
  </si>
  <si>
    <t>TKT01893</t>
  </si>
  <si>
    <t>TKT01894</t>
  </si>
  <si>
    <t>TKT01895</t>
  </si>
  <si>
    <t>TKT01896</t>
  </si>
  <si>
    <t>TKT01897</t>
  </si>
  <si>
    <t>TKT01898</t>
  </si>
  <si>
    <t>TKT01899</t>
  </si>
  <si>
    <t>TKT01900</t>
  </si>
  <si>
    <t>TKT01901</t>
  </si>
  <si>
    <t>TKT01902</t>
  </si>
  <si>
    <t>TKT01903</t>
  </si>
  <si>
    <t>TKT01904</t>
  </si>
  <si>
    <t>TKT01905</t>
  </si>
  <si>
    <t>TKT01906</t>
  </si>
  <si>
    <t>TKT01907</t>
  </si>
  <si>
    <t>TKT01908</t>
  </si>
  <si>
    <t>TKT01909</t>
  </si>
  <si>
    <t>TKT01910</t>
  </si>
  <si>
    <t>TKT01911</t>
  </si>
  <si>
    <t>TKT01912</t>
  </si>
  <si>
    <t>TKT01913</t>
  </si>
  <si>
    <t>TKT01914</t>
  </si>
  <si>
    <t>TKT01915</t>
  </si>
  <si>
    <t>TKT01916</t>
  </si>
  <si>
    <t>TKT01917</t>
  </si>
  <si>
    <t>TKT01918</t>
  </si>
  <si>
    <t>TKT01919</t>
  </si>
  <si>
    <t>TKT01920</t>
  </si>
  <si>
    <t>TKT01921</t>
  </si>
  <si>
    <t>TKT01922</t>
  </si>
  <si>
    <t>TKT01923</t>
  </si>
  <si>
    <t>TKT01924</t>
  </si>
  <si>
    <t>TKT01925</t>
  </si>
  <si>
    <t>TKT01926</t>
  </si>
  <si>
    <t>TKT01927</t>
  </si>
  <si>
    <t>TKT01928</t>
  </si>
  <si>
    <t>TKT01929</t>
  </si>
  <si>
    <t>TKT01930</t>
  </si>
  <si>
    <t>TKT01931</t>
  </si>
  <si>
    <t>TKT01932</t>
  </si>
  <si>
    <t>TKT01933</t>
  </si>
  <si>
    <t>TKT01934</t>
  </si>
  <si>
    <t>TKT01935</t>
  </si>
  <si>
    <t>TKT01936</t>
  </si>
  <si>
    <t>TKT01937</t>
  </si>
  <si>
    <t>TKT01938</t>
  </si>
  <si>
    <t>TKT01939</t>
  </si>
  <si>
    <t>TKT01940</t>
  </si>
  <si>
    <t>TKT01941</t>
  </si>
  <si>
    <t>TKT01942</t>
  </si>
  <si>
    <t>TKT01943</t>
  </si>
  <si>
    <t>TKT01944</t>
  </si>
  <si>
    <t>TKT01945</t>
  </si>
  <si>
    <t>TKT01946</t>
  </si>
  <si>
    <t>TKT01947</t>
  </si>
  <si>
    <t>TKT01948</t>
  </si>
  <si>
    <t>TKT01949</t>
  </si>
  <si>
    <t>TKT01950</t>
  </si>
  <si>
    <t>TKT01951</t>
  </si>
  <si>
    <t>TKT01952</t>
  </si>
  <si>
    <t>TKT01953</t>
  </si>
  <si>
    <t>TKT01954</t>
  </si>
  <si>
    <t>TKT01955</t>
  </si>
  <si>
    <t>TKT01956</t>
  </si>
  <si>
    <t>TKT01957</t>
  </si>
  <si>
    <t>TKT01958</t>
  </si>
  <si>
    <t>TKT01959</t>
  </si>
  <si>
    <t>TKT01960</t>
  </si>
  <si>
    <t>TKT01961</t>
  </si>
  <si>
    <t>TKT01962</t>
  </si>
  <si>
    <t>TKT01963</t>
  </si>
  <si>
    <t>TKT01964</t>
  </si>
  <si>
    <t>TKT01965</t>
  </si>
  <si>
    <t>TKT01966</t>
  </si>
  <si>
    <t>TKT01967</t>
  </si>
  <si>
    <t>TKT01968</t>
  </si>
  <si>
    <t>TKT01969</t>
  </si>
  <si>
    <t>TKT01970</t>
  </si>
  <si>
    <t>TKT01971</t>
  </si>
  <si>
    <t>TKT01972</t>
  </si>
  <si>
    <t>TKT01973</t>
  </si>
  <si>
    <t>TKT01974</t>
  </si>
  <si>
    <t>TKT01975</t>
  </si>
  <si>
    <t>TKT01976</t>
  </si>
  <si>
    <t>TKT01977</t>
  </si>
  <si>
    <t>TKT01978</t>
  </si>
  <si>
    <t>TKT01979</t>
  </si>
  <si>
    <t>TKT01980</t>
  </si>
  <si>
    <t>TKT01981</t>
  </si>
  <si>
    <t>TKT01982</t>
  </si>
  <si>
    <t>TKT01983</t>
  </si>
  <si>
    <t>TKT01984</t>
  </si>
  <si>
    <t>TKT01985</t>
  </si>
  <si>
    <t>TKT01986</t>
  </si>
  <si>
    <t>TKT01987</t>
  </si>
  <si>
    <t>TKT01988</t>
  </si>
  <si>
    <t>TKT01989</t>
  </si>
  <si>
    <t>TKT01990</t>
  </si>
  <si>
    <t>TKT01991</t>
  </si>
  <si>
    <t>TKT01992</t>
  </si>
  <si>
    <t>TKT01993</t>
  </si>
  <si>
    <t>TKT01994</t>
  </si>
  <si>
    <t>TKT01995</t>
  </si>
  <si>
    <t>TKT01996</t>
  </si>
  <si>
    <t>TKT01997</t>
  </si>
  <si>
    <t>TKT01998</t>
  </si>
  <si>
    <t>TKT01999</t>
  </si>
  <si>
    <t>TKT02000</t>
  </si>
  <si>
    <t>TKT02001</t>
  </si>
  <si>
    <t>TKT02002</t>
  </si>
  <si>
    <t>TKT02003</t>
  </si>
  <si>
    <t>TKT02004</t>
  </si>
  <si>
    <t>TKT02005</t>
  </si>
  <si>
    <t>TKT02006</t>
  </si>
  <si>
    <t>TKT02007</t>
  </si>
  <si>
    <t>TKT02008</t>
  </si>
  <si>
    <t>TKT02009</t>
  </si>
  <si>
    <t>TKT02010</t>
  </si>
  <si>
    <t>TKT02011</t>
  </si>
  <si>
    <t>TKT02012</t>
  </si>
  <si>
    <t>TKT02013</t>
  </si>
  <si>
    <t>TKT02014</t>
  </si>
  <si>
    <t>TKT02015</t>
  </si>
  <si>
    <t>TKT02016</t>
  </si>
  <si>
    <t>TKT02017</t>
  </si>
  <si>
    <t>TKT02018</t>
  </si>
  <si>
    <t>TKT02019</t>
  </si>
  <si>
    <t>TKT02020</t>
  </si>
  <si>
    <t>TKT02021</t>
  </si>
  <si>
    <t>TKT02022</t>
  </si>
  <si>
    <t>TKT02023</t>
  </si>
  <si>
    <t>TKT02024</t>
  </si>
  <si>
    <t>TKT02025</t>
  </si>
  <si>
    <t>TKT02026</t>
  </si>
  <si>
    <t>TKT02027</t>
  </si>
  <si>
    <t>TKT02028</t>
  </si>
  <si>
    <t>TKT02029</t>
  </si>
  <si>
    <t>TKT02030</t>
  </si>
  <si>
    <t>TKT02031</t>
  </si>
  <si>
    <t>TKT02032</t>
  </si>
  <si>
    <t>TKT02033</t>
  </si>
  <si>
    <t>TKT02034</t>
  </si>
  <si>
    <t>TKT02035</t>
  </si>
  <si>
    <t>TKT02036</t>
  </si>
  <si>
    <t>TKT02037</t>
  </si>
  <si>
    <t>TKT02038</t>
  </si>
  <si>
    <t>TKT02039</t>
  </si>
  <si>
    <t>TKT02040</t>
  </si>
  <si>
    <t>TKT02041</t>
  </si>
  <si>
    <t>TKT02042</t>
  </si>
  <si>
    <t>TKT02043</t>
  </si>
  <si>
    <t>TKT02044</t>
  </si>
  <si>
    <t>TKT02045</t>
  </si>
  <si>
    <t>TKT02046</t>
  </si>
  <si>
    <t>TKT02047</t>
  </si>
  <si>
    <t>TKT02048</t>
  </si>
  <si>
    <t>TKT02049</t>
  </si>
  <si>
    <t>TKT02050</t>
  </si>
  <si>
    <t>TKT02051</t>
  </si>
  <si>
    <t>TKT02052</t>
  </si>
  <si>
    <t>TKT02053</t>
  </si>
  <si>
    <t>TKT02054</t>
  </si>
  <si>
    <t>TKT02055</t>
  </si>
  <si>
    <t>TKT02056</t>
  </si>
  <si>
    <t>TKT02057</t>
  </si>
  <si>
    <t>TKT02058</t>
  </si>
  <si>
    <t>TKT02059</t>
  </si>
  <si>
    <t>TKT02060</t>
  </si>
  <si>
    <t>TKT02061</t>
  </si>
  <si>
    <t>TKT02062</t>
  </si>
  <si>
    <t>TKT02063</t>
  </si>
  <si>
    <t>TKT02064</t>
  </si>
  <si>
    <t>TKT02065</t>
  </si>
  <si>
    <t>TKT02066</t>
  </si>
  <si>
    <t>TKT02067</t>
  </si>
  <si>
    <t>TKT02068</t>
  </si>
  <si>
    <t>TKT02069</t>
  </si>
  <si>
    <t>TKT02070</t>
  </si>
  <si>
    <t>TKT02071</t>
  </si>
  <si>
    <t>TKT02072</t>
  </si>
  <si>
    <t>TKT02073</t>
  </si>
  <si>
    <t>TKT02074</t>
  </si>
  <si>
    <t>TKT02075</t>
  </si>
  <si>
    <t>TKT02076</t>
  </si>
  <si>
    <t>TKT02077</t>
  </si>
  <si>
    <t>TKT02078</t>
  </si>
  <si>
    <t>TKT02079</t>
  </si>
  <si>
    <t>TKT02080</t>
  </si>
  <si>
    <t>TKT02081</t>
  </si>
  <si>
    <t>TKT02082</t>
  </si>
  <si>
    <t>TKT02083</t>
  </si>
  <si>
    <t>TKT02084</t>
  </si>
  <si>
    <t>TKT02085</t>
  </si>
  <si>
    <t>TKT02086</t>
  </si>
  <si>
    <t>TKT02087</t>
  </si>
  <si>
    <t>TKT02088</t>
  </si>
  <si>
    <t>TKT02089</t>
  </si>
  <si>
    <t>TKT02090</t>
  </si>
  <si>
    <t>TKT02091</t>
  </si>
  <si>
    <t>TKT02092</t>
  </si>
  <si>
    <t>EMP0039</t>
  </si>
  <si>
    <t>TKT02093</t>
  </si>
  <si>
    <t>TKT02094</t>
  </si>
  <si>
    <t>TKT02095</t>
  </si>
  <si>
    <t>TKT02096</t>
  </si>
  <si>
    <t>TKT02097</t>
  </si>
  <si>
    <t>TKT02098</t>
  </si>
  <si>
    <t>TKT02099</t>
  </si>
  <si>
    <t>TKT02100</t>
  </si>
  <si>
    <t>TKT02101</t>
  </si>
  <si>
    <t>TKT02102</t>
  </si>
  <si>
    <t>TKT02103</t>
  </si>
  <si>
    <t>TKT02104</t>
  </si>
  <si>
    <t>TKT02105</t>
  </si>
  <si>
    <t>TKT02106</t>
  </si>
  <si>
    <t>TKT02107</t>
  </si>
  <si>
    <t>TKT02108</t>
  </si>
  <si>
    <t>TKT02109</t>
  </si>
  <si>
    <t>TKT02110</t>
  </si>
  <si>
    <t>TKT02111</t>
  </si>
  <si>
    <t>TKT02112</t>
  </si>
  <si>
    <t>TKT02113</t>
  </si>
  <si>
    <t>TKT02114</t>
  </si>
  <si>
    <t>TKT02115</t>
  </si>
  <si>
    <t>TKT02116</t>
  </si>
  <si>
    <t>TKT02117</t>
  </si>
  <si>
    <t>TKT02118</t>
  </si>
  <si>
    <t>TKT02119</t>
  </si>
  <si>
    <t>TKT02120</t>
  </si>
  <si>
    <t>TKT02121</t>
  </si>
  <si>
    <t>TKT02122</t>
  </si>
  <si>
    <t>TKT02123</t>
  </si>
  <si>
    <t>TKT02124</t>
  </si>
  <si>
    <t>TKT02125</t>
  </si>
  <si>
    <t>TKT02126</t>
  </si>
  <si>
    <t>TKT02127</t>
  </si>
  <si>
    <t>TKT02128</t>
  </si>
  <si>
    <t>TKT02129</t>
  </si>
  <si>
    <t>TKT02130</t>
  </si>
  <si>
    <t>TKT02131</t>
  </si>
  <si>
    <t>TKT02132</t>
  </si>
  <si>
    <t>TKT02133</t>
  </si>
  <si>
    <t>TKT02134</t>
  </si>
  <si>
    <t>TKT02135</t>
  </si>
  <si>
    <t>TKT02136</t>
  </si>
  <si>
    <t>TKT02137</t>
  </si>
  <si>
    <t>TKT02138</t>
  </si>
  <si>
    <t>TKT02139</t>
  </si>
  <si>
    <t>TKT02140</t>
  </si>
  <si>
    <t>TKT02141</t>
  </si>
  <si>
    <t>TKT02142</t>
  </si>
  <si>
    <t>TKT02143</t>
  </si>
  <si>
    <t>TKT02144</t>
  </si>
  <si>
    <t>TKT02145</t>
  </si>
  <si>
    <t>TKT02146</t>
  </si>
  <si>
    <t>TKT02147</t>
  </si>
  <si>
    <t>TKT02148</t>
  </si>
  <si>
    <t>TKT02149</t>
  </si>
  <si>
    <t>TKT02150</t>
  </si>
  <si>
    <t>TKT02151</t>
  </si>
  <si>
    <t>TKT02152</t>
  </si>
  <si>
    <t>TKT02153</t>
  </si>
  <si>
    <t>TKT02154</t>
  </si>
  <si>
    <t>TKT02155</t>
  </si>
  <si>
    <t>TKT02156</t>
  </si>
  <si>
    <t>TKT02157</t>
  </si>
  <si>
    <t>TKT02158</t>
  </si>
  <si>
    <t>TKT02159</t>
  </si>
  <si>
    <t>TKT02160</t>
  </si>
  <si>
    <t>TKT02161</t>
  </si>
  <si>
    <t>TKT02162</t>
  </si>
  <si>
    <t>TKT02163</t>
  </si>
  <si>
    <t>TKT02164</t>
  </si>
  <si>
    <t>TKT02165</t>
  </si>
  <si>
    <t>TKT02166</t>
  </si>
  <si>
    <t>TKT02167</t>
  </si>
  <si>
    <t>TKT02168</t>
  </si>
  <si>
    <t>TKT02169</t>
  </si>
  <si>
    <t>TKT02170</t>
  </si>
  <si>
    <t>TKT02171</t>
  </si>
  <si>
    <t>TKT02172</t>
  </si>
  <si>
    <t>TKT02173</t>
  </si>
  <si>
    <t>TKT02174</t>
  </si>
  <si>
    <t>TKT02175</t>
  </si>
  <si>
    <t>TKT02176</t>
  </si>
  <si>
    <t>TKT02177</t>
  </si>
  <si>
    <t>TKT02178</t>
  </si>
  <si>
    <t>TKT02179</t>
  </si>
  <si>
    <t>TKT02180</t>
  </si>
  <si>
    <t>TKT02181</t>
  </si>
  <si>
    <t>TKT02182</t>
  </si>
  <si>
    <t>TKT02183</t>
  </si>
  <si>
    <t>TKT02184</t>
  </si>
  <si>
    <t>TKT02185</t>
  </si>
  <si>
    <t>TKT02186</t>
  </si>
  <si>
    <t>TKT02187</t>
  </si>
  <si>
    <t>TKT02188</t>
  </si>
  <si>
    <t>TKT02189</t>
  </si>
  <si>
    <t>TKT02190</t>
  </si>
  <si>
    <t>TKT02191</t>
  </si>
  <si>
    <t>TKT02192</t>
  </si>
  <si>
    <t>TKT02193</t>
  </si>
  <si>
    <t>TKT02194</t>
  </si>
  <si>
    <t>TKT02195</t>
  </si>
  <si>
    <t>TKT02196</t>
  </si>
  <si>
    <t>TKT02197</t>
  </si>
  <si>
    <t>TKT02198</t>
  </si>
  <si>
    <t>TKT02199</t>
  </si>
  <si>
    <t>TKT02200</t>
  </si>
  <si>
    <t>TKT02201</t>
  </si>
  <si>
    <t>TKT02202</t>
  </si>
  <si>
    <t>TKT02203</t>
  </si>
  <si>
    <t>TKT02204</t>
  </si>
  <si>
    <t>TKT02205</t>
  </si>
  <si>
    <t>TKT02206</t>
  </si>
  <si>
    <t>TKT02207</t>
  </si>
  <si>
    <t>TKT02208</t>
  </si>
  <si>
    <t>TKT02209</t>
  </si>
  <si>
    <t>TKT02210</t>
  </si>
  <si>
    <t>TKT02211</t>
  </si>
  <si>
    <t>TKT02212</t>
  </si>
  <si>
    <t>TKT02213</t>
  </si>
  <si>
    <t>TKT02214</t>
  </si>
  <si>
    <t>TKT02215</t>
  </si>
  <si>
    <t>TKT02216</t>
  </si>
  <si>
    <t>TKT02217</t>
  </si>
  <si>
    <t>TKT02218</t>
  </si>
  <si>
    <t>TKT02219</t>
  </si>
  <si>
    <t>TKT02220</t>
  </si>
  <si>
    <t>TKT02221</t>
  </si>
  <si>
    <t>TKT02222</t>
  </si>
  <si>
    <t>TKT02223</t>
  </si>
  <si>
    <t>TKT02224</t>
  </si>
  <si>
    <t>TKT02225</t>
  </si>
  <si>
    <t>TKT02226</t>
  </si>
  <si>
    <t>TKT02227</t>
  </si>
  <si>
    <t>TKT02228</t>
  </si>
  <si>
    <t>TKT02229</t>
  </si>
  <si>
    <t>TKT02230</t>
  </si>
  <si>
    <t>TKT02231</t>
  </si>
  <si>
    <t>TKT02232</t>
  </si>
  <si>
    <t>TKT02233</t>
  </si>
  <si>
    <t>TKT02234</t>
  </si>
  <si>
    <t>TKT02235</t>
  </si>
  <si>
    <t>TKT02236</t>
  </si>
  <si>
    <t>TKT02237</t>
  </si>
  <si>
    <t>TKT02238</t>
  </si>
  <si>
    <t>TKT02239</t>
  </si>
  <si>
    <t>TKT02240</t>
  </si>
  <si>
    <t>TKT02241</t>
  </si>
  <si>
    <t>TKT02242</t>
  </si>
  <si>
    <t>TKT02243</t>
  </si>
  <si>
    <t>TKT02244</t>
  </si>
  <si>
    <t>TKT02245</t>
  </si>
  <si>
    <t>TKT02246</t>
  </si>
  <si>
    <t>TKT02247</t>
  </si>
  <si>
    <t>TKT02248</t>
  </si>
  <si>
    <t>TKT02249</t>
  </si>
  <si>
    <t>TKT02250</t>
  </si>
  <si>
    <t>TKT02251</t>
  </si>
  <si>
    <t>TKT02252</t>
  </si>
  <si>
    <t>TKT02253</t>
  </si>
  <si>
    <t>TKT02254</t>
  </si>
  <si>
    <t>TKT02255</t>
  </si>
  <si>
    <t>TKT02256</t>
  </si>
  <si>
    <t>TKT02257</t>
  </si>
  <si>
    <t>TKT02258</t>
  </si>
  <si>
    <t>TKT02259</t>
  </si>
  <si>
    <t>TKT02260</t>
  </si>
  <si>
    <t>TKT02261</t>
  </si>
  <si>
    <t>TKT02262</t>
  </si>
  <si>
    <t>TKT02263</t>
  </si>
  <si>
    <t>TKT02264</t>
  </si>
  <si>
    <t>TKT02265</t>
  </si>
  <si>
    <t>TKT02266</t>
  </si>
  <si>
    <t>TKT02267</t>
  </si>
  <si>
    <t>TKT02268</t>
  </si>
  <si>
    <t>TKT02269</t>
  </si>
  <si>
    <t>TKT02270</t>
  </si>
  <si>
    <t>TKT02271</t>
  </si>
  <si>
    <t>TKT02272</t>
  </si>
  <si>
    <t>TKT02273</t>
  </si>
  <si>
    <t>TKT02274</t>
  </si>
  <si>
    <t>TKT02275</t>
  </si>
  <si>
    <t>TKT02276</t>
  </si>
  <si>
    <t>TKT02277</t>
  </si>
  <si>
    <t>TKT02278</t>
  </si>
  <si>
    <t>TKT02279</t>
  </si>
  <si>
    <t>TKT02280</t>
  </si>
  <si>
    <t>TKT02281</t>
  </si>
  <si>
    <t>TKT02282</t>
  </si>
  <si>
    <t>TKT02283</t>
  </si>
  <si>
    <t>TKT02284</t>
  </si>
  <si>
    <t>TKT02285</t>
  </si>
  <si>
    <t>TKT02286</t>
  </si>
  <si>
    <t>TKT02287</t>
  </si>
  <si>
    <t>TKT02288</t>
  </si>
  <si>
    <t>TKT02289</t>
  </si>
  <si>
    <t>TKT02290</t>
  </si>
  <si>
    <t>TKT02291</t>
  </si>
  <si>
    <t>TKT02292</t>
  </si>
  <si>
    <t>TKT02293</t>
  </si>
  <si>
    <t>TKT02294</t>
  </si>
  <si>
    <t>TKT02295</t>
  </si>
  <si>
    <t>TKT02296</t>
  </si>
  <si>
    <t>TKT02297</t>
  </si>
  <si>
    <t>TKT02298</t>
  </si>
  <si>
    <t>TKT02299</t>
  </si>
  <si>
    <t>TKT02300</t>
  </si>
  <si>
    <t>TKT02301</t>
  </si>
  <si>
    <t>TKT02302</t>
  </si>
  <si>
    <t>TKT02303</t>
  </si>
  <si>
    <t>TKT02304</t>
  </si>
  <si>
    <t>TKT02305</t>
  </si>
  <si>
    <t>TKT02306</t>
  </si>
  <si>
    <t>TKT02307</t>
  </si>
  <si>
    <t>TKT02308</t>
  </si>
  <si>
    <t>TKT02309</t>
  </si>
  <si>
    <t>TKT02310</t>
  </si>
  <si>
    <t>TKT02311</t>
  </si>
  <si>
    <t>TKT02312</t>
  </si>
  <si>
    <t>TKT02313</t>
  </si>
  <si>
    <t>TKT02314</t>
  </si>
  <si>
    <t>TKT02315</t>
  </si>
  <si>
    <t>TKT02316</t>
  </si>
  <si>
    <t>TKT02317</t>
  </si>
  <si>
    <t>TKT02318</t>
  </si>
  <si>
    <t>TKT02319</t>
  </si>
  <si>
    <t>TKT02320</t>
  </si>
  <si>
    <t>TKT02321</t>
  </si>
  <si>
    <t>TKT02322</t>
  </si>
  <si>
    <t>TKT02323</t>
  </si>
  <si>
    <t>TKT02324</t>
  </si>
  <si>
    <t>TKT02325</t>
  </si>
  <si>
    <t>TKT02326</t>
  </si>
  <si>
    <t>TKT02327</t>
  </si>
  <si>
    <t>TKT02328</t>
  </si>
  <si>
    <t>TKT02329</t>
  </si>
  <si>
    <t>TKT02330</t>
  </si>
  <si>
    <t>TKT02331</t>
  </si>
  <si>
    <t>TKT02332</t>
  </si>
  <si>
    <t>TKT02333</t>
  </si>
  <si>
    <t>TKT02334</t>
  </si>
  <si>
    <t>TKT02335</t>
  </si>
  <si>
    <t>TKT02336</t>
  </si>
  <si>
    <t>TKT02337</t>
  </si>
  <si>
    <t>TKT02338</t>
  </si>
  <si>
    <t>TKT02339</t>
  </si>
  <si>
    <t>TKT02340</t>
  </si>
  <si>
    <t>TKT02341</t>
  </si>
  <si>
    <t>TKT02342</t>
  </si>
  <si>
    <t>TKT02343</t>
  </si>
  <si>
    <t>TKT02344</t>
  </si>
  <si>
    <t>TKT02345</t>
  </si>
  <si>
    <t>TKT02346</t>
  </si>
  <si>
    <t>TKT02347</t>
  </si>
  <si>
    <t>TKT02348</t>
  </si>
  <si>
    <t>TKT02349</t>
  </si>
  <si>
    <t>TKT02350</t>
  </si>
  <si>
    <t>TKT02351</t>
  </si>
  <si>
    <t>TKT02352</t>
  </si>
  <si>
    <t>TKT02353</t>
  </si>
  <si>
    <t>TKT02354</t>
  </si>
  <si>
    <t>TKT02355</t>
  </si>
  <si>
    <t>TKT02356</t>
  </si>
  <si>
    <t>TKT02357</t>
  </si>
  <si>
    <t>TKT02358</t>
  </si>
  <si>
    <t>TKT02359</t>
  </si>
  <si>
    <t>TKT02360</t>
  </si>
  <si>
    <t>TKT02361</t>
  </si>
  <si>
    <t>TKT02362</t>
  </si>
  <si>
    <t>TKT02363</t>
  </si>
  <si>
    <t>TKT02364</t>
  </si>
  <si>
    <t>TKT02365</t>
  </si>
  <si>
    <t>TKT02366</t>
  </si>
  <si>
    <t>TKT02367</t>
  </si>
  <si>
    <t>TKT02368</t>
  </si>
  <si>
    <t>TKT02369</t>
  </si>
  <si>
    <t>TKT02370</t>
  </si>
  <si>
    <t>TKT02371</t>
  </si>
  <si>
    <t>TKT02372</t>
  </si>
  <si>
    <t>TKT02373</t>
  </si>
  <si>
    <t>TKT02374</t>
  </si>
  <si>
    <t>TKT02375</t>
  </si>
  <si>
    <t>TKT02376</t>
  </si>
  <si>
    <t>TKT02377</t>
  </si>
  <si>
    <t>TKT02378</t>
  </si>
  <si>
    <t>TKT02379</t>
  </si>
  <si>
    <t>TKT02380</t>
  </si>
  <si>
    <t>TKT02381</t>
  </si>
  <si>
    <t>TKT02382</t>
  </si>
  <si>
    <t>TKT02383</t>
  </si>
  <si>
    <t>TKT02384</t>
  </si>
  <si>
    <t>TKT02385</t>
  </si>
  <si>
    <t>TKT02386</t>
  </si>
  <si>
    <t>TKT02387</t>
  </si>
  <si>
    <t>TKT02388</t>
  </si>
  <si>
    <t>TKT02389</t>
  </si>
  <si>
    <t>TKT02390</t>
  </si>
  <si>
    <t>TKT02391</t>
  </si>
  <si>
    <t>TKT02392</t>
  </si>
  <si>
    <t>TKT02393</t>
  </si>
  <si>
    <t>TKT02394</t>
  </si>
  <si>
    <t>TKT02395</t>
  </si>
  <si>
    <t>TKT02396</t>
  </si>
  <si>
    <t>TKT02397</t>
  </si>
  <si>
    <t>TKT02398</t>
  </si>
  <si>
    <t>TKT02399</t>
  </si>
  <si>
    <t>TKT02400</t>
  </si>
  <si>
    <t>TKT02401</t>
  </si>
  <si>
    <t>TKT02402</t>
  </si>
  <si>
    <t>TKT02403</t>
  </si>
  <si>
    <t>TKT02404</t>
  </si>
  <si>
    <t>TKT02405</t>
  </si>
  <si>
    <t>TKT02406</t>
  </si>
  <si>
    <t>TKT02407</t>
  </si>
  <si>
    <t>TKT02408</t>
  </si>
  <si>
    <t>TKT02409</t>
  </si>
  <si>
    <t>TKT02410</t>
  </si>
  <si>
    <t>TKT02411</t>
  </si>
  <si>
    <t>TKT02412</t>
  </si>
  <si>
    <t>TKT02413</t>
  </si>
  <si>
    <t>TKT02414</t>
  </si>
  <si>
    <t>TKT02415</t>
  </si>
  <si>
    <t>TKT02416</t>
  </si>
  <si>
    <t>TKT02417</t>
  </si>
  <si>
    <t>TKT02418</t>
  </si>
  <si>
    <t>TKT02419</t>
  </si>
  <si>
    <t>TKT02420</t>
  </si>
  <si>
    <t>TKT02421</t>
  </si>
  <si>
    <t>TKT02422</t>
  </si>
  <si>
    <t>TKT02423</t>
  </si>
  <si>
    <t>TKT02424</t>
  </si>
  <si>
    <t>TKT02425</t>
  </si>
  <si>
    <t>TKT02426</t>
  </si>
  <si>
    <t>TKT02427</t>
  </si>
  <si>
    <t>TKT02428</t>
  </si>
  <si>
    <t>TKT02429</t>
  </si>
  <si>
    <t>TKT02430</t>
  </si>
  <si>
    <t>TKT02431</t>
  </si>
  <si>
    <t>TKT02432</t>
  </si>
  <si>
    <t>TKT02433</t>
  </si>
  <si>
    <t>TKT02434</t>
  </si>
  <si>
    <t>TKT02435</t>
  </si>
  <si>
    <t>TKT02436</t>
  </si>
  <si>
    <t>TKT02437</t>
  </si>
  <si>
    <t>TKT02438</t>
  </si>
  <si>
    <t>TKT02439</t>
  </si>
  <si>
    <t>TKT02440</t>
  </si>
  <si>
    <t>TKT02441</t>
  </si>
  <si>
    <t>TKT02442</t>
  </si>
  <si>
    <t>TKT02443</t>
  </si>
  <si>
    <t>TKT02444</t>
  </si>
  <si>
    <t>TKT02445</t>
  </si>
  <si>
    <t>TKT02446</t>
  </si>
  <si>
    <t>TKT02447</t>
  </si>
  <si>
    <t>TKT02448</t>
  </si>
  <si>
    <t>TKT02449</t>
  </si>
  <si>
    <t>TKT02450</t>
  </si>
  <si>
    <t>TKT02451</t>
  </si>
  <si>
    <t>TKT02452</t>
  </si>
  <si>
    <t>TKT02453</t>
  </si>
  <si>
    <t>TKT02454</t>
  </si>
  <si>
    <t>TKT02455</t>
  </si>
  <si>
    <t>TKT02456</t>
  </si>
  <si>
    <t>TKT02457</t>
  </si>
  <si>
    <t>TKT02458</t>
  </si>
  <si>
    <t>TKT02459</t>
  </si>
  <si>
    <t>TKT02460</t>
  </si>
  <si>
    <t>TKT02461</t>
  </si>
  <si>
    <t>TKT02462</t>
  </si>
  <si>
    <t>TKT02463</t>
  </si>
  <si>
    <t>TKT02464</t>
  </si>
  <si>
    <t>TKT02465</t>
  </si>
  <si>
    <t>TKT02466</t>
  </si>
  <si>
    <t>TKT02467</t>
  </si>
  <si>
    <t>TKT02468</t>
  </si>
  <si>
    <t>TKT02469</t>
  </si>
  <si>
    <t>TKT02470</t>
  </si>
  <si>
    <t>TKT02471</t>
  </si>
  <si>
    <t>TKT02472</t>
  </si>
  <si>
    <t>TKT02473</t>
  </si>
  <si>
    <t>TKT02474</t>
  </si>
  <si>
    <t>TKT02475</t>
  </si>
  <si>
    <t>TKT02476</t>
  </si>
  <si>
    <t>TKT02477</t>
  </si>
  <si>
    <t>TKT02478</t>
  </si>
  <si>
    <t>TKT02479</t>
  </si>
  <si>
    <t>TKT02480</t>
  </si>
  <si>
    <t>TKT02481</t>
  </si>
  <si>
    <t>TKT02482</t>
  </si>
  <si>
    <t>TKT02483</t>
  </si>
  <si>
    <t>TKT02484</t>
  </si>
  <si>
    <t>TKT02485</t>
  </si>
  <si>
    <t>TKT02486</t>
  </si>
  <si>
    <t>TKT02487</t>
  </si>
  <si>
    <t>TKT02488</t>
  </si>
  <si>
    <t>TKT02489</t>
  </si>
  <si>
    <t>TKT02490</t>
  </si>
  <si>
    <t>TKT02491</t>
  </si>
  <si>
    <t>TKT02492</t>
  </si>
  <si>
    <t>TKT02493</t>
  </si>
  <si>
    <t>TKT02494</t>
  </si>
  <si>
    <t>TKT02495</t>
  </si>
  <si>
    <t>TKT02496</t>
  </si>
  <si>
    <t>TKT02497</t>
  </si>
  <si>
    <t>TKT02498</t>
  </si>
  <si>
    <t>TKT02499</t>
  </si>
  <si>
    <t>TKT02500</t>
  </si>
  <si>
    <t>TKT02501</t>
  </si>
  <si>
    <t>TKT02502</t>
  </si>
  <si>
    <t>TKT02503</t>
  </si>
  <si>
    <t>TKT02504</t>
  </si>
  <si>
    <t>TKT02505</t>
  </si>
  <si>
    <t>TKT02506</t>
  </si>
  <si>
    <t>TKT02507</t>
  </si>
  <si>
    <t>TKT02508</t>
  </si>
  <si>
    <t>TKT02509</t>
  </si>
  <si>
    <t>TKT02510</t>
  </si>
  <si>
    <t>TKT02511</t>
  </si>
  <si>
    <t>TKT02512</t>
  </si>
  <si>
    <t>TKT02513</t>
  </si>
  <si>
    <t>TKT02514</t>
  </si>
  <si>
    <t>TKT02515</t>
  </si>
  <si>
    <t>TKT02516</t>
  </si>
  <si>
    <t>TKT02517</t>
  </si>
  <si>
    <t>TKT02518</t>
  </si>
  <si>
    <t>TKT02519</t>
  </si>
  <si>
    <t>TKT02520</t>
  </si>
  <si>
    <t>TKT02521</t>
  </si>
  <si>
    <t>TKT02522</t>
  </si>
  <si>
    <t>TKT02523</t>
  </si>
  <si>
    <t>TKT02524</t>
  </si>
  <si>
    <t>TKT02525</t>
  </si>
  <si>
    <t>TKT02526</t>
  </si>
  <si>
    <t>TKT02527</t>
  </si>
  <si>
    <t>TKT02528</t>
  </si>
  <si>
    <t>TKT02529</t>
  </si>
  <si>
    <t>TKT02530</t>
  </si>
  <si>
    <t>TKT02531</t>
  </si>
  <si>
    <t>TKT02532</t>
  </si>
  <si>
    <t>TKT02533</t>
  </si>
  <si>
    <t>TKT02534</t>
  </si>
  <si>
    <t>TKT02535</t>
  </si>
  <si>
    <t>TKT02536</t>
  </si>
  <si>
    <t>TKT02537</t>
  </si>
  <si>
    <t>TKT02538</t>
  </si>
  <si>
    <t>TKT02539</t>
  </si>
  <si>
    <t>TKT02540</t>
  </si>
  <si>
    <t>TKT02541</t>
  </si>
  <si>
    <t>TKT02542</t>
  </si>
  <si>
    <t>TKT02543</t>
  </si>
  <si>
    <t>TKT02544</t>
  </si>
  <si>
    <t>TKT02545</t>
  </si>
  <si>
    <t>TKT02546</t>
  </si>
  <si>
    <t>TKT02547</t>
  </si>
  <si>
    <t>TKT02548</t>
  </si>
  <si>
    <t>TKT02549</t>
  </si>
  <si>
    <t>TKT02550</t>
  </si>
  <si>
    <t>TKT02551</t>
  </si>
  <si>
    <t>TKT02552</t>
  </si>
  <si>
    <t>TKT02553</t>
  </si>
  <si>
    <t>TKT02554</t>
  </si>
  <si>
    <t>TKT02555</t>
  </si>
  <si>
    <t>TKT02556</t>
  </si>
  <si>
    <t>TKT02557</t>
  </si>
  <si>
    <t>TKT02558</t>
  </si>
  <si>
    <t>TKT02559</t>
  </si>
  <si>
    <t>TKT02560</t>
  </si>
  <si>
    <t>TKT02561</t>
  </si>
  <si>
    <t>TKT02562</t>
  </si>
  <si>
    <t>TKT02563</t>
  </si>
  <si>
    <t>TKT02564</t>
  </si>
  <si>
    <t>TKT02565</t>
  </si>
  <si>
    <t>TKT02566</t>
  </si>
  <si>
    <t>TKT02567</t>
  </si>
  <si>
    <t>TKT02568</t>
  </si>
  <si>
    <t>TKT02569</t>
  </si>
  <si>
    <t>TKT02570</t>
  </si>
  <si>
    <t>TKT02571</t>
  </si>
  <si>
    <t>TKT02572</t>
  </si>
  <si>
    <t>TKT02573</t>
  </si>
  <si>
    <t>TKT02574</t>
  </si>
  <si>
    <t>TKT02575</t>
  </si>
  <si>
    <t>TKT02576</t>
  </si>
  <si>
    <t>TKT02577</t>
  </si>
  <si>
    <t>TKT02578</t>
  </si>
  <si>
    <t>TKT02579</t>
  </si>
  <si>
    <t>TKT02580</t>
  </si>
  <si>
    <t>TKT02581</t>
  </si>
  <si>
    <t>TKT02582</t>
  </si>
  <si>
    <t>TKT02583</t>
  </si>
  <si>
    <t>TKT02584</t>
  </si>
  <si>
    <t>TKT02585</t>
  </si>
  <si>
    <t>TKT02586</t>
  </si>
  <si>
    <t>TKT02587</t>
  </si>
  <si>
    <t>TKT02588</t>
  </si>
  <si>
    <t>TKT02589</t>
  </si>
  <si>
    <t>TKT02590</t>
  </si>
  <si>
    <t>TKT02591</t>
  </si>
  <si>
    <t>TKT02592</t>
  </si>
  <si>
    <t>TKT02593</t>
  </si>
  <si>
    <t>TKT02594</t>
  </si>
  <si>
    <t>TKT02595</t>
  </si>
  <si>
    <t>TKT02596</t>
  </si>
  <si>
    <t>TKT02597</t>
  </si>
  <si>
    <t>TKT02598</t>
  </si>
  <si>
    <t>TKT02599</t>
  </si>
  <si>
    <t>TKT02600</t>
  </si>
  <si>
    <t>TKT02601</t>
  </si>
  <si>
    <t>TKT02602</t>
  </si>
  <si>
    <t>TKT02603</t>
  </si>
  <si>
    <t>TKT02604</t>
  </si>
  <si>
    <t>TKT02605</t>
  </si>
  <si>
    <t>TKT02606</t>
  </si>
  <si>
    <t>TKT02607</t>
  </si>
  <si>
    <t>TKT02608</t>
  </si>
  <si>
    <t>TKT02609</t>
  </si>
  <si>
    <t>TKT02610</t>
  </si>
  <si>
    <t>TKT02611</t>
  </si>
  <si>
    <t>TKT02612</t>
  </si>
  <si>
    <t>TKT02613</t>
  </si>
  <si>
    <t>TKT02614</t>
  </si>
  <si>
    <t>TKT02615</t>
  </si>
  <si>
    <t>TKT02616</t>
  </si>
  <si>
    <t>TKT02617</t>
  </si>
  <si>
    <t>TKT02618</t>
  </si>
  <si>
    <t>TKT02619</t>
  </si>
  <si>
    <t>TKT02620</t>
  </si>
  <si>
    <t>TKT02621</t>
  </si>
  <si>
    <t>TKT02622</t>
  </si>
  <si>
    <t>TKT02623</t>
  </si>
  <si>
    <t>TKT02624</t>
  </si>
  <si>
    <t>TKT02625</t>
  </si>
  <si>
    <t>TKT02626</t>
  </si>
  <si>
    <t>TKT02627</t>
  </si>
  <si>
    <t>TKT02628</t>
  </si>
  <si>
    <t>TKT02629</t>
  </si>
  <si>
    <t>TKT02630</t>
  </si>
  <si>
    <t>TKT02631</t>
  </si>
  <si>
    <t>TKT02632</t>
  </si>
  <si>
    <t>TKT02633</t>
  </si>
  <si>
    <t>TKT02634</t>
  </si>
  <si>
    <t>TKT02635</t>
  </si>
  <si>
    <t>TKT02636</t>
  </si>
  <si>
    <t>TKT02637</t>
  </si>
  <si>
    <t>TKT02638</t>
  </si>
  <si>
    <t>TKT02639</t>
  </si>
  <si>
    <t>TKT02640</t>
  </si>
  <si>
    <t>TKT02641</t>
  </si>
  <si>
    <t>TKT02642</t>
  </si>
  <si>
    <t>TKT02643</t>
  </si>
  <si>
    <t>TKT02644</t>
  </si>
  <si>
    <t>TKT02645</t>
  </si>
  <si>
    <t>TKT02646</t>
  </si>
  <si>
    <t>TKT02647</t>
  </si>
  <si>
    <t>TKT02648</t>
  </si>
  <si>
    <t>TKT02649</t>
  </si>
  <si>
    <t>TKT02650</t>
  </si>
  <si>
    <t>TKT02651</t>
  </si>
  <si>
    <t>TKT02652</t>
  </si>
  <si>
    <t>TKT02653</t>
  </si>
  <si>
    <t>TKT02654</t>
  </si>
  <si>
    <t>TKT02655</t>
  </si>
  <si>
    <t>TKT02656</t>
  </si>
  <si>
    <t>TKT02657</t>
  </si>
  <si>
    <t>TKT02658</t>
  </si>
  <si>
    <t>TKT02659</t>
  </si>
  <si>
    <t>TKT02660</t>
  </si>
  <si>
    <t>TKT02661</t>
  </si>
  <si>
    <t>TKT02662</t>
  </si>
  <si>
    <t>TKT02663</t>
  </si>
  <si>
    <t>TKT02664</t>
  </si>
  <si>
    <t>TKT02665</t>
  </si>
  <si>
    <t>TKT02666</t>
  </si>
  <si>
    <t>TKT02667</t>
  </si>
  <si>
    <t>TKT02668</t>
  </si>
  <si>
    <t>TKT02669</t>
  </si>
  <si>
    <t>TKT02670</t>
  </si>
  <si>
    <t>TKT02671</t>
  </si>
  <si>
    <t>TKT02672</t>
  </si>
  <si>
    <t>TKT02673</t>
  </si>
  <si>
    <t>TKT02674</t>
  </si>
  <si>
    <t>TKT02675</t>
  </si>
  <si>
    <t>TKT02676</t>
  </si>
  <si>
    <t>TKT02677</t>
  </si>
  <si>
    <t>TKT02678</t>
  </si>
  <si>
    <t>TKT02679</t>
  </si>
  <si>
    <t>TKT02680</t>
  </si>
  <si>
    <t>TKT02681</t>
  </si>
  <si>
    <t>TKT02682</t>
  </si>
  <si>
    <t>TKT02683</t>
  </si>
  <si>
    <t>TKT02684</t>
  </si>
  <si>
    <t>TKT02685</t>
  </si>
  <si>
    <t>TKT02686</t>
  </si>
  <si>
    <t>TKT02687</t>
  </si>
  <si>
    <t>TKT02688</t>
  </si>
  <si>
    <t>TKT02689</t>
  </si>
  <si>
    <t>TKT02690</t>
  </si>
  <si>
    <t>TKT02691</t>
  </si>
  <si>
    <t>TKT02692</t>
  </si>
  <si>
    <t>TKT02693</t>
  </si>
  <si>
    <t>TKT02694</t>
  </si>
  <si>
    <t>TKT02695</t>
  </si>
  <si>
    <t>TKT02696</t>
  </si>
  <si>
    <t>TKT02697</t>
  </si>
  <si>
    <t>TKT02698</t>
  </si>
  <si>
    <t>TKT02699</t>
  </si>
  <si>
    <t>TKT02700</t>
  </si>
  <si>
    <t>TKT02701</t>
  </si>
  <si>
    <t>TKT02702</t>
  </si>
  <si>
    <t>TKT02703</t>
  </si>
  <si>
    <t>TKT02704</t>
  </si>
  <si>
    <t>TKT02705</t>
  </si>
  <si>
    <t>TKT02706</t>
  </si>
  <si>
    <t>TKT02707</t>
  </si>
  <si>
    <t>TKT02708</t>
  </si>
  <si>
    <t>TKT02709</t>
  </si>
  <si>
    <t>TKT02710</t>
  </si>
  <si>
    <t>TKT02711</t>
  </si>
  <si>
    <t>TKT02712</t>
  </si>
  <si>
    <t>TKT02713</t>
  </si>
  <si>
    <t>TKT02714</t>
  </si>
  <si>
    <t>TKT02715</t>
  </si>
  <si>
    <t>TKT02716</t>
  </si>
  <si>
    <t>TKT02717</t>
  </si>
  <si>
    <t>TKT02718</t>
  </si>
  <si>
    <t>TKT02719</t>
  </si>
  <si>
    <t>TKT02720</t>
  </si>
  <si>
    <t>TKT02721</t>
  </si>
  <si>
    <t>TKT02722</t>
  </si>
  <si>
    <t>TKT02723</t>
  </si>
  <si>
    <t>TKT02724</t>
  </si>
  <si>
    <t>TKT02725</t>
  </si>
  <si>
    <t>TKT02726</t>
  </si>
  <si>
    <t>TKT02727</t>
  </si>
  <si>
    <t>TKT02728</t>
  </si>
  <si>
    <t>TKT02729</t>
  </si>
  <si>
    <t>TKT02730</t>
  </si>
  <si>
    <t>TKT02731</t>
  </si>
  <si>
    <t>TKT02732</t>
  </si>
  <si>
    <t>TKT02733</t>
  </si>
  <si>
    <t>TKT02734</t>
  </si>
  <si>
    <t>TKT02735</t>
  </si>
  <si>
    <t>TKT02736</t>
  </si>
  <si>
    <t>TKT02737</t>
  </si>
  <si>
    <t>TKT02738</t>
  </si>
  <si>
    <t>TKT02739</t>
  </si>
  <si>
    <t>TKT02740</t>
  </si>
  <si>
    <t>TKT02741</t>
  </si>
  <si>
    <t>TKT02742</t>
  </si>
  <si>
    <t>TKT02743</t>
  </si>
  <si>
    <t>TKT02744</t>
  </si>
  <si>
    <t>TKT02745</t>
  </si>
  <si>
    <t>TKT02746</t>
  </si>
  <si>
    <t>TKT02747</t>
  </si>
  <si>
    <t>TKT02748</t>
  </si>
  <si>
    <t>TKT02749</t>
  </si>
  <si>
    <t>TKT02750</t>
  </si>
  <si>
    <t>TKT02751</t>
  </si>
  <si>
    <t>TKT02752</t>
  </si>
  <si>
    <t>TKT02753</t>
  </si>
  <si>
    <t>TKT02754</t>
  </si>
  <si>
    <t>TKT02755</t>
  </si>
  <si>
    <t>TKT02756</t>
  </si>
  <si>
    <t>TKT02757</t>
  </si>
  <si>
    <t>TKT02758</t>
  </si>
  <si>
    <t>TKT02759</t>
  </si>
  <si>
    <t>TKT02760</t>
  </si>
  <si>
    <t>TKT02761</t>
  </si>
  <si>
    <t>TKT02762</t>
  </si>
  <si>
    <t>TKT02763</t>
  </si>
  <si>
    <t>TKT02764</t>
  </si>
  <si>
    <t>TKT02765</t>
  </si>
  <si>
    <t>TKT02766</t>
  </si>
  <si>
    <t>TKT02767</t>
  </si>
  <si>
    <t>TKT02768</t>
  </si>
  <si>
    <t>TKT02769</t>
  </si>
  <si>
    <t>TKT02770</t>
  </si>
  <si>
    <t>TKT02771</t>
  </si>
  <si>
    <t>TKT02772</t>
  </si>
  <si>
    <t>TKT02773</t>
  </si>
  <si>
    <t>TKT02774</t>
  </si>
  <si>
    <t>TKT02775</t>
  </si>
  <si>
    <t>TKT02776</t>
  </si>
  <si>
    <t>TKT02777</t>
  </si>
  <si>
    <t>TKT02778</t>
  </si>
  <si>
    <t>TKT02779</t>
  </si>
  <si>
    <t>TKT02780</t>
  </si>
  <si>
    <t>TKT02781</t>
  </si>
  <si>
    <t>TKT02782</t>
  </si>
  <si>
    <t>TKT02783</t>
  </si>
  <si>
    <t>TKT02784</t>
  </si>
  <si>
    <t>TKT02785</t>
  </si>
  <si>
    <t>TKT02786</t>
  </si>
  <si>
    <t>TKT02787</t>
  </si>
  <si>
    <t>TKT02788</t>
  </si>
  <si>
    <t>TKT02789</t>
  </si>
  <si>
    <t>TKT02790</t>
  </si>
  <si>
    <t>TKT02791</t>
  </si>
  <si>
    <t>TKT02792</t>
  </si>
  <si>
    <t>TKT02793</t>
  </si>
  <si>
    <t>TKT02794</t>
  </si>
  <si>
    <t>TKT02795</t>
  </si>
  <si>
    <t>TKT02796</t>
  </si>
  <si>
    <t>TKT02797</t>
  </si>
  <si>
    <t>TKT02798</t>
  </si>
  <si>
    <t>TKT02799</t>
  </si>
  <si>
    <t>TKT02800</t>
  </si>
  <si>
    <t>TKT02801</t>
  </si>
  <si>
    <t>TKT02802</t>
  </si>
  <si>
    <t>TKT02803</t>
  </si>
  <si>
    <t>TKT02804</t>
  </si>
  <si>
    <t>TKT02805</t>
  </si>
  <si>
    <t>TKT02806</t>
  </si>
  <si>
    <t>TKT02807</t>
  </si>
  <si>
    <t>TKT02808</t>
  </si>
  <si>
    <t>TKT02809</t>
  </si>
  <si>
    <t>TKT02810</t>
  </si>
  <si>
    <t>TKT02811</t>
  </si>
  <si>
    <t>TKT02812</t>
  </si>
  <si>
    <t>TKT02813</t>
  </si>
  <si>
    <t>TKT02814</t>
  </si>
  <si>
    <t>TKT02815</t>
  </si>
  <si>
    <t>TKT02816</t>
  </si>
  <si>
    <t>TKT02817</t>
  </si>
  <si>
    <t>TKT02818</t>
  </si>
  <si>
    <t>TKT02819</t>
  </si>
  <si>
    <t>TKT02820</t>
  </si>
  <si>
    <t>TKT02821</t>
  </si>
  <si>
    <t>TKT02822</t>
  </si>
  <si>
    <t>TKT02823</t>
  </si>
  <si>
    <t>TKT02824</t>
  </si>
  <si>
    <t>TKT02825</t>
  </si>
  <si>
    <t>TKT02826</t>
  </si>
  <si>
    <t>TKT02827</t>
  </si>
  <si>
    <t>TKT02828</t>
  </si>
  <si>
    <t>TKT02829</t>
  </si>
  <si>
    <t>TKT02830</t>
  </si>
  <si>
    <t>TKT02831</t>
  </si>
  <si>
    <t>TKT02832</t>
  </si>
  <si>
    <t>TKT02833</t>
  </si>
  <si>
    <t>TKT02834</t>
  </si>
  <si>
    <t>TKT02835</t>
  </si>
  <si>
    <t>TKT02836</t>
  </si>
  <si>
    <t>TKT02837</t>
  </si>
  <si>
    <t>TKT02838</t>
  </si>
  <si>
    <t>TKT02839</t>
  </si>
  <si>
    <t>TKT02840</t>
  </si>
  <si>
    <t>TKT02841</t>
  </si>
  <si>
    <t>TKT02842</t>
  </si>
  <si>
    <t>TKT02843</t>
  </si>
  <si>
    <t>TKT02844</t>
  </si>
  <si>
    <t>TKT02845</t>
  </si>
  <si>
    <t>TKT02846</t>
  </si>
  <si>
    <t>TKT02847</t>
  </si>
  <si>
    <t>TKT02848</t>
  </si>
  <si>
    <t>TKT02849</t>
  </si>
  <si>
    <t>TKT02850</t>
  </si>
  <si>
    <t>TKT02851</t>
  </si>
  <si>
    <t>TKT02852</t>
  </si>
  <si>
    <t>TKT02853</t>
  </si>
  <si>
    <t>TKT02854</t>
  </si>
  <si>
    <t>TKT02855</t>
  </si>
  <si>
    <t>TKT02856</t>
  </si>
  <si>
    <t>TKT02857</t>
  </si>
  <si>
    <t>TKT02858</t>
  </si>
  <si>
    <t>TKT02859</t>
  </si>
  <si>
    <t>TKT02860</t>
  </si>
  <si>
    <t>TKT02861</t>
  </si>
  <si>
    <t>TKT02862</t>
  </si>
  <si>
    <t>TKT02863</t>
  </si>
  <si>
    <t>TKT02864</t>
  </si>
  <si>
    <t>TKT02865</t>
  </si>
  <si>
    <t>TKT02866</t>
  </si>
  <si>
    <t>TKT02867</t>
  </si>
  <si>
    <t>TKT02868</t>
  </si>
  <si>
    <t>TKT02869</t>
  </si>
  <si>
    <t>TKT02870</t>
  </si>
  <si>
    <t>TKT02871</t>
  </si>
  <si>
    <t>TKT02872</t>
  </si>
  <si>
    <t>TKT02873</t>
  </si>
  <si>
    <t>TKT02874</t>
  </si>
  <si>
    <t>TKT02875</t>
  </si>
  <si>
    <t>TKT02876</t>
  </si>
  <si>
    <t>TKT02877</t>
  </si>
  <si>
    <t>TKT02878</t>
  </si>
  <si>
    <t>TKT02879</t>
  </si>
  <si>
    <t>TKT02880</t>
  </si>
  <si>
    <t>TKT02881</t>
  </si>
  <si>
    <t>TKT02882</t>
  </si>
  <si>
    <t>TKT02883</t>
  </si>
  <si>
    <t>TKT02884</t>
  </si>
  <si>
    <t>TKT02885</t>
  </si>
  <si>
    <t>TKT02886</t>
  </si>
  <si>
    <t>TKT02887</t>
  </si>
  <si>
    <t>TKT02888</t>
  </si>
  <si>
    <t>TKT02889</t>
  </si>
  <si>
    <t>TKT02890</t>
  </si>
  <si>
    <t>TKT02891</t>
  </si>
  <si>
    <t>TKT02892</t>
  </si>
  <si>
    <t>TKT02893</t>
  </si>
  <si>
    <t>TKT02894</t>
  </si>
  <si>
    <t>TKT02895</t>
  </si>
  <si>
    <t>TKT02896</t>
  </si>
  <si>
    <t>TKT02897</t>
  </si>
  <si>
    <t>TKT02898</t>
  </si>
  <si>
    <t>TKT02899</t>
  </si>
  <si>
    <t>TKT02900</t>
  </si>
  <si>
    <t>TKT02901</t>
  </si>
  <si>
    <t>TKT02902</t>
  </si>
  <si>
    <t>TKT02903</t>
  </si>
  <si>
    <t>TKT02904</t>
  </si>
  <si>
    <t>TKT02905</t>
  </si>
  <si>
    <t>TKT02906</t>
  </si>
  <si>
    <t>TKT02907</t>
  </si>
  <si>
    <t>TKT02908</t>
  </si>
  <si>
    <t>TKT02909</t>
  </si>
  <si>
    <t>TKT02910</t>
  </si>
  <si>
    <t>TKT02911</t>
  </si>
  <si>
    <t>TKT02912</t>
  </si>
  <si>
    <t>TKT02913</t>
  </si>
  <si>
    <t>TKT02914</t>
  </si>
  <si>
    <t>TKT02915</t>
  </si>
  <si>
    <t>TKT02916</t>
  </si>
  <si>
    <t>TKT02917</t>
  </si>
  <si>
    <t>TKT02918</t>
  </si>
  <si>
    <t>TKT02919</t>
  </si>
  <si>
    <t>TKT02920</t>
  </si>
  <si>
    <t>TKT02921</t>
  </si>
  <si>
    <t>TKT02922</t>
  </si>
  <si>
    <t>TKT02923</t>
  </si>
  <si>
    <t>TKT02924</t>
  </si>
  <si>
    <t>TKT02925</t>
  </si>
  <si>
    <t>TKT02926</t>
  </si>
  <si>
    <t>TKT02927</t>
  </si>
  <si>
    <t>TKT02928</t>
  </si>
  <si>
    <t>TKT02929</t>
  </si>
  <si>
    <t>TKT02930</t>
  </si>
  <si>
    <t>TKT02931</t>
  </si>
  <si>
    <t>TKT02932</t>
  </si>
  <si>
    <t>TKT02933</t>
  </si>
  <si>
    <t>TKT02934</t>
  </si>
  <si>
    <t>TKT02935</t>
  </si>
  <si>
    <t>TKT02936</t>
  </si>
  <si>
    <t>TKT02937</t>
  </si>
  <si>
    <t>TKT02938</t>
  </si>
  <si>
    <t>TKT02939</t>
  </si>
  <si>
    <t>TKT02940</t>
  </si>
  <si>
    <t>TKT02941</t>
  </si>
  <si>
    <t>TKT02942</t>
  </si>
  <si>
    <t>TKT02943</t>
  </si>
  <si>
    <t>TKT02944</t>
  </si>
  <si>
    <t>TKT02945</t>
  </si>
  <si>
    <t>TKT02946</t>
  </si>
  <si>
    <t>TKT02947</t>
  </si>
  <si>
    <t>TKT02948</t>
  </si>
  <si>
    <t>TKT02949</t>
  </si>
  <si>
    <t>TKT02950</t>
  </si>
  <si>
    <t>TKT02951</t>
  </si>
  <si>
    <t>TKT02952</t>
  </si>
  <si>
    <t>TKT02953</t>
  </si>
  <si>
    <t>TKT02954</t>
  </si>
  <si>
    <t>TKT02955</t>
  </si>
  <si>
    <t>TKT02956</t>
  </si>
  <si>
    <t>TKT02957</t>
  </si>
  <si>
    <t>TKT02958</t>
  </si>
  <si>
    <t>TKT02959</t>
  </si>
  <si>
    <t>TKT02960</t>
  </si>
  <si>
    <t>TKT02961</t>
  </si>
  <si>
    <t>TKT02962</t>
  </si>
  <si>
    <t>TKT02963</t>
  </si>
  <si>
    <t>TKT02964</t>
  </si>
  <si>
    <t>TKT02965</t>
  </si>
  <si>
    <t>TKT02966</t>
  </si>
  <si>
    <t>TKT02967</t>
  </si>
  <si>
    <t>TKT02968</t>
  </si>
  <si>
    <t>TKT02969</t>
  </si>
  <si>
    <t>TKT02970</t>
  </si>
  <si>
    <t>TKT02971</t>
  </si>
  <si>
    <t>TKT02972</t>
  </si>
  <si>
    <t>TKT02973</t>
  </si>
  <si>
    <t>TKT02974</t>
  </si>
  <si>
    <t>TKT02975</t>
  </si>
  <si>
    <t>TKT02976</t>
  </si>
  <si>
    <t>TKT02977</t>
  </si>
  <si>
    <t>TKT02978</t>
  </si>
  <si>
    <t>TKT02979</t>
  </si>
  <si>
    <t>TKT02980</t>
  </si>
  <si>
    <t>TKT02981</t>
  </si>
  <si>
    <t>TKT02982</t>
  </si>
  <si>
    <t>TKT02983</t>
  </si>
  <si>
    <t>TKT02984</t>
  </si>
  <si>
    <t>TKT02985</t>
  </si>
  <si>
    <t>TKT02986</t>
  </si>
  <si>
    <t>TKT02987</t>
  </si>
  <si>
    <t>TKT02988</t>
  </si>
  <si>
    <t>TKT02989</t>
  </si>
  <si>
    <t>TKT02990</t>
  </si>
  <si>
    <t>TKT02991</t>
  </si>
  <si>
    <t>TKT02992</t>
  </si>
  <si>
    <t>TKT02993</t>
  </si>
  <si>
    <t>TKT02994</t>
  </si>
  <si>
    <t>TKT02995</t>
  </si>
  <si>
    <t>TKT02996</t>
  </si>
  <si>
    <t>TKT02997</t>
  </si>
  <si>
    <t>TKT02998</t>
  </si>
  <si>
    <t>TKT02999</t>
  </si>
  <si>
    <t>TKT03000</t>
  </si>
  <si>
    <t>TKT03001</t>
  </si>
  <si>
    <t>TKT03002</t>
  </si>
  <si>
    <t>TKT03003</t>
  </si>
  <si>
    <t>TKT03004</t>
  </si>
  <si>
    <t>TKT03005</t>
  </si>
  <si>
    <t>TKT03006</t>
  </si>
  <si>
    <t>TKT03007</t>
  </si>
  <si>
    <t>TKT03008</t>
  </si>
  <si>
    <t>TKT03009</t>
  </si>
  <si>
    <t>TKT03010</t>
  </si>
  <si>
    <t>TKT03011</t>
  </si>
  <si>
    <t>TKT03012</t>
  </si>
  <si>
    <t>TKT03013</t>
  </si>
  <si>
    <t>TKT03014</t>
  </si>
  <si>
    <t>TKT03015</t>
  </si>
  <si>
    <t>TKT03016</t>
  </si>
  <si>
    <t>TKT03017</t>
  </si>
  <si>
    <t>TKT03018</t>
  </si>
  <si>
    <t>TKT03019</t>
  </si>
  <si>
    <t>TKT03020</t>
  </si>
  <si>
    <t>TKT03021</t>
  </si>
  <si>
    <t>TKT03022</t>
  </si>
  <si>
    <t>TKT03023</t>
  </si>
  <si>
    <t>TKT03024</t>
  </si>
  <si>
    <t>TKT03025</t>
  </si>
  <si>
    <t>TKT03026</t>
  </si>
  <si>
    <t>TKT03027</t>
  </si>
  <si>
    <t>TKT03028</t>
  </si>
  <si>
    <t>TKT03029</t>
  </si>
  <si>
    <t>TKT03030</t>
  </si>
  <si>
    <t>TKT03031</t>
  </si>
  <si>
    <t>TKT03032</t>
  </si>
  <si>
    <t>TKT03033</t>
  </si>
  <si>
    <t>TKT03034</t>
  </si>
  <si>
    <t>TKT03035</t>
  </si>
  <si>
    <t>TKT03036</t>
  </si>
  <si>
    <t>TKT03037</t>
  </si>
  <si>
    <t>TKT03038</t>
  </si>
  <si>
    <t>TKT03039</t>
  </si>
  <si>
    <t>TKT03040</t>
  </si>
  <si>
    <t>TKT03041</t>
  </si>
  <si>
    <t>TKT03042</t>
  </si>
  <si>
    <t>TKT03043</t>
  </si>
  <si>
    <t>TKT03044</t>
  </si>
  <si>
    <t>TKT03045</t>
  </si>
  <si>
    <t>TKT03046</t>
  </si>
  <si>
    <t>TKT03047</t>
  </si>
  <si>
    <t>TKT03048</t>
  </si>
  <si>
    <t>TKT03049</t>
  </si>
  <si>
    <t>TKT03050</t>
  </si>
  <si>
    <t>TKT03051</t>
  </si>
  <si>
    <t>TKT03052</t>
  </si>
  <si>
    <t>TKT03053</t>
  </si>
  <si>
    <t>TKT03054</t>
  </si>
  <si>
    <t>TKT03055</t>
  </si>
  <si>
    <t>TKT03056</t>
  </si>
  <si>
    <t>TKT03057</t>
  </si>
  <si>
    <t>TKT03058</t>
  </si>
  <si>
    <t>TKT03059</t>
  </si>
  <si>
    <t>TKT03060</t>
  </si>
  <si>
    <t>TKT03061</t>
  </si>
  <si>
    <t>TKT03062</t>
  </si>
  <si>
    <t>TKT03063</t>
  </si>
  <si>
    <t>TKT03064</t>
  </si>
  <si>
    <t>TKT03065</t>
  </si>
  <si>
    <t>TKT03066</t>
  </si>
  <si>
    <t>TKT03067</t>
  </si>
  <si>
    <t>TKT03068</t>
  </si>
  <si>
    <t>TKT03069</t>
  </si>
  <si>
    <t>TKT03070</t>
  </si>
  <si>
    <t>TKT03071</t>
  </si>
  <si>
    <t>TKT03072</t>
  </si>
  <si>
    <t>TKT03073</t>
  </si>
  <si>
    <t>TKT03074</t>
  </si>
  <si>
    <t>TKT03075</t>
  </si>
  <si>
    <t>TKT03076</t>
  </si>
  <si>
    <t>TKT03077</t>
  </si>
  <si>
    <t>TKT03078</t>
  </si>
  <si>
    <t>TKT03079</t>
  </si>
  <si>
    <t>TKT03080</t>
  </si>
  <si>
    <t>TKT03081</t>
  </si>
  <si>
    <t>TKT03082</t>
  </si>
  <si>
    <t>TKT03083</t>
  </si>
  <si>
    <t>TKT03084</t>
  </si>
  <si>
    <t>TKT03085</t>
  </si>
  <si>
    <t>TKT03086</t>
  </si>
  <si>
    <t>TKT03087</t>
  </si>
  <si>
    <t>TKT03088</t>
  </si>
  <si>
    <t>TKT03089</t>
  </si>
  <si>
    <t>TKT03090</t>
  </si>
  <si>
    <t>TKT03091</t>
  </si>
  <si>
    <t>TKT03092</t>
  </si>
  <si>
    <t>TKT03093</t>
  </si>
  <si>
    <t>TKT03094</t>
  </si>
  <si>
    <t>TKT03095</t>
  </si>
  <si>
    <t>TKT03096</t>
  </si>
  <si>
    <t>TKT03097</t>
  </si>
  <si>
    <t>TKT03098</t>
  </si>
  <si>
    <t>TKT03099</t>
  </si>
  <si>
    <t>TKT03100</t>
  </si>
  <si>
    <t>TKT03101</t>
  </si>
  <si>
    <t>TKT03102</t>
  </si>
  <si>
    <t>TKT03103</t>
  </si>
  <si>
    <t>TKT03104</t>
  </si>
  <si>
    <t>TKT03105</t>
  </si>
  <si>
    <t>TKT03106</t>
  </si>
  <si>
    <t>TKT03107</t>
  </si>
  <si>
    <t>TKT03108</t>
  </si>
  <si>
    <t>TKT03109</t>
  </si>
  <si>
    <t>TKT03110</t>
  </si>
  <si>
    <t>TKT03111</t>
  </si>
  <si>
    <t>TKT03112</t>
  </si>
  <si>
    <t>TKT03113</t>
  </si>
  <si>
    <t>TKT03114</t>
  </si>
  <si>
    <t>TKT03115</t>
  </si>
  <si>
    <t>TKT03116</t>
  </si>
  <si>
    <t>TKT03117</t>
  </si>
  <si>
    <t>TKT03118</t>
  </si>
  <si>
    <t>TKT03119</t>
  </si>
  <si>
    <t>TKT03120</t>
  </si>
  <si>
    <t>TKT03121</t>
  </si>
  <si>
    <t>TKT03122</t>
  </si>
  <si>
    <t>TKT03123</t>
  </si>
  <si>
    <t>TKT03124</t>
  </si>
  <si>
    <t>TKT03125</t>
  </si>
  <si>
    <t>TKT03126</t>
  </si>
  <si>
    <t>TKT03127</t>
  </si>
  <si>
    <t>TKT03128</t>
  </si>
  <si>
    <t>TKT03129</t>
  </si>
  <si>
    <t>TKT03130</t>
  </si>
  <si>
    <t>TKT03131</t>
  </si>
  <si>
    <t>TKT03132</t>
  </si>
  <si>
    <t>TKT03133</t>
  </si>
  <si>
    <t>TKT03134</t>
  </si>
  <si>
    <t>TKT03135</t>
  </si>
  <si>
    <t>TKT03136</t>
  </si>
  <si>
    <t>TKT03137</t>
  </si>
  <si>
    <t>TKT03138</t>
  </si>
  <si>
    <t>TKT03139</t>
  </si>
  <si>
    <t>TKT03140</t>
  </si>
  <si>
    <t>TKT03141</t>
  </si>
  <si>
    <t>TKT03142</t>
  </si>
  <si>
    <t>TKT03143</t>
  </si>
  <si>
    <t>TKT03144</t>
  </si>
  <si>
    <t>TKT03145</t>
  </si>
  <si>
    <t>TKT03146</t>
  </si>
  <si>
    <t>TKT03147</t>
  </si>
  <si>
    <t>TKT03148</t>
  </si>
  <si>
    <t>TKT03149</t>
  </si>
  <si>
    <t>TKT03150</t>
  </si>
  <si>
    <t>TKT03151</t>
  </si>
  <si>
    <t>TKT03152</t>
  </si>
  <si>
    <t>TKT03153</t>
  </si>
  <si>
    <t>TKT03154</t>
  </si>
  <si>
    <t>TKT03155</t>
  </si>
  <si>
    <t>TKT03156</t>
  </si>
  <si>
    <t>TKT03157</t>
  </si>
  <si>
    <t>TKT03158</t>
  </si>
  <si>
    <t>TKT03159</t>
  </si>
  <si>
    <t>TKT03160</t>
  </si>
  <si>
    <t>TKT03161</t>
  </si>
  <si>
    <t>TKT03162</t>
  </si>
  <si>
    <t>TKT03163</t>
  </si>
  <si>
    <t>TKT03164</t>
  </si>
  <si>
    <t>TKT03165</t>
  </si>
  <si>
    <t>TKT03166</t>
  </si>
  <si>
    <t>TKT03167</t>
  </si>
  <si>
    <t>TKT03168</t>
  </si>
  <si>
    <t>TKT03169</t>
  </si>
  <si>
    <t>TKT03170</t>
  </si>
  <si>
    <t>TKT03171</t>
  </si>
  <si>
    <t>TKT03172</t>
  </si>
  <si>
    <t>TKT03173</t>
  </si>
  <si>
    <t>TKT03174</t>
  </si>
  <si>
    <t>TKT03175</t>
  </si>
  <si>
    <t>TKT03176</t>
  </si>
  <si>
    <t>TKT03177</t>
  </si>
  <si>
    <t>TKT03178</t>
  </si>
  <si>
    <t>TKT03179</t>
  </si>
  <si>
    <t>TKT03180</t>
  </si>
  <si>
    <t>TKT03181</t>
  </si>
  <si>
    <t>TKT03182</t>
  </si>
  <si>
    <t>TKT03183</t>
  </si>
  <si>
    <t>TKT03184</t>
  </si>
  <si>
    <t>TKT03185</t>
  </si>
  <si>
    <t>TKT03186</t>
  </si>
  <si>
    <t>TKT03187</t>
  </si>
  <si>
    <t>TKT03188</t>
  </si>
  <si>
    <t>TKT03189</t>
  </si>
  <si>
    <t>TKT03190</t>
  </si>
  <si>
    <t>TKT03191</t>
  </si>
  <si>
    <t>TKT03192</t>
  </si>
  <si>
    <t>TKT03193</t>
  </si>
  <si>
    <t>TKT03194</t>
  </si>
  <si>
    <t>TKT03195</t>
  </si>
  <si>
    <t>TKT03196</t>
  </si>
  <si>
    <t>TKT03197</t>
  </si>
  <si>
    <t>TKT03198</t>
  </si>
  <si>
    <t>TKT03199</t>
  </si>
  <si>
    <t>TKT03200</t>
  </si>
  <si>
    <t>TKT03201</t>
  </si>
  <si>
    <t>TKT03202</t>
  </si>
  <si>
    <t>TKT03203</t>
  </si>
  <si>
    <t>TKT03204</t>
  </si>
  <si>
    <t>TKT03205</t>
  </si>
  <si>
    <t>TKT03206</t>
  </si>
  <si>
    <t>TKT03207</t>
  </si>
  <si>
    <t>TKT03208</t>
  </si>
  <si>
    <t>TKT03209</t>
  </si>
  <si>
    <t>TKT03210</t>
  </si>
  <si>
    <t>TKT03211</t>
  </si>
  <si>
    <t>TKT03212</t>
  </si>
  <si>
    <t>TKT03213</t>
  </si>
  <si>
    <t>TKT03214</t>
  </si>
  <si>
    <t>TKT03215</t>
  </si>
  <si>
    <t>TKT03216</t>
  </si>
  <si>
    <t>TKT03217</t>
  </si>
  <si>
    <t>TKT03218</t>
  </si>
  <si>
    <t>TKT03219</t>
  </si>
  <si>
    <t>TKT03220</t>
  </si>
  <si>
    <t>TKT03221</t>
  </si>
  <si>
    <t>TKT03222</t>
  </si>
  <si>
    <t>TKT03223</t>
  </si>
  <si>
    <t>TKT03224</t>
  </si>
  <si>
    <t>TKT03225</t>
  </si>
  <si>
    <t>TKT03226</t>
  </si>
  <si>
    <t>TKT03227</t>
  </si>
  <si>
    <t>TKT03228</t>
  </si>
  <si>
    <t>TKT03229</t>
  </si>
  <si>
    <t>TKT03230</t>
  </si>
  <si>
    <t>TKT03231</t>
  </si>
  <si>
    <t>TKT03232</t>
  </si>
  <si>
    <t>TKT03233</t>
  </si>
  <si>
    <t>TKT03234</t>
  </si>
  <si>
    <t>TKT03235</t>
  </si>
  <si>
    <t>TKT03236</t>
  </si>
  <si>
    <t>TKT03237</t>
  </si>
  <si>
    <t>TKT03238</t>
  </si>
  <si>
    <t>TKT03239</t>
  </si>
  <si>
    <t>TKT03240</t>
  </si>
  <si>
    <t>TKT03241</t>
  </si>
  <si>
    <t>TKT03242</t>
  </si>
  <si>
    <t>TKT03243</t>
  </si>
  <si>
    <t>TKT03244</t>
  </si>
  <si>
    <t>TKT03245</t>
  </si>
  <si>
    <t>TKT03246</t>
  </si>
  <si>
    <t>TKT03247</t>
  </si>
  <si>
    <t>TKT03248</t>
  </si>
  <si>
    <t>TKT03249</t>
  </si>
  <si>
    <t>TKT03250</t>
  </si>
  <si>
    <t>TKT03251</t>
  </si>
  <si>
    <t>TKT03252</t>
  </si>
  <si>
    <t>TKT03253</t>
  </si>
  <si>
    <t>TKT03254</t>
  </si>
  <si>
    <t>TKT03255</t>
  </si>
  <si>
    <t>TKT03256</t>
  </si>
  <si>
    <t>TKT03257</t>
  </si>
  <si>
    <t>TKT03258</t>
  </si>
  <si>
    <t>TKT03259</t>
  </si>
  <si>
    <t>TKT03260</t>
  </si>
  <si>
    <t>TKT03261</t>
  </si>
  <si>
    <t>TKT03262</t>
  </si>
  <si>
    <t>TKT03263</t>
  </si>
  <si>
    <t>TKT03264</t>
  </si>
  <si>
    <t>TKT03265</t>
  </si>
  <si>
    <t>TKT03266</t>
  </si>
  <si>
    <t>TKT03267</t>
  </si>
  <si>
    <t>TKT03268</t>
  </si>
  <si>
    <t>TKT03269</t>
  </si>
  <si>
    <t>TKT03270</t>
  </si>
  <si>
    <t>TKT03271</t>
  </si>
  <si>
    <t>TKT03272</t>
  </si>
  <si>
    <t>TKT03273</t>
  </si>
  <si>
    <t>TKT03274</t>
  </si>
  <si>
    <t>TKT03275</t>
  </si>
  <si>
    <t>TKT03276</t>
  </si>
  <si>
    <t>TKT03277</t>
  </si>
  <si>
    <t>TKT03278</t>
  </si>
  <si>
    <t>TKT03279</t>
  </si>
  <si>
    <t>TKT03280</t>
  </si>
  <si>
    <t>TKT03281</t>
  </si>
  <si>
    <t>TKT03282</t>
  </si>
  <si>
    <t>TKT03283</t>
  </si>
  <si>
    <t>TKT03284</t>
  </si>
  <si>
    <t>TKT03285</t>
  </si>
  <si>
    <t>TKT03286</t>
  </si>
  <si>
    <t>TKT03287</t>
  </si>
  <si>
    <t>TKT03288</t>
  </si>
  <si>
    <t>TKT03289</t>
  </si>
  <si>
    <t>TKT03290</t>
  </si>
  <si>
    <t>TKT03291</t>
  </si>
  <si>
    <t>TKT03292</t>
  </si>
  <si>
    <t>TKT03293</t>
  </si>
  <si>
    <t>TKT03294</t>
  </si>
  <si>
    <t>TKT03295</t>
  </si>
  <si>
    <t>TKT03296</t>
  </si>
  <si>
    <t>TKT03297</t>
  </si>
  <si>
    <t>TKT03298</t>
  </si>
  <si>
    <t>TKT03299</t>
  </si>
  <si>
    <t>TKT03300</t>
  </si>
  <si>
    <t>TKT03301</t>
  </si>
  <si>
    <t>TKT03302</t>
  </si>
  <si>
    <t>TKT03303</t>
  </si>
  <si>
    <t>TKT03304</t>
  </si>
  <si>
    <t>TKT03305</t>
  </si>
  <si>
    <t>TKT03306</t>
  </si>
  <si>
    <t>TKT03307</t>
  </si>
  <si>
    <t>TKT03308</t>
  </si>
  <si>
    <t>TKT03309</t>
  </si>
  <si>
    <t>TKT03310</t>
  </si>
  <si>
    <t>TKT03311</t>
  </si>
  <si>
    <t>TKT03312</t>
  </si>
  <si>
    <t>TKT03313</t>
  </si>
  <si>
    <t>TKT03314</t>
  </si>
  <si>
    <t>TKT03315</t>
  </si>
  <si>
    <t>TKT03316</t>
  </si>
  <si>
    <t>TKT03317</t>
  </si>
  <si>
    <t>TKT03318</t>
  </si>
  <si>
    <t>TKT03319</t>
  </si>
  <si>
    <t>TKT03320</t>
  </si>
  <si>
    <t>TKT03321</t>
  </si>
  <si>
    <t>TKT03322</t>
  </si>
  <si>
    <t>TKT03323</t>
  </si>
  <si>
    <t>TKT03324</t>
  </si>
  <si>
    <t>TKT03325</t>
  </si>
  <si>
    <t>TKT03326</t>
  </si>
  <si>
    <t>TKT03327</t>
  </si>
  <si>
    <t>TKT03328</t>
  </si>
  <si>
    <t>TKT03329</t>
  </si>
  <si>
    <t>TKT03330</t>
  </si>
  <si>
    <t>TKT03331</t>
  </si>
  <si>
    <t>TKT03332</t>
  </si>
  <si>
    <t>TKT03333</t>
  </si>
  <si>
    <t>TKT03334</t>
  </si>
  <si>
    <t>TKT03335</t>
  </si>
  <si>
    <t>TKT03336</t>
  </si>
  <si>
    <t>TKT03337</t>
  </si>
  <si>
    <t>TKT03338</t>
  </si>
  <si>
    <t>TKT03339</t>
  </si>
  <si>
    <t>TKT03340</t>
  </si>
  <si>
    <t>TKT03341</t>
  </si>
  <si>
    <t>TKT03342</t>
  </si>
  <si>
    <t>TKT03343</t>
  </si>
  <si>
    <t>TKT03344</t>
  </si>
  <si>
    <t>TKT03345</t>
  </si>
  <si>
    <t>TKT03346</t>
  </si>
  <si>
    <t>TKT03347</t>
  </si>
  <si>
    <t>TKT03348</t>
  </si>
  <si>
    <t>TKT03349</t>
  </si>
  <si>
    <t>TKT03350</t>
  </si>
  <si>
    <t>TKT03351</t>
  </si>
  <si>
    <t>TKT03352</t>
  </si>
  <si>
    <t>TKT03353</t>
  </si>
  <si>
    <t>TKT03354</t>
  </si>
  <si>
    <t>TKT03355</t>
  </si>
  <si>
    <t>TKT03356</t>
  </si>
  <si>
    <t>TKT03357</t>
  </si>
  <si>
    <t>TKT03358</t>
  </si>
  <si>
    <t>TKT03359</t>
  </si>
  <si>
    <t>TKT03360</t>
  </si>
  <si>
    <t>TKT03361</t>
  </si>
  <si>
    <t>TKT03362</t>
  </si>
  <si>
    <t>TKT03363</t>
  </si>
  <si>
    <t>TKT03364</t>
  </si>
  <si>
    <t>TKT03365</t>
  </si>
  <si>
    <t>TKT03366</t>
  </si>
  <si>
    <t>TKT03367</t>
  </si>
  <si>
    <t>TKT03368</t>
  </si>
  <si>
    <t>TKT03369</t>
  </si>
  <si>
    <t>TKT03370</t>
  </si>
  <si>
    <t>TKT03371</t>
  </si>
  <si>
    <t>TKT03372</t>
  </si>
  <si>
    <t>TKT03373</t>
  </si>
  <si>
    <t>TKT03374</t>
  </si>
  <si>
    <t>TKT03375</t>
  </si>
  <si>
    <t>TKT03376</t>
  </si>
  <si>
    <t>TKT03377</t>
  </si>
  <si>
    <t>TKT03378</t>
  </si>
  <si>
    <t>TKT03379</t>
  </si>
  <si>
    <t>TKT03380</t>
  </si>
  <si>
    <t>TKT03381</t>
  </si>
  <si>
    <t>TKT03382</t>
  </si>
  <si>
    <t>TKT03383</t>
  </si>
  <si>
    <t>TKT03384</t>
  </si>
  <si>
    <t>TKT03385</t>
  </si>
  <si>
    <t>TKT03386</t>
  </si>
  <si>
    <t>TKT03387</t>
  </si>
  <si>
    <t>TKT03388</t>
  </si>
  <si>
    <t>TKT03389</t>
  </si>
  <si>
    <t>TKT03390</t>
  </si>
  <si>
    <t>TKT03391</t>
  </si>
  <si>
    <t>TKT03392</t>
  </si>
  <si>
    <t>TKT03393</t>
  </si>
  <si>
    <t>TKT03394</t>
  </si>
  <si>
    <t>TKT03395</t>
  </si>
  <si>
    <t>TKT03396</t>
  </si>
  <si>
    <t>TKT03397</t>
  </si>
  <si>
    <t>TKT03398</t>
  </si>
  <si>
    <t>TKT03399</t>
  </si>
  <si>
    <t>TKT03400</t>
  </si>
  <si>
    <t>TKT03401</t>
  </si>
  <si>
    <t>TKT03402</t>
  </si>
  <si>
    <t>TKT03403</t>
  </si>
  <si>
    <t>TKT03404</t>
  </si>
  <si>
    <t>TKT03405</t>
  </si>
  <si>
    <t>TKT03406</t>
  </si>
  <si>
    <t>TKT03407</t>
  </si>
  <si>
    <t>TKT03408</t>
  </si>
  <si>
    <t>TKT03409</t>
  </si>
  <si>
    <t>TKT03410</t>
  </si>
  <si>
    <t>TKT03411</t>
  </si>
  <si>
    <t>TKT03412</t>
  </si>
  <si>
    <t>TKT03413</t>
  </si>
  <si>
    <t>TKT03414</t>
  </si>
  <si>
    <t>TKT03415</t>
  </si>
  <si>
    <t>TKT03416</t>
  </si>
  <si>
    <t>TKT03417</t>
  </si>
  <si>
    <t>TKT03418</t>
  </si>
  <si>
    <t>TKT03419</t>
  </si>
  <si>
    <t>TKT03420</t>
  </si>
  <si>
    <t>TKT03421</t>
  </si>
  <si>
    <t>TKT03422</t>
  </si>
  <si>
    <t>TKT03423</t>
  </si>
  <si>
    <t>TKT03424</t>
  </si>
  <si>
    <t>TKT03425</t>
  </si>
  <si>
    <t>TKT03426</t>
  </si>
  <si>
    <t>TKT03427</t>
  </si>
  <si>
    <t>TKT03428</t>
  </si>
  <si>
    <t>TKT03429</t>
  </si>
  <si>
    <t>TKT03430</t>
  </si>
  <si>
    <t>TKT03431</t>
  </si>
  <si>
    <t>TKT03432</t>
  </si>
  <si>
    <t>TKT03433</t>
  </si>
  <si>
    <t>TKT03434</t>
  </si>
  <si>
    <t>TKT03435</t>
  </si>
  <si>
    <t>TKT03436</t>
  </si>
  <si>
    <t>TKT03437</t>
  </si>
  <si>
    <t>TKT03438</t>
  </si>
  <si>
    <t>TKT03439</t>
  </si>
  <si>
    <t>TKT03440</t>
  </si>
  <si>
    <t>TKT03441</t>
  </si>
  <si>
    <t>TKT03442</t>
  </si>
  <si>
    <t>TKT03443</t>
  </si>
  <si>
    <t>TKT03444</t>
  </si>
  <si>
    <t>TKT03445</t>
  </si>
  <si>
    <t>TKT03446</t>
  </si>
  <si>
    <t>TKT03447</t>
  </si>
  <si>
    <t>TKT03448</t>
  </si>
  <si>
    <t>TKT03449</t>
  </si>
  <si>
    <t>TKT03450</t>
  </si>
  <si>
    <t>TKT03451</t>
  </si>
  <si>
    <t>TKT03452</t>
  </si>
  <si>
    <t>TKT03453</t>
  </si>
  <si>
    <t>TKT03454</t>
  </si>
  <si>
    <t>TKT03455</t>
  </si>
  <si>
    <t>TKT03456</t>
  </si>
  <si>
    <t>TKT03457</t>
  </si>
  <si>
    <t>TKT03458</t>
  </si>
  <si>
    <t>TKT03459</t>
  </si>
  <si>
    <t>TKT03460</t>
  </si>
  <si>
    <t>TKT03461</t>
  </si>
  <si>
    <t>TKT03462</t>
  </si>
  <si>
    <t>TKT03463</t>
  </si>
  <si>
    <t>TKT03464</t>
  </si>
  <si>
    <t>TKT03465</t>
  </si>
  <si>
    <t>TKT03466</t>
  </si>
  <si>
    <t>TKT03467</t>
  </si>
  <si>
    <t>TKT03468</t>
  </si>
  <si>
    <t>TKT03469</t>
  </si>
  <si>
    <t>TKT03470</t>
  </si>
  <si>
    <t>TKT03471</t>
  </si>
  <si>
    <t>TKT03472</t>
  </si>
  <si>
    <t>TKT03473</t>
  </si>
  <si>
    <t>TKT03474</t>
  </si>
  <si>
    <t>TKT03475</t>
  </si>
  <si>
    <t>TKT03476</t>
  </si>
  <si>
    <t>TKT03477</t>
  </si>
  <si>
    <t>TKT03478</t>
  </si>
  <si>
    <t>TKT03479</t>
  </si>
  <si>
    <t>TKT03480</t>
  </si>
  <si>
    <t>TKT03481</t>
  </si>
  <si>
    <t>TKT03482</t>
  </si>
  <si>
    <t>TKT03483</t>
  </si>
  <si>
    <t>TKT03484</t>
  </si>
  <si>
    <t>TKT03485</t>
  </si>
  <si>
    <t>TKT03486</t>
  </si>
  <si>
    <t>TKT03487</t>
  </si>
  <si>
    <t>TKT03488</t>
  </si>
  <si>
    <t>TKT03489</t>
  </si>
  <si>
    <t>TKT03490</t>
  </si>
  <si>
    <t>TKT03491</t>
  </si>
  <si>
    <t>TKT03492</t>
  </si>
  <si>
    <t>TKT03493</t>
  </si>
  <si>
    <t>TKT03494</t>
  </si>
  <si>
    <t>TKT03495</t>
  </si>
  <si>
    <t>TKT03496</t>
  </si>
  <si>
    <t>TKT03497</t>
  </si>
  <si>
    <t>TKT03498</t>
  </si>
  <si>
    <t>TKT03499</t>
  </si>
  <si>
    <t>TKT03500</t>
  </si>
  <si>
    <t>TKT03501</t>
  </si>
  <si>
    <t>TKT03502</t>
  </si>
  <si>
    <t>TKT03503</t>
  </si>
  <si>
    <t>TKT03504</t>
  </si>
  <si>
    <t>TKT03505</t>
  </si>
  <si>
    <t>TKT03506</t>
  </si>
  <si>
    <t>TKT03507</t>
  </si>
  <si>
    <t>TKT03508</t>
  </si>
  <si>
    <t>TKT03509</t>
  </si>
  <si>
    <t>TKT03510</t>
  </si>
  <si>
    <t>TKT03511</t>
  </si>
  <si>
    <t>TKT03512</t>
  </si>
  <si>
    <t>TKT03513</t>
  </si>
  <si>
    <t>TKT03514</t>
  </si>
  <si>
    <t>TKT03515</t>
  </si>
  <si>
    <t>TKT03516</t>
  </si>
  <si>
    <t>TKT03517</t>
  </si>
  <si>
    <t>TKT03518</t>
  </si>
  <si>
    <t>TKT03519</t>
  </si>
  <si>
    <t>TKT03520</t>
  </si>
  <si>
    <t>TKT03521</t>
  </si>
  <si>
    <t>TKT03522</t>
  </si>
  <si>
    <t>TKT03523</t>
  </si>
  <si>
    <t>TKT03524</t>
  </si>
  <si>
    <t>TKT03525</t>
  </si>
  <si>
    <t>TKT03526</t>
  </si>
  <si>
    <t>TKT03527</t>
  </si>
  <si>
    <t>TKT03528</t>
  </si>
  <si>
    <t>TKT03529</t>
  </si>
  <si>
    <t>TKT03530</t>
  </si>
  <si>
    <t>TKT03531</t>
  </si>
  <si>
    <t>TKT03532</t>
  </si>
  <si>
    <t>TKT03533</t>
  </si>
  <si>
    <t>TKT03534</t>
  </si>
  <si>
    <t>TKT03535</t>
  </si>
  <si>
    <t>TKT03536</t>
  </si>
  <si>
    <t>TKT03537</t>
  </si>
  <si>
    <t>TKT03538</t>
  </si>
  <si>
    <t>TKT03539</t>
  </si>
  <si>
    <t>TKT03540</t>
  </si>
  <si>
    <t>TKT03541</t>
  </si>
  <si>
    <t>TKT03542</t>
  </si>
  <si>
    <t>TKT03543</t>
  </si>
  <si>
    <t>TKT03544</t>
  </si>
  <si>
    <t>TKT03545</t>
  </si>
  <si>
    <t>TKT03546</t>
  </si>
  <si>
    <t>TKT03547</t>
  </si>
  <si>
    <t>TKT03548</t>
  </si>
  <si>
    <t>TKT03549</t>
  </si>
  <si>
    <t>TKT03550</t>
  </si>
  <si>
    <t>TKT03551</t>
  </si>
  <si>
    <t>TKT03552</t>
  </si>
  <si>
    <t>TKT03553</t>
  </si>
  <si>
    <t>TKT03554</t>
  </si>
  <si>
    <t>TKT03555</t>
  </si>
  <si>
    <t>TKT03556</t>
  </si>
  <si>
    <t>TKT03557</t>
  </si>
  <si>
    <t>TKT03558</t>
  </si>
  <si>
    <t>TKT03559</t>
  </si>
  <si>
    <t>TKT03560</t>
  </si>
  <si>
    <t>TKT03561</t>
  </si>
  <si>
    <t>TKT03562</t>
  </si>
  <si>
    <t>TKT03563</t>
  </si>
  <si>
    <t>TKT03564</t>
  </si>
  <si>
    <t>TKT03565</t>
  </si>
  <si>
    <t>TKT03566</t>
  </si>
  <si>
    <t>TKT03567</t>
  </si>
  <si>
    <t>TKT03568</t>
  </si>
  <si>
    <t>TKT03569</t>
  </si>
  <si>
    <t>TKT03570</t>
  </si>
  <si>
    <t>TKT03571</t>
  </si>
  <si>
    <t>TKT03572</t>
  </si>
  <si>
    <t>TKT03573</t>
  </si>
  <si>
    <t>TKT03574</t>
  </si>
  <si>
    <t>TKT03575</t>
  </si>
  <si>
    <t>TKT03576</t>
  </si>
  <si>
    <t>TKT03577</t>
  </si>
  <si>
    <t>TKT03578</t>
  </si>
  <si>
    <t>TKT03579</t>
  </si>
  <si>
    <t>TKT03580</t>
  </si>
  <si>
    <t>TKT03581</t>
  </si>
  <si>
    <t>TKT03582</t>
  </si>
  <si>
    <t>TKT03583</t>
  </si>
  <si>
    <t>TKT03584</t>
  </si>
  <si>
    <t>TKT03585</t>
  </si>
  <si>
    <t>TKT03586</t>
  </si>
  <si>
    <t>TKT03587</t>
  </si>
  <si>
    <t>TKT03588</t>
  </si>
  <si>
    <t>TKT03589</t>
  </si>
  <si>
    <t>TKT03590</t>
  </si>
  <si>
    <t>TKT03591</t>
  </si>
  <si>
    <t>TKT03592</t>
  </si>
  <si>
    <t>TKT03593</t>
  </si>
  <si>
    <t>TKT03594</t>
  </si>
  <si>
    <t>TKT03595</t>
  </si>
  <si>
    <t>TKT03596</t>
  </si>
  <si>
    <t>TKT03597</t>
  </si>
  <si>
    <t>TKT03598</t>
  </si>
  <si>
    <t>TKT03599</t>
  </si>
  <si>
    <t>TKT03600</t>
  </si>
  <si>
    <t>TKT03601</t>
  </si>
  <si>
    <t>TKT03602</t>
  </si>
  <si>
    <t>TKT03603</t>
  </si>
  <si>
    <t>TKT03604</t>
  </si>
  <si>
    <t>TKT03605</t>
  </si>
  <si>
    <t>TKT03606</t>
  </si>
  <si>
    <t>TKT03607</t>
  </si>
  <si>
    <t>TKT03608</t>
  </si>
  <si>
    <t>TKT03609</t>
  </si>
  <si>
    <t>TKT03610</t>
  </si>
  <si>
    <t>TKT03611</t>
  </si>
  <si>
    <t>TKT03612</t>
  </si>
  <si>
    <t>TKT03613</t>
  </si>
  <si>
    <t>TKT03614</t>
  </si>
  <si>
    <t>TKT03615</t>
  </si>
  <si>
    <t>TKT03616</t>
  </si>
  <si>
    <t>TKT03617</t>
  </si>
  <si>
    <t>TKT03618</t>
  </si>
  <si>
    <t>TKT03619</t>
  </si>
  <si>
    <t>TKT03620</t>
  </si>
  <si>
    <t>TKT03621</t>
  </si>
  <si>
    <t>TKT03622</t>
  </si>
  <si>
    <t>TKT03623</t>
  </si>
  <si>
    <t>TKT03624</t>
  </si>
  <si>
    <t>TKT03625</t>
  </si>
  <si>
    <t>TKT03626</t>
  </si>
  <si>
    <t>TKT03627</t>
  </si>
  <si>
    <t>TKT03628</t>
  </si>
  <si>
    <t>TKT03629</t>
  </si>
  <si>
    <t>TKT03630</t>
  </si>
  <si>
    <t>TKT03631</t>
  </si>
  <si>
    <t>TKT03632</t>
  </si>
  <si>
    <t>TKT03633</t>
  </si>
  <si>
    <t>TKT03634</t>
  </si>
  <si>
    <t>TKT03635</t>
  </si>
  <si>
    <t>TKT03636</t>
  </si>
  <si>
    <t>TKT03637</t>
  </si>
  <si>
    <t>TKT03638</t>
  </si>
  <si>
    <t>TKT03639</t>
  </si>
  <si>
    <t>TKT03640</t>
  </si>
  <si>
    <t>TKT03641</t>
  </si>
  <si>
    <t>TKT03642</t>
  </si>
  <si>
    <t>TKT03643</t>
  </si>
  <si>
    <t>TKT03644</t>
  </si>
  <si>
    <t>TKT03645</t>
  </si>
  <si>
    <t>TKT03646</t>
  </si>
  <si>
    <t>TKT03647</t>
  </si>
  <si>
    <t>TKT03648</t>
  </si>
  <si>
    <t>TKT03649</t>
  </si>
  <si>
    <t>TKT03650</t>
  </si>
  <si>
    <t>TKT03651</t>
  </si>
  <si>
    <t>TKT03652</t>
  </si>
  <si>
    <t>TKT03653</t>
  </si>
  <si>
    <t>TKT03654</t>
  </si>
  <si>
    <t>TKT03655</t>
  </si>
  <si>
    <t>TKT03656</t>
  </si>
  <si>
    <t>TKT03657</t>
  </si>
  <si>
    <t>TKT03658</t>
  </si>
  <si>
    <t>TKT03659</t>
  </si>
  <si>
    <t>TKT03660</t>
  </si>
  <si>
    <t>TKT03661</t>
  </si>
  <si>
    <t>TKT03662</t>
  </si>
  <si>
    <t>TKT03663</t>
  </si>
  <si>
    <t>TKT03664</t>
  </si>
  <si>
    <t>TKT03665</t>
  </si>
  <si>
    <t>TKT03666</t>
  </si>
  <si>
    <t>TKT03667</t>
  </si>
  <si>
    <t>TKT03668</t>
  </si>
  <si>
    <t>TKT03669</t>
  </si>
  <si>
    <t>TKT03670</t>
  </si>
  <si>
    <t>TKT03671</t>
  </si>
  <si>
    <t>TKT03672</t>
  </si>
  <si>
    <t>TKT03673</t>
  </si>
  <si>
    <t>TKT03674</t>
  </si>
  <si>
    <t>TKT03675</t>
  </si>
  <si>
    <t>TKT03676</t>
  </si>
  <si>
    <t>TKT03677</t>
  </si>
  <si>
    <t>TKT03678</t>
  </si>
  <si>
    <t>TKT03679</t>
  </si>
  <si>
    <t>TKT03680</t>
  </si>
  <si>
    <t>TKT03681</t>
  </si>
  <si>
    <t>TKT03682</t>
  </si>
  <si>
    <t>TKT03683</t>
  </si>
  <si>
    <t>TKT03684</t>
  </si>
  <si>
    <t>TKT03685</t>
  </si>
  <si>
    <t>TKT03686</t>
  </si>
  <si>
    <t>TKT03687</t>
  </si>
  <si>
    <t>TKT03688</t>
  </si>
  <si>
    <t>TKT03689</t>
  </si>
  <si>
    <t>TKT03690</t>
  </si>
  <si>
    <t>TKT03691</t>
  </si>
  <si>
    <t>TKT03692</t>
  </si>
  <si>
    <t>TKT03693</t>
  </si>
  <si>
    <t>TKT03694</t>
  </si>
  <si>
    <t>TKT03695</t>
  </si>
  <si>
    <t>TKT03696</t>
  </si>
  <si>
    <t>TKT03697</t>
  </si>
  <si>
    <t>TKT03698</t>
  </si>
  <si>
    <t>TKT03699</t>
  </si>
  <si>
    <t>TKT03700</t>
  </si>
  <si>
    <t>TKT03701</t>
  </si>
  <si>
    <t>TKT03702</t>
  </si>
  <si>
    <t>TKT03703</t>
  </si>
  <si>
    <t>TKT03704</t>
  </si>
  <si>
    <t>TKT03705</t>
  </si>
  <si>
    <t>TKT03706</t>
  </si>
  <si>
    <t>TKT03707</t>
  </si>
  <si>
    <t>TKT03708</t>
  </si>
  <si>
    <t>TKT03709</t>
  </si>
  <si>
    <t>TKT03710</t>
  </si>
  <si>
    <t>TKT03711</t>
  </si>
  <si>
    <t>TKT03712</t>
  </si>
  <si>
    <t>TKT03713</t>
  </si>
  <si>
    <t>TKT03714</t>
  </si>
  <si>
    <t>TKT03715</t>
  </si>
  <si>
    <t>TKT03716</t>
  </si>
  <si>
    <t>TKT03717</t>
  </si>
  <si>
    <t>TKT03718</t>
  </si>
  <si>
    <t>TKT03719</t>
  </si>
  <si>
    <t>TKT03720</t>
  </si>
  <si>
    <t>TKT03721</t>
  </si>
  <si>
    <t>TKT03722</t>
  </si>
  <si>
    <t>TKT03723</t>
  </si>
  <si>
    <t>TKT03724</t>
  </si>
  <si>
    <t>TKT03725</t>
  </si>
  <si>
    <t>TKT03726</t>
  </si>
  <si>
    <t>TKT03727</t>
  </si>
  <si>
    <t>TKT03728</t>
  </si>
  <si>
    <t>TKT03729</t>
  </si>
  <si>
    <t>TKT03730</t>
  </si>
  <si>
    <t>TKT03731</t>
  </si>
  <si>
    <t>TKT03732</t>
  </si>
  <si>
    <t>TKT03733</t>
  </si>
  <si>
    <t>TKT03734</t>
  </si>
  <si>
    <t>TKT03735</t>
  </si>
  <si>
    <t>TKT03736</t>
  </si>
  <si>
    <t>TKT03737</t>
  </si>
  <si>
    <t>TKT03738</t>
  </si>
  <si>
    <t>TKT03739</t>
  </si>
  <si>
    <t>TKT03740</t>
  </si>
  <si>
    <t>TKT03741</t>
  </si>
  <si>
    <t>TKT03742</t>
  </si>
  <si>
    <t>TKT03743</t>
  </si>
  <si>
    <t>TKT03744</t>
  </si>
  <si>
    <t>TKT03745</t>
  </si>
  <si>
    <t>TKT03746</t>
  </si>
  <si>
    <t>TKT03747</t>
  </si>
  <si>
    <t>TKT03748</t>
  </si>
  <si>
    <t>TKT03749</t>
  </si>
  <si>
    <t>TKT03750</t>
  </si>
  <si>
    <t>TKT03751</t>
  </si>
  <si>
    <t>TKT03752</t>
  </si>
  <si>
    <t>TKT03753</t>
  </si>
  <si>
    <t>TKT03754</t>
  </si>
  <si>
    <t>TKT03755</t>
  </si>
  <si>
    <t>TKT03756</t>
  </si>
  <si>
    <t>TKT03757</t>
  </si>
  <si>
    <t>TKT03758</t>
  </si>
  <si>
    <t>TKT03759</t>
  </si>
  <si>
    <t>TKT03760</t>
  </si>
  <si>
    <t>TKT03761</t>
  </si>
  <si>
    <t>TKT03762</t>
  </si>
  <si>
    <t>TKT03763</t>
  </si>
  <si>
    <t>TKT03764</t>
  </si>
  <si>
    <t>TKT03765</t>
  </si>
  <si>
    <t>TKT03766</t>
  </si>
  <si>
    <t>TKT03767</t>
  </si>
  <si>
    <t>TKT03768</t>
  </si>
  <si>
    <t>TKT03769</t>
  </si>
  <si>
    <t>TKT03770</t>
  </si>
  <si>
    <t>TKT03771</t>
  </si>
  <si>
    <t>TKT03772</t>
  </si>
  <si>
    <t>TKT03773</t>
  </si>
  <si>
    <t>TKT03774</t>
  </si>
  <si>
    <t>TKT03775</t>
  </si>
  <si>
    <t>TKT03776</t>
  </si>
  <si>
    <t>TKT03777</t>
  </si>
  <si>
    <t>TKT03778</t>
  </si>
  <si>
    <t>TKT03779</t>
  </si>
  <si>
    <t>TKT03780</t>
  </si>
  <si>
    <t>TKT03781</t>
  </si>
  <si>
    <t>TKT03782</t>
  </si>
  <si>
    <t>TKT03783</t>
  </si>
  <si>
    <t>TKT03784</t>
  </si>
  <si>
    <t>TKT03785</t>
  </si>
  <si>
    <t>TKT03786</t>
  </si>
  <si>
    <t>TKT03787</t>
  </si>
  <si>
    <t>TKT03788</t>
  </si>
  <si>
    <t>TKT03789</t>
  </si>
  <si>
    <t>TKT03790</t>
  </si>
  <si>
    <t>TKT03791</t>
  </si>
  <si>
    <t>TKT03792</t>
  </si>
  <si>
    <t>TKT03793</t>
  </si>
  <si>
    <t>TKT03794</t>
  </si>
  <si>
    <t>TKT03795</t>
  </si>
  <si>
    <t>TKT03796</t>
  </si>
  <si>
    <t>TKT03797</t>
  </si>
  <si>
    <t>TKT03798</t>
  </si>
  <si>
    <t>TKT03799</t>
  </si>
  <si>
    <t>TKT03800</t>
  </si>
  <si>
    <t>TKT03801</t>
  </si>
  <si>
    <t>TKT03802</t>
  </si>
  <si>
    <t>TKT03803</t>
  </si>
  <si>
    <t>TKT03804</t>
  </si>
  <si>
    <t>TKT03805</t>
  </si>
  <si>
    <t>TKT03806</t>
  </si>
  <si>
    <t>TKT03807</t>
  </si>
  <si>
    <t>TKT03808</t>
  </si>
  <si>
    <t>TKT03809</t>
  </si>
  <si>
    <t>TKT03810</t>
  </si>
  <si>
    <t>TKT03811</t>
  </si>
  <si>
    <t>TKT03812</t>
  </si>
  <si>
    <t>TKT03813</t>
  </si>
  <si>
    <t>TKT03814</t>
  </si>
  <si>
    <t>TKT03815</t>
  </si>
  <si>
    <t>TKT03816</t>
  </si>
  <si>
    <t>TKT03817</t>
  </si>
  <si>
    <t>TKT03818</t>
  </si>
  <si>
    <t>TKT03819</t>
  </si>
  <si>
    <t>TKT03820</t>
  </si>
  <si>
    <t>TKT03821</t>
  </si>
  <si>
    <t>TKT03822</t>
  </si>
  <si>
    <t>TKT03823</t>
  </si>
  <si>
    <t>TKT03824</t>
  </si>
  <si>
    <t>TKT03825</t>
  </si>
  <si>
    <t>TKT03826</t>
  </si>
  <si>
    <t>TKT03827</t>
  </si>
  <si>
    <t>TKT03828</t>
  </si>
  <si>
    <t>TKT03829</t>
  </si>
  <si>
    <t>TKT03830</t>
  </si>
  <si>
    <t>TKT03831</t>
  </si>
  <si>
    <t>TKT03832</t>
  </si>
  <si>
    <t>TKT03833</t>
  </si>
  <si>
    <t>TKT03834</t>
  </si>
  <si>
    <t>TKT03835</t>
  </si>
  <si>
    <t>TKT03836</t>
  </si>
  <si>
    <t>TKT03837</t>
  </si>
  <si>
    <t>TKT03838</t>
  </si>
  <si>
    <t>TKT03839</t>
  </si>
  <si>
    <t>TKT03840</t>
  </si>
  <si>
    <t>TKT03841</t>
  </si>
  <si>
    <t>TKT03842</t>
  </si>
  <si>
    <t>TKT03843</t>
  </si>
  <si>
    <t>TKT03844</t>
  </si>
  <si>
    <t>TKT03845</t>
  </si>
  <si>
    <t>TKT03846</t>
  </si>
  <si>
    <t>TKT03847</t>
  </si>
  <si>
    <t>TKT03848</t>
  </si>
  <si>
    <t>TKT03849</t>
  </si>
  <si>
    <t>TKT03850</t>
  </si>
  <si>
    <t>TKT03851</t>
  </si>
  <si>
    <t>TKT03852</t>
  </si>
  <si>
    <t>TKT03853</t>
  </si>
  <si>
    <t>TKT03854</t>
  </si>
  <si>
    <t>TKT03855</t>
  </si>
  <si>
    <t>TKT03856</t>
  </si>
  <si>
    <t>TKT03857</t>
  </si>
  <si>
    <t>TKT03858</t>
  </si>
  <si>
    <t>TKT03859</t>
  </si>
  <si>
    <t>TKT03860</t>
  </si>
  <si>
    <t>TKT03861</t>
  </si>
  <si>
    <t>TKT03862</t>
  </si>
  <si>
    <t>TKT03863</t>
  </si>
  <si>
    <t>TKT03864</t>
  </si>
  <si>
    <t>TKT03865</t>
  </si>
  <si>
    <t>TKT03866</t>
  </si>
  <si>
    <t>TKT03867</t>
  </si>
  <si>
    <t>TKT03868</t>
  </si>
  <si>
    <t>TKT03869</t>
  </si>
  <si>
    <t>TKT03870</t>
  </si>
  <si>
    <t>TKT03871</t>
  </si>
  <si>
    <t>TKT03872</t>
  </si>
  <si>
    <t>TKT03873</t>
  </si>
  <si>
    <t>TKT03874</t>
  </si>
  <si>
    <t>TKT03875</t>
  </si>
  <si>
    <t>TKT03876</t>
  </si>
  <si>
    <t>TKT03877</t>
  </si>
  <si>
    <t>TKT03878</t>
  </si>
  <si>
    <t>TKT03879</t>
  </si>
  <si>
    <t>TKT03880</t>
  </si>
  <si>
    <t>TKT03881</t>
  </si>
  <si>
    <t>TKT03882</t>
  </si>
  <si>
    <t>TKT03883</t>
  </si>
  <si>
    <t>TKT03884</t>
  </si>
  <si>
    <t>TKT03885</t>
  </si>
  <si>
    <t>TKT03886</t>
  </si>
  <si>
    <t>TKT03887</t>
  </si>
  <si>
    <t>TKT03888</t>
  </si>
  <si>
    <t>TKT03889</t>
  </si>
  <si>
    <t>TKT03890</t>
  </si>
  <si>
    <t>TKT03891</t>
  </si>
  <si>
    <t>TKT03892</t>
  </si>
  <si>
    <t>TKT03893</t>
  </si>
  <si>
    <t>TKT03894</t>
  </si>
  <si>
    <t>TKT03895</t>
  </si>
  <si>
    <t>TKT03896</t>
  </si>
  <si>
    <t>TKT03897</t>
  </si>
  <si>
    <t>TKT03898</t>
  </si>
  <si>
    <t>TKT03899</t>
  </si>
  <si>
    <t>TKT03900</t>
  </si>
  <si>
    <t>TKT03901</t>
  </si>
  <si>
    <t>TKT03902</t>
  </si>
  <si>
    <t>TKT03903</t>
  </si>
  <si>
    <t>TKT03904</t>
  </si>
  <si>
    <t>TKT03905</t>
  </si>
  <si>
    <t>TKT03906</t>
  </si>
  <si>
    <t>TKT03907</t>
  </si>
  <si>
    <t>TKT03908</t>
  </si>
  <si>
    <t>TKT03909</t>
  </si>
  <si>
    <t>TKT03910</t>
  </si>
  <si>
    <t>TKT03911</t>
  </si>
  <si>
    <t>TKT03912</t>
  </si>
  <si>
    <t>TKT03913</t>
  </si>
  <si>
    <t>TKT03914</t>
  </si>
  <si>
    <t>TKT03915</t>
  </si>
  <si>
    <t>TKT03916</t>
  </si>
  <si>
    <t>TKT03917</t>
  </si>
  <si>
    <t>TKT03918</t>
  </si>
  <si>
    <t>TKT03919</t>
  </si>
  <si>
    <t>TKT03920</t>
  </si>
  <si>
    <t>TKT03921</t>
  </si>
  <si>
    <t>TKT03922</t>
  </si>
  <si>
    <t>TKT03923</t>
  </si>
  <si>
    <t>TKT03924</t>
  </si>
  <si>
    <t>TKT03925</t>
  </si>
  <si>
    <t>TKT03926</t>
  </si>
  <si>
    <t>TKT03927</t>
  </si>
  <si>
    <t>TKT03928</t>
  </si>
  <si>
    <t>TKT03929</t>
  </si>
  <si>
    <t>TKT03930</t>
  </si>
  <si>
    <t>TKT03931</t>
  </si>
  <si>
    <t>TKT03932</t>
  </si>
  <si>
    <t>TKT03933</t>
  </si>
  <si>
    <t>TKT03934</t>
  </si>
  <si>
    <t>TKT03935</t>
  </si>
  <si>
    <t>TKT03936</t>
  </si>
  <si>
    <t>TKT03937</t>
  </si>
  <si>
    <t>TKT03938</t>
  </si>
  <si>
    <t>TKT03939</t>
  </si>
  <si>
    <t>TKT03940</t>
  </si>
  <si>
    <t>TKT03941</t>
  </si>
  <si>
    <t>TKT03942</t>
  </si>
  <si>
    <t>TKT03943</t>
  </si>
  <si>
    <t>TKT03944</t>
  </si>
  <si>
    <t>TKT03945</t>
  </si>
  <si>
    <t>TKT03946</t>
  </si>
  <si>
    <t>TKT03947</t>
  </si>
  <si>
    <t>TKT03948</t>
  </si>
  <si>
    <t>TKT03949</t>
  </si>
  <si>
    <t>TKT03950</t>
  </si>
  <si>
    <t>TKT03951</t>
  </si>
  <si>
    <t>TKT03952</t>
  </si>
  <si>
    <t>TKT03953</t>
  </si>
  <si>
    <t>TKT03954</t>
  </si>
  <si>
    <t>TKT03955</t>
  </si>
  <si>
    <t>TKT03956</t>
  </si>
  <si>
    <t>TKT03957</t>
  </si>
  <si>
    <t>TKT03958</t>
  </si>
  <si>
    <t>TKT03959</t>
  </si>
  <si>
    <t>TKT03960</t>
  </si>
  <si>
    <t>TKT03961</t>
  </si>
  <si>
    <t>TKT03962</t>
  </si>
  <si>
    <t>TKT03963</t>
  </si>
  <si>
    <t>TKT03964</t>
  </si>
  <si>
    <t>TKT03965</t>
  </si>
  <si>
    <t>TKT03966</t>
  </si>
  <si>
    <t>TKT03967</t>
  </si>
  <si>
    <t>TKT03968</t>
  </si>
  <si>
    <t>TKT03969</t>
  </si>
  <si>
    <t>TKT03970</t>
  </si>
  <si>
    <t>TKT03971</t>
  </si>
  <si>
    <t>TKT03972</t>
  </si>
  <si>
    <t>TKT03973</t>
  </si>
  <si>
    <t>TKT03974</t>
  </si>
  <si>
    <t>TKT03975</t>
  </si>
  <si>
    <t>TKT03976</t>
  </si>
  <si>
    <t>TKT03977</t>
  </si>
  <si>
    <t>TKT03978</t>
  </si>
  <si>
    <t>TKT03979</t>
  </si>
  <si>
    <t>TKT03980</t>
  </si>
  <si>
    <t>TKT03981</t>
  </si>
  <si>
    <t>TKT03982</t>
  </si>
  <si>
    <t>TKT03983</t>
  </si>
  <si>
    <t>TKT03984</t>
  </si>
  <si>
    <t>TKT03985</t>
  </si>
  <si>
    <t>TKT03986</t>
  </si>
  <si>
    <t>TKT03987</t>
  </si>
  <si>
    <t>TKT03988</t>
  </si>
  <si>
    <t>TKT03989</t>
  </si>
  <si>
    <t>TKT03990</t>
  </si>
  <si>
    <t>TKT03991</t>
  </si>
  <si>
    <t>TKT03992</t>
  </si>
  <si>
    <t>TKT03993</t>
  </si>
  <si>
    <t>TKT03994</t>
  </si>
  <si>
    <t>TKT03995</t>
  </si>
  <si>
    <t>TKT03996</t>
  </si>
  <si>
    <t>TKT03997</t>
  </si>
  <si>
    <t>TKT03998</t>
  </si>
  <si>
    <t>TKT03999</t>
  </si>
  <si>
    <t>TKT04000</t>
  </si>
  <si>
    <t>TKT04001</t>
  </si>
  <si>
    <t>TKT04002</t>
  </si>
  <si>
    <t>TKT04003</t>
  </si>
  <si>
    <t>TKT04004</t>
  </si>
  <si>
    <t>TKT04005</t>
  </si>
  <si>
    <t>TKT04006</t>
  </si>
  <si>
    <t>TKT04007</t>
  </si>
  <si>
    <t>TKT04008</t>
  </si>
  <si>
    <t>TKT04009</t>
  </si>
  <si>
    <t>TKT04010</t>
  </si>
  <si>
    <t>TKT04011</t>
  </si>
  <si>
    <t>TKT04012</t>
  </si>
  <si>
    <t>TKT04013</t>
  </si>
  <si>
    <t>TKT04014</t>
  </si>
  <si>
    <t>TKT04015</t>
  </si>
  <si>
    <t>TKT04016</t>
  </si>
  <si>
    <t>TKT04017</t>
  </si>
  <si>
    <t>TKT04018</t>
  </si>
  <si>
    <t>TKT04019</t>
  </si>
  <si>
    <t>TKT04020</t>
  </si>
  <si>
    <t>TKT04021</t>
  </si>
  <si>
    <t>TKT04022</t>
  </si>
  <si>
    <t>TKT04023</t>
  </si>
  <si>
    <t>TKT04024</t>
  </si>
  <si>
    <t>TKT04025</t>
  </si>
  <si>
    <t>TKT04026</t>
  </si>
  <si>
    <t>TKT04027</t>
  </si>
  <si>
    <t>TKT04028</t>
  </si>
  <si>
    <t>TKT04029</t>
  </si>
  <si>
    <t>TKT04030</t>
  </si>
  <si>
    <t>TKT04031</t>
  </si>
  <si>
    <t>TKT04032</t>
  </si>
  <si>
    <t>TKT04033</t>
  </si>
  <si>
    <t>TKT04034</t>
  </si>
  <si>
    <t>TKT04035</t>
  </si>
  <si>
    <t>TKT04036</t>
  </si>
  <si>
    <t>TKT04037</t>
  </si>
  <si>
    <t>TKT04038</t>
  </si>
  <si>
    <t>TKT04039</t>
  </si>
  <si>
    <t>TKT04040</t>
  </si>
  <si>
    <t>TKT04041</t>
  </si>
  <si>
    <t>TKT04042</t>
  </si>
  <si>
    <t>TKT04043</t>
  </si>
  <si>
    <t>TKT04044</t>
  </si>
  <si>
    <t>TKT04045</t>
  </si>
  <si>
    <t>TKT04046</t>
  </si>
  <si>
    <t>TKT04047</t>
  </si>
  <si>
    <t>TKT04048</t>
  </si>
  <si>
    <t>TKT04049</t>
  </si>
  <si>
    <t>TKT04050</t>
  </si>
  <si>
    <t>TKT04051</t>
  </si>
  <si>
    <t>TKT04052</t>
  </si>
  <si>
    <t>TKT04053</t>
  </si>
  <si>
    <t>TKT04054</t>
  </si>
  <si>
    <t>TKT04055</t>
  </si>
  <si>
    <t>TKT04056</t>
  </si>
  <si>
    <t>TKT04057</t>
  </si>
  <si>
    <t>TKT04058</t>
  </si>
  <si>
    <t>TKT04059</t>
  </si>
  <si>
    <t>TKT04060</t>
  </si>
  <si>
    <t>TKT04061</t>
  </si>
  <si>
    <t>TKT04062</t>
  </si>
  <si>
    <t>TKT04063</t>
  </si>
  <si>
    <t>TKT04064</t>
  </si>
  <si>
    <t>TKT04065</t>
  </si>
  <si>
    <t>TKT04066</t>
  </si>
  <si>
    <t>TKT04067</t>
  </si>
  <si>
    <t>TKT04068</t>
  </si>
  <si>
    <t>TKT04069</t>
  </si>
  <si>
    <t>TKT04070</t>
  </si>
  <si>
    <t>TKT04071</t>
  </si>
  <si>
    <t>TKT04072</t>
  </si>
  <si>
    <t>TKT04073</t>
  </si>
  <si>
    <t>TKT04074</t>
  </si>
  <si>
    <t>TKT04075</t>
  </si>
  <si>
    <t>TKT04076</t>
  </si>
  <si>
    <t>TKT04077</t>
  </si>
  <si>
    <t>TKT04078</t>
  </si>
  <si>
    <t>TKT04079</t>
  </si>
  <si>
    <t>TKT04080</t>
  </si>
  <si>
    <t>TKT04081</t>
  </si>
  <si>
    <t>TKT04082</t>
  </si>
  <si>
    <t>TKT04083</t>
  </si>
  <si>
    <t>TKT04084</t>
  </si>
  <si>
    <t>TKT04085</t>
  </si>
  <si>
    <t>TKT04086</t>
  </si>
  <si>
    <t>TKT04087</t>
  </si>
  <si>
    <t>TKT04088</t>
  </si>
  <si>
    <t>TKT04089</t>
  </si>
  <si>
    <t>TKT04090</t>
  </si>
  <si>
    <t>TKT04091</t>
  </si>
  <si>
    <t>TKT04092</t>
  </si>
  <si>
    <t>TKT04093</t>
  </si>
  <si>
    <t>TKT04094</t>
  </si>
  <si>
    <t>TKT04095</t>
  </si>
  <si>
    <t>TKT04096</t>
  </si>
  <si>
    <t>TKT04097</t>
  </si>
  <si>
    <t>TKT04098</t>
  </si>
  <si>
    <t>TKT04099</t>
  </si>
  <si>
    <t>TKT04100</t>
  </si>
  <si>
    <t>TKT04101</t>
  </si>
  <si>
    <t>TKT04102</t>
  </si>
  <si>
    <t>TKT04103</t>
  </si>
  <si>
    <t>TKT04104</t>
  </si>
  <si>
    <t>TKT04105</t>
  </si>
  <si>
    <t>TKT04106</t>
  </si>
  <si>
    <t>TKT04107</t>
  </si>
  <si>
    <t>TKT04108</t>
  </si>
  <si>
    <t>TKT04109</t>
  </si>
  <si>
    <t>TKT04110</t>
  </si>
  <si>
    <t>TKT04111</t>
  </si>
  <si>
    <t>TKT04112</t>
  </si>
  <si>
    <t>TKT04113</t>
  </si>
  <si>
    <t>TKT04114</t>
  </si>
  <si>
    <t>TKT04115</t>
  </si>
  <si>
    <t>TKT04116</t>
  </si>
  <si>
    <t>TKT04117</t>
  </si>
  <si>
    <t>TKT04118</t>
  </si>
  <si>
    <t>TKT04119</t>
  </si>
  <si>
    <t>TKT04120</t>
  </si>
  <si>
    <t>TKT04121</t>
  </si>
  <si>
    <t>TKT04122</t>
  </si>
  <si>
    <t>TKT04123</t>
  </si>
  <si>
    <t>TKT04124</t>
  </si>
  <si>
    <t>TKT04125</t>
  </si>
  <si>
    <t>TKT04126</t>
  </si>
  <si>
    <t>TKT04127</t>
  </si>
  <si>
    <t>TKT04128</t>
  </si>
  <si>
    <t>TKT04129</t>
  </si>
  <si>
    <t>TKT04130</t>
  </si>
  <si>
    <t>TKT04131</t>
  </si>
  <si>
    <t>TKT04132</t>
  </si>
  <si>
    <t>TKT04133</t>
  </si>
  <si>
    <t>TKT04134</t>
  </si>
  <si>
    <t>TKT04135</t>
  </si>
  <si>
    <t>TKT04136</t>
  </si>
  <si>
    <t>TKT04137</t>
  </si>
  <si>
    <t>TKT04138</t>
  </si>
  <si>
    <t>TKT04139</t>
  </si>
  <si>
    <t>TKT04140</t>
  </si>
  <si>
    <t>TKT04141</t>
  </si>
  <si>
    <t>TKT04142</t>
  </si>
  <si>
    <t>TKT04143</t>
  </si>
  <si>
    <t>TKT04144</t>
  </si>
  <si>
    <t>TKT04145</t>
  </si>
  <si>
    <t>TKT04146</t>
  </si>
  <si>
    <t>TKT04147</t>
  </si>
  <si>
    <t>TKT04148</t>
  </si>
  <si>
    <t>TKT04149</t>
  </si>
  <si>
    <t>TKT04150</t>
  </si>
  <si>
    <t>TKT04151</t>
  </si>
  <si>
    <t>TKT04152</t>
  </si>
  <si>
    <t>TKT04153</t>
  </si>
  <si>
    <t>TKT04154</t>
  </si>
  <si>
    <t>TKT04155</t>
  </si>
  <si>
    <t>TKT04156</t>
  </si>
  <si>
    <t>TKT04157</t>
  </si>
  <si>
    <t>TKT04158</t>
  </si>
  <si>
    <t>TKT04159</t>
  </si>
  <si>
    <t>TKT04160</t>
  </si>
  <si>
    <t>TKT04161</t>
  </si>
  <si>
    <t>TKT04162</t>
  </si>
  <si>
    <t>TKT04163</t>
  </si>
  <si>
    <t>TKT04164</t>
  </si>
  <si>
    <t>TKT04165</t>
  </si>
  <si>
    <t>TKT04166</t>
  </si>
  <si>
    <t>TKT04167</t>
  </si>
  <si>
    <t>TKT04168</t>
  </si>
  <si>
    <t>TKT04169</t>
  </si>
  <si>
    <t>TKT04170</t>
  </si>
  <si>
    <t>TKT04171</t>
  </si>
  <si>
    <t>TKT04172</t>
  </si>
  <si>
    <t>TKT04173</t>
  </si>
  <si>
    <t>TKT04174</t>
  </si>
  <si>
    <t>TKT04175</t>
  </si>
  <si>
    <t>TKT04176</t>
  </si>
  <si>
    <t>TKT04177</t>
  </si>
  <si>
    <t>TKT04178</t>
  </si>
  <si>
    <t>TKT04179</t>
  </si>
  <si>
    <t>TKT04180</t>
  </si>
  <si>
    <t>TKT04181</t>
  </si>
  <si>
    <t>TKT04182</t>
  </si>
  <si>
    <t>TKT04183</t>
  </si>
  <si>
    <t>TKT04184</t>
  </si>
  <si>
    <t>TKT04185</t>
  </si>
  <si>
    <t>TKT04186</t>
  </si>
  <si>
    <t>TKT04187</t>
  </si>
  <si>
    <t>TKT04188</t>
  </si>
  <si>
    <t>TKT04189</t>
  </si>
  <si>
    <t>TKT04190</t>
  </si>
  <si>
    <t>TKT04191</t>
  </si>
  <si>
    <t>TKT04192</t>
  </si>
  <si>
    <t>TKT04193</t>
  </si>
  <si>
    <t>TKT04194</t>
  </si>
  <si>
    <t>TKT04195</t>
  </si>
  <si>
    <t>TKT04196</t>
  </si>
  <si>
    <t>TKT04197</t>
  </si>
  <si>
    <t>TKT04198</t>
  </si>
  <si>
    <t>TKT04199</t>
  </si>
  <si>
    <t>TKT04200</t>
  </si>
  <si>
    <t>TKT04201</t>
  </si>
  <si>
    <t>TKT04202</t>
  </si>
  <si>
    <t>TKT04203</t>
  </si>
  <si>
    <t>TKT04204</t>
  </si>
  <si>
    <t>TKT04205</t>
  </si>
  <si>
    <t>TKT04206</t>
  </si>
  <si>
    <t>TKT04207</t>
  </si>
  <si>
    <t>TKT04208</t>
  </si>
  <si>
    <t>TKT04209</t>
  </si>
  <si>
    <t>TKT04210</t>
  </si>
  <si>
    <t>TKT04211</t>
  </si>
  <si>
    <t>TKT04212</t>
  </si>
  <si>
    <t>TKT04213</t>
  </si>
  <si>
    <t>TKT04214</t>
  </si>
  <si>
    <t>TKT04215</t>
  </si>
  <si>
    <t>TKT04216</t>
  </si>
  <si>
    <t>TKT04217</t>
  </si>
  <si>
    <t>TKT04218</t>
  </si>
  <si>
    <t>TKT04219</t>
  </si>
  <si>
    <t>TKT04220</t>
  </si>
  <si>
    <t>TKT04221</t>
  </si>
  <si>
    <t>TKT04222</t>
  </si>
  <si>
    <t>TKT04223</t>
  </si>
  <si>
    <t>TKT04224</t>
  </si>
  <si>
    <t>TKT04225</t>
  </si>
  <si>
    <t>TKT04226</t>
  </si>
  <si>
    <t>TKT04227</t>
  </si>
  <si>
    <t>TKT04228</t>
  </si>
  <si>
    <t>TKT04229</t>
  </si>
  <si>
    <t>TKT04230</t>
  </si>
  <si>
    <t>TKT04231</t>
  </si>
  <si>
    <t>TKT04232</t>
  </si>
  <si>
    <t>TKT04233</t>
  </si>
  <si>
    <t>TKT04234</t>
  </si>
  <si>
    <t>TKT04235</t>
  </si>
  <si>
    <t>TKT04236</t>
  </si>
  <si>
    <t>TKT04237</t>
  </si>
  <si>
    <t>TKT04238</t>
  </si>
  <si>
    <t>TKT04239</t>
  </si>
  <si>
    <t>TKT04240</t>
  </si>
  <si>
    <t>TKT04241</t>
  </si>
  <si>
    <t>TKT04242</t>
  </si>
  <si>
    <t>TKT04243</t>
  </si>
  <si>
    <t>TKT04244</t>
  </si>
  <si>
    <t>TKT04245</t>
  </si>
  <si>
    <t>TKT04246</t>
  </si>
  <si>
    <t>TKT04247</t>
  </si>
  <si>
    <t>TKT04248</t>
  </si>
  <si>
    <t>TKT04249</t>
  </si>
  <si>
    <t>TKT04250</t>
  </si>
  <si>
    <t>TKT04251</t>
  </si>
  <si>
    <t>TKT04252</t>
  </si>
  <si>
    <t>TKT04253</t>
  </si>
  <si>
    <t>TKT04254</t>
  </si>
  <si>
    <t>TKT04255</t>
  </si>
  <si>
    <t>TKT04256</t>
  </si>
  <si>
    <t>TKT04257</t>
  </si>
  <si>
    <t>TKT04258</t>
  </si>
  <si>
    <t>TKT04259</t>
  </si>
  <si>
    <t>TKT04260</t>
  </si>
  <si>
    <t>TKT04261</t>
  </si>
  <si>
    <t>TKT04262</t>
  </si>
  <si>
    <t>TKT04263</t>
  </si>
  <si>
    <t>TKT04264</t>
  </si>
  <si>
    <t>TKT04265</t>
  </si>
  <si>
    <t>TKT04266</t>
  </si>
  <si>
    <t>TKT04267</t>
  </si>
  <si>
    <t>TKT04268</t>
  </si>
  <si>
    <t>TKT04269</t>
  </si>
  <si>
    <t>TKT04270</t>
  </si>
  <si>
    <t>TKT04271</t>
  </si>
  <si>
    <t>TKT04272</t>
  </si>
  <si>
    <t>TKT04273</t>
  </si>
  <si>
    <t>TKT04274</t>
  </si>
  <si>
    <t>TKT04275</t>
  </si>
  <si>
    <t>TKT04276</t>
  </si>
  <si>
    <t>TKT04277</t>
  </si>
  <si>
    <t>TKT04278</t>
  </si>
  <si>
    <t>TKT04279</t>
  </si>
  <si>
    <t>TKT04280</t>
  </si>
  <si>
    <t>TKT04281</t>
  </si>
  <si>
    <t>TKT04282</t>
  </si>
  <si>
    <t>TKT04283</t>
  </si>
  <si>
    <t>TKT04284</t>
  </si>
  <si>
    <t>TKT04285</t>
  </si>
  <si>
    <t>TKT04286</t>
  </si>
  <si>
    <t>TKT04287</t>
  </si>
  <si>
    <t>TKT04288</t>
  </si>
  <si>
    <t>TKT04289</t>
  </si>
  <si>
    <t>TKT04290</t>
  </si>
  <si>
    <t>TKT04291</t>
  </si>
  <si>
    <t>TKT04292</t>
  </si>
  <si>
    <t>TKT04293</t>
  </si>
  <si>
    <t>TKT04294</t>
  </si>
  <si>
    <t>TKT04295</t>
  </si>
  <si>
    <t>TKT04296</t>
  </si>
  <si>
    <t>TKT04297</t>
  </si>
  <si>
    <t>TKT04298</t>
  </si>
  <si>
    <t>TKT04299</t>
  </si>
  <si>
    <t>TKT04300</t>
  </si>
  <si>
    <t>TKT04301</t>
  </si>
  <si>
    <t>TKT04302</t>
  </si>
  <si>
    <t>TKT04303</t>
  </si>
  <si>
    <t>TKT04304</t>
  </si>
  <si>
    <t>TKT04305</t>
  </si>
  <si>
    <t>TKT04306</t>
  </si>
  <si>
    <t>TKT04307</t>
  </si>
  <si>
    <t>TKT04308</t>
  </si>
  <si>
    <t>TKT04309</t>
  </si>
  <si>
    <t>TKT04310</t>
  </si>
  <si>
    <t>TKT04311</t>
  </si>
  <si>
    <t>TKT04312</t>
  </si>
  <si>
    <t>TKT04313</t>
  </si>
  <si>
    <t>TKT04314</t>
  </si>
  <si>
    <t>TKT04315</t>
  </si>
  <si>
    <t>TKT04316</t>
  </si>
  <si>
    <t>TKT04317</t>
  </si>
  <si>
    <t>TKT04318</t>
  </si>
  <si>
    <t>TKT04319</t>
  </si>
  <si>
    <t>TKT04320</t>
  </si>
  <si>
    <t>TKT04321</t>
  </si>
  <si>
    <t>TKT04322</t>
  </si>
  <si>
    <t>TKT04323</t>
  </si>
  <si>
    <t>TKT04324</t>
  </si>
  <si>
    <t>TKT04325</t>
  </si>
  <si>
    <t>TKT04326</t>
  </si>
  <si>
    <t>TKT04327</t>
  </si>
  <si>
    <t>TKT04328</t>
  </si>
  <si>
    <t>TKT04329</t>
  </si>
  <si>
    <t>TKT04330</t>
  </si>
  <si>
    <t>TKT04331</t>
  </si>
  <si>
    <t>TKT04332</t>
  </si>
  <si>
    <t>TKT04333</t>
  </si>
  <si>
    <t>TKT04334</t>
  </si>
  <si>
    <t>TKT04335</t>
  </si>
  <si>
    <t>TKT04336</t>
  </si>
  <si>
    <t>TKT04337</t>
  </si>
  <si>
    <t>TKT04338</t>
  </si>
  <si>
    <t>TKT04339</t>
  </si>
  <si>
    <t>TKT04340</t>
  </si>
  <si>
    <t>TKT04341</t>
  </si>
  <si>
    <t>TKT04342</t>
  </si>
  <si>
    <t>TKT04343</t>
  </si>
  <si>
    <t>TKT04344</t>
  </si>
  <si>
    <t>TKT04345</t>
  </si>
  <si>
    <t>TKT04346</t>
  </si>
  <si>
    <t>TKT04347</t>
  </si>
  <si>
    <t>TKT04348</t>
  </si>
  <si>
    <t>TKT04349</t>
  </si>
  <si>
    <t>TKT04350</t>
  </si>
  <si>
    <t>TKT04351</t>
  </si>
  <si>
    <t>TKT04352</t>
  </si>
  <si>
    <t>TKT04353</t>
  </si>
  <si>
    <t>TKT04354</t>
  </si>
  <si>
    <t>TKT04355</t>
  </si>
  <si>
    <t>TKT04356</t>
  </si>
  <si>
    <t>TKT04357</t>
  </si>
  <si>
    <t>TKT04358</t>
  </si>
  <si>
    <t>TKT04359</t>
  </si>
  <si>
    <t>TKT04360</t>
  </si>
  <si>
    <t>TKT04361</t>
  </si>
  <si>
    <t>TKT04362</t>
  </si>
  <si>
    <t>TKT04363</t>
  </si>
  <si>
    <t>TKT04364</t>
  </si>
  <si>
    <t>TKT04365</t>
  </si>
  <si>
    <t>TKT04366</t>
  </si>
  <si>
    <t>TKT04367</t>
  </si>
  <si>
    <t>TKT04368</t>
  </si>
  <si>
    <t>TKT04369</t>
  </si>
  <si>
    <t>TKT04370</t>
  </si>
  <si>
    <t>TKT04371</t>
  </si>
  <si>
    <t>TKT04372</t>
  </si>
  <si>
    <t>TKT04373</t>
  </si>
  <si>
    <t>TKT04374</t>
  </si>
  <si>
    <t>TKT04375</t>
  </si>
  <si>
    <t>TKT04376</t>
  </si>
  <si>
    <t>TKT04377</t>
  </si>
  <si>
    <t>TKT04378</t>
  </si>
  <si>
    <t>TKT04379</t>
  </si>
  <si>
    <t>TKT04380</t>
  </si>
  <si>
    <t>TKT04381</t>
  </si>
  <si>
    <t>TKT04382</t>
  </si>
  <si>
    <t>TKT04383</t>
  </si>
  <si>
    <t>TKT04384</t>
  </si>
  <si>
    <t>TKT04385</t>
  </si>
  <si>
    <t>TKT04386</t>
  </si>
  <si>
    <t>TKT04387</t>
  </si>
  <si>
    <t>TKT04388</t>
  </si>
  <si>
    <t>TKT04389</t>
  </si>
  <si>
    <t>TKT04390</t>
  </si>
  <si>
    <t>TKT04391</t>
  </si>
  <si>
    <t>TKT04392</t>
  </si>
  <si>
    <t>TKT04393</t>
  </si>
  <si>
    <t>TKT04394</t>
  </si>
  <si>
    <t>TKT04395</t>
  </si>
  <si>
    <t>TKT04396</t>
  </si>
  <si>
    <t>TKT04397</t>
  </si>
  <si>
    <t>TKT04398</t>
  </si>
  <si>
    <t>TKT04399</t>
  </si>
  <si>
    <t>TKT04400</t>
  </si>
  <si>
    <t>TKT04401</t>
  </si>
  <si>
    <t>TKT04402</t>
  </si>
  <si>
    <t>TKT04403</t>
  </si>
  <si>
    <t>TKT04404</t>
  </si>
  <si>
    <t>TKT04405</t>
  </si>
  <si>
    <t>TKT04406</t>
  </si>
  <si>
    <t>TKT04407</t>
  </si>
  <si>
    <t>TKT04408</t>
  </si>
  <si>
    <t>TKT04409</t>
  </si>
  <si>
    <t>TKT04410</t>
  </si>
  <si>
    <t>TKT04411</t>
  </si>
  <si>
    <t>TKT04412</t>
  </si>
  <si>
    <t>TKT04413</t>
  </si>
  <si>
    <t>TKT04414</t>
  </si>
  <si>
    <t>TKT04415</t>
  </si>
  <si>
    <t>TKT04416</t>
  </si>
  <si>
    <t>TKT04417</t>
  </si>
  <si>
    <t>TKT04418</t>
  </si>
  <si>
    <t>TKT04419</t>
  </si>
  <si>
    <t>TKT04420</t>
  </si>
  <si>
    <t>TKT04421</t>
  </si>
  <si>
    <t>TKT04422</t>
  </si>
  <si>
    <t>TKT04423</t>
  </si>
  <si>
    <t>TKT04424</t>
  </si>
  <si>
    <t>TKT04425</t>
  </si>
  <si>
    <t>TKT04426</t>
  </si>
  <si>
    <t>TKT04427</t>
  </si>
  <si>
    <t>TKT04428</t>
  </si>
  <si>
    <t>TKT04429</t>
  </si>
  <si>
    <t>TKT04430</t>
  </si>
  <si>
    <t>TKT04431</t>
  </si>
  <si>
    <t>TKT04432</t>
  </si>
  <si>
    <t>TKT04433</t>
  </si>
  <si>
    <t>TKT04434</t>
  </si>
  <si>
    <t>TKT04435</t>
  </si>
  <si>
    <t>TKT04436</t>
  </si>
  <si>
    <t>TKT04437</t>
  </si>
  <si>
    <t>TKT04438</t>
  </si>
  <si>
    <t>TKT04439</t>
  </si>
  <si>
    <t>TKT04440</t>
  </si>
  <si>
    <t>TKT04441</t>
  </si>
  <si>
    <t>TKT04442</t>
  </si>
  <si>
    <t>TKT04443</t>
  </si>
  <si>
    <t>TKT04444</t>
  </si>
  <si>
    <t>TKT04445</t>
  </si>
  <si>
    <t>TKT04446</t>
  </si>
  <si>
    <t>TKT04447</t>
  </si>
  <si>
    <t>TKT04448</t>
  </si>
  <si>
    <t>TKT04449</t>
  </si>
  <si>
    <t>TKT04450</t>
  </si>
  <si>
    <t>TKT04451</t>
  </si>
  <si>
    <t>TKT04452</t>
  </si>
  <si>
    <t>TKT04453</t>
  </si>
  <si>
    <t>TKT04454</t>
  </si>
  <si>
    <t>TKT04455</t>
  </si>
  <si>
    <t>TKT04456</t>
  </si>
  <si>
    <t>TKT04457</t>
  </si>
  <si>
    <t>TKT04458</t>
  </si>
  <si>
    <t>TKT04459</t>
  </si>
  <si>
    <t>TKT04460</t>
  </si>
  <si>
    <t>TKT04461</t>
  </si>
  <si>
    <t>TKT04462</t>
  </si>
  <si>
    <t>TKT04463</t>
  </si>
  <si>
    <t>TKT04464</t>
  </si>
  <si>
    <t>TKT04465</t>
  </si>
  <si>
    <t>TKT04466</t>
  </si>
  <si>
    <t>TKT04467</t>
  </si>
  <si>
    <t>TKT04468</t>
  </si>
  <si>
    <t>TKT04469</t>
  </si>
  <si>
    <t>TKT04470</t>
  </si>
  <si>
    <t>TKT04471</t>
  </si>
  <si>
    <t>TKT04472</t>
  </si>
  <si>
    <t>TKT04473</t>
  </si>
  <si>
    <t>TKT04474</t>
  </si>
  <si>
    <t>TKT04475</t>
  </si>
  <si>
    <t>TKT04476</t>
  </si>
  <si>
    <t>TKT04477</t>
  </si>
  <si>
    <t>TKT04478</t>
  </si>
  <si>
    <t>TKT04479</t>
  </si>
  <si>
    <t>TKT04480</t>
  </si>
  <si>
    <t>TKT04481</t>
  </si>
  <si>
    <t>TKT04482</t>
  </si>
  <si>
    <t>TKT04483</t>
  </si>
  <si>
    <t>TKT04484</t>
  </si>
  <si>
    <t>TKT04485</t>
  </si>
  <si>
    <t>TKT04486</t>
  </si>
  <si>
    <t>TKT04487</t>
  </si>
  <si>
    <t>TKT04488</t>
  </si>
  <si>
    <t>TKT04489</t>
  </si>
  <si>
    <t>TKT04490</t>
  </si>
  <si>
    <t>TKT04491</t>
  </si>
  <si>
    <t>TKT04492</t>
  </si>
  <si>
    <t>TKT04493</t>
  </si>
  <si>
    <t>TKT04494</t>
  </si>
  <si>
    <t>TKT04495</t>
  </si>
  <si>
    <t>TKT04496</t>
  </si>
  <si>
    <t>TKT04497</t>
  </si>
  <si>
    <t>TKT04498</t>
  </si>
  <si>
    <t>TKT04499</t>
  </si>
  <si>
    <t>TKT04500</t>
  </si>
  <si>
    <t>TKT04501</t>
  </si>
  <si>
    <t>TKT04502</t>
  </si>
  <si>
    <t>TKT04503</t>
  </si>
  <si>
    <t>TKT04504</t>
  </si>
  <si>
    <t>TKT04505</t>
  </si>
  <si>
    <t>TKT04506</t>
  </si>
  <si>
    <t>TKT04507</t>
  </si>
  <si>
    <t>TKT04508</t>
  </si>
  <si>
    <t>TKT04509</t>
  </si>
  <si>
    <t>TKT04510</t>
  </si>
  <si>
    <t>TKT04511</t>
  </si>
  <si>
    <t>TKT04512</t>
  </si>
  <si>
    <t>TKT04513</t>
  </si>
  <si>
    <t>TKT04514</t>
  </si>
  <si>
    <t>TKT04515</t>
  </si>
  <si>
    <t>TKT04516</t>
  </si>
  <si>
    <t>TKT04517</t>
  </si>
  <si>
    <t>TKT04518</t>
  </si>
  <si>
    <t>TKT04519</t>
  </si>
  <si>
    <t>TKT04520</t>
  </si>
  <si>
    <t>TKT04521</t>
  </si>
  <si>
    <t>TKT04522</t>
  </si>
  <si>
    <t>TKT04523</t>
  </si>
  <si>
    <t>TKT04524</t>
  </si>
  <si>
    <t>TKT04525</t>
  </si>
  <si>
    <t>TKT04526</t>
  </si>
  <si>
    <t>TKT04527</t>
  </si>
  <si>
    <t>TKT04528</t>
  </si>
  <si>
    <t>TKT04529</t>
  </si>
  <si>
    <t>TKT04530</t>
  </si>
  <si>
    <t>TKT04531</t>
  </si>
  <si>
    <t>TKT04532</t>
  </si>
  <si>
    <t>TKT04533</t>
  </si>
  <si>
    <t>TKT04534</t>
  </si>
  <si>
    <t>TKT04535</t>
  </si>
  <si>
    <t>TKT04536</t>
  </si>
  <si>
    <t>TKT04537</t>
  </si>
  <si>
    <t>TKT04538</t>
  </si>
  <si>
    <t>TKT04539</t>
  </si>
  <si>
    <t>TKT04540</t>
  </si>
  <si>
    <t>TKT04541</t>
  </si>
  <si>
    <t>TKT04542</t>
  </si>
  <si>
    <t>TKT04543</t>
  </si>
  <si>
    <t>TKT04544</t>
  </si>
  <si>
    <t>TKT04545</t>
  </si>
  <si>
    <t>TKT04546</t>
  </si>
  <si>
    <t>TKT04547</t>
  </si>
  <si>
    <t>TKT04548</t>
  </si>
  <si>
    <t>TKT04549</t>
  </si>
  <si>
    <t>TKT04550</t>
  </si>
  <si>
    <t>TKT04551</t>
  </si>
  <si>
    <t>TKT04552</t>
  </si>
  <si>
    <t>TKT04553</t>
  </si>
  <si>
    <t>TKT04554</t>
  </si>
  <si>
    <t>TKT04555</t>
  </si>
  <si>
    <t>TKT04556</t>
  </si>
  <si>
    <t>TKT04557</t>
  </si>
  <si>
    <t>TKT04558</t>
  </si>
  <si>
    <t>TKT04559</t>
  </si>
  <si>
    <t>TKT04560</t>
  </si>
  <si>
    <t>TKT04561</t>
  </si>
  <si>
    <t>TKT04562</t>
  </si>
  <si>
    <t>TKT04563</t>
  </si>
  <si>
    <t>TKT04564</t>
  </si>
  <si>
    <t>TKT04565</t>
  </si>
  <si>
    <t>TKT04566</t>
  </si>
  <si>
    <t>TKT04567</t>
  </si>
  <si>
    <t>TKT04568</t>
  </si>
  <si>
    <t>TKT04569</t>
  </si>
  <si>
    <t>TKT04570</t>
  </si>
  <si>
    <t>TKT04571</t>
  </si>
  <si>
    <t>TKT04572</t>
  </si>
  <si>
    <t>TKT04573</t>
  </si>
  <si>
    <t>TKT04574</t>
  </si>
  <si>
    <t>TKT04575</t>
  </si>
  <si>
    <t>TKT04576</t>
  </si>
  <si>
    <t>TKT04577</t>
  </si>
  <si>
    <t>TKT04578</t>
  </si>
  <si>
    <t>TKT04579</t>
  </si>
  <si>
    <t>TKT04580</t>
  </si>
  <si>
    <t>TKT04581</t>
  </si>
  <si>
    <t>TKT04582</t>
  </si>
  <si>
    <t>TKT04583</t>
  </si>
  <si>
    <t>TKT04584</t>
  </si>
  <si>
    <t>TKT04585</t>
  </si>
  <si>
    <t>TKT04586</t>
  </si>
  <si>
    <t>TKT04587</t>
  </si>
  <si>
    <t>TKT04588</t>
  </si>
  <si>
    <t>TKT04589</t>
  </si>
  <si>
    <t>TKT04590</t>
  </si>
  <si>
    <t>TKT04591</t>
  </si>
  <si>
    <t>TKT04592</t>
  </si>
  <si>
    <t>TKT04593</t>
  </si>
  <si>
    <t>TKT04594</t>
  </si>
  <si>
    <t>TKT04595</t>
  </si>
  <si>
    <t>TKT04596</t>
  </si>
  <si>
    <t>TKT04597</t>
  </si>
  <si>
    <t>TKT04598</t>
  </si>
  <si>
    <t>TKT04599</t>
  </si>
  <si>
    <t>TKT04600</t>
  </si>
  <si>
    <t>TKT04601</t>
  </si>
  <si>
    <t>TKT04602</t>
  </si>
  <si>
    <t>TKT04603</t>
  </si>
  <si>
    <t>TKT04604</t>
  </si>
  <si>
    <t>TKT04605</t>
  </si>
  <si>
    <t>TKT04606</t>
  </si>
  <si>
    <t>TKT04607</t>
  </si>
  <si>
    <t>TKT04608</t>
  </si>
  <si>
    <t>TKT04609</t>
  </si>
  <si>
    <t>TKT04610</t>
  </si>
  <si>
    <t>TKT04611</t>
  </si>
  <si>
    <t>TKT04612</t>
  </si>
  <si>
    <t>TKT04613</t>
  </si>
  <si>
    <t>TKT04614</t>
  </si>
  <si>
    <t>TKT04615</t>
  </si>
  <si>
    <t>TKT04616</t>
  </si>
  <si>
    <t>TKT04617</t>
  </si>
  <si>
    <t>TKT04618</t>
  </si>
  <si>
    <t>TKT04619</t>
  </si>
  <si>
    <t>TKT04620</t>
  </si>
  <si>
    <t>TKT04621</t>
  </si>
  <si>
    <t>TKT04622</t>
  </si>
  <si>
    <t>TKT04623</t>
  </si>
  <si>
    <t>TKT04624</t>
  </si>
  <si>
    <t>TKT04625</t>
  </si>
  <si>
    <t>TKT04626</t>
  </si>
  <si>
    <t>TKT04627</t>
  </si>
  <si>
    <t>TKT04628</t>
  </si>
  <si>
    <t>TKT04629</t>
  </si>
  <si>
    <t>TKT04630</t>
  </si>
  <si>
    <t>TKT04631</t>
  </si>
  <si>
    <t>TKT04632</t>
  </si>
  <si>
    <t>TKT04633</t>
  </si>
  <si>
    <t>TKT04634</t>
  </si>
  <si>
    <t>TKT04635</t>
  </si>
  <si>
    <t>TKT04636</t>
  </si>
  <si>
    <t>TKT04637</t>
  </si>
  <si>
    <t>TKT04638</t>
  </si>
  <si>
    <t>TKT04639</t>
  </si>
  <si>
    <t>TKT04640</t>
  </si>
  <si>
    <t>TKT04641</t>
  </si>
  <si>
    <t>TKT04642</t>
  </si>
  <si>
    <t>TKT04643</t>
  </si>
  <si>
    <t>TKT04644</t>
  </si>
  <si>
    <t>TKT04645</t>
  </si>
  <si>
    <t>TKT04646</t>
  </si>
  <si>
    <t>TKT04647</t>
  </si>
  <si>
    <t>TKT04648</t>
  </si>
  <si>
    <t>TKT04649</t>
  </si>
  <si>
    <t>TKT04650</t>
  </si>
  <si>
    <t>TKT04651</t>
  </si>
  <si>
    <t>TKT04652</t>
  </si>
  <si>
    <t>TKT04653</t>
  </si>
  <si>
    <t>TKT04654</t>
  </si>
  <si>
    <t>TKT04655</t>
  </si>
  <si>
    <t>TKT04656</t>
  </si>
  <si>
    <t>TKT04657</t>
  </si>
  <si>
    <t>TKT04658</t>
  </si>
  <si>
    <t>TKT04659</t>
  </si>
  <si>
    <t>TKT04660</t>
  </si>
  <si>
    <t>TKT04661</t>
  </si>
  <si>
    <t>TKT04662</t>
  </si>
  <si>
    <t>TKT04663</t>
  </si>
  <si>
    <t>TKT04664</t>
  </si>
  <si>
    <t>TKT04665</t>
  </si>
  <si>
    <t>TKT04666</t>
  </si>
  <si>
    <t>TKT04667</t>
  </si>
  <si>
    <t>TKT04668</t>
  </si>
  <si>
    <t>TKT04669</t>
  </si>
  <si>
    <t>TKT04670</t>
  </si>
  <si>
    <t>TKT04671</t>
  </si>
  <si>
    <t>TKT04672</t>
  </si>
  <si>
    <t>TKT04673</t>
  </si>
  <si>
    <t>TKT04674</t>
  </si>
  <si>
    <t>TKT04675</t>
  </si>
  <si>
    <t>TKT04676</t>
  </si>
  <si>
    <t>TKT04677</t>
  </si>
  <si>
    <t>TKT04678</t>
  </si>
  <si>
    <t>TKT04679</t>
  </si>
  <si>
    <t>TKT04680</t>
  </si>
  <si>
    <t>TKT04681</t>
  </si>
  <si>
    <t>TKT04682</t>
  </si>
  <si>
    <t>TKT04683</t>
  </si>
  <si>
    <t>TKT04684</t>
  </si>
  <si>
    <t>TKT04685</t>
  </si>
  <si>
    <t>TKT04686</t>
  </si>
  <si>
    <t>TKT04687</t>
  </si>
  <si>
    <t>TKT04688</t>
  </si>
  <si>
    <t>TKT04689</t>
  </si>
  <si>
    <t>TKT04690</t>
  </si>
  <si>
    <t>TKT04691</t>
  </si>
  <si>
    <t>TKT04692</t>
  </si>
  <si>
    <t>TKT04693</t>
  </si>
  <si>
    <t>TKT04694</t>
  </si>
  <si>
    <t>TKT04695</t>
  </si>
  <si>
    <t>TKT04696</t>
  </si>
  <si>
    <t>TKT04697</t>
  </si>
  <si>
    <t>TKT04698</t>
  </si>
  <si>
    <t>TKT04699</t>
  </si>
  <si>
    <t>TKT04700</t>
  </si>
  <si>
    <t>TKT04701</t>
  </si>
  <si>
    <t>TKT04702</t>
  </si>
  <si>
    <t>TKT04703</t>
  </si>
  <si>
    <t>TKT04704</t>
  </si>
  <si>
    <t>TKT04705</t>
  </si>
  <si>
    <t>TKT04706</t>
  </si>
  <si>
    <t>TKT04707</t>
  </si>
  <si>
    <t>TKT04708</t>
  </si>
  <si>
    <t>TKT04709</t>
  </si>
  <si>
    <t>TKT04710</t>
  </si>
  <si>
    <t>TKT04711</t>
  </si>
  <si>
    <t>TKT04712</t>
  </si>
  <si>
    <t>TKT04713</t>
  </si>
  <si>
    <t>TKT04714</t>
  </si>
  <si>
    <t>TKT04715</t>
  </si>
  <si>
    <t>TKT04716</t>
  </si>
  <si>
    <t>TKT04717</t>
  </si>
  <si>
    <t>TKT04718</t>
  </si>
  <si>
    <t>TKT04719</t>
  </si>
  <si>
    <t>TKT04720</t>
  </si>
  <si>
    <t>TKT04721</t>
  </si>
  <si>
    <t>TKT04722</t>
  </si>
  <si>
    <t>TKT04723</t>
  </si>
  <si>
    <t>TKT04724</t>
  </si>
  <si>
    <t>TKT04725</t>
  </si>
  <si>
    <t>TKT04726</t>
  </si>
  <si>
    <t>TKT04727</t>
  </si>
  <si>
    <t>TKT04728</t>
  </si>
  <si>
    <t>TKT04729</t>
  </si>
  <si>
    <t>TKT04730</t>
  </si>
  <si>
    <t>TKT04731</t>
  </si>
  <si>
    <t>TKT04732</t>
  </si>
  <si>
    <t>TKT04733</t>
  </si>
  <si>
    <t>TKT04734</t>
  </si>
  <si>
    <t>TKT04735</t>
  </si>
  <si>
    <t>TKT04736</t>
  </si>
  <si>
    <t>TKT04737</t>
  </si>
  <si>
    <t>TKT04738</t>
  </si>
  <si>
    <t>TKT04739</t>
  </si>
  <si>
    <t>TKT04740</t>
  </si>
  <si>
    <t>TKT04741</t>
  </si>
  <si>
    <t>TKT04742</t>
  </si>
  <si>
    <t>TKT04743</t>
  </si>
  <si>
    <t>TKT04744</t>
  </si>
  <si>
    <t>TKT04745</t>
  </si>
  <si>
    <t>TKT04746</t>
  </si>
  <si>
    <t>TKT04747</t>
  </si>
  <si>
    <t>TKT04748</t>
  </si>
  <si>
    <t>TKT04749</t>
  </si>
  <si>
    <t>TKT04750</t>
  </si>
  <si>
    <t>TKT04751</t>
  </si>
  <si>
    <t>TKT04752</t>
  </si>
  <si>
    <t>TKT04753</t>
  </si>
  <si>
    <t>TKT04754</t>
  </si>
  <si>
    <t>TKT04755</t>
  </si>
  <si>
    <t>TKT04756</t>
  </si>
  <si>
    <t>TKT04757</t>
  </si>
  <si>
    <t>TKT04758</t>
  </si>
  <si>
    <t>TKT04759</t>
  </si>
  <si>
    <t>TKT04760</t>
  </si>
  <si>
    <t>TKT04761</t>
  </si>
  <si>
    <t>TKT04762</t>
  </si>
  <si>
    <t>TKT04763</t>
  </si>
  <si>
    <t>TKT04764</t>
  </si>
  <si>
    <t>TKT04765</t>
  </si>
  <si>
    <t>TKT04766</t>
  </si>
  <si>
    <t>TKT04767</t>
  </si>
  <si>
    <t>TKT04768</t>
  </si>
  <si>
    <t>TKT04769</t>
  </si>
  <si>
    <t>TKT04770</t>
  </si>
  <si>
    <t>TKT04771</t>
  </si>
  <si>
    <t>TKT04772</t>
  </si>
  <si>
    <t>TKT04773</t>
  </si>
  <si>
    <t>TKT04774</t>
  </si>
  <si>
    <t>TKT04775</t>
  </si>
  <si>
    <t>TKT04776</t>
  </si>
  <si>
    <t>TKT04777</t>
  </si>
  <si>
    <t>TKT04778</t>
  </si>
  <si>
    <t>TKT04779</t>
  </si>
  <si>
    <t>TKT04780</t>
  </si>
  <si>
    <t>TKT04781</t>
  </si>
  <si>
    <t>TKT04782</t>
  </si>
  <si>
    <t>TKT04783</t>
  </si>
  <si>
    <t>TKT04784</t>
  </si>
  <si>
    <t>TKT04785</t>
  </si>
  <si>
    <t>TKT04786</t>
  </si>
  <si>
    <t>TKT04787</t>
  </si>
  <si>
    <t>TKT04788</t>
  </si>
  <si>
    <t>TKT04789</t>
  </si>
  <si>
    <t>TKT04790</t>
  </si>
  <si>
    <t>TKT04791</t>
  </si>
  <si>
    <t>TKT04792</t>
  </si>
  <si>
    <t>TKT04793</t>
  </si>
  <si>
    <t>TKT04794</t>
  </si>
  <si>
    <t>TKT04795</t>
  </si>
  <si>
    <t>TKT04796</t>
  </si>
  <si>
    <t>TKT04797</t>
  </si>
  <si>
    <t>TKT04798</t>
  </si>
  <si>
    <t>TKT04799</t>
  </si>
  <si>
    <t>TKT04800</t>
  </si>
  <si>
    <t>TKT04801</t>
  </si>
  <si>
    <t>TKT04802</t>
  </si>
  <si>
    <t>TKT04803</t>
  </si>
  <si>
    <t>TKT04804</t>
  </si>
  <si>
    <t>TKT04805</t>
  </si>
  <si>
    <t>TKT04806</t>
  </si>
  <si>
    <t>TKT04807</t>
  </si>
  <si>
    <t>TKT04808</t>
  </si>
  <si>
    <t>TKT04809</t>
  </si>
  <si>
    <t>TKT04810</t>
  </si>
  <si>
    <t>TKT04811</t>
  </si>
  <si>
    <t>TKT04812</t>
  </si>
  <si>
    <t>TKT04813</t>
  </si>
  <si>
    <t>TKT04814</t>
  </si>
  <si>
    <t>TKT04815</t>
  </si>
  <si>
    <t>TKT04816</t>
  </si>
  <si>
    <t>TKT04817</t>
  </si>
  <si>
    <t>TKT04818</t>
  </si>
  <si>
    <t>TKT04819</t>
  </si>
  <si>
    <t>TKT04820</t>
  </si>
  <si>
    <t>TKT04821</t>
  </si>
  <si>
    <t>TKT04822</t>
  </si>
  <si>
    <t>TKT04823</t>
  </si>
  <si>
    <t>TKT04824</t>
  </si>
  <si>
    <t>TKT04825</t>
  </si>
  <si>
    <t>TKT04826</t>
  </si>
  <si>
    <t>TKT04827</t>
  </si>
  <si>
    <t>TKT04828</t>
  </si>
  <si>
    <t>TKT04829</t>
  </si>
  <si>
    <t>TKT04830</t>
  </si>
  <si>
    <t>TKT04831</t>
  </si>
  <si>
    <t>TKT04832</t>
  </si>
  <si>
    <t>TKT04833</t>
  </si>
  <si>
    <t>TKT04834</t>
  </si>
  <si>
    <t>TKT04835</t>
  </si>
  <si>
    <t>TKT04836</t>
  </si>
  <si>
    <t>TKT04837</t>
  </si>
  <si>
    <t>TKT04838</t>
  </si>
  <si>
    <t>TKT04839</t>
  </si>
  <si>
    <t>TKT04840</t>
  </si>
  <si>
    <t>TKT04841</t>
  </si>
  <si>
    <t>TKT04842</t>
  </si>
  <si>
    <t>TKT04843</t>
  </si>
  <si>
    <t>TKT04844</t>
  </si>
  <si>
    <t>TKT04845</t>
  </si>
  <si>
    <t>TKT04846</t>
  </si>
  <si>
    <t>TKT04847</t>
  </si>
  <si>
    <t>TKT04848</t>
  </si>
  <si>
    <t>TKT04849</t>
  </si>
  <si>
    <t>TKT04850</t>
  </si>
  <si>
    <t>TKT04851</t>
  </si>
  <si>
    <t>TKT04852</t>
  </si>
  <si>
    <t>TKT04853</t>
  </si>
  <si>
    <t>TKT04854</t>
  </si>
  <si>
    <t>TKT04855</t>
  </si>
  <si>
    <t>TKT04856</t>
  </si>
  <si>
    <t>TKT04857</t>
  </si>
  <si>
    <t>TKT04858</t>
  </si>
  <si>
    <t>TKT04859</t>
  </si>
  <si>
    <t>TKT04860</t>
  </si>
  <si>
    <t>TKT04861</t>
  </si>
  <si>
    <t>TKT04862</t>
  </si>
  <si>
    <t>TKT04863</t>
  </si>
  <si>
    <t>TKT04864</t>
  </si>
  <si>
    <t>TKT04865</t>
  </si>
  <si>
    <t>TKT04866</t>
  </si>
  <si>
    <t>TKT04867</t>
  </si>
  <si>
    <t>TKT04868</t>
  </si>
  <si>
    <t>TKT04869</t>
  </si>
  <si>
    <t>TKT04870</t>
  </si>
  <si>
    <t>TKT04871</t>
  </si>
  <si>
    <t>TKT04872</t>
  </si>
  <si>
    <t>TKT04873</t>
  </si>
  <si>
    <t>TKT04874</t>
  </si>
  <si>
    <t>TKT04875</t>
  </si>
  <si>
    <t>TKT04876</t>
  </si>
  <si>
    <t>TKT04877</t>
  </si>
  <si>
    <t>TKT04878</t>
  </si>
  <si>
    <t>TKT04879</t>
  </si>
  <si>
    <t>TKT04880</t>
  </si>
  <si>
    <t>TKT04881</t>
  </si>
  <si>
    <t>TKT04882</t>
  </si>
  <si>
    <t>TKT04883</t>
  </si>
  <si>
    <t>TKT04884</t>
  </si>
  <si>
    <t>TKT04885</t>
  </si>
  <si>
    <t>TKT04886</t>
  </si>
  <si>
    <t>TKT04887</t>
  </si>
  <si>
    <t>TKT04888</t>
  </si>
  <si>
    <t>TKT04889</t>
  </si>
  <si>
    <t>TKT04890</t>
  </si>
  <si>
    <t>TKT04891</t>
  </si>
  <si>
    <t>TKT04892</t>
  </si>
  <si>
    <t>TKT04893</t>
  </si>
  <si>
    <t>TKT04894</t>
  </si>
  <si>
    <t>TKT04895</t>
  </si>
  <si>
    <t>TKT04896</t>
  </si>
  <si>
    <t>TKT04897</t>
  </si>
  <si>
    <t>TKT04898</t>
  </si>
  <si>
    <t>TKT04899</t>
  </si>
  <si>
    <t>TKT04900</t>
  </si>
  <si>
    <t>TKT04901</t>
  </si>
  <si>
    <t>TKT04902</t>
  </si>
  <si>
    <t>TKT04903</t>
  </si>
  <si>
    <t>TKT04904</t>
  </si>
  <si>
    <t>TKT04905</t>
  </si>
  <si>
    <t>TKT04906</t>
  </si>
  <si>
    <t>TKT04907</t>
  </si>
  <si>
    <t>TKT04908</t>
  </si>
  <si>
    <t>TKT04909</t>
  </si>
  <si>
    <t>TKT04910</t>
  </si>
  <si>
    <t>TKT04911</t>
  </si>
  <si>
    <t>TKT04912</t>
  </si>
  <si>
    <t>TKT04913</t>
  </si>
  <si>
    <t>TKT04914</t>
  </si>
  <si>
    <t>TKT04915</t>
  </si>
  <si>
    <t>TKT04916</t>
  </si>
  <si>
    <t>TKT04917</t>
  </si>
  <si>
    <t>TKT04918</t>
  </si>
  <si>
    <t>TKT04919</t>
  </si>
  <si>
    <t>TKT04920</t>
  </si>
  <si>
    <t>TKT04921</t>
  </si>
  <si>
    <t>TKT04922</t>
  </si>
  <si>
    <t>TKT04923</t>
  </si>
  <si>
    <t>TKT04924</t>
  </si>
  <si>
    <t>TKT04925</t>
  </si>
  <si>
    <t>TKT04926</t>
  </si>
  <si>
    <t>TKT04927</t>
  </si>
  <si>
    <t>TKT04928</t>
  </si>
  <si>
    <t>TKT04929</t>
  </si>
  <si>
    <t>TKT04930</t>
  </si>
  <si>
    <t>TKT04931</t>
  </si>
  <si>
    <t>TKT04932</t>
  </si>
  <si>
    <t>TKT04933</t>
  </si>
  <si>
    <t>TKT04934</t>
  </si>
  <si>
    <t>TKT04935</t>
  </si>
  <si>
    <t>TKT04936</t>
  </si>
  <si>
    <t>TKT04937</t>
  </si>
  <si>
    <t>TKT04938</t>
  </si>
  <si>
    <t>TKT04939</t>
  </si>
  <si>
    <t>TKT04940</t>
  </si>
  <si>
    <t>TKT04941</t>
  </si>
  <si>
    <t>TKT04942</t>
  </si>
  <si>
    <t>TKT04943</t>
  </si>
  <si>
    <t>TKT04944</t>
  </si>
  <si>
    <t>TKT04945</t>
  </si>
  <si>
    <t>TKT04946</t>
  </si>
  <si>
    <t>TKT04947</t>
  </si>
  <si>
    <t>TKT04948</t>
  </si>
  <si>
    <t>TKT04949</t>
  </si>
  <si>
    <t>TKT04950</t>
  </si>
  <si>
    <t>TKT04951</t>
  </si>
  <si>
    <t>TKT04952</t>
  </si>
  <si>
    <t>TKT04953</t>
  </si>
  <si>
    <t>TKT04954</t>
  </si>
  <si>
    <t>TKT04955</t>
  </si>
  <si>
    <t>TKT04956</t>
  </si>
  <si>
    <t>TKT04957</t>
  </si>
  <si>
    <t>TKT04958</t>
  </si>
  <si>
    <t>TKT04959</t>
  </si>
  <si>
    <t>TKT04960</t>
  </si>
  <si>
    <t>TKT04961</t>
  </si>
  <si>
    <t>TKT04962</t>
  </si>
  <si>
    <t>TKT04963</t>
  </si>
  <si>
    <t>TKT04964</t>
  </si>
  <si>
    <t>TKT04965</t>
  </si>
  <si>
    <t>TKT04966</t>
  </si>
  <si>
    <t>TKT04967</t>
  </si>
  <si>
    <t>TKT04968</t>
  </si>
  <si>
    <t>TKT04969</t>
  </si>
  <si>
    <t>TKT04970</t>
  </si>
  <si>
    <t>TKT04971</t>
  </si>
  <si>
    <t>TKT04972</t>
  </si>
  <si>
    <t>TKT04973</t>
  </si>
  <si>
    <t>TKT04974</t>
  </si>
  <si>
    <t>TKT04975</t>
  </si>
  <si>
    <t>TKT04976</t>
  </si>
  <si>
    <t>TKT04977</t>
  </si>
  <si>
    <t>TKT04978</t>
  </si>
  <si>
    <t>TKT04979</t>
  </si>
  <si>
    <t>TKT04980</t>
  </si>
  <si>
    <t>TKT04981</t>
  </si>
  <si>
    <t>TKT04982</t>
  </si>
  <si>
    <t>TKT04983</t>
  </si>
  <si>
    <t>TKT04984</t>
  </si>
  <si>
    <t>TKT04985</t>
  </si>
  <si>
    <t>TKT04986</t>
  </si>
  <si>
    <t>TKT04987</t>
  </si>
  <si>
    <t>TKT04988</t>
  </si>
  <si>
    <t>TKT04989</t>
  </si>
  <si>
    <t>TKT04990</t>
  </si>
  <si>
    <t>TKT04991</t>
  </si>
  <si>
    <t>TKT04992</t>
  </si>
  <si>
    <t>TKT04993</t>
  </si>
  <si>
    <t>TKT04994</t>
  </si>
  <si>
    <t>TKT04995</t>
  </si>
  <si>
    <t>TKT04996</t>
  </si>
  <si>
    <t>TKT04997</t>
  </si>
  <si>
    <t>TKT04998</t>
  </si>
  <si>
    <t>TKT04999</t>
  </si>
  <si>
    <t>TKT05000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</si>
</sst>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180" formatCode="dd/mm/yyyy"/>
    </dxf>
    <dxf>
      <numFmt numFmtId="181" formatCode="dd/mm/yyyy\ hh:mm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icket_Table" displayName="Ticket_Table" ref="A1:Q5001" totalsRowShown="0">
  <autoFilter xmlns:etc="http://www.wps.cn/officeDocument/2017/etCustomData" ref="A1:Q5001" etc:filterBottomFollowUsedRange="0"/>
  <tableColumns count="17">
    <tableColumn id="1" name="ticket_id"/>
    <tableColumn id="2" name="emp_id"/>
    <tableColumn id="3" name="dept_id"/>
    <tableColumn id="4" name="ticket_type"/>
    <tableColumn id="5" name="category"/>
    <tableColumn id="6" name="priority"/>
    <tableColumn id="7" name="status"/>
    <tableColumn id="8" name="raised_date" dataDxfId="0"/>
    <tableColumn id="9" name="resolved_date" dataDxfId="1"/>
    <tableColumn id="10" name="resolution_hrs"/>
    <tableColumn id="11" name="sla_breached"/>
    <tableColumn id="12" name="reopen_count"/>
    <tableColumn id="13" name="satisfaction_score"/>
    <tableColumn id="14" name="assigned_to"/>
    <tableColumn id="15" name="Month_Raised" dataDxfId="2">
      <calculatedColumnFormula>TEXT(Ticket_Table[[#This Row],[raised_date]],"YYYY-MM")</calculatedColumnFormula>
    </tableColumn>
    <tableColumn id="16" name="resolution_category" dataDxfId="3">
      <calculatedColumnFormula>IF(Ticket_Table[[#This Row],[resolution_hrs]]&lt;=4,"Fast",IF(Ticket_Table[[#This Row],[resolution_hrs]]&lt;=24,"Normal",IF(Ticket_Table[[#This Row],[resolution_hrs]]&lt;=48,"Slow","Very Slow")))</calculatedColumnFormula>
    </tableColumn>
    <tableColumn id="17" name="year_raised" dataDxfId="4">
      <calculatedColumnFormula>YEAR(Ticket_Table[[#This Row],[raised_date]])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01"/>
  <sheetViews>
    <sheetView tabSelected="1" zoomScaleSheetLayoutView="60" workbookViewId="0">
      <pane ySplit="1" topLeftCell="A2" activePane="bottomLeft" state="frozen"/>
      <selection/>
      <selection pane="bottomLeft" activeCell="I13" sqref="I13"/>
    </sheetView>
  </sheetViews>
  <sheetFormatPr defaultColWidth="10" defaultRowHeight="14.4"/>
  <cols>
    <col min="8" max="9" width="24.7777777777778" customWidth="1"/>
    <col min="10" max="10" width="20.8888888888889" customWidth="1"/>
    <col min="15" max="15" width="13.1111111111111" customWidth="1"/>
    <col min="16" max="16" width="17.333333333333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44854</v>
      </c>
      <c r="I2" s="2">
        <v>44856.2333333333</v>
      </c>
      <c r="J2">
        <v>53.6</v>
      </c>
      <c r="K2" t="s">
        <v>24</v>
      </c>
      <c r="L2">
        <v>0</v>
      </c>
      <c r="M2">
        <v>5</v>
      </c>
      <c r="N2" t="s">
        <v>25</v>
      </c>
      <c r="O2" s="3" t="str">
        <f>TEXT(Ticket_Table[[#This Row],[raised_date]],"YYYY-MM")</f>
        <v>2022-10</v>
      </c>
      <c r="P2" s="3" t="str">
        <f>IF(Ticket_Table[[#This Row],[resolution_hrs]]&lt;=4,"Fast",IF(Ticket_Table[[#This Row],[resolution_hrs]]&lt;=24,"Normal",IF(Ticket_Table[[#This Row],[resolution_hrs]]&lt;=48,"Slow","Very Slow")))</f>
        <v>Very Slow</v>
      </c>
      <c r="Q2" s="3">
        <f>YEAR(Ticket_Table[[#This Row],[raised_date]])</f>
        <v>2022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22</v>
      </c>
      <c r="G3" t="s">
        <v>31</v>
      </c>
      <c r="H3" s="1">
        <v>44411</v>
      </c>
      <c r="I3" s="2">
        <v>44415.1833333333</v>
      </c>
      <c r="J3">
        <v>100.4</v>
      </c>
      <c r="K3" t="s">
        <v>32</v>
      </c>
      <c r="L3">
        <v>0</v>
      </c>
      <c r="M3">
        <v>4</v>
      </c>
      <c r="N3" t="s">
        <v>33</v>
      </c>
      <c r="O3" s="3" t="str">
        <f>TEXT(Ticket_Table[[#This Row],[raised_date]],"YYYY-MM")</f>
        <v>2021-08</v>
      </c>
      <c r="P3" s="3" t="str">
        <f>IF(Ticket_Table[[#This Row],[resolution_hrs]]&lt;=4,"Fast",IF(Ticket_Table[[#This Row],[resolution_hrs]]&lt;=24,"Normal",IF(Ticket_Table[[#This Row],[resolution_hrs]]&lt;=48,"Slow","Very Slow")))</f>
        <v>Very Slow</v>
      </c>
      <c r="Q3" s="3">
        <f>YEAR(Ticket_Table[[#This Row],[raised_date]])</f>
        <v>2021</v>
      </c>
    </row>
    <row r="4" spans="1:17">
      <c r="A4" t="s">
        <v>34</v>
      </c>
      <c r="B4" t="s">
        <v>35</v>
      </c>
      <c r="C4" t="s">
        <v>19</v>
      </c>
      <c r="D4" t="s">
        <v>36</v>
      </c>
      <c r="E4" t="s">
        <v>37</v>
      </c>
      <c r="F4" t="s">
        <v>38</v>
      </c>
      <c r="G4" t="s">
        <v>23</v>
      </c>
      <c r="H4" s="1">
        <v>44526</v>
      </c>
      <c r="I4" s="2">
        <v>44526.9333333333</v>
      </c>
      <c r="J4">
        <v>22.4</v>
      </c>
      <c r="K4" t="s">
        <v>24</v>
      </c>
      <c r="L4">
        <v>1</v>
      </c>
      <c r="M4">
        <v>4</v>
      </c>
      <c r="N4" t="s">
        <v>39</v>
      </c>
      <c r="O4" s="3" t="str">
        <f>TEXT(Ticket_Table[[#This Row],[raised_date]],"YYYY-MM")</f>
        <v>2021-11</v>
      </c>
      <c r="P4" s="3" t="str">
        <f>IF(Ticket_Table[[#This Row],[resolution_hrs]]&lt;=4,"Fast",IF(Ticket_Table[[#This Row],[resolution_hrs]]&lt;=24,"Normal",IF(Ticket_Table[[#This Row],[resolution_hrs]]&lt;=48,"Slow","Very Slow")))</f>
        <v>Normal</v>
      </c>
      <c r="Q4" s="3">
        <f>YEAR(Ticket_Table[[#This Row],[raised_date]])</f>
        <v>2021</v>
      </c>
    </row>
    <row r="5" spans="1:17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1">
        <v>44872</v>
      </c>
      <c r="I5" s="2">
        <v>44872.0791666667</v>
      </c>
      <c r="J5">
        <v>1.9</v>
      </c>
      <c r="K5" t="s">
        <v>24</v>
      </c>
      <c r="L5">
        <v>0</v>
      </c>
      <c r="M5">
        <v>4</v>
      </c>
      <c r="N5" t="s">
        <v>47</v>
      </c>
      <c r="O5" s="3" t="str">
        <f>TEXT(Ticket_Table[[#This Row],[raised_date]],"YYYY-MM")</f>
        <v>2022-11</v>
      </c>
      <c r="P5" s="3" t="str">
        <f>IF(Ticket_Table[[#This Row],[resolution_hrs]]&lt;=4,"Fast",IF(Ticket_Table[[#This Row],[resolution_hrs]]&lt;=24,"Normal",IF(Ticket_Table[[#This Row],[resolution_hrs]]&lt;=48,"Slow","Very Slow")))</f>
        <v>Fast</v>
      </c>
      <c r="Q5" s="3">
        <f>YEAR(Ticket_Table[[#This Row],[raised_date]])</f>
        <v>2022</v>
      </c>
    </row>
    <row r="6" spans="1:17">
      <c r="A6" t="s">
        <v>48</v>
      </c>
      <c r="B6" t="s">
        <v>49</v>
      </c>
      <c r="C6" t="s">
        <v>50</v>
      </c>
      <c r="D6" t="s">
        <v>36</v>
      </c>
      <c r="E6" t="s">
        <v>51</v>
      </c>
      <c r="F6" t="s">
        <v>22</v>
      </c>
      <c r="G6" t="s">
        <v>46</v>
      </c>
      <c r="H6" s="1">
        <v>45040</v>
      </c>
      <c r="I6" s="2">
        <v>45042.2375</v>
      </c>
      <c r="J6">
        <v>53.7</v>
      </c>
      <c r="K6" t="s">
        <v>24</v>
      </c>
      <c r="L6">
        <v>0</v>
      </c>
      <c r="M6">
        <v>4</v>
      </c>
      <c r="N6" t="s">
        <v>52</v>
      </c>
      <c r="O6" s="3" t="str">
        <f>TEXT(Ticket_Table[[#This Row],[raised_date]],"YYYY-MM")</f>
        <v>2023-04</v>
      </c>
      <c r="P6" s="3" t="str">
        <f>IF(Ticket_Table[[#This Row],[resolution_hrs]]&lt;=4,"Fast",IF(Ticket_Table[[#This Row],[resolution_hrs]]&lt;=24,"Normal",IF(Ticket_Table[[#This Row],[resolution_hrs]]&lt;=48,"Slow","Very Slow")))</f>
        <v>Very Slow</v>
      </c>
      <c r="Q6" s="3">
        <f>YEAR(Ticket_Table[[#This Row],[raised_date]])</f>
        <v>2023</v>
      </c>
    </row>
    <row r="7" spans="1:17">
      <c r="A7" t="s">
        <v>53</v>
      </c>
      <c r="B7" t="s">
        <v>54</v>
      </c>
      <c r="C7" t="s">
        <v>55</v>
      </c>
      <c r="D7" t="s">
        <v>36</v>
      </c>
      <c r="E7" t="s">
        <v>56</v>
      </c>
      <c r="F7" t="s">
        <v>22</v>
      </c>
      <c r="G7" t="s">
        <v>23</v>
      </c>
      <c r="H7" s="1">
        <v>45211</v>
      </c>
      <c r="I7" s="2">
        <v>45211.6833333333</v>
      </c>
      <c r="J7">
        <v>16.4</v>
      </c>
      <c r="K7" t="s">
        <v>24</v>
      </c>
      <c r="L7">
        <v>0</v>
      </c>
      <c r="M7">
        <v>1</v>
      </c>
      <c r="N7" t="s">
        <v>57</v>
      </c>
      <c r="O7" s="3" t="str">
        <f>TEXT(Ticket_Table[[#This Row],[raised_date]],"YYYY-MM")</f>
        <v>2023-10</v>
      </c>
      <c r="P7" s="3" t="str">
        <f>IF(Ticket_Table[[#This Row],[resolution_hrs]]&lt;=4,"Fast",IF(Ticket_Table[[#This Row],[resolution_hrs]]&lt;=24,"Normal",IF(Ticket_Table[[#This Row],[resolution_hrs]]&lt;=48,"Slow","Very Slow")))</f>
        <v>Normal</v>
      </c>
      <c r="Q7" s="3">
        <f>YEAR(Ticket_Table[[#This Row],[raised_date]])</f>
        <v>2023</v>
      </c>
    </row>
    <row r="8" spans="1:17">
      <c r="A8" t="s">
        <v>58</v>
      </c>
      <c r="B8" t="s">
        <v>59</v>
      </c>
      <c r="C8" t="s">
        <v>60</v>
      </c>
      <c r="D8" t="s">
        <v>20</v>
      </c>
      <c r="E8" t="s">
        <v>56</v>
      </c>
      <c r="F8" t="s">
        <v>38</v>
      </c>
      <c r="G8" t="s">
        <v>46</v>
      </c>
      <c r="H8" s="1">
        <v>44787</v>
      </c>
      <c r="I8" s="2">
        <v>44788.1625</v>
      </c>
      <c r="J8">
        <v>27.9</v>
      </c>
      <c r="K8" t="s">
        <v>32</v>
      </c>
      <c r="L8">
        <v>2</v>
      </c>
      <c r="M8">
        <v>2</v>
      </c>
      <c r="N8" t="s">
        <v>61</v>
      </c>
      <c r="O8" s="3" t="str">
        <f>TEXT(Ticket_Table[[#This Row],[raised_date]],"YYYY-MM")</f>
        <v>2022-08</v>
      </c>
      <c r="P8" s="3" t="str">
        <f>IF(Ticket_Table[[#This Row],[resolution_hrs]]&lt;=4,"Fast",IF(Ticket_Table[[#This Row],[resolution_hrs]]&lt;=24,"Normal",IF(Ticket_Table[[#This Row],[resolution_hrs]]&lt;=48,"Slow","Very Slow")))</f>
        <v>Slow</v>
      </c>
      <c r="Q8" s="3">
        <f>YEAR(Ticket_Table[[#This Row],[raised_date]])</f>
        <v>2022</v>
      </c>
    </row>
    <row r="9" spans="1:17">
      <c r="A9" t="s">
        <v>62</v>
      </c>
      <c r="B9" t="s">
        <v>63</v>
      </c>
      <c r="C9" t="s">
        <v>64</v>
      </c>
      <c r="D9" t="s">
        <v>43</v>
      </c>
      <c r="E9" t="s">
        <v>21</v>
      </c>
      <c r="F9" t="s">
        <v>45</v>
      </c>
      <c r="G9" t="s">
        <v>31</v>
      </c>
      <c r="H9" s="1">
        <v>45017</v>
      </c>
      <c r="I9" s="2">
        <v>45017.0875</v>
      </c>
      <c r="J9">
        <v>2.1</v>
      </c>
      <c r="K9" t="s">
        <v>24</v>
      </c>
      <c r="L9">
        <v>1</v>
      </c>
      <c r="M9">
        <v>4</v>
      </c>
      <c r="N9" t="s">
        <v>65</v>
      </c>
      <c r="O9" s="3" t="str">
        <f>TEXT(Ticket_Table[[#This Row],[raised_date]],"YYYY-MM")</f>
        <v>2023-04</v>
      </c>
      <c r="P9" s="3" t="str">
        <f>IF(Ticket_Table[[#This Row],[resolution_hrs]]&lt;=4,"Fast",IF(Ticket_Table[[#This Row],[resolution_hrs]]&lt;=24,"Normal",IF(Ticket_Table[[#This Row],[resolution_hrs]]&lt;=48,"Slow","Very Slow")))</f>
        <v>Fast</v>
      </c>
      <c r="Q9" s="3">
        <f>YEAR(Ticket_Table[[#This Row],[raised_date]])</f>
        <v>2023</v>
      </c>
    </row>
    <row r="10" spans="1:17">
      <c r="A10" t="s">
        <v>66</v>
      </c>
      <c r="B10" t="s">
        <v>67</v>
      </c>
      <c r="C10" t="s">
        <v>68</v>
      </c>
      <c r="D10" t="s">
        <v>43</v>
      </c>
      <c r="E10" t="s">
        <v>69</v>
      </c>
      <c r="F10" t="s">
        <v>70</v>
      </c>
      <c r="G10" t="s">
        <v>46</v>
      </c>
      <c r="H10" s="1">
        <v>44272</v>
      </c>
      <c r="I10" s="2">
        <v>44273.9458333333</v>
      </c>
      <c r="J10">
        <v>46.7</v>
      </c>
      <c r="K10" t="s">
        <v>24</v>
      </c>
      <c r="L10">
        <v>1</v>
      </c>
      <c r="M10">
        <v>5</v>
      </c>
      <c r="N10" t="s">
        <v>71</v>
      </c>
      <c r="O10" s="3" t="str">
        <f>TEXT(Ticket_Table[[#This Row],[raised_date]],"YYYY-MM")</f>
        <v>2021-03</v>
      </c>
      <c r="P10" s="3" t="str">
        <f>IF(Ticket_Table[[#This Row],[resolution_hrs]]&lt;=4,"Fast",IF(Ticket_Table[[#This Row],[resolution_hrs]]&lt;=24,"Normal",IF(Ticket_Table[[#This Row],[resolution_hrs]]&lt;=48,"Slow","Very Slow")))</f>
        <v>Slow</v>
      </c>
      <c r="Q10" s="3">
        <f>YEAR(Ticket_Table[[#This Row],[raised_date]])</f>
        <v>2021</v>
      </c>
    </row>
    <row r="11" spans="1:17">
      <c r="A11" t="s">
        <v>72</v>
      </c>
      <c r="B11" t="s">
        <v>73</v>
      </c>
      <c r="C11" t="s">
        <v>64</v>
      </c>
      <c r="D11" t="s">
        <v>36</v>
      </c>
      <c r="E11" t="s">
        <v>21</v>
      </c>
      <c r="F11" t="s">
        <v>22</v>
      </c>
      <c r="G11" t="s">
        <v>74</v>
      </c>
      <c r="H11" s="1">
        <v>45128</v>
      </c>
      <c r="I11" s="2">
        <v>45132.1083333333</v>
      </c>
      <c r="J11">
        <v>98.6</v>
      </c>
      <c r="K11" t="s">
        <v>32</v>
      </c>
      <c r="L11">
        <v>0</v>
      </c>
      <c r="M11">
        <v>4</v>
      </c>
      <c r="N11" t="s">
        <v>75</v>
      </c>
      <c r="O11" s="3" t="str">
        <f>TEXT(Ticket_Table[[#This Row],[raised_date]],"YYYY-MM")</f>
        <v>2023-07</v>
      </c>
      <c r="P11" s="3" t="str">
        <f>IF(Ticket_Table[[#This Row],[resolution_hrs]]&lt;=4,"Fast",IF(Ticket_Table[[#This Row],[resolution_hrs]]&lt;=24,"Normal",IF(Ticket_Table[[#This Row],[resolution_hrs]]&lt;=48,"Slow","Very Slow")))</f>
        <v>Very Slow</v>
      </c>
      <c r="Q11" s="3">
        <f>YEAR(Ticket_Table[[#This Row],[raised_date]])</f>
        <v>2023</v>
      </c>
    </row>
    <row r="12" spans="1:17">
      <c r="A12" t="s">
        <v>76</v>
      </c>
      <c r="B12" t="s">
        <v>77</v>
      </c>
      <c r="C12" t="s">
        <v>78</v>
      </c>
      <c r="D12" t="s">
        <v>43</v>
      </c>
      <c r="E12" t="s">
        <v>21</v>
      </c>
      <c r="F12" t="s">
        <v>22</v>
      </c>
      <c r="G12" t="s">
        <v>74</v>
      </c>
      <c r="H12" s="1">
        <v>44377</v>
      </c>
      <c r="I12" s="2">
        <v>44380.2291666667</v>
      </c>
      <c r="J12">
        <v>77.5</v>
      </c>
      <c r="K12" t="s">
        <v>32</v>
      </c>
      <c r="L12">
        <v>0</v>
      </c>
      <c r="M12">
        <v>3</v>
      </c>
      <c r="N12" t="s">
        <v>79</v>
      </c>
      <c r="O12" s="3" t="str">
        <f>TEXT(Ticket_Table[[#This Row],[raised_date]],"YYYY-MM")</f>
        <v>2021-06</v>
      </c>
      <c r="P12" s="3" t="str">
        <f>IF(Ticket_Table[[#This Row],[resolution_hrs]]&lt;=4,"Fast",IF(Ticket_Table[[#This Row],[resolution_hrs]]&lt;=24,"Normal",IF(Ticket_Table[[#This Row],[resolution_hrs]]&lt;=48,"Slow","Very Slow")))</f>
        <v>Very Slow</v>
      </c>
      <c r="Q12" s="3">
        <f>YEAR(Ticket_Table[[#This Row],[raised_date]])</f>
        <v>2021</v>
      </c>
    </row>
    <row r="13" spans="1:17">
      <c r="A13" t="s">
        <v>80</v>
      </c>
      <c r="B13" t="s">
        <v>81</v>
      </c>
      <c r="C13" t="s">
        <v>82</v>
      </c>
      <c r="D13" t="s">
        <v>43</v>
      </c>
      <c r="E13" t="s">
        <v>83</v>
      </c>
      <c r="F13" t="s">
        <v>70</v>
      </c>
      <c r="G13" t="s">
        <v>31</v>
      </c>
      <c r="H13" s="1">
        <v>44841</v>
      </c>
      <c r="I13" s="2">
        <v>44841.3458333333</v>
      </c>
      <c r="J13">
        <v>8.3</v>
      </c>
      <c r="K13" t="s">
        <v>24</v>
      </c>
      <c r="L13">
        <v>1</v>
      </c>
      <c r="M13">
        <v>3</v>
      </c>
      <c r="N13" t="s">
        <v>84</v>
      </c>
      <c r="O13" s="3" t="str">
        <f>TEXT(Ticket_Table[[#This Row],[raised_date]],"YYYY-MM")</f>
        <v>2022-10</v>
      </c>
      <c r="P13" s="3" t="str">
        <f>IF(Ticket_Table[[#This Row],[resolution_hrs]]&lt;=4,"Fast",IF(Ticket_Table[[#This Row],[resolution_hrs]]&lt;=24,"Normal",IF(Ticket_Table[[#This Row],[resolution_hrs]]&lt;=48,"Slow","Very Slow")))</f>
        <v>Normal</v>
      </c>
      <c r="Q13" s="3">
        <f>YEAR(Ticket_Table[[#This Row],[raised_date]])</f>
        <v>2022</v>
      </c>
    </row>
    <row r="14" spans="1:17">
      <c r="A14" t="s">
        <v>85</v>
      </c>
      <c r="B14" t="s">
        <v>86</v>
      </c>
      <c r="C14" t="s">
        <v>50</v>
      </c>
      <c r="D14" t="s">
        <v>20</v>
      </c>
      <c r="E14" t="s">
        <v>51</v>
      </c>
      <c r="F14" t="s">
        <v>70</v>
      </c>
      <c r="G14" t="s">
        <v>31</v>
      </c>
      <c r="H14" s="1">
        <v>44713</v>
      </c>
      <c r="I14" s="2">
        <v>44713.2583333333</v>
      </c>
      <c r="J14">
        <v>6.2</v>
      </c>
      <c r="K14" t="s">
        <v>24</v>
      </c>
      <c r="L14">
        <v>0</v>
      </c>
      <c r="M14">
        <v>4</v>
      </c>
      <c r="N14" t="s">
        <v>87</v>
      </c>
      <c r="O14" s="3" t="str">
        <f>TEXT(Ticket_Table[[#This Row],[raised_date]],"YYYY-MM")</f>
        <v>2022-06</v>
      </c>
      <c r="P14" s="3" t="str">
        <f>IF(Ticket_Table[[#This Row],[resolution_hrs]]&lt;=4,"Fast",IF(Ticket_Table[[#This Row],[resolution_hrs]]&lt;=24,"Normal",IF(Ticket_Table[[#This Row],[resolution_hrs]]&lt;=48,"Slow","Very Slow")))</f>
        <v>Normal</v>
      </c>
      <c r="Q14" s="3">
        <f>YEAR(Ticket_Table[[#This Row],[raised_date]])</f>
        <v>2022</v>
      </c>
    </row>
    <row r="15" spans="1:17">
      <c r="A15" t="s">
        <v>88</v>
      </c>
      <c r="B15" t="s">
        <v>89</v>
      </c>
      <c r="C15" t="s">
        <v>28</v>
      </c>
      <c r="D15" t="s">
        <v>90</v>
      </c>
      <c r="E15" t="s">
        <v>30</v>
      </c>
      <c r="F15" t="s">
        <v>22</v>
      </c>
      <c r="G15" t="s">
        <v>91</v>
      </c>
      <c r="H15" s="1">
        <v>44859</v>
      </c>
      <c r="I15" s="2">
        <v>44861.5875</v>
      </c>
      <c r="J15">
        <v>62.1</v>
      </c>
      <c r="K15" t="s">
        <v>24</v>
      </c>
      <c r="L15">
        <v>0</v>
      </c>
      <c r="M15">
        <v>4</v>
      </c>
      <c r="N15" t="s">
        <v>92</v>
      </c>
      <c r="O15" s="3" t="str">
        <f>TEXT(Ticket_Table[[#This Row],[raised_date]],"YYYY-MM")</f>
        <v>2022-10</v>
      </c>
      <c r="P15" s="3" t="str">
        <f>IF(Ticket_Table[[#This Row],[resolution_hrs]]&lt;=4,"Fast",IF(Ticket_Table[[#This Row],[resolution_hrs]]&lt;=24,"Normal",IF(Ticket_Table[[#This Row],[resolution_hrs]]&lt;=48,"Slow","Very Slow")))</f>
        <v>Very Slow</v>
      </c>
      <c r="Q15" s="3">
        <f>YEAR(Ticket_Table[[#This Row],[raised_date]])</f>
        <v>2022</v>
      </c>
    </row>
    <row r="16" spans="1:17">
      <c r="A16" t="s">
        <v>93</v>
      </c>
      <c r="B16" t="s">
        <v>94</v>
      </c>
      <c r="C16" t="s">
        <v>95</v>
      </c>
      <c r="D16" t="s">
        <v>29</v>
      </c>
      <c r="E16" t="s">
        <v>21</v>
      </c>
      <c r="F16" t="s">
        <v>70</v>
      </c>
      <c r="G16" t="s">
        <v>23</v>
      </c>
      <c r="H16" s="1">
        <v>44434</v>
      </c>
      <c r="I16" s="2">
        <v>44434.7833333333</v>
      </c>
      <c r="J16">
        <v>18.8</v>
      </c>
      <c r="K16" t="s">
        <v>24</v>
      </c>
      <c r="L16">
        <v>0</v>
      </c>
      <c r="M16">
        <v>5</v>
      </c>
      <c r="N16" t="s">
        <v>96</v>
      </c>
      <c r="O16" s="3" t="str">
        <f>TEXT(Ticket_Table[[#This Row],[raised_date]],"YYYY-MM")</f>
        <v>2021-08</v>
      </c>
      <c r="P16" s="3" t="str">
        <f>IF(Ticket_Table[[#This Row],[resolution_hrs]]&lt;=4,"Fast",IF(Ticket_Table[[#This Row],[resolution_hrs]]&lt;=24,"Normal",IF(Ticket_Table[[#This Row],[resolution_hrs]]&lt;=48,"Slow","Very Slow")))</f>
        <v>Normal</v>
      </c>
      <c r="Q16" s="3">
        <f>YEAR(Ticket_Table[[#This Row],[raised_date]])</f>
        <v>2021</v>
      </c>
    </row>
    <row r="17" spans="1:17">
      <c r="A17" t="s">
        <v>97</v>
      </c>
      <c r="B17" t="s">
        <v>98</v>
      </c>
      <c r="C17" t="s">
        <v>55</v>
      </c>
      <c r="D17" t="s">
        <v>90</v>
      </c>
      <c r="E17" t="s">
        <v>69</v>
      </c>
      <c r="F17" t="s">
        <v>22</v>
      </c>
      <c r="G17" t="s">
        <v>46</v>
      </c>
      <c r="H17" s="1">
        <v>45024</v>
      </c>
      <c r="I17" s="2">
        <v>45026.0291666667</v>
      </c>
      <c r="J17">
        <v>48.7</v>
      </c>
      <c r="K17" t="s">
        <v>24</v>
      </c>
      <c r="L17">
        <v>0</v>
      </c>
      <c r="M17">
        <v>4</v>
      </c>
      <c r="N17" t="s">
        <v>99</v>
      </c>
      <c r="O17" s="3" t="str">
        <f>TEXT(Ticket_Table[[#This Row],[raised_date]],"YYYY-MM")</f>
        <v>2023-04</v>
      </c>
      <c r="P17" s="3" t="str">
        <f>IF(Ticket_Table[[#This Row],[resolution_hrs]]&lt;=4,"Fast",IF(Ticket_Table[[#This Row],[resolution_hrs]]&lt;=24,"Normal",IF(Ticket_Table[[#This Row],[resolution_hrs]]&lt;=48,"Slow","Very Slow")))</f>
        <v>Very Slow</v>
      </c>
      <c r="Q17" s="3">
        <f>YEAR(Ticket_Table[[#This Row],[raised_date]])</f>
        <v>2023</v>
      </c>
    </row>
    <row r="18" spans="1:17">
      <c r="A18" t="s">
        <v>100</v>
      </c>
      <c r="B18" t="s">
        <v>101</v>
      </c>
      <c r="C18" t="s">
        <v>102</v>
      </c>
      <c r="D18" t="s">
        <v>43</v>
      </c>
      <c r="E18" t="s">
        <v>30</v>
      </c>
      <c r="F18" t="s">
        <v>38</v>
      </c>
      <c r="G18" t="s">
        <v>23</v>
      </c>
      <c r="H18" s="1">
        <v>45250</v>
      </c>
      <c r="I18" s="2">
        <v>45251.35</v>
      </c>
      <c r="J18">
        <v>32.4</v>
      </c>
      <c r="K18" t="s">
        <v>32</v>
      </c>
      <c r="L18">
        <v>0</v>
      </c>
      <c r="M18">
        <v>3</v>
      </c>
      <c r="N18" t="s">
        <v>103</v>
      </c>
      <c r="O18" s="3" t="str">
        <f>TEXT(Ticket_Table[[#This Row],[raised_date]],"YYYY-MM")</f>
        <v>2023-11</v>
      </c>
      <c r="P18" s="3" t="str">
        <f>IF(Ticket_Table[[#This Row],[resolution_hrs]]&lt;=4,"Fast",IF(Ticket_Table[[#This Row],[resolution_hrs]]&lt;=24,"Normal",IF(Ticket_Table[[#This Row],[resolution_hrs]]&lt;=48,"Slow","Very Slow")))</f>
        <v>Slow</v>
      </c>
      <c r="Q18" s="3">
        <f>YEAR(Ticket_Table[[#This Row],[raised_date]])</f>
        <v>2023</v>
      </c>
    </row>
    <row r="19" spans="1:17">
      <c r="A19" t="s">
        <v>104</v>
      </c>
      <c r="B19" t="s">
        <v>105</v>
      </c>
      <c r="C19" t="s">
        <v>50</v>
      </c>
      <c r="D19" t="s">
        <v>36</v>
      </c>
      <c r="E19" t="s">
        <v>106</v>
      </c>
      <c r="F19" t="s">
        <v>70</v>
      </c>
      <c r="G19" t="s">
        <v>23</v>
      </c>
      <c r="H19" s="1">
        <v>44199</v>
      </c>
      <c r="I19" s="2">
        <v>44199.4833333333</v>
      </c>
      <c r="J19">
        <v>11.6</v>
      </c>
      <c r="K19" t="s">
        <v>24</v>
      </c>
      <c r="L19">
        <v>1</v>
      </c>
      <c r="M19">
        <v>4</v>
      </c>
      <c r="N19" t="s">
        <v>107</v>
      </c>
      <c r="O19" s="3" t="str">
        <f>TEXT(Ticket_Table[[#This Row],[raised_date]],"YYYY-MM")</f>
        <v>2021-01</v>
      </c>
      <c r="P19" s="3" t="str">
        <f>IF(Ticket_Table[[#This Row],[resolution_hrs]]&lt;=4,"Fast",IF(Ticket_Table[[#This Row],[resolution_hrs]]&lt;=24,"Normal",IF(Ticket_Table[[#This Row],[resolution_hrs]]&lt;=48,"Slow","Very Slow")))</f>
        <v>Normal</v>
      </c>
      <c r="Q19" s="3">
        <f>YEAR(Ticket_Table[[#This Row],[raised_date]])</f>
        <v>2021</v>
      </c>
    </row>
    <row r="20" spans="1:17">
      <c r="A20" t="s">
        <v>108</v>
      </c>
      <c r="B20" t="s">
        <v>109</v>
      </c>
      <c r="C20" t="s">
        <v>55</v>
      </c>
      <c r="D20" t="s">
        <v>29</v>
      </c>
      <c r="E20" t="s">
        <v>51</v>
      </c>
      <c r="F20" t="s">
        <v>22</v>
      </c>
      <c r="G20" t="s">
        <v>23</v>
      </c>
      <c r="H20" s="1">
        <v>45143</v>
      </c>
      <c r="I20" s="2">
        <v>45145.8958333333</v>
      </c>
      <c r="J20">
        <v>69.5</v>
      </c>
      <c r="K20" t="s">
        <v>24</v>
      </c>
      <c r="L20">
        <v>0</v>
      </c>
      <c r="M20">
        <v>4</v>
      </c>
      <c r="N20" t="s">
        <v>110</v>
      </c>
      <c r="O20" s="3" t="str">
        <f>TEXT(Ticket_Table[[#This Row],[raised_date]],"YYYY-MM")</f>
        <v>2023-08</v>
      </c>
      <c r="P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0" s="3">
        <f>YEAR(Ticket_Table[[#This Row],[raised_date]])</f>
        <v>2023</v>
      </c>
    </row>
    <row r="21" spans="1:17">
      <c r="A21" t="s">
        <v>111</v>
      </c>
      <c r="B21" t="s">
        <v>96</v>
      </c>
      <c r="C21" t="s">
        <v>28</v>
      </c>
      <c r="D21" t="s">
        <v>29</v>
      </c>
      <c r="E21" t="s">
        <v>56</v>
      </c>
      <c r="F21" t="s">
        <v>70</v>
      </c>
      <c r="G21" t="s">
        <v>23</v>
      </c>
      <c r="H21" s="1">
        <v>45043</v>
      </c>
      <c r="I21" s="2">
        <v>45045.8</v>
      </c>
      <c r="J21">
        <v>67.2</v>
      </c>
      <c r="K21" t="s">
        <v>32</v>
      </c>
      <c r="L21">
        <v>1</v>
      </c>
      <c r="M21">
        <v>4</v>
      </c>
      <c r="N21" t="s">
        <v>112</v>
      </c>
      <c r="O21" s="3" t="str">
        <f>TEXT(Ticket_Table[[#This Row],[raised_date]],"YYYY-MM")</f>
        <v>2023-04</v>
      </c>
      <c r="P21" s="3" t="str">
        <f>IF(Ticket_Table[[#This Row],[resolution_hrs]]&lt;=4,"Fast",IF(Ticket_Table[[#This Row],[resolution_hrs]]&lt;=24,"Normal",IF(Ticket_Table[[#This Row],[resolution_hrs]]&lt;=48,"Slow","Very Slow")))</f>
        <v>Very Slow</v>
      </c>
      <c r="Q21" s="3">
        <f>YEAR(Ticket_Table[[#This Row],[raised_date]])</f>
        <v>2023</v>
      </c>
    </row>
    <row r="22" spans="1:17">
      <c r="A22" t="s">
        <v>113</v>
      </c>
      <c r="B22" t="s">
        <v>114</v>
      </c>
      <c r="C22" t="s">
        <v>28</v>
      </c>
      <c r="D22" t="s">
        <v>36</v>
      </c>
      <c r="E22" t="s">
        <v>106</v>
      </c>
      <c r="F22" t="s">
        <v>70</v>
      </c>
      <c r="G22" t="s">
        <v>74</v>
      </c>
      <c r="H22" s="1">
        <v>44308</v>
      </c>
      <c r="I22" s="2">
        <v>44310.0083333333</v>
      </c>
      <c r="J22">
        <v>48.2</v>
      </c>
      <c r="K22" t="s">
        <v>32</v>
      </c>
      <c r="L22">
        <v>1</v>
      </c>
      <c r="M22">
        <v>3</v>
      </c>
      <c r="N22" t="s">
        <v>112</v>
      </c>
      <c r="O22" s="3" t="str">
        <f>TEXT(Ticket_Table[[#This Row],[raised_date]],"YYYY-MM")</f>
        <v>2021-04</v>
      </c>
      <c r="P22" s="3" t="str">
        <f>IF(Ticket_Table[[#This Row],[resolution_hrs]]&lt;=4,"Fast",IF(Ticket_Table[[#This Row],[resolution_hrs]]&lt;=24,"Normal",IF(Ticket_Table[[#This Row],[resolution_hrs]]&lt;=48,"Slow","Very Slow")))</f>
        <v>Very Slow</v>
      </c>
      <c r="Q22" s="3">
        <f>YEAR(Ticket_Table[[#This Row],[raised_date]])</f>
        <v>2021</v>
      </c>
    </row>
    <row r="23" spans="1:17">
      <c r="A23" t="s">
        <v>115</v>
      </c>
      <c r="B23" t="s">
        <v>116</v>
      </c>
      <c r="C23" t="s">
        <v>117</v>
      </c>
      <c r="D23" t="s">
        <v>29</v>
      </c>
      <c r="E23" t="s">
        <v>30</v>
      </c>
      <c r="F23" t="s">
        <v>45</v>
      </c>
      <c r="G23" t="s">
        <v>74</v>
      </c>
      <c r="H23" s="1">
        <v>44581</v>
      </c>
      <c r="I23" s="2">
        <v>44581.0958333333</v>
      </c>
      <c r="J23">
        <v>2.3</v>
      </c>
      <c r="K23" t="s">
        <v>24</v>
      </c>
      <c r="L23">
        <v>2</v>
      </c>
      <c r="M23">
        <v>3</v>
      </c>
      <c r="N23" t="s">
        <v>118</v>
      </c>
      <c r="O23" s="3" t="str">
        <f>TEXT(Ticket_Table[[#This Row],[raised_date]],"YYYY-MM")</f>
        <v>2022-01</v>
      </c>
      <c r="P23" s="3" t="str">
        <f>IF(Ticket_Table[[#This Row],[resolution_hrs]]&lt;=4,"Fast",IF(Ticket_Table[[#This Row],[resolution_hrs]]&lt;=24,"Normal",IF(Ticket_Table[[#This Row],[resolution_hrs]]&lt;=48,"Slow","Very Slow")))</f>
        <v>Fast</v>
      </c>
      <c r="Q23" s="3">
        <f>YEAR(Ticket_Table[[#This Row],[raised_date]])</f>
        <v>2022</v>
      </c>
    </row>
    <row r="24" spans="1:17">
      <c r="A24" t="s">
        <v>119</v>
      </c>
      <c r="B24" t="s">
        <v>120</v>
      </c>
      <c r="C24" t="s">
        <v>60</v>
      </c>
      <c r="D24" t="s">
        <v>36</v>
      </c>
      <c r="E24" t="s">
        <v>30</v>
      </c>
      <c r="F24" t="s">
        <v>70</v>
      </c>
      <c r="G24" t="s">
        <v>31</v>
      </c>
      <c r="H24" s="1">
        <v>45258</v>
      </c>
      <c r="I24" s="2">
        <v>45260.1125</v>
      </c>
      <c r="J24">
        <v>50.7</v>
      </c>
      <c r="K24" t="s">
        <v>32</v>
      </c>
      <c r="L24">
        <v>0</v>
      </c>
      <c r="M24">
        <v>4</v>
      </c>
      <c r="N24" t="s">
        <v>121</v>
      </c>
      <c r="O24" s="3" t="str">
        <f>TEXT(Ticket_Table[[#This Row],[raised_date]],"YYYY-MM")</f>
        <v>2023-11</v>
      </c>
      <c r="P24" s="3" t="str">
        <f>IF(Ticket_Table[[#This Row],[resolution_hrs]]&lt;=4,"Fast",IF(Ticket_Table[[#This Row],[resolution_hrs]]&lt;=24,"Normal",IF(Ticket_Table[[#This Row],[resolution_hrs]]&lt;=48,"Slow","Very Slow")))</f>
        <v>Very Slow</v>
      </c>
      <c r="Q24" s="3">
        <f>YEAR(Ticket_Table[[#This Row],[raised_date]])</f>
        <v>2023</v>
      </c>
    </row>
    <row r="25" spans="1:17">
      <c r="A25" t="s">
        <v>122</v>
      </c>
      <c r="B25" t="s">
        <v>123</v>
      </c>
      <c r="C25" t="s">
        <v>28</v>
      </c>
      <c r="D25" t="s">
        <v>29</v>
      </c>
      <c r="E25" t="s">
        <v>51</v>
      </c>
      <c r="F25" t="s">
        <v>22</v>
      </c>
      <c r="G25" t="s">
        <v>23</v>
      </c>
      <c r="H25" s="1">
        <v>44937</v>
      </c>
      <c r="I25" s="2">
        <v>44941.075</v>
      </c>
      <c r="J25">
        <v>97.8</v>
      </c>
      <c r="K25" t="s">
        <v>32</v>
      </c>
      <c r="L25">
        <v>0</v>
      </c>
      <c r="M25">
        <v>2</v>
      </c>
      <c r="N25" t="s">
        <v>124</v>
      </c>
      <c r="O25" s="3" t="str">
        <f>TEXT(Ticket_Table[[#This Row],[raised_date]],"YYYY-MM")</f>
        <v>2023-01</v>
      </c>
      <c r="P25" s="3" t="str">
        <f>IF(Ticket_Table[[#This Row],[resolution_hrs]]&lt;=4,"Fast",IF(Ticket_Table[[#This Row],[resolution_hrs]]&lt;=24,"Normal",IF(Ticket_Table[[#This Row],[resolution_hrs]]&lt;=48,"Slow","Very Slow")))</f>
        <v>Very Slow</v>
      </c>
      <c r="Q25" s="3">
        <f>YEAR(Ticket_Table[[#This Row],[raised_date]])</f>
        <v>2023</v>
      </c>
    </row>
    <row r="26" spans="1:17">
      <c r="A26" t="s">
        <v>125</v>
      </c>
      <c r="B26" t="s">
        <v>126</v>
      </c>
      <c r="C26" t="s">
        <v>117</v>
      </c>
      <c r="D26" t="s">
        <v>90</v>
      </c>
      <c r="E26" t="s">
        <v>37</v>
      </c>
      <c r="F26" t="s">
        <v>38</v>
      </c>
      <c r="G26" t="s">
        <v>31</v>
      </c>
      <c r="H26" s="1">
        <v>45217</v>
      </c>
      <c r="I26" s="2">
        <v>45217.8791666667</v>
      </c>
      <c r="J26">
        <v>21.1</v>
      </c>
      <c r="K26" t="s">
        <v>24</v>
      </c>
      <c r="L26">
        <v>2</v>
      </c>
      <c r="M26">
        <v>3</v>
      </c>
      <c r="N26" t="s">
        <v>127</v>
      </c>
      <c r="O26" s="3" t="str">
        <f>TEXT(Ticket_Table[[#This Row],[raised_date]],"YYYY-MM")</f>
        <v>2023-10</v>
      </c>
      <c r="P26" s="3" t="str">
        <f>IF(Ticket_Table[[#This Row],[resolution_hrs]]&lt;=4,"Fast",IF(Ticket_Table[[#This Row],[resolution_hrs]]&lt;=24,"Normal",IF(Ticket_Table[[#This Row],[resolution_hrs]]&lt;=48,"Slow","Very Slow")))</f>
        <v>Normal</v>
      </c>
      <c r="Q26" s="3">
        <f>YEAR(Ticket_Table[[#This Row],[raised_date]])</f>
        <v>2023</v>
      </c>
    </row>
    <row r="27" spans="1:17">
      <c r="A27" t="s">
        <v>128</v>
      </c>
      <c r="B27" t="s">
        <v>129</v>
      </c>
      <c r="C27" t="s">
        <v>60</v>
      </c>
      <c r="D27" t="s">
        <v>29</v>
      </c>
      <c r="E27" t="s">
        <v>83</v>
      </c>
      <c r="F27" t="s">
        <v>22</v>
      </c>
      <c r="G27" t="s">
        <v>23</v>
      </c>
      <c r="H27" s="1">
        <v>45102</v>
      </c>
      <c r="I27" s="2">
        <v>45104.3375</v>
      </c>
      <c r="J27">
        <v>56.1</v>
      </c>
      <c r="K27" t="s">
        <v>24</v>
      </c>
      <c r="L27">
        <v>0</v>
      </c>
      <c r="M27">
        <v>3</v>
      </c>
      <c r="N27" t="s">
        <v>130</v>
      </c>
      <c r="O27" s="3" t="str">
        <f>TEXT(Ticket_Table[[#This Row],[raised_date]],"YYYY-MM")</f>
        <v>2023-06</v>
      </c>
      <c r="P27" s="3" t="str">
        <f>IF(Ticket_Table[[#This Row],[resolution_hrs]]&lt;=4,"Fast",IF(Ticket_Table[[#This Row],[resolution_hrs]]&lt;=24,"Normal",IF(Ticket_Table[[#This Row],[resolution_hrs]]&lt;=48,"Slow","Very Slow")))</f>
        <v>Very Slow</v>
      </c>
      <c r="Q27" s="3">
        <f>YEAR(Ticket_Table[[#This Row],[raised_date]])</f>
        <v>2023</v>
      </c>
    </row>
    <row r="28" spans="1:17">
      <c r="A28" t="s">
        <v>131</v>
      </c>
      <c r="B28" t="s">
        <v>132</v>
      </c>
      <c r="C28" t="s">
        <v>133</v>
      </c>
      <c r="D28" t="s">
        <v>20</v>
      </c>
      <c r="E28" t="s">
        <v>56</v>
      </c>
      <c r="F28" t="s">
        <v>45</v>
      </c>
      <c r="G28" t="s">
        <v>31</v>
      </c>
      <c r="H28" s="1">
        <v>44302</v>
      </c>
      <c r="I28" s="2">
        <v>44302.2375</v>
      </c>
      <c r="J28">
        <v>5.7</v>
      </c>
      <c r="K28" t="s">
        <v>32</v>
      </c>
      <c r="L28">
        <v>0</v>
      </c>
      <c r="M28">
        <v>5</v>
      </c>
      <c r="N28" t="s">
        <v>123</v>
      </c>
      <c r="O28" s="3" t="str">
        <f>TEXT(Ticket_Table[[#This Row],[raised_date]],"YYYY-MM")</f>
        <v>2021-04</v>
      </c>
      <c r="P28" s="3" t="str">
        <f>IF(Ticket_Table[[#This Row],[resolution_hrs]]&lt;=4,"Fast",IF(Ticket_Table[[#This Row],[resolution_hrs]]&lt;=24,"Normal",IF(Ticket_Table[[#This Row],[resolution_hrs]]&lt;=48,"Slow","Very Slow")))</f>
        <v>Normal</v>
      </c>
      <c r="Q28" s="3">
        <f>YEAR(Ticket_Table[[#This Row],[raised_date]])</f>
        <v>2021</v>
      </c>
    </row>
    <row r="29" spans="1:17">
      <c r="A29" t="s">
        <v>134</v>
      </c>
      <c r="B29" t="s">
        <v>135</v>
      </c>
      <c r="C29" t="s">
        <v>64</v>
      </c>
      <c r="D29" t="s">
        <v>36</v>
      </c>
      <c r="E29" t="s">
        <v>106</v>
      </c>
      <c r="F29" t="s">
        <v>70</v>
      </c>
      <c r="G29" t="s">
        <v>23</v>
      </c>
      <c r="H29" s="1">
        <v>44613</v>
      </c>
      <c r="I29" s="2">
        <v>44614.4916666667</v>
      </c>
      <c r="J29">
        <v>35.8</v>
      </c>
      <c r="K29" t="s">
        <v>24</v>
      </c>
      <c r="L29">
        <v>0</v>
      </c>
      <c r="M29">
        <v>2</v>
      </c>
      <c r="N29" t="s">
        <v>52</v>
      </c>
      <c r="O29" s="3" t="str">
        <f>TEXT(Ticket_Table[[#This Row],[raised_date]],"YYYY-MM")</f>
        <v>2022-02</v>
      </c>
      <c r="P29" s="3" t="str">
        <f>IF(Ticket_Table[[#This Row],[resolution_hrs]]&lt;=4,"Fast",IF(Ticket_Table[[#This Row],[resolution_hrs]]&lt;=24,"Normal",IF(Ticket_Table[[#This Row],[resolution_hrs]]&lt;=48,"Slow","Very Slow")))</f>
        <v>Slow</v>
      </c>
      <c r="Q29" s="3">
        <f>YEAR(Ticket_Table[[#This Row],[raised_date]])</f>
        <v>2022</v>
      </c>
    </row>
    <row r="30" spans="1:17">
      <c r="A30" t="s">
        <v>136</v>
      </c>
      <c r="B30" t="s">
        <v>137</v>
      </c>
      <c r="C30" t="s">
        <v>102</v>
      </c>
      <c r="D30" t="s">
        <v>29</v>
      </c>
      <c r="E30" t="s">
        <v>21</v>
      </c>
      <c r="F30" t="s">
        <v>70</v>
      </c>
      <c r="G30" t="s">
        <v>74</v>
      </c>
      <c r="H30" s="1">
        <v>44743</v>
      </c>
      <c r="I30" s="2">
        <v>44744.3333333333</v>
      </c>
      <c r="J30">
        <v>32</v>
      </c>
      <c r="K30" t="s">
        <v>24</v>
      </c>
      <c r="L30">
        <v>0</v>
      </c>
      <c r="M30">
        <v>4</v>
      </c>
      <c r="N30" t="s">
        <v>138</v>
      </c>
      <c r="O30" s="3" t="str">
        <f>TEXT(Ticket_Table[[#This Row],[raised_date]],"YYYY-MM")</f>
        <v>2022-07</v>
      </c>
      <c r="P30" s="3" t="str">
        <f>IF(Ticket_Table[[#This Row],[resolution_hrs]]&lt;=4,"Fast",IF(Ticket_Table[[#This Row],[resolution_hrs]]&lt;=24,"Normal",IF(Ticket_Table[[#This Row],[resolution_hrs]]&lt;=48,"Slow","Very Slow")))</f>
        <v>Slow</v>
      </c>
      <c r="Q30" s="3">
        <f>YEAR(Ticket_Table[[#This Row],[raised_date]])</f>
        <v>2022</v>
      </c>
    </row>
    <row r="31" spans="1:17">
      <c r="A31" t="s">
        <v>139</v>
      </c>
      <c r="B31" t="s">
        <v>49</v>
      </c>
      <c r="C31" t="s">
        <v>140</v>
      </c>
      <c r="D31" t="s">
        <v>36</v>
      </c>
      <c r="E31" t="s">
        <v>44</v>
      </c>
      <c r="F31" t="s">
        <v>22</v>
      </c>
      <c r="G31" t="s">
        <v>91</v>
      </c>
      <c r="H31" s="1">
        <v>44465</v>
      </c>
      <c r="I31" s="2">
        <v>44468.8041666667</v>
      </c>
      <c r="J31">
        <v>91.3</v>
      </c>
      <c r="K31" t="s">
        <v>32</v>
      </c>
      <c r="L31">
        <v>0</v>
      </c>
      <c r="M31">
        <v>4</v>
      </c>
      <c r="N31" t="s">
        <v>141</v>
      </c>
      <c r="O31" s="3" t="str">
        <f>TEXT(Ticket_Table[[#This Row],[raised_date]],"YYYY-MM")</f>
        <v>2021-09</v>
      </c>
      <c r="P31" s="3" t="str">
        <f>IF(Ticket_Table[[#This Row],[resolution_hrs]]&lt;=4,"Fast",IF(Ticket_Table[[#This Row],[resolution_hrs]]&lt;=24,"Normal",IF(Ticket_Table[[#This Row],[resolution_hrs]]&lt;=48,"Slow","Very Slow")))</f>
        <v>Very Slow</v>
      </c>
      <c r="Q31" s="3">
        <f>YEAR(Ticket_Table[[#This Row],[raised_date]])</f>
        <v>2021</v>
      </c>
    </row>
    <row r="32" spans="1:17">
      <c r="A32" t="s">
        <v>142</v>
      </c>
      <c r="B32" t="s">
        <v>143</v>
      </c>
      <c r="C32" t="s">
        <v>117</v>
      </c>
      <c r="D32" t="s">
        <v>20</v>
      </c>
      <c r="E32" t="s">
        <v>37</v>
      </c>
      <c r="F32" t="s">
        <v>70</v>
      </c>
      <c r="G32" t="s">
        <v>23</v>
      </c>
      <c r="H32" s="1">
        <v>44786</v>
      </c>
      <c r="I32" s="2">
        <v>44788.35</v>
      </c>
      <c r="J32">
        <v>56.4</v>
      </c>
      <c r="K32" t="s">
        <v>32</v>
      </c>
      <c r="L32">
        <v>0</v>
      </c>
      <c r="M32">
        <v>4</v>
      </c>
      <c r="N32" t="s">
        <v>87</v>
      </c>
      <c r="O32" s="3" t="str">
        <f>TEXT(Ticket_Table[[#This Row],[raised_date]],"YYYY-MM")</f>
        <v>2022-08</v>
      </c>
      <c r="P32" s="3" t="str">
        <f>IF(Ticket_Table[[#This Row],[resolution_hrs]]&lt;=4,"Fast",IF(Ticket_Table[[#This Row],[resolution_hrs]]&lt;=24,"Normal",IF(Ticket_Table[[#This Row],[resolution_hrs]]&lt;=48,"Slow","Very Slow")))</f>
        <v>Very Slow</v>
      </c>
      <c r="Q32" s="3">
        <f>YEAR(Ticket_Table[[#This Row],[raised_date]])</f>
        <v>2022</v>
      </c>
    </row>
    <row r="33" spans="1:17">
      <c r="A33" t="s">
        <v>144</v>
      </c>
      <c r="B33" t="s">
        <v>145</v>
      </c>
      <c r="C33" t="s">
        <v>42</v>
      </c>
      <c r="D33" t="s">
        <v>29</v>
      </c>
      <c r="E33" t="s">
        <v>56</v>
      </c>
      <c r="F33" t="s">
        <v>38</v>
      </c>
      <c r="G33" t="s">
        <v>23</v>
      </c>
      <c r="H33" s="1">
        <v>45094</v>
      </c>
      <c r="I33" s="2">
        <v>45095.1875</v>
      </c>
      <c r="J33">
        <v>28.5</v>
      </c>
      <c r="K33" t="s">
        <v>32</v>
      </c>
      <c r="L33">
        <v>0</v>
      </c>
      <c r="M33">
        <v>4</v>
      </c>
      <c r="N33" t="s">
        <v>146</v>
      </c>
      <c r="O33" s="3" t="str">
        <f>TEXT(Ticket_Table[[#This Row],[raised_date]],"YYYY-MM")</f>
        <v>2023-06</v>
      </c>
      <c r="P33" s="3" t="str">
        <f>IF(Ticket_Table[[#This Row],[resolution_hrs]]&lt;=4,"Fast",IF(Ticket_Table[[#This Row],[resolution_hrs]]&lt;=24,"Normal",IF(Ticket_Table[[#This Row],[resolution_hrs]]&lt;=48,"Slow","Very Slow")))</f>
        <v>Slow</v>
      </c>
      <c r="Q33" s="3">
        <f>YEAR(Ticket_Table[[#This Row],[raised_date]])</f>
        <v>2023</v>
      </c>
    </row>
    <row r="34" spans="1:17">
      <c r="A34" t="s">
        <v>147</v>
      </c>
      <c r="B34" t="s">
        <v>148</v>
      </c>
      <c r="C34" t="s">
        <v>28</v>
      </c>
      <c r="D34" t="s">
        <v>29</v>
      </c>
      <c r="E34" t="s">
        <v>44</v>
      </c>
      <c r="F34" t="s">
        <v>38</v>
      </c>
      <c r="G34" t="s">
        <v>31</v>
      </c>
      <c r="H34" s="1">
        <v>45189</v>
      </c>
      <c r="I34" s="2">
        <v>45189.8291666667</v>
      </c>
      <c r="J34">
        <v>19.9</v>
      </c>
      <c r="K34" t="s">
        <v>24</v>
      </c>
      <c r="L34">
        <v>0</v>
      </c>
      <c r="M34">
        <v>4</v>
      </c>
      <c r="N34" t="s">
        <v>149</v>
      </c>
      <c r="O34" s="3" t="str">
        <f>TEXT(Ticket_Table[[#This Row],[raised_date]],"YYYY-MM")</f>
        <v>2023-09</v>
      </c>
      <c r="P34" s="3" t="str">
        <f>IF(Ticket_Table[[#This Row],[resolution_hrs]]&lt;=4,"Fast",IF(Ticket_Table[[#This Row],[resolution_hrs]]&lt;=24,"Normal",IF(Ticket_Table[[#This Row],[resolution_hrs]]&lt;=48,"Slow","Very Slow")))</f>
        <v>Normal</v>
      </c>
      <c r="Q34" s="3">
        <f>YEAR(Ticket_Table[[#This Row],[raised_date]])</f>
        <v>2023</v>
      </c>
    </row>
    <row r="35" spans="1:17">
      <c r="A35" t="s">
        <v>150</v>
      </c>
      <c r="B35" t="s">
        <v>151</v>
      </c>
      <c r="C35" t="s">
        <v>82</v>
      </c>
      <c r="D35" t="s">
        <v>20</v>
      </c>
      <c r="E35" t="s">
        <v>83</v>
      </c>
      <c r="F35" t="s">
        <v>22</v>
      </c>
      <c r="G35" t="s">
        <v>23</v>
      </c>
      <c r="H35" s="1">
        <v>44445</v>
      </c>
      <c r="I35" s="2">
        <v>44445.0583333333</v>
      </c>
      <c r="J35">
        <v>1.4</v>
      </c>
      <c r="K35" t="s">
        <v>24</v>
      </c>
      <c r="L35">
        <v>1</v>
      </c>
      <c r="M35">
        <v>4</v>
      </c>
      <c r="N35" t="s">
        <v>152</v>
      </c>
      <c r="O35" s="3" t="str">
        <f>TEXT(Ticket_Table[[#This Row],[raised_date]],"YYYY-MM")</f>
        <v>2021-09</v>
      </c>
      <c r="P35" s="3" t="str">
        <f>IF(Ticket_Table[[#This Row],[resolution_hrs]]&lt;=4,"Fast",IF(Ticket_Table[[#This Row],[resolution_hrs]]&lt;=24,"Normal",IF(Ticket_Table[[#This Row],[resolution_hrs]]&lt;=48,"Slow","Very Slow")))</f>
        <v>Fast</v>
      </c>
      <c r="Q35" s="3">
        <f>YEAR(Ticket_Table[[#This Row],[raised_date]])</f>
        <v>2021</v>
      </c>
    </row>
    <row r="36" spans="1:17">
      <c r="A36" t="s">
        <v>153</v>
      </c>
      <c r="B36" t="s">
        <v>154</v>
      </c>
      <c r="C36" t="s">
        <v>68</v>
      </c>
      <c r="D36" t="s">
        <v>20</v>
      </c>
      <c r="E36" t="s">
        <v>44</v>
      </c>
      <c r="F36" t="s">
        <v>22</v>
      </c>
      <c r="G36" t="s">
        <v>31</v>
      </c>
      <c r="H36" s="1">
        <v>44256</v>
      </c>
      <c r="I36" s="2">
        <v>44260.2958333333</v>
      </c>
      <c r="J36">
        <v>103.1</v>
      </c>
      <c r="K36" t="s">
        <v>32</v>
      </c>
      <c r="L36">
        <v>0</v>
      </c>
      <c r="M36">
        <v>3</v>
      </c>
      <c r="N36" t="s">
        <v>155</v>
      </c>
      <c r="O36" s="3" t="str">
        <f>TEXT(Ticket_Table[[#This Row],[raised_date]],"YYYY-MM")</f>
        <v>2021-03</v>
      </c>
      <c r="P36" s="3" t="str">
        <f>IF(Ticket_Table[[#This Row],[resolution_hrs]]&lt;=4,"Fast",IF(Ticket_Table[[#This Row],[resolution_hrs]]&lt;=24,"Normal",IF(Ticket_Table[[#This Row],[resolution_hrs]]&lt;=48,"Slow","Very Slow")))</f>
        <v>Very Slow</v>
      </c>
      <c r="Q36" s="3">
        <f>YEAR(Ticket_Table[[#This Row],[raised_date]])</f>
        <v>2021</v>
      </c>
    </row>
    <row r="37" spans="1:17">
      <c r="A37" t="s">
        <v>156</v>
      </c>
      <c r="B37" t="s">
        <v>157</v>
      </c>
      <c r="C37" t="s">
        <v>60</v>
      </c>
      <c r="D37" t="s">
        <v>20</v>
      </c>
      <c r="E37" t="s">
        <v>21</v>
      </c>
      <c r="F37" t="s">
        <v>38</v>
      </c>
      <c r="G37" t="s">
        <v>31</v>
      </c>
      <c r="H37" s="1">
        <v>44687</v>
      </c>
      <c r="I37" s="2">
        <v>44688.2333333333</v>
      </c>
      <c r="J37">
        <v>29.6</v>
      </c>
      <c r="K37" t="s">
        <v>32</v>
      </c>
      <c r="L37">
        <v>0</v>
      </c>
      <c r="M37">
        <v>4</v>
      </c>
      <c r="N37" t="s">
        <v>158</v>
      </c>
      <c r="O37" s="3" t="str">
        <f>TEXT(Ticket_Table[[#This Row],[raised_date]],"YYYY-MM")</f>
        <v>2022-05</v>
      </c>
      <c r="P37" s="3" t="str">
        <f>IF(Ticket_Table[[#This Row],[resolution_hrs]]&lt;=4,"Fast",IF(Ticket_Table[[#This Row],[resolution_hrs]]&lt;=24,"Normal",IF(Ticket_Table[[#This Row],[resolution_hrs]]&lt;=48,"Slow","Very Slow")))</f>
        <v>Slow</v>
      </c>
      <c r="Q37" s="3">
        <f>YEAR(Ticket_Table[[#This Row],[raised_date]])</f>
        <v>2022</v>
      </c>
    </row>
    <row r="38" spans="1:17">
      <c r="A38" t="s">
        <v>159</v>
      </c>
      <c r="B38" t="s">
        <v>160</v>
      </c>
      <c r="C38" t="s">
        <v>68</v>
      </c>
      <c r="D38" t="s">
        <v>36</v>
      </c>
      <c r="E38" t="s">
        <v>44</v>
      </c>
      <c r="F38" t="s">
        <v>45</v>
      </c>
      <c r="G38" t="s">
        <v>23</v>
      </c>
      <c r="H38" s="1">
        <v>44521</v>
      </c>
      <c r="I38" s="2">
        <v>44521.1416666667</v>
      </c>
      <c r="J38">
        <v>3.4</v>
      </c>
      <c r="K38" t="s">
        <v>24</v>
      </c>
      <c r="L38">
        <v>2</v>
      </c>
      <c r="M38">
        <v>5</v>
      </c>
      <c r="N38" t="s">
        <v>161</v>
      </c>
      <c r="O38" s="3" t="str">
        <f>TEXT(Ticket_Table[[#This Row],[raised_date]],"YYYY-MM")</f>
        <v>2021-11</v>
      </c>
      <c r="P38" s="3" t="str">
        <f>IF(Ticket_Table[[#This Row],[resolution_hrs]]&lt;=4,"Fast",IF(Ticket_Table[[#This Row],[resolution_hrs]]&lt;=24,"Normal",IF(Ticket_Table[[#This Row],[resolution_hrs]]&lt;=48,"Slow","Very Slow")))</f>
        <v>Fast</v>
      </c>
      <c r="Q38" s="3">
        <f>YEAR(Ticket_Table[[#This Row],[raised_date]])</f>
        <v>2021</v>
      </c>
    </row>
    <row r="39" spans="1:17">
      <c r="A39" t="s">
        <v>162</v>
      </c>
      <c r="B39" t="s">
        <v>149</v>
      </c>
      <c r="C39" t="s">
        <v>28</v>
      </c>
      <c r="D39" t="s">
        <v>20</v>
      </c>
      <c r="E39" t="s">
        <v>37</v>
      </c>
      <c r="F39" t="s">
        <v>22</v>
      </c>
      <c r="G39" t="s">
        <v>31</v>
      </c>
      <c r="H39" s="1">
        <v>44833</v>
      </c>
      <c r="I39" s="2">
        <v>44835.5708333333</v>
      </c>
      <c r="J39">
        <v>61.7</v>
      </c>
      <c r="K39" t="s">
        <v>24</v>
      </c>
      <c r="L39">
        <v>0</v>
      </c>
      <c r="M39">
        <v>5</v>
      </c>
      <c r="N39" t="s">
        <v>163</v>
      </c>
      <c r="O39" s="3" t="str">
        <f>TEXT(Ticket_Table[[#This Row],[raised_date]],"YYYY-MM")</f>
        <v>2022-09</v>
      </c>
      <c r="P39" s="3" t="str">
        <f>IF(Ticket_Table[[#This Row],[resolution_hrs]]&lt;=4,"Fast",IF(Ticket_Table[[#This Row],[resolution_hrs]]&lt;=24,"Normal",IF(Ticket_Table[[#This Row],[resolution_hrs]]&lt;=48,"Slow","Very Slow")))</f>
        <v>Very Slow</v>
      </c>
      <c r="Q39" s="3">
        <f>YEAR(Ticket_Table[[#This Row],[raised_date]])</f>
        <v>2022</v>
      </c>
    </row>
    <row r="40" spans="1:17">
      <c r="A40" t="s">
        <v>164</v>
      </c>
      <c r="B40" t="s">
        <v>165</v>
      </c>
      <c r="C40" t="s">
        <v>95</v>
      </c>
      <c r="D40" t="s">
        <v>36</v>
      </c>
      <c r="E40" t="s">
        <v>166</v>
      </c>
      <c r="F40" t="s">
        <v>70</v>
      </c>
      <c r="G40" t="s">
        <v>31</v>
      </c>
      <c r="H40" s="1">
        <v>44225</v>
      </c>
      <c r="I40" s="2">
        <v>44227.8083333333</v>
      </c>
      <c r="J40">
        <v>67.4</v>
      </c>
      <c r="K40" t="s">
        <v>32</v>
      </c>
      <c r="L40">
        <v>1</v>
      </c>
      <c r="M40">
        <v>4</v>
      </c>
      <c r="N40" t="s">
        <v>167</v>
      </c>
      <c r="O40" s="3" t="str">
        <f>TEXT(Ticket_Table[[#This Row],[raised_date]],"YYYY-MM")</f>
        <v>2021-01</v>
      </c>
      <c r="P40" s="3" t="str">
        <f>IF(Ticket_Table[[#This Row],[resolution_hrs]]&lt;=4,"Fast",IF(Ticket_Table[[#This Row],[resolution_hrs]]&lt;=24,"Normal",IF(Ticket_Table[[#This Row],[resolution_hrs]]&lt;=48,"Slow","Very Slow")))</f>
        <v>Very Slow</v>
      </c>
      <c r="Q40" s="3">
        <f>YEAR(Ticket_Table[[#This Row],[raised_date]])</f>
        <v>2021</v>
      </c>
    </row>
    <row r="41" spans="1:17">
      <c r="A41" t="s">
        <v>168</v>
      </c>
      <c r="B41" t="s">
        <v>169</v>
      </c>
      <c r="C41" t="s">
        <v>19</v>
      </c>
      <c r="D41" t="s">
        <v>90</v>
      </c>
      <c r="E41" t="s">
        <v>37</v>
      </c>
      <c r="F41" t="s">
        <v>70</v>
      </c>
      <c r="G41" t="s">
        <v>46</v>
      </c>
      <c r="H41" s="1">
        <v>45032</v>
      </c>
      <c r="I41" s="2">
        <v>45033.1041666667</v>
      </c>
      <c r="J41">
        <v>26.5</v>
      </c>
      <c r="K41" t="s">
        <v>24</v>
      </c>
      <c r="L41">
        <v>0</v>
      </c>
      <c r="M41">
        <v>5</v>
      </c>
      <c r="N41" t="s">
        <v>65</v>
      </c>
      <c r="O41" s="3" t="str">
        <f>TEXT(Ticket_Table[[#This Row],[raised_date]],"YYYY-MM")</f>
        <v>2023-04</v>
      </c>
      <c r="P41" s="3" t="str">
        <f>IF(Ticket_Table[[#This Row],[resolution_hrs]]&lt;=4,"Fast",IF(Ticket_Table[[#This Row],[resolution_hrs]]&lt;=24,"Normal",IF(Ticket_Table[[#This Row],[resolution_hrs]]&lt;=48,"Slow","Very Slow")))</f>
        <v>Slow</v>
      </c>
      <c r="Q41" s="3">
        <f>YEAR(Ticket_Table[[#This Row],[raised_date]])</f>
        <v>2023</v>
      </c>
    </row>
    <row r="42" spans="1:17">
      <c r="A42" t="s">
        <v>170</v>
      </c>
      <c r="B42" t="s">
        <v>171</v>
      </c>
      <c r="C42" t="s">
        <v>28</v>
      </c>
      <c r="D42" t="s">
        <v>29</v>
      </c>
      <c r="E42" t="s">
        <v>21</v>
      </c>
      <c r="F42" t="s">
        <v>38</v>
      </c>
      <c r="G42" t="s">
        <v>23</v>
      </c>
      <c r="H42" s="1">
        <v>44387</v>
      </c>
      <c r="I42" s="2">
        <v>44388.0375</v>
      </c>
      <c r="J42">
        <v>24.9</v>
      </c>
      <c r="K42" t="s">
        <v>32</v>
      </c>
      <c r="L42">
        <v>1</v>
      </c>
      <c r="M42">
        <v>5</v>
      </c>
      <c r="N42" t="s">
        <v>172</v>
      </c>
      <c r="O42" s="3" t="str">
        <f>TEXT(Ticket_Table[[#This Row],[raised_date]],"YYYY-MM")</f>
        <v>2021-07</v>
      </c>
      <c r="P42" s="3" t="str">
        <f>IF(Ticket_Table[[#This Row],[resolution_hrs]]&lt;=4,"Fast",IF(Ticket_Table[[#This Row],[resolution_hrs]]&lt;=24,"Normal",IF(Ticket_Table[[#This Row],[resolution_hrs]]&lt;=48,"Slow","Very Slow")))</f>
        <v>Slow</v>
      </c>
      <c r="Q42" s="3">
        <f>YEAR(Ticket_Table[[#This Row],[raised_date]])</f>
        <v>2021</v>
      </c>
    </row>
    <row r="43" spans="1:17">
      <c r="A43" t="s">
        <v>173</v>
      </c>
      <c r="B43" t="s">
        <v>174</v>
      </c>
      <c r="C43" t="s">
        <v>175</v>
      </c>
      <c r="D43" t="s">
        <v>29</v>
      </c>
      <c r="E43" t="s">
        <v>106</v>
      </c>
      <c r="F43" t="s">
        <v>22</v>
      </c>
      <c r="G43" t="s">
        <v>46</v>
      </c>
      <c r="H43" s="1">
        <v>44657</v>
      </c>
      <c r="I43" s="2">
        <v>44658.8291666667</v>
      </c>
      <c r="J43">
        <v>43.9</v>
      </c>
      <c r="K43" t="s">
        <v>24</v>
      </c>
      <c r="L43">
        <v>0</v>
      </c>
      <c r="M43">
        <v>4</v>
      </c>
      <c r="N43" t="s">
        <v>176</v>
      </c>
      <c r="O43" s="3" t="str">
        <f>TEXT(Ticket_Table[[#This Row],[raised_date]],"YYYY-MM")</f>
        <v>2022-04</v>
      </c>
      <c r="P43" s="3" t="str">
        <f>IF(Ticket_Table[[#This Row],[resolution_hrs]]&lt;=4,"Fast",IF(Ticket_Table[[#This Row],[resolution_hrs]]&lt;=24,"Normal",IF(Ticket_Table[[#This Row],[resolution_hrs]]&lt;=48,"Slow","Very Slow")))</f>
        <v>Slow</v>
      </c>
      <c r="Q43" s="3">
        <f>YEAR(Ticket_Table[[#This Row],[raised_date]])</f>
        <v>2022</v>
      </c>
    </row>
    <row r="44" spans="1:17">
      <c r="A44" t="s">
        <v>177</v>
      </c>
      <c r="B44" t="s">
        <v>25</v>
      </c>
      <c r="C44" t="s">
        <v>50</v>
      </c>
      <c r="D44" t="s">
        <v>43</v>
      </c>
      <c r="E44" t="s">
        <v>166</v>
      </c>
      <c r="F44" t="s">
        <v>22</v>
      </c>
      <c r="G44" t="s">
        <v>23</v>
      </c>
      <c r="H44" s="1">
        <v>44429</v>
      </c>
      <c r="I44" s="2">
        <v>44431.8625</v>
      </c>
      <c r="J44">
        <v>68.7</v>
      </c>
      <c r="K44" t="s">
        <v>24</v>
      </c>
      <c r="L44">
        <v>0</v>
      </c>
      <c r="M44">
        <v>4</v>
      </c>
      <c r="N44" t="s">
        <v>178</v>
      </c>
      <c r="O44" s="3" t="str">
        <f>TEXT(Ticket_Table[[#This Row],[raised_date]],"YYYY-MM")</f>
        <v>2021-08</v>
      </c>
      <c r="P44" s="3" t="str">
        <f>IF(Ticket_Table[[#This Row],[resolution_hrs]]&lt;=4,"Fast",IF(Ticket_Table[[#This Row],[resolution_hrs]]&lt;=24,"Normal",IF(Ticket_Table[[#This Row],[resolution_hrs]]&lt;=48,"Slow","Very Slow")))</f>
        <v>Very Slow</v>
      </c>
      <c r="Q44" s="3">
        <f>YEAR(Ticket_Table[[#This Row],[raised_date]])</f>
        <v>2021</v>
      </c>
    </row>
    <row r="45" spans="1:17">
      <c r="A45" t="s">
        <v>179</v>
      </c>
      <c r="B45" t="s">
        <v>180</v>
      </c>
      <c r="C45" t="s">
        <v>19</v>
      </c>
      <c r="D45" t="s">
        <v>90</v>
      </c>
      <c r="E45" t="s">
        <v>83</v>
      </c>
      <c r="F45" t="s">
        <v>38</v>
      </c>
      <c r="G45" t="s">
        <v>31</v>
      </c>
      <c r="H45" s="1">
        <v>45142</v>
      </c>
      <c r="I45" s="2">
        <v>45143.4416666667</v>
      </c>
      <c r="J45">
        <v>34.6</v>
      </c>
      <c r="K45" t="s">
        <v>32</v>
      </c>
      <c r="L45">
        <v>0</v>
      </c>
      <c r="M45">
        <v>4</v>
      </c>
      <c r="N45" t="s">
        <v>41</v>
      </c>
      <c r="O45" s="3" t="str">
        <f>TEXT(Ticket_Table[[#This Row],[raised_date]],"YYYY-MM")</f>
        <v>2023-08</v>
      </c>
      <c r="P45" s="3" t="str">
        <f>IF(Ticket_Table[[#This Row],[resolution_hrs]]&lt;=4,"Fast",IF(Ticket_Table[[#This Row],[resolution_hrs]]&lt;=24,"Normal",IF(Ticket_Table[[#This Row],[resolution_hrs]]&lt;=48,"Slow","Very Slow")))</f>
        <v>Slow</v>
      </c>
      <c r="Q45" s="3">
        <f>YEAR(Ticket_Table[[#This Row],[raised_date]])</f>
        <v>2023</v>
      </c>
    </row>
    <row r="46" spans="1:17">
      <c r="A46" t="s">
        <v>181</v>
      </c>
      <c r="B46" t="s">
        <v>182</v>
      </c>
      <c r="C46" t="s">
        <v>64</v>
      </c>
      <c r="D46" t="s">
        <v>20</v>
      </c>
      <c r="E46" t="s">
        <v>37</v>
      </c>
      <c r="F46" t="s">
        <v>22</v>
      </c>
      <c r="G46" t="s">
        <v>23</v>
      </c>
      <c r="H46" s="1">
        <v>44437</v>
      </c>
      <c r="I46" s="2">
        <v>44437.4458333333</v>
      </c>
      <c r="J46">
        <v>10.7</v>
      </c>
      <c r="K46" t="s">
        <v>24</v>
      </c>
      <c r="L46">
        <v>0</v>
      </c>
      <c r="M46">
        <v>5</v>
      </c>
      <c r="N46" t="s">
        <v>183</v>
      </c>
      <c r="O46" s="3" t="str">
        <f>TEXT(Ticket_Table[[#This Row],[raised_date]],"YYYY-MM")</f>
        <v>2021-08</v>
      </c>
      <c r="P46" s="3" t="str">
        <f>IF(Ticket_Table[[#This Row],[resolution_hrs]]&lt;=4,"Fast",IF(Ticket_Table[[#This Row],[resolution_hrs]]&lt;=24,"Normal",IF(Ticket_Table[[#This Row],[resolution_hrs]]&lt;=48,"Slow","Very Slow")))</f>
        <v>Normal</v>
      </c>
      <c r="Q46" s="3">
        <f>YEAR(Ticket_Table[[#This Row],[raised_date]])</f>
        <v>2021</v>
      </c>
    </row>
    <row r="47" spans="1:17">
      <c r="A47" t="s">
        <v>184</v>
      </c>
      <c r="B47" t="s">
        <v>185</v>
      </c>
      <c r="C47" t="s">
        <v>50</v>
      </c>
      <c r="D47" t="s">
        <v>20</v>
      </c>
      <c r="E47" t="s">
        <v>166</v>
      </c>
      <c r="F47" t="s">
        <v>70</v>
      </c>
      <c r="G47" t="s">
        <v>46</v>
      </c>
      <c r="H47" s="1">
        <v>44512</v>
      </c>
      <c r="I47" s="2">
        <v>44513.625</v>
      </c>
      <c r="J47">
        <v>39</v>
      </c>
      <c r="K47" t="s">
        <v>24</v>
      </c>
      <c r="L47">
        <v>0</v>
      </c>
      <c r="M47">
        <v>4</v>
      </c>
      <c r="N47" t="s">
        <v>186</v>
      </c>
      <c r="O47" s="3" t="str">
        <f>TEXT(Ticket_Table[[#This Row],[raised_date]],"YYYY-MM")</f>
        <v>2021-11</v>
      </c>
      <c r="P47" s="3" t="str">
        <f>IF(Ticket_Table[[#This Row],[resolution_hrs]]&lt;=4,"Fast",IF(Ticket_Table[[#This Row],[resolution_hrs]]&lt;=24,"Normal",IF(Ticket_Table[[#This Row],[resolution_hrs]]&lt;=48,"Slow","Very Slow")))</f>
        <v>Slow</v>
      </c>
      <c r="Q47" s="3">
        <f>YEAR(Ticket_Table[[#This Row],[raised_date]])</f>
        <v>2021</v>
      </c>
    </row>
    <row r="48" spans="1:17">
      <c r="A48" t="s">
        <v>187</v>
      </c>
      <c r="B48" t="s">
        <v>188</v>
      </c>
      <c r="C48" t="s">
        <v>78</v>
      </c>
      <c r="D48" t="s">
        <v>90</v>
      </c>
      <c r="E48" t="s">
        <v>30</v>
      </c>
      <c r="F48" t="s">
        <v>70</v>
      </c>
      <c r="G48" t="s">
        <v>23</v>
      </c>
      <c r="H48" s="1">
        <v>45217</v>
      </c>
      <c r="I48" s="2">
        <v>45219.8833333333</v>
      </c>
      <c r="J48">
        <v>69.2</v>
      </c>
      <c r="K48" t="s">
        <v>32</v>
      </c>
      <c r="L48">
        <v>1</v>
      </c>
      <c r="M48">
        <v>5</v>
      </c>
      <c r="N48" t="s">
        <v>189</v>
      </c>
      <c r="O48" s="3" t="str">
        <f>TEXT(Ticket_Table[[#This Row],[raised_date]],"YYYY-MM")</f>
        <v>2023-10</v>
      </c>
      <c r="P48" s="3" t="str">
        <f>IF(Ticket_Table[[#This Row],[resolution_hrs]]&lt;=4,"Fast",IF(Ticket_Table[[#This Row],[resolution_hrs]]&lt;=24,"Normal",IF(Ticket_Table[[#This Row],[resolution_hrs]]&lt;=48,"Slow","Very Slow")))</f>
        <v>Very Slow</v>
      </c>
      <c r="Q48" s="3">
        <f>YEAR(Ticket_Table[[#This Row],[raised_date]])</f>
        <v>2023</v>
      </c>
    </row>
    <row r="49" spans="1:17">
      <c r="A49" t="s">
        <v>190</v>
      </c>
      <c r="B49" t="s">
        <v>191</v>
      </c>
      <c r="C49" t="s">
        <v>95</v>
      </c>
      <c r="D49" t="s">
        <v>20</v>
      </c>
      <c r="E49" t="s">
        <v>37</v>
      </c>
      <c r="F49" t="s">
        <v>70</v>
      </c>
      <c r="G49" t="s">
        <v>31</v>
      </c>
      <c r="H49" s="1">
        <v>44794</v>
      </c>
      <c r="I49" s="2">
        <v>44794.2791666667</v>
      </c>
      <c r="J49">
        <v>6.7</v>
      </c>
      <c r="K49" t="s">
        <v>24</v>
      </c>
      <c r="L49">
        <v>0</v>
      </c>
      <c r="M49">
        <v>2</v>
      </c>
      <c r="N49" t="s">
        <v>192</v>
      </c>
      <c r="O49" s="3" t="str">
        <f>TEXT(Ticket_Table[[#This Row],[raised_date]],"YYYY-MM")</f>
        <v>2022-08</v>
      </c>
      <c r="P49" s="3" t="str">
        <f>IF(Ticket_Table[[#This Row],[resolution_hrs]]&lt;=4,"Fast",IF(Ticket_Table[[#This Row],[resolution_hrs]]&lt;=24,"Normal",IF(Ticket_Table[[#This Row],[resolution_hrs]]&lt;=48,"Slow","Very Slow")))</f>
        <v>Normal</v>
      </c>
      <c r="Q49" s="3">
        <f>YEAR(Ticket_Table[[#This Row],[raised_date]])</f>
        <v>2022</v>
      </c>
    </row>
    <row r="50" spans="1:17">
      <c r="A50" t="s">
        <v>193</v>
      </c>
      <c r="B50" t="s">
        <v>194</v>
      </c>
      <c r="C50" t="s">
        <v>175</v>
      </c>
      <c r="D50" t="s">
        <v>43</v>
      </c>
      <c r="E50" t="s">
        <v>166</v>
      </c>
      <c r="F50" t="s">
        <v>70</v>
      </c>
      <c r="G50" t="s">
        <v>23</v>
      </c>
      <c r="H50" s="1">
        <v>45239</v>
      </c>
      <c r="I50" s="2">
        <v>45240.4</v>
      </c>
      <c r="J50">
        <v>33.6</v>
      </c>
      <c r="K50" t="s">
        <v>24</v>
      </c>
      <c r="L50">
        <v>1</v>
      </c>
      <c r="M50">
        <v>3</v>
      </c>
      <c r="N50" t="s">
        <v>195</v>
      </c>
      <c r="O50" s="3" t="str">
        <f>TEXT(Ticket_Table[[#This Row],[raised_date]],"YYYY-MM")</f>
        <v>2023-11</v>
      </c>
      <c r="P50" s="3" t="str">
        <f>IF(Ticket_Table[[#This Row],[resolution_hrs]]&lt;=4,"Fast",IF(Ticket_Table[[#This Row],[resolution_hrs]]&lt;=24,"Normal",IF(Ticket_Table[[#This Row],[resolution_hrs]]&lt;=48,"Slow","Very Slow")))</f>
        <v>Slow</v>
      </c>
      <c r="Q50" s="3">
        <f>YEAR(Ticket_Table[[#This Row],[raised_date]])</f>
        <v>2023</v>
      </c>
    </row>
    <row r="51" spans="1:17">
      <c r="A51" t="s">
        <v>196</v>
      </c>
      <c r="B51" t="s">
        <v>197</v>
      </c>
      <c r="C51" t="s">
        <v>175</v>
      </c>
      <c r="D51" t="s">
        <v>36</v>
      </c>
      <c r="E51" t="s">
        <v>51</v>
      </c>
      <c r="F51" t="s">
        <v>70</v>
      </c>
      <c r="G51" t="s">
        <v>31</v>
      </c>
      <c r="H51" s="1">
        <v>44756</v>
      </c>
      <c r="I51" s="2">
        <v>44758.3083333333</v>
      </c>
      <c r="J51">
        <v>55.4</v>
      </c>
      <c r="K51" t="s">
        <v>32</v>
      </c>
      <c r="L51">
        <v>0</v>
      </c>
      <c r="M51">
        <v>3</v>
      </c>
      <c r="N51" t="s">
        <v>198</v>
      </c>
      <c r="O51" s="3" t="str">
        <f>TEXT(Ticket_Table[[#This Row],[raised_date]],"YYYY-MM")</f>
        <v>2022-07</v>
      </c>
      <c r="P51" s="3" t="str">
        <f>IF(Ticket_Table[[#This Row],[resolution_hrs]]&lt;=4,"Fast",IF(Ticket_Table[[#This Row],[resolution_hrs]]&lt;=24,"Normal",IF(Ticket_Table[[#This Row],[resolution_hrs]]&lt;=48,"Slow","Very Slow")))</f>
        <v>Very Slow</v>
      </c>
      <c r="Q51" s="3">
        <f>YEAR(Ticket_Table[[#This Row],[raised_date]])</f>
        <v>2022</v>
      </c>
    </row>
    <row r="52" spans="1:17">
      <c r="A52" t="s">
        <v>199</v>
      </c>
      <c r="B52" t="s">
        <v>200</v>
      </c>
      <c r="C52" t="s">
        <v>201</v>
      </c>
      <c r="D52" t="s">
        <v>29</v>
      </c>
      <c r="E52" t="s">
        <v>106</v>
      </c>
      <c r="F52" t="s">
        <v>22</v>
      </c>
      <c r="G52" t="s">
        <v>31</v>
      </c>
      <c r="H52" s="1">
        <v>45047</v>
      </c>
      <c r="I52" s="2">
        <v>45049.9291666667</v>
      </c>
      <c r="J52">
        <v>70.3</v>
      </c>
      <c r="K52" t="s">
        <v>24</v>
      </c>
      <c r="L52">
        <v>0</v>
      </c>
      <c r="M52">
        <v>3</v>
      </c>
      <c r="N52" t="s">
        <v>202</v>
      </c>
      <c r="O52" s="3" t="str">
        <f>TEXT(Ticket_Table[[#This Row],[raised_date]],"YYYY-MM")</f>
        <v>2023-05</v>
      </c>
      <c r="P52" s="3" t="str">
        <f>IF(Ticket_Table[[#This Row],[resolution_hrs]]&lt;=4,"Fast",IF(Ticket_Table[[#This Row],[resolution_hrs]]&lt;=24,"Normal",IF(Ticket_Table[[#This Row],[resolution_hrs]]&lt;=48,"Slow","Very Slow")))</f>
        <v>Very Slow</v>
      </c>
      <c r="Q52" s="3">
        <f>YEAR(Ticket_Table[[#This Row],[raised_date]])</f>
        <v>2023</v>
      </c>
    </row>
    <row r="53" spans="1:17">
      <c r="A53" t="s">
        <v>203</v>
      </c>
      <c r="B53" t="s">
        <v>204</v>
      </c>
      <c r="C53" t="s">
        <v>78</v>
      </c>
      <c r="D53" t="s">
        <v>90</v>
      </c>
      <c r="E53" t="s">
        <v>56</v>
      </c>
      <c r="F53" t="s">
        <v>70</v>
      </c>
      <c r="G53" t="s">
        <v>74</v>
      </c>
      <c r="H53" s="1">
        <v>45185</v>
      </c>
      <c r="I53" s="2">
        <v>45185.5625</v>
      </c>
      <c r="J53">
        <v>13.5</v>
      </c>
      <c r="K53" t="s">
        <v>24</v>
      </c>
      <c r="L53">
        <v>3</v>
      </c>
      <c r="M53">
        <v>5</v>
      </c>
      <c r="N53" t="s">
        <v>129</v>
      </c>
      <c r="O53" s="3" t="str">
        <f>TEXT(Ticket_Table[[#This Row],[raised_date]],"YYYY-MM")</f>
        <v>2023-09</v>
      </c>
      <c r="P53" s="3" t="str">
        <f>IF(Ticket_Table[[#This Row],[resolution_hrs]]&lt;=4,"Fast",IF(Ticket_Table[[#This Row],[resolution_hrs]]&lt;=24,"Normal",IF(Ticket_Table[[#This Row],[resolution_hrs]]&lt;=48,"Slow","Very Slow")))</f>
        <v>Normal</v>
      </c>
      <c r="Q53" s="3">
        <f>YEAR(Ticket_Table[[#This Row],[raised_date]])</f>
        <v>2023</v>
      </c>
    </row>
    <row r="54" spans="1:17">
      <c r="A54" t="s">
        <v>205</v>
      </c>
      <c r="B54" t="s">
        <v>206</v>
      </c>
      <c r="C54" t="s">
        <v>60</v>
      </c>
      <c r="D54" t="s">
        <v>29</v>
      </c>
      <c r="E54" t="s">
        <v>44</v>
      </c>
      <c r="F54" t="s">
        <v>38</v>
      </c>
      <c r="G54" t="s">
        <v>46</v>
      </c>
      <c r="H54" s="1">
        <v>45164</v>
      </c>
      <c r="I54" s="2">
        <v>45164.1</v>
      </c>
      <c r="J54">
        <v>2.4</v>
      </c>
      <c r="K54" t="s">
        <v>24</v>
      </c>
      <c r="L54">
        <v>2</v>
      </c>
      <c r="M54">
        <v>3</v>
      </c>
      <c r="N54" t="s">
        <v>207</v>
      </c>
      <c r="O54" s="3" t="str">
        <f>TEXT(Ticket_Table[[#This Row],[raised_date]],"YYYY-MM")</f>
        <v>2023-08</v>
      </c>
      <c r="P54" s="3" t="str">
        <f>IF(Ticket_Table[[#This Row],[resolution_hrs]]&lt;=4,"Fast",IF(Ticket_Table[[#This Row],[resolution_hrs]]&lt;=24,"Normal",IF(Ticket_Table[[#This Row],[resolution_hrs]]&lt;=48,"Slow","Very Slow")))</f>
        <v>Fast</v>
      </c>
      <c r="Q54" s="3">
        <f>YEAR(Ticket_Table[[#This Row],[raised_date]])</f>
        <v>2023</v>
      </c>
    </row>
    <row r="55" spans="1:17">
      <c r="A55" t="s">
        <v>208</v>
      </c>
      <c r="B55" t="s">
        <v>209</v>
      </c>
      <c r="C55" t="s">
        <v>140</v>
      </c>
      <c r="D55" t="s">
        <v>36</v>
      </c>
      <c r="E55" t="s">
        <v>166</v>
      </c>
      <c r="F55" t="s">
        <v>38</v>
      </c>
      <c r="G55" t="s">
        <v>23</v>
      </c>
      <c r="H55" s="1">
        <v>44696</v>
      </c>
      <c r="I55" s="2">
        <v>44696.6</v>
      </c>
      <c r="J55">
        <v>14.4</v>
      </c>
      <c r="K55" t="s">
        <v>24</v>
      </c>
      <c r="L55">
        <v>0</v>
      </c>
      <c r="M55">
        <v>4</v>
      </c>
      <c r="N55" t="s">
        <v>210</v>
      </c>
      <c r="O55" s="3" t="str">
        <f>TEXT(Ticket_Table[[#This Row],[raised_date]],"YYYY-MM")</f>
        <v>2022-05</v>
      </c>
      <c r="P55" s="3" t="str">
        <f>IF(Ticket_Table[[#This Row],[resolution_hrs]]&lt;=4,"Fast",IF(Ticket_Table[[#This Row],[resolution_hrs]]&lt;=24,"Normal",IF(Ticket_Table[[#This Row],[resolution_hrs]]&lt;=48,"Slow","Very Slow")))</f>
        <v>Normal</v>
      </c>
      <c r="Q55" s="3">
        <f>YEAR(Ticket_Table[[#This Row],[raised_date]])</f>
        <v>2022</v>
      </c>
    </row>
    <row r="56" spans="1:17">
      <c r="A56" t="s">
        <v>211</v>
      </c>
      <c r="B56" t="s">
        <v>212</v>
      </c>
      <c r="C56" t="s">
        <v>213</v>
      </c>
      <c r="D56" t="s">
        <v>90</v>
      </c>
      <c r="E56" t="s">
        <v>56</v>
      </c>
      <c r="F56" t="s">
        <v>22</v>
      </c>
      <c r="G56" t="s">
        <v>31</v>
      </c>
      <c r="H56" s="1">
        <v>45132</v>
      </c>
      <c r="I56" s="2">
        <v>45132.8916666667</v>
      </c>
      <c r="J56">
        <v>21.4</v>
      </c>
      <c r="K56" t="s">
        <v>24</v>
      </c>
      <c r="L56">
        <v>1</v>
      </c>
      <c r="M56">
        <v>2</v>
      </c>
      <c r="N56" t="s">
        <v>214</v>
      </c>
      <c r="O56" s="3" t="str">
        <f>TEXT(Ticket_Table[[#This Row],[raised_date]],"YYYY-MM")</f>
        <v>2023-07</v>
      </c>
      <c r="P56" s="3" t="str">
        <f>IF(Ticket_Table[[#This Row],[resolution_hrs]]&lt;=4,"Fast",IF(Ticket_Table[[#This Row],[resolution_hrs]]&lt;=24,"Normal",IF(Ticket_Table[[#This Row],[resolution_hrs]]&lt;=48,"Slow","Very Slow")))</f>
        <v>Normal</v>
      </c>
      <c r="Q56" s="3">
        <f>YEAR(Ticket_Table[[#This Row],[raised_date]])</f>
        <v>2023</v>
      </c>
    </row>
    <row r="57" spans="1:17">
      <c r="A57" t="s">
        <v>215</v>
      </c>
      <c r="B57" t="s">
        <v>160</v>
      </c>
      <c r="C57" t="s">
        <v>78</v>
      </c>
      <c r="D57" t="s">
        <v>36</v>
      </c>
      <c r="E57" t="s">
        <v>37</v>
      </c>
      <c r="F57" t="s">
        <v>22</v>
      </c>
      <c r="G57" t="s">
        <v>31</v>
      </c>
      <c r="H57" s="1">
        <v>44493</v>
      </c>
      <c r="I57" s="2">
        <v>44496.1458333333</v>
      </c>
      <c r="J57">
        <v>75.5</v>
      </c>
      <c r="K57" t="s">
        <v>32</v>
      </c>
      <c r="L57">
        <v>0</v>
      </c>
      <c r="M57">
        <v>3</v>
      </c>
      <c r="N57" t="s">
        <v>216</v>
      </c>
      <c r="O57" s="3" t="str">
        <f>TEXT(Ticket_Table[[#This Row],[raised_date]],"YYYY-MM")</f>
        <v>2021-10</v>
      </c>
      <c r="P57" s="3" t="str">
        <f>IF(Ticket_Table[[#This Row],[resolution_hrs]]&lt;=4,"Fast",IF(Ticket_Table[[#This Row],[resolution_hrs]]&lt;=24,"Normal",IF(Ticket_Table[[#This Row],[resolution_hrs]]&lt;=48,"Slow","Very Slow")))</f>
        <v>Very Slow</v>
      </c>
      <c r="Q57" s="3">
        <f>YEAR(Ticket_Table[[#This Row],[raised_date]])</f>
        <v>2021</v>
      </c>
    </row>
    <row r="58" spans="1:17">
      <c r="A58" t="s">
        <v>217</v>
      </c>
      <c r="B58" t="s">
        <v>218</v>
      </c>
      <c r="C58" t="s">
        <v>55</v>
      </c>
      <c r="D58" t="s">
        <v>20</v>
      </c>
      <c r="E58" t="s">
        <v>56</v>
      </c>
      <c r="F58" t="s">
        <v>22</v>
      </c>
      <c r="G58" t="s">
        <v>23</v>
      </c>
      <c r="H58" s="1">
        <v>44982</v>
      </c>
      <c r="I58" s="2">
        <v>44986.0375</v>
      </c>
      <c r="J58">
        <v>96.9</v>
      </c>
      <c r="K58" t="s">
        <v>32</v>
      </c>
      <c r="L58">
        <v>0</v>
      </c>
      <c r="M58">
        <v>3</v>
      </c>
      <c r="N58" t="s">
        <v>87</v>
      </c>
      <c r="O58" s="3" t="str">
        <f>TEXT(Ticket_Table[[#This Row],[raised_date]],"YYYY-MM")</f>
        <v>2023-02</v>
      </c>
      <c r="P58" s="3" t="str">
        <f>IF(Ticket_Table[[#This Row],[resolution_hrs]]&lt;=4,"Fast",IF(Ticket_Table[[#This Row],[resolution_hrs]]&lt;=24,"Normal",IF(Ticket_Table[[#This Row],[resolution_hrs]]&lt;=48,"Slow","Very Slow")))</f>
        <v>Very Slow</v>
      </c>
      <c r="Q58" s="3">
        <f>YEAR(Ticket_Table[[#This Row],[raised_date]])</f>
        <v>2023</v>
      </c>
    </row>
    <row r="59" spans="1:17">
      <c r="A59" t="s">
        <v>219</v>
      </c>
      <c r="B59" t="s">
        <v>220</v>
      </c>
      <c r="C59" t="s">
        <v>68</v>
      </c>
      <c r="D59" t="s">
        <v>20</v>
      </c>
      <c r="E59" t="s">
        <v>30</v>
      </c>
      <c r="F59" t="s">
        <v>70</v>
      </c>
      <c r="G59" t="s">
        <v>23</v>
      </c>
      <c r="H59" s="1">
        <v>44587</v>
      </c>
      <c r="I59" s="2">
        <v>44588.9083333333</v>
      </c>
      <c r="J59">
        <v>45.8</v>
      </c>
      <c r="K59" t="s">
        <v>24</v>
      </c>
      <c r="L59">
        <v>0</v>
      </c>
      <c r="M59">
        <v>5</v>
      </c>
      <c r="N59" t="s">
        <v>221</v>
      </c>
      <c r="O59" s="3" t="str">
        <f>TEXT(Ticket_Table[[#This Row],[raised_date]],"YYYY-MM")</f>
        <v>2022-01</v>
      </c>
      <c r="P59" s="3" t="str">
        <f>IF(Ticket_Table[[#This Row],[resolution_hrs]]&lt;=4,"Fast",IF(Ticket_Table[[#This Row],[resolution_hrs]]&lt;=24,"Normal",IF(Ticket_Table[[#This Row],[resolution_hrs]]&lt;=48,"Slow","Very Slow")))</f>
        <v>Slow</v>
      </c>
      <c r="Q59" s="3">
        <f>YEAR(Ticket_Table[[#This Row],[raised_date]])</f>
        <v>2022</v>
      </c>
    </row>
    <row r="60" spans="1:17">
      <c r="A60" t="s">
        <v>222</v>
      </c>
      <c r="B60" t="s">
        <v>223</v>
      </c>
      <c r="C60" t="s">
        <v>68</v>
      </c>
      <c r="D60" t="s">
        <v>20</v>
      </c>
      <c r="E60" t="s">
        <v>69</v>
      </c>
      <c r="F60" t="s">
        <v>70</v>
      </c>
      <c r="G60" t="s">
        <v>46</v>
      </c>
      <c r="H60" s="1">
        <v>45237</v>
      </c>
      <c r="I60" s="2">
        <v>45238.1041666667</v>
      </c>
      <c r="J60">
        <v>26.5</v>
      </c>
      <c r="K60" t="s">
        <v>24</v>
      </c>
      <c r="L60">
        <v>3</v>
      </c>
      <c r="M60">
        <v>4</v>
      </c>
      <c r="N60" t="s">
        <v>224</v>
      </c>
      <c r="O60" s="3" t="str">
        <f>TEXT(Ticket_Table[[#This Row],[raised_date]],"YYYY-MM")</f>
        <v>2023-11</v>
      </c>
      <c r="P60" s="3" t="str">
        <f>IF(Ticket_Table[[#This Row],[resolution_hrs]]&lt;=4,"Fast",IF(Ticket_Table[[#This Row],[resolution_hrs]]&lt;=24,"Normal",IF(Ticket_Table[[#This Row],[resolution_hrs]]&lt;=48,"Slow","Very Slow")))</f>
        <v>Slow</v>
      </c>
      <c r="Q60" s="3">
        <f>YEAR(Ticket_Table[[#This Row],[raised_date]])</f>
        <v>2023</v>
      </c>
    </row>
    <row r="61" spans="1:17">
      <c r="A61" t="s">
        <v>225</v>
      </c>
      <c r="B61" t="s">
        <v>98</v>
      </c>
      <c r="C61" t="s">
        <v>78</v>
      </c>
      <c r="D61" t="s">
        <v>36</v>
      </c>
      <c r="E61" t="s">
        <v>69</v>
      </c>
      <c r="F61" t="s">
        <v>38</v>
      </c>
      <c r="G61" t="s">
        <v>31</v>
      </c>
      <c r="H61" s="1">
        <v>44476</v>
      </c>
      <c r="I61" s="2">
        <v>44476.1666666667</v>
      </c>
      <c r="J61">
        <v>4</v>
      </c>
      <c r="K61" t="s">
        <v>24</v>
      </c>
      <c r="L61">
        <v>3</v>
      </c>
      <c r="M61">
        <v>4</v>
      </c>
      <c r="N61" t="s">
        <v>176</v>
      </c>
      <c r="O61" s="3" t="str">
        <f>TEXT(Ticket_Table[[#This Row],[raised_date]],"YYYY-MM")</f>
        <v>2021-10</v>
      </c>
      <c r="P61" s="3" t="str">
        <f>IF(Ticket_Table[[#This Row],[resolution_hrs]]&lt;=4,"Fast",IF(Ticket_Table[[#This Row],[resolution_hrs]]&lt;=24,"Normal",IF(Ticket_Table[[#This Row],[resolution_hrs]]&lt;=48,"Slow","Very Slow")))</f>
        <v>Fast</v>
      </c>
      <c r="Q61" s="3">
        <f>YEAR(Ticket_Table[[#This Row],[raised_date]])</f>
        <v>2021</v>
      </c>
    </row>
    <row r="62" spans="1:17">
      <c r="A62" t="s">
        <v>226</v>
      </c>
      <c r="B62" t="s">
        <v>227</v>
      </c>
      <c r="C62" t="s">
        <v>102</v>
      </c>
      <c r="D62" t="s">
        <v>36</v>
      </c>
      <c r="E62" t="s">
        <v>106</v>
      </c>
      <c r="F62" t="s">
        <v>22</v>
      </c>
      <c r="G62" t="s">
        <v>46</v>
      </c>
      <c r="H62" s="1">
        <v>44339</v>
      </c>
      <c r="I62" s="2">
        <v>44341.8625</v>
      </c>
      <c r="J62">
        <v>68.7</v>
      </c>
      <c r="K62" t="s">
        <v>24</v>
      </c>
      <c r="L62">
        <v>0</v>
      </c>
      <c r="M62">
        <v>5</v>
      </c>
      <c r="N62" t="s">
        <v>228</v>
      </c>
      <c r="O62" s="3" t="str">
        <f>TEXT(Ticket_Table[[#This Row],[raised_date]],"YYYY-MM")</f>
        <v>2021-05</v>
      </c>
      <c r="P62" s="3" t="str">
        <f>IF(Ticket_Table[[#This Row],[resolution_hrs]]&lt;=4,"Fast",IF(Ticket_Table[[#This Row],[resolution_hrs]]&lt;=24,"Normal",IF(Ticket_Table[[#This Row],[resolution_hrs]]&lt;=48,"Slow","Very Slow")))</f>
        <v>Very Slow</v>
      </c>
      <c r="Q62" s="3">
        <f>YEAR(Ticket_Table[[#This Row],[raised_date]])</f>
        <v>2021</v>
      </c>
    </row>
    <row r="63" spans="1:17">
      <c r="A63" t="s">
        <v>229</v>
      </c>
      <c r="B63" t="s">
        <v>206</v>
      </c>
      <c r="C63" t="s">
        <v>68</v>
      </c>
      <c r="D63" t="s">
        <v>36</v>
      </c>
      <c r="E63" t="s">
        <v>166</v>
      </c>
      <c r="F63" t="s">
        <v>22</v>
      </c>
      <c r="G63" t="s">
        <v>31</v>
      </c>
      <c r="H63" s="1">
        <v>44762</v>
      </c>
      <c r="I63" s="2">
        <v>44765.3208333333</v>
      </c>
      <c r="J63">
        <v>79.7</v>
      </c>
      <c r="K63" t="s">
        <v>32</v>
      </c>
      <c r="L63">
        <v>1</v>
      </c>
      <c r="M63">
        <v>5</v>
      </c>
      <c r="N63" t="s">
        <v>127</v>
      </c>
      <c r="O63" s="3" t="str">
        <f>TEXT(Ticket_Table[[#This Row],[raised_date]],"YYYY-MM")</f>
        <v>2022-07</v>
      </c>
      <c r="P63" s="3" t="str">
        <f>IF(Ticket_Table[[#This Row],[resolution_hrs]]&lt;=4,"Fast",IF(Ticket_Table[[#This Row],[resolution_hrs]]&lt;=24,"Normal",IF(Ticket_Table[[#This Row],[resolution_hrs]]&lt;=48,"Slow","Very Slow")))</f>
        <v>Very Slow</v>
      </c>
      <c r="Q63" s="3">
        <f>YEAR(Ticket_Table[[#This Row],[raised_date]])</f>
        <v>2022</v>
      </c>
    </row>
    <row r="64" spans="1:17">
      <c r="A64" t="s">
        <v>230</v>
      </c>
      <c r="B64" t="s">
        <v>216</v>
      </c>
      <c r="C64" t="s">
        <v>42</v>
      </c>
      <c r="D64" t="s">
        <v>29</v>
      </c>
      <c r="E64" t="s">
        <v>30</v>
      </c>
      <c r="F64" t="s">
        <v>70</v>
      </c>
      <c r="G64" t="s">
        <v>46</v>
      </c>
      <c r="H64" s="1">
        <v>45046</v>
      </c>
      <c r="I64" s="2">
        <v>45046.4541666667</v>
      </c>
      <c r="J64">
        <v>10.9</v>
      </c>
      <c r="K64" t="s">
        <v>24</v>
      </c>
      <c r="L64">
        <v>1</v>
      </c>
      <c r="M64">
        <v>4</v>
      </c>
      <c r="N64" t="s">
        <v>167</v>
      </c>
      <c r="O64" s="3" t="str">
        <f>TEXT(Ticket_Table[[#This Row],[raised_date]],"YYYY-MM")</f>
        <v>2023-04</v>
      </c>
      <c r="P64" s="3" t="str">
        <f>IF(Ticket_Table[[#This Row],[resolution_hrs]]&lt;=4,"Fast",IF(Ticket_Table[[#This Row],[resolution_hrs]]&lt;=24,"Normal",IF(Ticket_Table[[#This Row],[resolution_hrs]]&lt;=48,"Slow","Very Slow")))</f>
        <v>Normal</v>
      </c>
      <c r="Q64" s="3">
        <f>YEAR(Ticket_Table[[#This Row],[raised_date]])</f>
        <v>2023</v>
      </c>
    </row>
    <row r="65" spans="1:17">
      <c r="A65" t="s">
        <v>231</v>
      </c>
      <c r="B65" t="s">
        <v>232</v>
      </c>
      <c r="C65" t="s">
        <v>68</v>
      </c>
      <c r="D65" t="s">
        <v>36</v>
      </c>
      <c r="E65" t="s">
        <v>44</v>
      </c>
      <c r="F65" t="s">
        <v>38</v>
      </c>
      <c r="G65" t="s">
        <v>74</v>
      </c>
      <c r="H65" s="1">
        <v>44893</v>
      </c>
      <c r="I65" s="2">
        <v>44893.325</v>
      </c>
      <c r="J65">
        <v>7.8</v>
      </c>
      <c r="K65" t="s">
        <v>24</v>
      </c>
      <c r="L65">
        <v>0</v>
      </c>
      <c r="M65">
        <v>3</v>
      </c>
      <c r="N65" t="s">
        <v>233</v>
      </c>
      <c r="O65" s="3" t="str">
        <f>TEXT(Ticket_Table[[#This Row],[raised_date]],"YYYY-MM")</f>
        <v>2022-11</v>
      </c>
      <c r="P65" s="3" t="str">
        <f>IF(Ticket_Table[[#This Row],[resolution_hrs]]&lt;=4,"Fast",IF(Ticket_Table[[#This Row],[resolution_hrs]]&lt;=24,"Normal",IF(Ticket_Table[[#This Row],[resolution_hrs]]&lt;=48,"Slow","Very Slow")))</f>
        <v>Normal</v>
      </c>
      <c r="Q65" s="3">
        <f>YEAR(Ticket_Table[[#This Row],[raised_date]])</f>
        <v>2022</v>
      </c>
    </row>
    <row r="66" spans="1:17">
      <c r="A66" t="s">
        <v>234</v>
      </c>
      <c r="B66" t="s">
        <v>174</v>
      </c>
      <c r="C66" t="s">
        <v>60</v>
      </c>
      <c r="D66" t="s">
        <v>20</v>
      </c>
      <c r="E66" t="s">
        <v>83</v>
      </c>
      <c r="F66" t="s">
        <v>22</v>
      </c>
      <c r="G66" t="s">
        <v>23</v>
      </c>
      <c r="H66" s="1">
        <v>45236</v>
      </c>
      <c r="I66" s="2">
        <v>45239.25</v>
      </c>
      <c r="J66">
        <v>78</v>
      </c>
      <c r="K66" t="s">
        <v>32</v>
      </c>
      <c r="L66">
        <v>0</v>
      </c>
      <c r="M66">
        <v>3</v>
      </c>
      <c r="N66" t="s">
        <v>235</v>
      </c>
      <c r="O66" s="3" t="str">
        <f>TEXT(Ticket_Table[[#This Row],[raised_date]],"YYYY-MM")</f>
        <v>2023-11</v>
      </c>
      <c r="P66" s="3" t="str">
        <f>IF(Ticket_Table[[#This Row],[resolution_hrs]]&lt;=4,"Fast",IF(Ticket_Table[[#This Row],[resolution_hrs]]&lt;=24,"Normal",IF(Ticket_Table[[#This Row],[resolution_hrs]]&lt;=48,"Slow","Very Slow")))</f>
        <v>Very Slow</v>
      </c>
      <c r="Q66" s="3">
        <f>YEAR(Ticket_Table[[#This Row],[raised_date]])</f>
        <v>2023</v>
      </c>
    </row>
    <row r="67" spans="1:17">
      <c r="A67" t="s">
        <v>236</v>
      </c>
      <c r="B67" t="s">
        <v>237</v>
      </c>
      <c r="C67" t="s">
        <v>64</v>
      </c>
      <c r="D67" t="s">
        <v>43</v>
      </c>
      <c r="E67" t="s">
        <v>21</v>
      </c>
      <c r="F67" t="s">
        <v>70</v>
      </c>
      <c r="G67" t="s">
        <v>23</v>
      </c>
      <c r="H67" s="1">
        <v>44744</v>
      </c>
      <c r="I67" s="2">
        <v>44745.7958333333</v>
      </c>
      <c r="J67">
        <v>43.1</v>
      </c>
      <c r="K67" t="s">
        <v>24</v>
      </c>
      <c r="L67">
        <v>0</v>
      </c>
      <c r="M67">
        <v>1</v>
      </c>
      <c r="N67" t="s">
        <v>238</v>
      </c>
      <c r="O67" s="3" t="str">
        <f>TEXT(Ticket_Table[[#This Row],[raised_date]],"YYYY-MM")</f>
        <v>2022-07</v>
      </c>
      <c r="P67" s="3" t="str">
        <f>IF(Ticket_Table[[#This Row],[resolution_hrs]]&lt;=4,"Fast",IF(Ticket_Table[[#This Row],[resolution_hrs]]&lt;=24,"Normal",IF(Ticket_Table[[#This Row],[resolution_hrs]]&lt;=48,"Slow","Very Slow")))</f>
        <v>Slow</v>
      </c>
      <c r="Q67" s="3">
        <f>YEAR(Ticket_Table[[#This Row],[raised_date]])</f>
        <v>2022</v>
      </c>
    </row>
    <row r="68" spans="1:17">
      <c r="A68" t="s">
        <v>239</v>
      </c>
      <c r="B68" t="s">
        <v>240</v>
      </c>
      <c r="C68" t="s">
        <v>50</v>
      </c>
      <c r="D68" t="s">
        <v>36</v>
      </c>
      <c r="E68" t="s">
        <v>106</v>
      </c>
      <c r="F68" t="s">
        <v>22</v>
      </c>
      <c r="G68" t="s">
        <v>23</v>
      </c>
      <c r="H68" s="1">
        <v>44202</v>
      </c>
      <c r="I68" s="2">
        <v>44204.2208333333</v>
      </c>
      <c r="J68">
        <v>53.3</v>
      </c>
      <c r="K68" t="s">
        <v>24</v>
      </c>
      <c r="L68">
        <v>0</v>
      </c>
      <c r="M68">
        <v>3</v>
      </c>
      <c r="N68" t="s">
        <v>241</v>
      </c>
      <c r="O68" s="3" t="str">
        <f>TEXT(Ticket_Table[[#This Row],[raised_date]],"YYYY-MM")</f>
        <v>2021-01</v>
      </c>
      <c r="P68" s="3" t="str">
        <f>IF(Ticket_Table[[#This Row],[resolution_hrs]]&lt;=4,"Fast",IF(Ticket_Table[[#This Row],[resolution_hrs]]&lt;=24,"Normal",IF(Ticket_Table[[#This Row],[resolution_hrs]]&lt;=48,"Slow","Very Slow")))</f>
        <v>Very Slow</v>
      </c>
      <c r="Q68" s="3">
        <f>YEAR(Ticket_Table[[#This Row],[raised_date]])</f>
        <v>2021</v>
      </c>
    </row>
    <row r="69" spans="1:17">
      <c r="A69" t="s">
        <v>242</v>
      </c>
      <c r="B69" t="s">
        <v>27</v>
      </c>
      <c r="C69" t="s">
        <v>117</v>
      </c>
      <c r="D69" t="s">
        <v>43</v>
      </c>
      <c r="E69" t="s">
        <v>21</v>
      </c>
      <c r="F69" t="s">
        <v>38</v>
      </c>
      <c r="G69" t="s">
        <v>46</v>
      </c>
      <c r="H69" s="1">
        <v>44776</v>
      </c>
      <c r="I69" s="2">
        <v>44776.1333333333</v>
      </c>
      <c r="J69">
        <v>3.2</v>
      </c>
      <c r="K69" t="s">
        <v>24</v>
      </c>
      <c r="L69">
        <v>1</v>
      </c>
      <c r="M69">
        <v>3</v>
      </c>
      <c r="N69" t="s">
        <v>243</v>
      </c>
      <c r="O69" s="3" t="str">
        <f>TEXT(Ticket_Table[[#This Row],[raised_date]],"YYYY-MM")</f>
        <v>2022-08</v>
      </c>
      <c r="P69" s="3" t="str">
        <f>IF(Ticket_Table[[#This Row],[resolution_hrs]]&lt;=4,"Fast",IF(Ticket_Table[[#This Row],[resolution_hrs]]&lt;=24,"Normal",IF(Ticket_Table[[#This Row],[resolution_hrs]]&lt;=48,"Slow","Very Slow")))</f>
        <v>Fast</v>
      </c>
      <c r="Q69" s="3">
        <f>YEAR(Ticket_Table[[#This Row],[raised_date]])</f>
        <v>2022</v>
      </c>
    </row>
    <row r="70" spans="1:17">
      <c r="A70" t="s">
        <v>244</v>
      </c>
      <c r="B70" t="s">
        <v>245</v>
      </c>
      <c r="C70" t="s">
        <v>95</v>
      </c>
      <c r="D70" t="s">
        <v>20</v>
      </c>
      <c r="E70" t="s">
        <v>69</v>
      </c>
      <c r="F70" t="s">
        <v>38</v>
      </c>
      <c r="G70" t="s">
        <v>31</v>
      </c>
      <c r="H70" s="1">
        <v>44808</v>
      </c>
      <c r="I70" s="2">
        <v>44808.8291666667</v>
      </c>
      <c r="J70">
        <v>19.9</v>
      </c>
      <c r="K70" t="s">
        <v>24</v>
      </c>
      <c r="L70">
        <v>0</v>
      </c>
      <c r="M70">
        <v>1</v>
      </c>
      <c r="N70" t="s">
        <v>246</v>
      </c>
      <c r="O70" s="3" t="str">
        <f>TEXT(Ticket_Table[[#This Row],[raised_date]],"YYYY-MM")</f>
        <v>2022-09</v>
      </c>
      <c r="P70" s="3" t="str">
        <f>IF(Ticket_Table[[#This Row],[resolution_hrs]]&lt;=4,"Fast",IF(Ticket_Table[[#This Row],[resolution_hrs]]&lt;=24,"Normal",IF(Ticket_Table[[#This Row],[resolution_hrs]]&lt;=48,"Slow","Very Slow")))</f>
        <v>Normal</v>
      </c>
      <c r="Q70" s="3">
        <f>YEAR(Ticket_Table[[#This Row],[raised_date]])</f>
        <v>2022</v>
      </c>
    </row>
    <row r="71" spans="1:17">
      <c r="A71" t="s">
        <v>247</v>
      </c>
      <c r="B71" t="s">
        <v>248</v>
      </c>
      <c r="C71" t="s">
        <v>55</v>
      </c>
      <c r="D71" t="s">
        <v>36</v>
      </c>
      <c r="E71" t="s">
        <v>51</v>
      </c>
      <c r="F71" t="s">
        <v>22</v>
      </c>
      <c r="G71" t="s">
        <v>23</v>
      </c>
      <c r="H71" s="1">
        <v>45199</v>
      </c>
      <c r="I71" s="2">
        <v>45200.4125</v>
      </c>
      <c r="J71">
        <v>33.9</v>
      </c>
      <c r="K71" t="s">
        <v>24</v>
      </c>
      <c r="L71">
        <v>0</v>
      </c>
      <c r="M71">
        <v>5</v>
      </c>
      <c r="N71" t="s">
        <v>126</v>
      </c>
      <c r="O71" s="3" t="str">
        <f>TEXT(Ticket_Table[[#This Row],[raised_date]],"YYYY-MM")</f>
        <v>2023-09</v>
      </c>
      <c r="P71" s="3" t="str">
        <f>IF(Ticket_Table[[#This Row],[resolution_hrs]]&lt;=4,"Fast",IF(Ticket_Table[[#This Row],[resolution_hrs]]&lt;=24,"Normal",IF(Ticket_Table[[#This Row],[resolution_hrs]]&lt;=48,"Slow","Very Slow")))</f>
        <v>Slow</v>
      </c>
      <c r="Q71" s="3">
        <f>YEAR(Ticket_Table[[#This Row],[raised_date]])</f>
        <v>2023</v>
      </c>
    </row>
    <row r="72" spans="1:17">
      <c r="A72" t="s">
        <v>249</v>
      </c>
      <c r="B72" t="s">
        <v>250</v>
      </c>
      <c r="C72" t="s">
        <v>102</v>
      </c>
      <c r="D72" t="s">
        <v>29</v>
      </c>
      <c r="E72" t="s">
        <v>83</v>
      </c>
      <c r="F72" t="s">
        <v>22</v>
      </c>
      <c r="G72" t="s">
        <v>23</v>
      </c>
      <c r="H72" s="1">
        <v>44501</v>
      </c>
      <c r="I72" s="2">
        <v>44503.4208333333</v>
      </c>
      <c r="J72">
        <v>58.1</v>
      </c>
      <c r="K72" t="s">
        <v>24</v>
      </c>
      <c r="L72">
        <v>0</v>
      </c>
      <c r="M72">
        <v>5</v>
      </c>
      <c r="N72" t="s">
        <v>251</v>
      </c>
      <c r="O72" s="3" t="str">
        <f>TEXT(Ticket_Table[[#This Row],[raised_date]],"YYYY-MM")</f>
        <v>2021-11</v>
      </c>
      <c r="P72" s="3" t="str">
        <f>IF(Ticket_Table[[#This Row],[resolution_hrs]]&lt;=4,"Fast",IF(Ticket_Table[[#This Row],[resolution_hrs]]&lt;=24,"Normal",IF(Ticket_Table[[#This Row],[resolution_hrs]]&lt;=48,"Slow","Very Slow")))</f>
        <v>Very Slow</v>
      </c>
      <c r="Q72" s="3">
        <f>YEAR(Ticket_Table[[#This Row],[raised_date]])</f>
        <v>2021</v>
      </c>
    </row>
    <row r="73" spans="1:17">
      <c r="A73" t="s">
        <v>252</v>
      </c>
      <c r="B73" t="s">
        <v>161</v>
      </c>
      <c r="C73" t="s">
        <v>133</v>
      </c>
      <c r="D73" t="s">
        <v>29</v>
      </c>
      <c r="E73" t="s">
        <v>83</v>
      </c>
      <c r="F73" t="s">
        <v>70</v>
      </c>
      <c r="G73" t="s">
        <v>23</v>
      </c>
      <c r="H73" s="1">
        <v>45111</v>
      </c>
      <c r="I73" s="2">
        <v>45113.5083333333</v>
      </c>
      <c r="J73">
        <v>60.2</v>
      </c>
      <c r="K73" t="s">
        <v>32</v>
      </c>
      <c r="L73">
        <v>1</v>
      </c>
      <c r="M73">
        <v>3</v>
      </c>
      <c r="N73" t="s">
        <v>253</v>
      </c>
      <c r="O73" s="3" t="str">
        <f>TEXT(Ticket_Table[[#This Row],[raised_date]],"YYYY-MM")</f>
        <v>2023-07</v>
      </c>
      <c r="P73" s="3" t="str">
        <f>IF(Ticket_Table[[#This Row],[resolution_hrs]]&lt;=4,"Fast",IF(Ticket_Table[[#This Row],[resolution_hrs]]&lt;=24,"Normal",IF(Ticket_Table[[#This Row],[resolution_hrs]]&lt;=48,"Slow","Very Slow")))</f>
        <v>Very Slow</v>
      </c>
      <c r="Q73" s="3">
        <f>YEAR(Ticket_Table[[#This Row],[raised_date]])</f>
        <v>2023</v>
      </c>
    </row>
    <row r="74" spans="1:17">
      <c r="A74" t="s">
        <v>254</v>
      </c>
      <c r="B74" t="s">
        <v>255</v>
      </c>
      <c r="C74" t="s">
        <v>28</v>
      </c>
      <c r="D74" t="s">
        <v>43</v>
      </c>
      <c r="E74" t="s">
        <v>21</v>
      </c>
      <c r="F74" t="s">
        <v>22</v>
      </c>
      <c r="G74" t="s">
        <v>23</v>
      </c>
      <c r="H74" s="1">
        <v>45188</v>
      </c>
      <c r="I74" s="2">
        <v>45190.0458333333</v>
      </c>
      <c r="J74">
        <v>49.1</v>
      </c>
      <c r="K74" t="s">
        <v>24</v>
      </c>
      <c r="L74">
        <v>0</v>
      </c>
      <c r="M74">
        <v>5</v>
      </c>
      <c r="N74" t="s">
        <v>256</v>
      </c>
      <c r="O74" s="3" t="str">
        <f>TEXT(Ticket_Table[[#This Row],[raised_date]],"YYYY-MM")</f>
        <v>2023-09</v>
      </c>
      <c r="P74" s="3" t="str">
        <f>IF(Ticket_Table[[#This Row],[resolution_hrs]]&lt;=4,"Fast",IF(Ticket_Table[[#This Row],[resolution_hrs]]&lt;=24,"Normal",IF(Ticket_Table[[#This Row],[resolution_hrs]]&lt;=48,"Slow","Very Slow")))</f>
        <v>Very Slow</v>
      </c>
      <c r="Q74" s="3">
        <f>YEAR(Ticket_Table[[#This Row],[raised_date]])</f>
        <v>2023</v>
      </c>
    </row>
    <row r="75" spans="1:17">
      <c r="A75" t="s">
        <v>257</v>
      </c>
      <c r="B75" t="s">
        <v>258</v>
      </c>
      <c r="C75" t="s">
        <v>28</v>
      </c>
      <c r="D75" t="s">
        <v>29</v>
      </c>
      <c r="E75" t="s">
        <v>51</v>
      </c>
      <c r="F75" t="s">
        <v>38</v>
      </c>
      <c r="G75" t="s">
        <v>74</v>
      </c>
      <c r="H75" s="1">
        <v>44903</v>
      </c>
      <c r="I75" s="2">
        <v>44904.4958333333</v>
      </c>
      <c r="J75">
        <v>35.9</v>
      </c>
      <c r="K75" t="s">
        <v>32</v>
      </c>
      <c r="L75">
        <v>0</v>
      </c>
      <c r="M75">
        <v>4</v>
      </c>
      <c r="N75" t="s">
        <v>259</v>
      </c>
      <c r="O75" s="3" t="str">
        <f>TEXT(Ticket_Table[[#This Row],[raised_date]],"YYYY-MM")</f>
        <v>2022-12</v>
      </c>
      <c r="P75" s="3" t="str">
        <f>IF(Ticket_Table[[#This Row],[resolution_hrs]]&lt;=4,"Fast",IF(Ticket_Table[[#This Row],[resolution_hrs]]&lt;=24,"Normal",IF(Ticket_Table[[#This Row],[resolution_hrs]]&lt;=48,"Slow","Very Slow")))</f>
        <v>Slow</v>
      </c>
      <c r="Q75" s="3">
        <f>YEAR(Ticket_Table[[#This Row],[raised_date]])</f>
        <v>2022</v>
      </c>
    </row>
    <row r="76" spans="1:17">
      <c r="A76" t="s">
        <v>260</v>
      </c>
      <c r="B76" t="s">
        <v>191</v>
      </c>
      <c r="C76" t="s">
        <v>261</v>
      </c>
      <c r="D76" t="s">
        <v>29</v>
      </c>
      <c r="E76" t="s">
        <v>37</v>
      </c>
      <c r="F76" t="s">
        <v>38</v>
      </c>
      <c r="G76" t="s">
        <v>91</v>
      </c>
      <c r="H76" s="1">
        <v>44877</v>
      </c>
      <c r="I76" s="2">
        <v>44877.0958333333</v>
      </c>
      <c r="J76">
        <v>2.3</v>
      </c>
      <c r="K76" t="s">
        <v>24</v>
      </c>
      <c r="L76">
        <v>0</v>
      </c>
      <c r="M76">
        <v>3</v>
      </c>
      <c r="N76" t="s">
        <v>262</v>
      </c>
      <c r="O76" s="3" t="str">
        <f>TEXT(Ticket_Table[[#This Row],[raised_date]],"YYYY-MM")</f>
        <v>2022-11</v>
      </c>
      <c r="P76" s="3" t="str">
        <f>IF(Ticket_Table[[#This Row],[resolution_hrs]]&lt;=4,"Fast",IF(Ticket_Table[[#This Row],[resolution_hrs]]&lt;=24,"Normal",IF(Ticket_Table[[#This Row],[resolution_hrs]]&lt;=48,"Slow","Very Slow")))</f>
        <v>Fast</v>
      </c>
      <c r="Q76" s="3">
        <f>YEAR(Ticket_Table[[#This Row],[raised_date]])</f>
        <v>2022</v>
      </c>
    </row>
    <row r="77" spans="1:17">
      <c r="A77" t="s">
        <v>263</v>
      </c>
      <c r="B77" t="s">
        <v>99</v>
      </c>
      <c r="C77" t="s">
        <v>133</v>
      </c>
      <c r="D77" t="s">
        <v>29</v>
      </c>
      <c r="E77" t="s">
        <v>56</v>
      </c>
      <c r="F77" t="s">
        <v>38</v>
      </c>
      <c r="G77" t="s">
        <v>23</v>
      </c>
      <c r="H77" s="1">
        <v>44969</v>
      </c>
      <c r="I77" s="2">
        <v>44969.125</v>
      </c>
      <c r="J77">
        <v>3</v>
      </c>
      <c r="K77" t="s">
        <v>24</v>
      </c>
      <c r="L77">
        <v>0</v>
      </c>
      <c r="M77">
        <v>4</v>
      </c>
      <c r="N77" t="s">
        <v>264</v>
      </c>
      <c r="O77" s="3" t="str">
        <f>TEXT(Ticket_Table[[#This Row],[raised_date]],"YYYY-MM")</f>
        <v>2023-02</v>
      </c>
      <c r="P77" s="3" t="str">
        <f>IF(Ticket_Table[[#This Row],[resolution_hrs]]&lt;=4,"Fast",IF(Ticket_Table[[#This Row],[resolution_hrs]]&lt;=24,"Normal",IF(Ticket_Table[[#This Row],[resolution_hrs]]&lt;=48,"Slow","Very Slow")))</f>
        <v>Fast</v>
      </c>
      <c r="Q77" s="3">
        <f>YEAR(Ticket_Table[[#This Row],[raised_date]])</f>
        <v>2023</v>
      </c>
    </row>
    <row r="78" spans="1:17">
      <c r="A78" t="s">
        <v>265</v>
      </c>
      <c r="B78" t="s">
        <v>266</v>
      </c>
      <c r="C78" t="s">
        <v>213</v>
      </c>
      <c r="D78" t="s">
        <v>20</v>
      </c>
      <c r="E78" t="s">
        <v>106</v>
      </c>
      <c r="F78" t="s">
        <v>38</v>
      </c>
      <c r="G78" t="s">
        <v>74</v>
      </c>
      <c r="H78" s="1">
        <v>45129</v>
      </c>
      <c r="I78" s="2">
        <v>45130.1916666667</v>
      </c>
      <c r="J78">
        <v>28.6</v>
      </c>
      <c r="K78" t="s">
        <v>32</v>
      </c>
      <c r="L78">
        <v>1</v>
      </c>
      <c r="M78">
        <v>3</v>
      </c>
      <c r="N78" t="s">
        <v>267</v>
      </c>
      <c r="O78" s="3" t="str">
        <f>TEXT(Ticket_Table[[#This Row],[raised_date]],"YYYY-MM")</f>
        <v>2023-07</v>
      </c>
      <c r="P78" s="3" t="str">
        <f>IF(Ticket_Table[[#This Row],[resolution_hrs]]&lt;=4,"Fast",IF(Ticket_Table[[#This Row],[resolution_hrs]]&lt;=24,"Normal",IF(Ticket_Table[[#This Row],[resolution_hrs]]&lt;=48,"Slow","Very Slow")))</f>
        <v>Slow</v>
      </c>
      <c r="Q78" s="3">
        <f>YEAR(Ticket_Table[[#This Row],[raised_date]])</f>
        <v>2023</v>
      </c>
    </row>
    <row r="79" spans="1:17">
      <c r="A79" t="s">
        <v>268</v>
      </c>
      <c r="B79" t="s">
        <v>269</v>
      </c>
      <c r="C79" t="s">
        <v>42</v>
      </c>
      <c r="D79" t="s">
        <v>29</v>
      </c>
      <c r="E79" t="s">
        <v>30</v>
      </c>
      <c r="F79" t="s">
        <v>70</v>
      </c>
      <c r="G79" t="s">
        <v>23</v>
      </c>
      <c r="H79" s="1">
        <v>44856</v>
      </c>
      <c r="I79" s="2">
        <v>44856.1666666667</v>
      </c>
      <c r="J79">
        <v>4</v>
      </c>
      <c r="K79" t="s">
        <v>24</v>
      </c>
      <c r="L79">
        <v>0</v>
      </c>
      <c r="M79">
        <v>2</v>
      </c>
      <c r="N79" t="s">
        <v>270</v>
      </c>
      <c r="O79" s="3" t="str">
        <f>TEXT(Ticket_Table[[#This Row],[raised_date]],"YYYY-MM")</f>
        <v>2022-10</v>
      </c>
      <c r="P79" s="3" t="str">
        <f>IF(Ticket_Table[[#This Row],[resolution_hrs]]&lt;=4,"Fast",IF(Ticket_Table[[#This Row],[resolution_hrs]]&lt;=24,"Normal",IF(Ticket_Table[[#This Row],[resolution_hrs]]&lt;=48,"Slow","Very Slow")))</f>
        <v>Fast</v>
      </c>
      <c r="Q79" s="3">
        <f>YEAR(Ticket_Table[[#This Row],[raised_date]])</f>
        <v>2022</v>
      </c>
    </row>
    <row r="80" spans="1:17">
      <c r="A80" t="s">
        <v>271</v>
      </c>
      <c r="B80" t="s">
        <v>272</v>
      </c>
      <c r="C80" t="s">
        <v>261</v>
      </c>
      <c r="D80" t="s">
        <v>90</v>
      </c>
      <c r="E80" t="s">
        <v>83</v>
      </c>
      <c r="F80" t="s">
        <v>22</v>
      </c>
      <c r="G80" t="s">
        <v>23</v>
      </c>
      <c r="H80" s="1">
        <v>44583</v>
      </c>
      <c r="I80" s="2">
        <v>44583.5666666667</v>
      </c>
      <c r="J80">
        <v>13.6</v>
      </c>
      <c r="K80" t="s">
        <v>24</v>
      </c>
      <c r="L80">
        <v>0</v>
      </c>
      <c r="M80">
        <v>4</v>
      </c>
      <c r="N80" t="s">
        <v>273</v>
      </c>
      <c r="O80" s="3" t="str">
        <f>TEXT(Ticket_Table[[#This Row],[raised_date]],"YYYY-MM")</f>
        <v>2022-01</v>
      </c>
      <c r="P80" s="3" t="str">
        <f>IF(Ticket_Table[[#This Row],[resolution_hrs]]&lt;=4,"Fast",IF(Ticket_Table[[#This Row],[resolution_hrs]]&lt;=24,"Normal",IF(Ticket_Table[[#This Row],[resolution_hrs]]&lt;=48,"Slow","Very Slow")))</f>
        <v>Normal</v>
      </c>
      <c r="Q80" s="3">
        <f>YEAR(Ticket_Table[[#This Row],[raised_date]])</f>
        <v>2022</v>
      </c>
    </row>
    <row r="81" spans="1:17">
      <c r="A81" t="s">
        <v>274</v>
      </c>
      <c r="B81" t="s">
        <v>275</v>
      </c>
      <c r="C81" t="s">
        <v>68</v>
      </c>
      <c r="D81" t="s">
        <v>36</v>
      </c>
      <c r="E81" t="s">
        <v>21</v>
      </c>
      <c r="F81" t="s">
        <v>38</v>
      </c>
      <c r="G81" t="s">
        <v>74</v>
      </c>
      <c r="H81" s="1">
        <v>44686</v>
      </c>
      <c r="I81" s="2">
        <v>44687.2166666667</v>
      </c>
      <c r="J81">
        <v>29.2</v>
      </c>
      <c r="K81" t="s">
        <v>32</v>
      </c>
      <c r="L81">
        <v>0</v>
      </c>
      <c r="M81">
        <v>4</v>
      </c>
      <c r="N81" t="s">
        <v>182</v>
      </c>
      <c r="O81" s="3" t="str">
        <f>TEXT(Ticket_Table[[#This Row],[raised_date]],"YYYY-MM")</f>
        <v>2022-05</v>
      </c>
      <c r="P81" s="3" t="str">
        <f>IF(Ticket_Table[[#This Row],[resolution_hrs]]&lt;=4,"Fast",IF(Ticket_Table[[#This Row],[resolution_hrs]]&lt;=24,"Normal",IF(Ticket_Table[[#This Row],[resolution_hrs]]&lt;=48,"Slow","Very Slow")))</f>
        <v>Slow</v>
      </c>
      <c r="Q81" s="3">
        <f>YEAR(Ticket_Table[[#This Row],[raised_date]])</f>
        <v>2022</v>
      </c>
    </row>
    <row r="82" spans="1:17">
      <c r="A82" t="s">
        <v>276</v>
      </c>
      <c r="B82" t="s">
        <v>277</v>
      </c>
      <c r="C82" t="s">
        <v>60</v>
      </c>
      <c r="D82" t="s">
        <v>29</v>
      </c>
      <c r="E82" t="s">
        <v>56</v>
      </c>
      <c r="F82" t="s">
        <v>70</v>
      </c>
      <c r="G82" t="s">
        <v>31</v>
      </c>
      <c r="H82" s="1">
        <v>44981</v>
      </c>
      <c r="I82" s="2">
        <v>44983.0166666667</v>
      </c>
      <c r="J82">
        <v>48.4</v>
      </c>
      <c r="K82" t="s">
        <v>32</v>
      </c>
      <c r="L82">
        <v>0</v>
      </c>
      <c r="M82">
        <v>2</v>
      </c>
      <c r="N82" t="s">
        <v>96</v>
      </c>
      <c r="O82" s="3" t="str">
        <f>TEXT(Ticket_Table[[#This Row],[raised_date]],"YYYY-MM")</f>
        <v>2023-02</v>
      </c>
      <c r="P82" s="3" t="str">
        <f>IF(Ticket_Table[[#This Row],[resolution_hrs]]&lt;=4,"Fast",IF(Ticket_Table[[#This Row],[resolution_hrs]]&lt;=24,"Normal",IF(Ticket_Table[[#This Row],[resolution_hrs]]&lt;=48,"Slow","Very Slow")))</f>
        <v>Very Slow</v>
      </c>
      <c r="Q82" s="3">
        <f>YEAR(Ticket_Table[[#This Row],[raised_date]])</f>
        <v>2023</v>
      </c>
    </row>
    <row r="83" spans="1:17">
      <c r="A83" t="s">
        <v>278</v>
      </c>
      <c r="B83" t="s">
        <v>279</v>
      </c>
      <c r="C83" t="s">
        <v>102</v>
      </c>
      <c r="D83" t="s">
        <v>29</v>
      </c>
      <c r="E83" t="s">
        <v>69</v>
      </c>
      <c r="F83" t="s">
        <v>38</v>
      </c>
      <c r="G83" t="s">
        <v>74</v>
      </c>
      <c r="H83" s="1">
        <v>44675</v>
      </c>
      <c r="I83" s="2">
        <v>44675.7083333333</v>
      </c>
      <c r="J83">
        <v>17</v>
      </c>
      <c r="K83" t="s">
        <v>24</v>
      </c>
      <c r="L83">
        <v>2</v>
      </c>
      <c r="M83">
        <v>4</v>
      </c>
      <c r="N83" t="s">
        <v>280</v>
      </c>
      <c r="O83" s="3" t="str">
        <f>TEXT(Ticket_Table[[#This Row],[raised_date]],"YYYY-MM")</f>
        <v>2022-04</v>
      </c>
      <c r="P83" s="3" t="str">
        <f>IF(Ticket_Table[[#This Row],[resolution_hrs]]&lt;=4,"Fast",IF(Ticket_Table[[#This Row],[resolution_hrs]]&lt;=24,"Normal",IF(Ticket_Table[[#This Row],[resolution_hrs]]&lt;=48,"Slow","Very Slow")))</f>
        <v>Normal</v>
      </c>
      <c r="Q83" s="3">
        <f>YEAR(Ticket_Table[[#This Row],[raised_date]])</f>
        <v>2022</v>
      </c>
    </row>
    <row r="84" spans="1:17">
      <c r="A84" t="s">
        <v>281</v>
      </c>
      <c r="B84" t="s">
        <v>79</v>
      </c>
      <c r="C84" t="s">
        <v>55</v>
      </c>
      <c r="D84" t="s">
        <v>29</v>
      </c>
      <c r="E84" t="s">
        <v>30</v>
      </c>
      <c r="F84" t="s">
        <v>22</v>
      </c>
      <c r="G84" t="s">
        <v>23</v>
      </c>
      <c r="H84" s="1">
        <v>45038</v>
      </c>
      <c r="I84" s="2">
        <v>45041.0666666667</v>
      </c>
      <c r="J84">
        <v>73.6</v>
      </c>
      <c r="K84" t="s">
        <v>32</v>
      </c>
      <c r="L84">
        <v>0</v>
      </c>
      <c r="M84">
        <v>5</v>
      </c>
      <c r="N84" t="s">
        <v>94</v>
      </c>
      <c r="O84" s="3" t="str">
        <f>TEXT(Ticket_Table[[#This Row],[raised_date]],"YYYY-MM")</f>
        <v>2023-04</v>
      </c>
      <c r="P84" s="3" t="str">
        <f>IF(Ticket_Table[[#This Row],[resolution_hrs]]&lt;=4,"Fast",IF(Ticket_Table[[#This Row],[resolution_hrs]]&lt;=24,"Normal",IF(Ticket_Table[[#This Row],[resolution_hrs]]&lt;=48,"Slow","Very Slow")))</f>
        <v>Very Slow</v>
      </c>
      <c r="Q84" s="3">
        <f>YEAR(Ticket_Table[[#This Row],[raised_date]])</f>
        <v>2023</v>
      </c>
    </row>
    <row r="85" spans="1:17">
      <c r="A85" t="s">
        <v>282</v>
      </c>
      <c r="B85" t="s">
        <v>283</v>
      </c>
      <c r="C85" t="s">
        <v>60</v>
      </c>
      <c r="D85" t="s">
        <v>90</v>
      </c>
      <c r="E85" t="s">
        <v>21</v>
      </c>
      <c r="F85" t="s">
        <v>22</v>
      </c>
      <c r="G85" t="s">
        <v>91</v>
      </c>
      <c r="H85" s="1">
        <v>44286</v>
      </c>
      <c r="I85" s="2">
        <v>44289.9375</v>
      </c>
      <c r="J85">
        <v>94.5</v>
      </c>
      <c r="K85" t="s">
        <v>32</v>
      </c>
      <c r="L85">
        <v>1</v>
      </c>
      <c r="M85">
        <v>4</v>
      </c>
      <c r="N85" t="s">
        <v>284</v>
      </c>
      <c r="O85" s="3" t="str">
        <f>TEXT(Ticket_Table[[#This Row],[raised_date]],"YYYY-MM")</f>
        <v>2021-03</v>
      </c>
      <c r="P85" s="3" t="str">
        <f>IF(Ticket_Table[[#This Row],[resolution_hrs]]&lt;=4,"Fast",IF(Ticket_Table[[#This Row],[resolution_hrs]]&lt;=24,"Normal",IF(Ticket_Table[[#This Row],[resolution_hrs]]&lt;=48,"Slow","Very Slow")))</f>
        <v>Very Slow</v>
      </c>
      <c r="Q85" s="3">
        <f>YEAR(Ticket_Table[[#This Row],[raised_date]])</f>
        <v>2021</v>
      </c>
    </row>
    <row r="86" spans="1:17">
      <c r="A86" t="s">
        <v>285</v>
      </c>
      <c r="B86" t="s">
        <v>286</v>
      </c>
      <c r="C86" t="s">
        <v>287</v>
      </c>
      <c r="D86" t="s">
        <v>29</v>
      </c>
      <c r="E86" t="s">
        <v>106</v>
      </c>
      <c r="F86" t="s">
        <v>45</v>
      </c>
      <c r="G86" t="s">
        <v>46</v>
      </c>
      <c r="H86" s="1">
        <v>44848</v>
      </c>
      <c r="I86" s="2">
        <v>44848.0708333333</v>
      </c>
      <c r="J86">
        <v>1.7</v>
      </c>
      <c r="K86" t="s">
        <v>24</v>
      </c>
      <c r="L86">
        <v>0</v>
      </c>
      <c r="M86">
        <v>4</v>
      </c>
      <c r="N86" t="s">
        <v>186</v>
      </c>
      <c r="O86" s="3" t="str">
        <f>TEXT(Ticket_Table[[#This Row],[raised_date]],"YYYY-MM")</f>
        <v>2022-10</v>
      </c>
      <c r="P86" s="3" t="str">
        <f>IF(Ticket_Table[[#This Row],[resolution_hrs]]&lt;=4,"Fast",IF(Ticket_Table[[#This Row],[resolution_hrs]]&lt;=24,"Normal",IF(Ticket_Table[[#This Row],[resolution_hrs]]&lt;=48,"Slow","Very Slow")))</f>
        <v>Fast</v>
      </c>
      <c r="Q86" s="3">
        <f>YEAR(Ticket_Table[[#This Row],[raised_date]])</f>
        <v>2022</v>
      </c>
    </row>
    <row r="87" spans="1:17">
      <c r="A87" t="s">
        <v>288</v>
      </c>
      <c r="B87" t="s">
        <v>289</v>
      </c>
      <c r="C87" t="s">
        <v>42</v>
      </c>
      <c r="D87" t="s">
        <v>29</v>
      </c>
      <c r="E87" t="s">
        <v>44</v>
      </c>
      <c r="F87" t="s">
        <v>22</v>
      </c>
      <c r="G87" t="s">
        <v>23</v>
      </c>
      <c r="H87" s="1">
        <v>45165</v>
      </c>
      <c r="I87" s="2">
        <v>45167.625</v>
      </c>
      <c r="J87">
        <v>63</v>
      </c>
      <c r="K87" t="s">
        <v>24</v>
      </c>
      <c r="L87">
        <v>0</v>
      </c>
      <c r="M87">
        <v>4</v>
      </c>
      <c r="N87" t="s">
        <v>290</v>
      </c>
      <c r="O87" s="3" t="str">
        <f>TEXT(Ticket_Table[[#This Row],[raised_date]],"YYYY-MM")</f>
        <v>2023-08</v>
      </c>
      <c r="P87" s="3" t="str">
        <f>IF(Ticket_Table[[#This Row],[resolution_hrs]]&lt;=4,"Fast",IF(Ticket_Table[[#This Row],[resolution_hrs]]&lt;=24,"Normal",IF(Ticket_Table[[#This Row],[resolution_hrs]]&lt;=48,"Slow","Very Slow")))</f>
        <v>Very Slow</v>
      </c>
      <c r="Q87" s="3">
        <f>YEAR(Ticket_Table[[#This Row],[raised_date]])</f>
        <v>2023</v>
      </c>
    </row>
    <row r="88" spans="1:17">
      <c r="A88" t="s">
        <v>291</v>
      </c>
      <c r="B88" t="s">
        <v>84</v>
      </c>
      <c r="C88" t="s">
        <v>64</v>
      </c>
      <c r="D88" t="s">
        <v>36</v>
      </c>
      <c r="E88" t="s">
        <v>83</v>
      </c>
      <c r="F88" t="s">
        <v>45</v>
      </c>
      <c r="G88" t="s">
        <v>74</v>
      </c>
      <c r="H88" s="1">
        <v>44977</v>
      </c>
      <c r="I88" s="2">
        <v>44977.2333333333</v>
      </c>
      <c r="J88">
        <v>5.6</v>
      </c>
      <c r="K88" t="s">
        <v>32</v>
      </c>
      <c r="L88">
        <v>2</v>
      </c>
      <c r="M88">
        <v>4</v>
      </c>
      <c r="N88" t="s">
        <v>67</v>
      </c>
      <c r="O88" s="3" t="str">
        <f>TEXT(Ticket_Table[[#This Row],[raised_date]],"YYYY-MM")</f>
        <v>2023-02</v>
      </c>
      <c r="P88" s="3" t="str">
        <f>IF(Ticket_Table[[#This Row],[resolution_hrs]]&lt;=4,"Fast",IF(Ticket_Table[[#This Row],[resolution_hrs]]&lt;=24,"Normal",IF(Ticket_Table[[#This Row],[resolution_hrs]]&lt;=48,"Slow","Very Slow")))</f>
        <v>Normal</v>
      </c>
      <c r="Q88" s="3">
        <f>YEAR(Ticket_Table[[#This Row],[raised_date]])</f>
        <v>2023</v>
      </c>
    </row>
    <row r="89" spans="1:17">
      <c r="A89" t="s">
        <v>292</v>
      </c>
      <c r="B89" t="s">
        <v>293</v>
      </c>
      <c r="C89" t="s">
        <v>28</v>
      </c>
      <c r="D89" t="s">
        <v>90</v>
      </c>
      <c r="E89" t="s">
        <v>69</v>
      </c>
      <c r="F89" t="s">
        <v>45</v>
      </c>
      <c r="G89" t="s">
        <v>74</v>
      </c>
      <c r="H89" s="1">
        <v>44987</v>
      </c>
      <c r="I89" s="2">
        <v>44987.05</v>
      </c>
      <c r="J89">
        <v>1.2</v>
      </c>
      <c r="K89" t="s">
        <v>24</v>
      </c>
      <c r="L89">
        <v>0</v>
      </c>
      <c r="M89">
        <v>1</v>
      </c>
      <c r="N89" t="s">
        <v>255</v>
      </c>
      <c r="O89" s="3" t="str">
        <f>TEXT(Ticket_Table[[#This Row],[raised_date]],"YYYY-MM")</f>
        <v>2023-03</v>
      </c>
      <c r="P89" s="3" t="str">
        <f>IF(Ticket_Table[[#This Row],[resolution_hrs]]&lt;=4,"Fast",IF(Ticket_Table[[#This Row],[resolution_hrs]]&lt;=24,"Normal",IF(Ticket_Table[[#This Row],[resolution_hrs]]&lt;=48,"Slow","Very Slow")))</f>
        <v>Fast</v>
      </c>
      <c r="Q89" s="3">
        <f>YEAR(Ticket_Table[[#This Row],[raised_date]])</f>
        <v>2023</v>
      </c>
    </row>
    <row r="90" spans="1:17">
      <c r="A90" t="s">
        <v>294</v>
      </c>
      <c r="B90" t="s">
        <v>295</v>
      </c>
      <c r="C90" t="s">
        <v>55</v>
      </c>
      <c r="D90" t="s">
        <v>90</v>
      </c>
      <c r="E90" t="s">
        <v>106</v>
      </c>
      <c r="F90" t="s">
        <v>38</v>
      </c>
      <c r="G90" t="s">
        <v>74</v>
      </c>
      <c r="H90" s="1">
        <v>44508</v>
      </c>
      <c r="I90" s="2">
        <v>44508.25</v>
      </c>
      <c r="J90">
        <v>6</v>
      </c>
      <c r="K90" t="s">
        <v>24</v>
      </c>
      <c r="L90">
        <v>0</v>
      </c>
      <c r="M90">
        <v>5</v>
      </c>
      <c r="N90" t="s">
        <v>296</v>
      </c>
      <c r="O90" s="3" t="str">
        <f>TEXT(Ticket_Table[[#This Row],[raised_date]],"YYYY-MM")</f>
        <v>2021-11</v>
      </c>
      <c r="P90" s="3" t="str">
        <f>IF(Ticket_Table[[#This Row],[resolution_hrs]]&lt;=4,"Fast",IF(Ticket_Table[[#This Row],[resolution_hrs]]&lt;=24,"Normal",IF(Ticket_Table[[#This Row],[resolution_hrs]]&lt;=48,"Slow","Very Slow")))</f>
        <v>Normal</v>
      </c>
      <c r="Q90" s="3">
        <f>YEAR(Ticket_Table[[#This Row],[raised_date]])</f>
        <v>2021</v>
      </c>
    </row>
    <row r="91" spans="1:17">
      <c r="A91" t="s">
        <v>297</v>
      </c>
      <c r="B91" t="s">
        <v>298</v>
      </c>
      <c r="C91" t="s">
        <v>68</v>
      </c>
      <c r="D91" t="s">
        <v>29</v>
      </c>
      <c r="E91" t="s">
        <v>166</v>
      </c>
      <c r="F91" t="s">
        <v>38</v>
      </c>
      <c r="G91" t="s">
        <v>31</v>
      </c>
      <c r="H91" s="1">
        <v>45211</v>
      </c>
      <c r="I91" s="2">
        <v>45211.9958333333</v>
      </c>
      <c r="J91">
        <v>23.9</v>
      </c>
      <c r="K91" t="s">
        <v>24</v>
      </c>
      <c r="L91">
        <v>2</v>
      </c>
      <c r="M91">
        <v>5</v>
      </c>
      <c r="N91" t="s">
        <v>39</v>
      </c>
      <c r="O91" s="3" t="str">
        <f>TEXT(Ticket_Table[[#This Row],[raised_date]],"YYYY-MM")</f>
        <v>2023-10</v>
      </c>
      <c r="P91" s="3" t="str">
        <f>IF(Ticket_Table[[#This Row],[resolution_hrs]]&lt;=4,"Fast",IF(Ticket_Table[[#This Row],[resolution_hrs]]&lt;=24,"Normal",IF(Ticket_Table[[#This Row],[resolution_hrs]]&lt;=48,"Slow","Very Slow")))</f>
        <v>Normal</v>
      </c>
      <c r="Q91" s="3">
        <f>YEAR(Ticket_Table[[#This Row],[raised_date]])</f>
        <v>2023</v>
      </c>
    </row>
    <row r="92" spans="1:17">
      <c r="A92" t="s">
        <v>299</v>
      </c>
      <c r="B92" t="s">
        <v>300</v>
      </c>
      <c r="C92" t="s">
        <v>175</v>
      </c>
      <c r="D92" t="s">
        <v>90</v>
      </c>
      <c r="E92" t="s">
        <v>69</v>
      </c>
      <c r="F92" t="s">
        <v>70</v>
      </c>
      <c r="G92" t="s">
        <v>31</v>
      </c>
      <c r="H92" s="1">
        <v>44272</v>
      </c>
      <c r="I92" s="2">
        <v>44273.4375</v>
      </c>
      <c r="J92">
        <v>34.5</v>
      </c>
      <c r="K92" t="s">
        <v>24</v>
      </c>
      <c r="L92">
        <v>1</v>
      </c>
      <c r="M92">
        <v>3</v>
      </c>
      <c r="N92" t="s">
        <v>41</v>
      </c>
      <c r="O92" s="3" t="str">
        <f>TEXT(Ticket_Table[[#This Row],[raised_date]],"YYYY-MM")</f>
        <v>2021-03</v>
      </c>
      <c r="P92" s="3" t="str">
        <f>IF(Ticket_Table[[#This Row],[resolution_hrs]]&lt;=4,"Fast",IF(Ticket_Table[[#This Row],[resolution_hrs]]&lt;=24,"Normal",IF(Ticket_Table[[#This Row],[resolution_hrs]]&lt;=48,"Slow","Very Slow")))</f>
        <v>Slow</v>
      </c>
      <c r="Q92" s="3">
        <f>YEAR(Ticket_Table[[#This Row],[raised_date]])</f>
        <v>2021</v>
      </c>
    </row>
    <row r="93" spans="1:17">
      <c r="A93" t="s">
        <v>301</v>
      </c>
      <c r="B93" t="s">
        <v>302</v>
      </c>
      <c r="C93" t="s">
        <v>95</v>
      </c>
      <c r="D93" t="s">
        <v>43</v>
      </c>
      <c r="E93" t="s">
        <v>30</v>
      </c>
      <c r="F93" t="s">
        <v>38</v>
      </c>
      <c r="G93" t="s">
        <v>31</v>
      </c>
      <c r="H93" s="1">
        <v>44455</v>
      </c>
      <c r="I93" s="2">
        <v>44456.3791666667</v>
      </c>
      <c r="J93">
        <v>33.1</v>
      </c>
      <c r="K93" t="s">
        <v>32</v>
      </c>
      <c r="L93">
        <v>0</v>
      </c>
      <c r="M93">
        <v>4</v>
      </c>
      <c r="N93" t="s">
        <v>146</v>
      </c>
      <c r="O93" s="3" t="str">
        <f>TEXT(Ticket_Table[[#This Row],[raised_date]],"YYYY-MM")</f>
        <v>2021-09</v>
      </c>
      <c r="P93" s="3" t="str">
        <f>IF(Ticket_Table[[#This Row],[resolution_hrs]]&lt;=4,"Fast",IF(Ticket_Table[[#This Row],[resolution_hrs]]&lt;=24,"Normal",IF(Ticket_Table[[#This Row],[resolution_hrs]]&lt;=48,"Slow","Very Slow")))</f>
        <v>Slow</v>
      </c>
      <c r="Q93" s="3">
        <f>YEAR(Ticket_Table[[#This Row],[raised_date]])</f>
        <v>2021</v>
      </c>
    </row>
    <row r="94" spans="1:17">
      <c r="A94" t="s">
        <v>303</v>
      </c>
      <c r="B94" t="s">
        <v>304</v>
      </c>
      <c r="C94" t="s">
        <v>68</v>
      </c>
      <c r="D94" t="s">
        <v>90</v>
      </c>
      <c r="E94" t="s">
        <v>166</v>
      </c>
      <c r="F94" t="s">
        <v>22</v>
      </c>
      <c r="G94" t="s">
        <v>23</v>
      </c>
      <c r="H94" s="1">
        <v>45225</v>
      </c>
      <c r="I94" s="2">
        <v>45225.2458333333</v>
      </c>
      <c r="J94">
        <v>5.9</v>
      </c>
      <c r="K94" t="s">
        <v>24</v>
      </c>
      <c r="L94">
        <v>0</v>
      </c>
      <c r="M94">
        <v>4</v>
      </c>
      <c r="N94" t="s">
        <v>305</v>
      </c>
      <c r="O94" s="3" t="str">
        <f>TEXT(Ticket_Table[[#This Row],[raised_date]],"YYYY-MM")</f>
        <v>2023-10</v>
      </c>
      <c r="P94" s="3" t="str">
        <f>IF(Ticket_Table[[#This Row],[resolution_hrs]]&lt;=4,"Fast",IF(Ticket_Table[[#This Row],[resolution_hrs]]&lt;=24,"Normal",IF(Ticket_Table[[#This Row],[resolution_hrs]]&lt;=48,"Slow","Very Slow")))</f>
        <v>Normal</v>
      </c>
      <c r="Q94" s="3">
        <f>YEAR(Ticket_Table[[#This Row],[raised_date]])</f>
        <v>2023</v>
      </c>
    </row>
    <row r="95" spans="1:17">
      <c r="A95" t="s">
        <v>306</v>
      </c>
      <c r="B95" t="s">
        <v>307</v>
      </c>
      <c r="C95" t="s">
        <v>55</v>
      </c>
      <c r="D95" t="s">
        <v>90</v>
      </c>
      <c r="E95" t="s">
        <v>69</v>
      </c>
      <c r="F95" t="s">
        <v>70</v>
      </c>
      <c r="G95" t="s">
        <v>31</v>
      </c>
      <c r="H95" s="1">
        <v>44876</v>
      </c>
      <c r="I95" s="2">
        <v>44878.1166666667</v>
      </c>
      <c r="J95">
        <v>50.8</v>
      </c>
      <c r="K95" t="s">
        <v>32</v>
      </c>
      <c r="L95">
        <v>0</v>
      </c>
      <c r="M95">
        <v>2</v>
      </c>
      <c r="N95" t="s">
        <v>308</v>
      </c>
      <c r="O95" s="3" t="str">
        <f>TEXT(Ticket_Table[[#This Row],[raised_date]],"YYYY-MM")</f>
        <v>2022-11</v>
      </c>
      <c r="P95" s="3" t="str">
        <f>IF(Ticket_Table[[#This Row],[resolution_hrs]]&lt;=4,"Fast",IF(Ticket_Table[[#This Row],[resolution_hrs]]&lt;=24,"Normal",IF(Ticket_Table[[#This Row],[resolution_hrs]]&lt;=48,"Slow","Very Slow")))</f>
        <v>Very Slow</v>
      </c>
      <c r="Q95" s="3">
        <f>YEAR(Ticket_Table[[#This Row],[raised_date]])</f>
        <v>2022</v>
      </c>
    </row>
    <row r="96" spans="1:17">
      <c r="A96" t="s">
        <v>309</v>
      </c>
      <c r="B96" t="s">
        <v>310</v>
      </c>
      <c r="C96" t="s">
        <v>213</v>
      </c>
      <c r="D96" t="s">
        <v>90</v>
      </c>
      <c r="E96" t="s">
        <v>21</v>
      </c>
      <c r="F96" t="s">
        <v>70</v>
      </c>
      <c r="G96" t="s">
        <v>23</v>
      </c>
      <c r="H96" s="1">
        <v>44402</v>
      </c>
      <c r="I96" s="2">
        <v>44402.4291666667</v>
      </c>
      <c r="J96">
        <v>10.3</v>
      </c>
      <c r="K96" t="s">
        <v>24</v>
      </c>
      <c r="L96">
        <v>1</v>
      </c>
      <c r="M96">
        <v>3</v>
      </c>
      <c r="N96" t="s">
        <v>304</v>
      </c>
      <c r="O96" s="3" t="str">
        <f>TEXT(Ticket_Table[[#This Row],[raised_date]],"YYYY-MM")</f>
        <v>2021-07</v>
      </c>
      <c r="P96" s="3" t="str">
        <f>IF(Ticket_Table[[#This Row],[resolution_hrs]]&lt;=4,"Fast",IF(Ticket_Table[[#This Row],[resolution_hrs]]&lt;=24,"Normal",IF(Ticket_Table[[#This Row],[resolution_hrs]]&lt;=48,"Slow","Very Slow")))</f>
        <v>Normal</v>
      </c>
      <c r="Q96" s="3">
        <f>YEAR(Ticket_Table[[#This Row],[raised_date]])</f>
        <v>2021</v>
      </c>
    </row>
    <row r="97" spans="1:17">
      <c r="A97" t="s">
        <v>311</v>
      </c>
      <c r="B97" t="s">
        <v>304</v>
      </c>
      <c r="C97" t="s">
        <v>140</v>
      </c>
      <c r="D97" t="s">
        <v>20</v>
      </c>
      <c r="E97" t="s">
        <v>44</v>
      </c>
      <c r="F97" t="s">
        <v>70</v>
      </c>
      <c r="G97" t="s">
        <v>23</v>
      </c>
      <c r="H97" s="1">
        <v>45098</v>
      </c>
      <c r="I97" s="2">
        <v>45098.55</v>
      </c>
      <c r="J97">
        <v>13.2</v>
      </c>
      <c r="K97" t="s">
        <v>24</v>
      </c>
      <c r="L97">
        <v>0</v>
      </c>
      <c r="M97">
        <v>1</v>
      </c>
      <c r="N97" t="s">
        <v>312</v>
      </c>
      <c r="O97" s="3" t="str">
        <f>TEXT(Ticket_Table[[#This Row],[raised_date]],"YYYY-MM")</f>
        <v>2023-06</v>
      </c>
      <c r="P97" s="3" t="str">
        <f>IF(Ticket_Table[[#This Row],[resolution_hrs]]&lt;=4,"Fast",IF(Ticket_Table[[#This Row],[resolution_hrs]]&lt;=24,"Normal",IF(Ticket_Table[[#This Row],[resolution_hrs]]&lt;=48,"Slow","Very Slow")))</f>
        <v>Normal</v>
      </c>
      <c r="Q97" s="3">
        <f>YEAR(Ticket_Table[[#This Row],[raised_date]])</f>
        <v>2023</v>
      </c>
    </row>
    <row r="98" spans="1:17">
      <c r="A98" t="s">
        <v>313</v>
      </c>
      <c r="B98" t="s">
        <v>314</v>
      </c>
      <c r="C98" t="s">
        <v>64</v>
      </c>
      <c r="D98" t="s">
        <v>20</v>
      </c>
      <c r="E98" t="s">
        <v>56</v>
      </c>
      <c r="F98" t="s">
        <v>70</v>
      </c>
      <c r="G98" t="s">
        <v>23</v>
      </c>
      <c r="H98" s="1">
        <v>44401</v>
      </c>
      <c r="I98" s="2">
        <v>44401.1875</v>
      </c>
      <c r="J98">
        <v>4.5</v>
      </c>
      <c r="K98" t="s">
        <v>24</v>
      </c>
      <c r="L98">
        <v>2</v>
      </c>
      <c r="M98">
        <v>5</v>
      </c>
      <c r="N98" t="s">
        <v>315</v>
      </c>
      <c r="O98" s="3" t="str">
        <f>TEXT(Ticket_Table[[#This Row],[raised_date]],"YYYY-MM")</f>
        <v>2021-07</v>
      </c>
      <c r="P98" s="3" t="str">
        <f>IF(Ticket_Table[[#This Row],[resolution_hrs]]&lt;=4,"Fast",IF(Ticket_Table[[#This Row],[resolution_hrs]]&lt;=24,"Normal",IF(Ticket_Table[[#This Row],[resolution_hrs]]&lt;=48,"Slow","Very Slow")))</f>
        <v>Normal</v>
      </c>
      <c r="Q98" s="3">
        <f>YEAR(Ticket_Table[[#This Row],[raised_date]])</f>
        <v>2021</v>
      </c>
    </row>
    <row r="99" spans="1:17">
      <c r="A99" t="s">
        <v>316</v>
      </c>
      <c r="B99" t="s">
        <v>317</v>
      </c>
      <c r="C99" t="s">
        <v>117</v>
      </c>
      <c r="D99" t="s">
        <v>20</v>
      </c>
      <c r="E99" t="s">
        <v>44</v>
      </c>
      <c r="F99" t="s">
        <v>70</v>
      </c>
      <c r="G99" t="s">
        <v>74</v>
      </c>
      <c r="H99" s="1">
        <v>45274</v>
      </c>
      <c r="I99" s="2">
        <v>45274.95</v>
      </c>
      <c r="J99">
        <v>22.8</v>
      </c>
      <c r="K99" t="s">
        <v>24</v>
      </c>
      <c r="L99">
        <v>0</v>
      </c>
      <c r="M99">
        <v>1</v>
      </c>
      <c r="N99" t="s">
        <v>318</v>
      </c>
      <c r="O99" s="3" t="str">
        <f>TEXT(Ticket_Table[[#This Row],[raised_date]],"YYYY-MM")</f>
        <v>2023-12</v>
      </c>
      <c r="P99" s="3" t="str">
        <f>IF(Ticket_Table[[#This Row],[resolution_hrs]]&lt;=4,"Fast",IF(Ticket_Table[[#This Row],[resolution_hrs]]&lt;=24,"Normal",IF(Ticket_Table[[#This Row],[resolution_hrs]]&lt;=48,"Slow","Very Slow")))</f>
        <v>Normal</v>
      </c>
      <c r="Q99" s="3">
        <f>YEAR(Ticket_Table[[#This Row],[raised_date]])</f>
        <v>2023</v>
      </c>
    </row>
    <row r="100" spans="1:17">
      <c r="A100" t="s">
        <v>319</v>
      </c>
      <c r="B100" t="s">
        <v>320</v>
      </c>
      <c r="C100" t="s">
        <v>201</v>
      </c>
      <c r="D100" t="s">
        <v>90</v>
      </c>
      <c r="E100" t="s">
        <v>44</v>
      </c>
      <c r="F100" t="s">
        <v>70</v>
      </c>
      <c r="G100" t="s">
        <v>31</v>
      </c>
      <c r="H100" s="1">
        <v>45132</v>
      </c>
      <c r="I100" s="2">
        <v>45134.3916666667</v>
      </c>
      <c r="J100">
        <v>57.4</v>
      </c>
      <c r="K100" t="s">
        <v>32</v>
      </c>
      <c r="L100">
        <v>0</v>
      </c>
      <c r="M100">
        <v>3</v>
      </c>
      <c r="N100" t="s">
        <v>321</v>
      </c>
      <c r="O100" s="3" t="str">
        <f>TEXT(Ticket_Table[[#This Row],[raised_date]],"YYYY-MM")</f>
        <v>2023-07</v>
      </c>
      <c r="P100" s="3" t="str">
        <f>IF(Ticket_Table[[#This Row],[resolution_hrs]]&lt;=4,"Fast",IF(Ticket_Table[[#This Row],[resolution_hrs]]&lt;=24,"Normal",IF(Ticket_Table[[#This Row],[resolution_hrs]]&lt;=48,"Slow","Very Slow")))</f>
        <v>Very Slow</v>
      </c>
      <c r="Q100" s="3">
        <f>YEAR(Ticket_Table[[#This Row],[raised_date]])</f>
        <v>2023</v>
      </c>
    </row>
    <row r="101" spans="1:17">
      <c r="A101" t="s">
        <v>322</v>
      </c>
      <c r="B101" t="s">
        <v>279</v>
      </c>
      <c r="C101" t="s">
        <v>42</v>
      </c>
      <c r="D101" t="s">
        <v>43</v>
      </c>
      <c r="E101" t="s">
        <v>21</v>
      </c>
      <c r="F101" t="s">
        <v>38</v>
      </c>
      <c r="G101" t="s">
        <v>23</v>
      </c>
      <c r="H101" s="1">
        <v>44228</v>
      </c>
      <c r="I101" s="2">
        <v>44228.7083333333</v>
      </c>
      <c r="J101">
        <v>17</v>
      </c>
      <c r="K101" t="s">
        <v>24</v>
      </c>
      <c r="L101">
        <v>0</v>
      </c>
      <c r="M101">
        <v>2</v>
      </c>
      <c r="N101" t="s">
        <v>323</v>
      </c>
      <c r="O101" s="3" t="str">
        <f>TEXT(Ticket_Table[[#This Row],[raised_date]],"YYYY-MM")</f>
        <v>2021-02</v>
      </c>
      <c r="P101" s="3" t="str">
        <f>IF(Ticket_Table[[#This Row],[resolution_hrs]]&lt;=4,"Fast",IF(Ticket_Table[[#This Row],[resolution_hrs]]&lt;=24,"Normal",IF(Ticket_Table[[#This Row],[resolution_hrs]]&lt;=48,"Slow","Very Slow")))</f>
        <v>Normal</v>
      </c>
      <c r="Q101" s="3">
        <f>YEAR(Ticket_Table[[#This Row],[raised_date]])</f>
        <v>2021</v>
      </c>
    </row>
    <row r="102" spans="1:17">
      <c r="A102" t="s">
        <v>324</v>
      </c>
      <c r="B102" t="s">
        <v>132</v>
      </c>
      <c r="C102" t="s">
        <v>42</v>
      </c>
      <c r="D102" t="s">
        <v>90</v>
      </c>
      <c r="E102" t="s">
        <v>51</v>
      </c>
      <c r="F102" t="s">
        <v>22</v>
      </c>
      <c r="G102" t="s">
        <v>31</v>
      </c>
      <c r="H102" s="1">
        <v>44492</v>
      </c>
      <c r="I102" s="2">
        <v>44492.8041666667</v>
      </c>
      <c r="J102">
        <v>19.3</v>
      </c>
      <c r="K102" t="s">
        <v>24</v>
      </c>
      <c r="L102">
        <v>0</v>
      </c>
      <c r="M102">
        <v>4</v>
      </c>
      <c r="N102" t="s">
        <v>325</v>
      </c>
      <c r="O102" s="3" t="str">
        <f>TEXT(Ticket_Table[[#This Row],[raised_date]],"YYYY-MM")</f>
        <v>2021-10</v>
      </c>
      <c r="P102" s="3" t="str">
        <f>IF(Ticket_Table[[#This Row],[resolution_hrs]]&lt;=4,"Fast",IF(Ticket_Table[[#This Row],[resolution_hrs]]&lt;=24,"Normal",IF(Ticket_Table[[#This Row],[resolution_hrs]]&lt;=48,"Slow","Very Slow")))</f>
        <v>Normal</v>
      </c>
      <c r="Q102" s="3">
        <f>YEAR(Ticket_Table[[#This Row],[raised_date]])</f>
        <v>2021</v>
      </c>
    </row>
    <row r="103" spans="1:17">
      <c r="A103" t="s">
        <v>326</v>
      </c>
      <c r="B103" t="s">
        <v>327</v>
      </c>
      <c r="C103" t="s">
        <v>68</v>
      </c>
      <c r="D103" t="s">
        <v>29</v>
      </c>
      <c r="E103" t="s">
        <v>69</v>
      </c>
      <c r="F103" t="s">
        <v>45</v>
      </c>
      <c r="G103" t="s">
        <v>31</v>
      </c>
      <c r="H103" s="1">
        <v>45036</v>
      </c>
      <c r="I103" s="2">
        <v>45036.1666666667</v>
      </c>
      <c r="J103">
        <v>4</v>
      </c>
      <c r="K103" t="s">
        <v>24</v>
      </c>
      <c r="L103">
        <v>0</v>
      </c>
      <c r="M103">
        <v>5</v>
      </c>
      <c r="N103" t="s">
        <v>290</v>
      </c>
      <c r="O103" s="3" t="str">
        <f>TEXT(Ticket_Table[[#This Row],[raised_date]],"YYYY-MM")</f>
        <v>2023-04</v>
      </c>
      <c r="P103" s="3" t="str">
        <f>IF(Ticket_Table[[#This Row],[resolution_hrs]]&lt;=4,"Fast",IF(Ticket_Table[[#This Row],[resolution_hrs]]&lt;=24,"Normal",IF(Ticket_Table[[#This Row],[resolution_hrs]]&lt;=48,"Slow","Very Slow")))</f>
        <v>Fast</v>
      </c>
      <c r="Q103" s="3">
        <f>YEAR(Ticket_Table[[#This Row],[raised_date]])</f>
        <v>2023</v>
      </c>
    </row>
    <row r="104" spans="1:17">
      <c r="A104" t="s">
        <v>328</v>
      </c>
      <c r="B104" t="s">
        <v>216</v>
      </c>
      <c r="C104" t="s">
        <v>117</v>
      </c>
      <c r="D104" t="s">
        <v>43</v>
      </c>
      <c r="E104" t="s">
        <v>56</v>
      </c>
      <c r="F104" t="s">
        <v>38</v>
      </c>
      <c r="G104" t="s">
        <v>31</v>
      </c>
      <c r="H104" s="1">
        <v>44513</v>
      </c>
      <c r="I104" s="2">
        <v>44514.2333333333</v>
      </c>
      <c r="J104">
        <v>29.6</v>
      </c>
      <c r="K104" t="s">
        <v>32</v>
      </c>
      <c r="L104">
        <v>0</v>
      </c>
      <c r="M104">
        <v>4</v>
      </c>
      <c r="N104" t="s">
        <v>329</v>
      </c>
      <c r="O104" s="3" t="str">
        <f>TEXT(Ticket_Table[[#This Row],[raised_date]],"YYYY-MM")</f>
        <v>2021-11</v>
      </c>
      <c r="P104" s="3" t="str">
        <f>IF(Ticket_Table[[#This Row],[resolution_hrs]]&lt;=4,"Fast",IF(Ticket_Table[[#This Row],[resolution_hrs]]&lt;=24,"Normal",IF(Ticket_Table[[#This Row],[resolution_hrs]]&lt;=48,"Slow","Very Slow")))</f>
        <v>Slow</v>
      </c>
      <c r="Q104" s="3">
        <f>YEAR(Ticket_Table[[#This Row],[raised_date]])</f>
        <v>2021</v>
      </c>
    </row>
    <row r="105" spans="1:17">
      <c r="A105" t="s">
        <v>330</v>
      </c>
      <c r="B105" t="s">
        <v>331</v>
      </c>
      <c r="C105" t="s">
        <v>175</v>
      </c>
      <c r="D105" t="s">
        <v>20</v>
      </c>
      <c r="E105" t="s">
        <v>37</v>
      </c>
      <c r="F105" t="s">
        <v>38</v>
      </c>
      <c r="G105" t="s">
        <v>74</v>
      </c>
      <c r="H105" s="1">
        <v>44350</v>
      </c>
      <c r="I105" s="2">
        <v>44350.1958333333</v>
      </c>
      <c r="J105">
        <v>4.7</v>
      </c>
      <c r="K105" t="s">
        <v>24</v>
      </c>
      <c r="L105">
        <v>1</v>
      </c>
      <c r="M105">
        <v>2</v>
      </c>
      <c r="N105" t="s">
        <v>332</v>
      </c>
      <c r="O105" s="3" t="str">
        <f>TEXT(Ticket_Table[[#This Row],[raised_date]],"YYYY-MM")</f>
        <v>2021-06</v>
      </c>
      <c r="P105" s="3" t="str">
        <f>IF(Ticket_Table[[#This Row],[resolution_hrs]]&lt;=4,"Fast",IF(Ticket_Table[[#This Row],[resolution_hrs]]&lt;=24,"Normal",IF(Ticket_Table[[#This Row],[resolution_hrs]]&lt;=48,"Slow","Very Slow")))</f>
        <v>Normal</v>
      </c>
      <c r="Q105" s="3">
        <f>YEAR(Ticket_Table[[#This Row],[raised_date]])</f>
        <v>2021</v>
      </c>
    </row>
    <row r="106" spans="1:17">
      <c r="A106" t="s">
        <v>333</v>
      </c>
      <c r="B106" t="s">
        <v>334</v>
      </c>
      <c r="C106" t="s">
        <v>213</v>
      </c>
      <c r="D106" t="s">
        <v>36</v>
      </c>
      <c r="E106" t="s">
        <v>21</v>
      </c>
      <c r="F106" t="s">
        <v>70</v>
      </c>
      <c r="G106" t="s">
        <v>23</v>
      </c>
      <c r="H106" s="1">
        <v>45158</v>
      </c>
      <c r="I106" s="2">
        <v>45159.5125</v>
      </c>
      <c r="J106">
        <v>36.3</v>
      </c>
      <c r="K106" t="s">
        <v>24</v>
      </c>
      <c r="L106">
        <v>0</v>
      </c>
      <c r="M106">
        <v>4</v>
      </c>
      <c r="N106" t="s">
        <v>335</v>
      </c>
      <c r="O106" s="3" t="str">
        <f>TEXT(Ticket_Table[[#This Row],[raised_date]],"YYYY-MM")</f>
        <v>2023-08</v>
      </c>
      <c r="P106" s="3" t="str">
        <f>IF(Ticket_Table[[#This Row],[resolution_hrs]]&lt;=4,"Fast",IF(Ticket_Table[[#This Row],[resolution_hrs]]&lt;=24,"Normal",IF(Ticket_Table[[#This Row],[resolution_hrs]]&lt;=48,"Slow","Very Slow")))</f>
        <v>Slow</v>
      </c>
      <c r="Q106" s="3">
        <f>YEAR(Ticket_Table[[#This Row],[raised_date]])</f>
        <v>2023</v>
      </c>
    </row>
    <row r="107" spans="1:17">
      <c r="A107" t="s">
        <v>336</v>
      </c>
      <c r="B107" t="s">
        <v>334</v>
      </c>
      <c r="C107" t="s">
        <v>287</v>
      </c>
      <c r="D107" t="s">
        <v>43</v>
      </c>
      <c r="E107" t="s">
        <v>51</v>
      </c>
      <c r="F107" t="s">
        <v>38</v>
      </c>
      <c r="G107" t="s">
        <v>31</v>
      </c>
      <c r="H107" s="1">
        <v>44739</v>
      </c>
      <c r="I107" s="2">
        <v>44740.2083333333</v>
      </c>
      <c r="J107">
        <v>29</v>
      </c>
      <c r="K107" t="s">
        <v>32</v>
      </c>
      <c r="L107">
        <v>0</v>
      </c>
      <c r="M107">
        <v>4</v>
      </c>
      <c r="N107" t="s">
        <v>337</v>
      </c>
      <c r="O107" s="3" t="str">
        <f>TEXT(Ticket_Table[[#This Row],[raised_date]],"YYYY-MM")</f>
        <v>2022-06</v>
      </c>
      <c r="P107" s="3" t="str">
        <f>IF(Ticket_Table[[#This Row],[resolution_hrs]]&lt;=4,"Fast",IF(Ticket_Table[[#This Row],[resolution_hrs]]&lt;=24,"Normal",IF(Ticket_Table[[#This Row],[resolution_hrs]]&lt;=48,"Slow","Very Slow")))</f>
        <v>Slow</v>
      </c>
      <c r="Q107" s="3">
        <f>YEAR(Ticket_Table[[#This Row],[raised_date]])</f>
        <v>2022</v>
      </c>
    </row>
    <row r="108" spans="1:17">
      <c r="A108" t="s">
        <v>338</v>
      </c>
      <c r="B108" t="s">
        <v>339</v>
      </c>
      <c r="C108" t="s">
        <v>28</v>
      </c>
      <c r="D108" t="s">
        <v>20</v>
      </c>
      <c r="E108" t="s">
        <v>21</v>
      </c>
      <c r="F108" t="s">
        <v>22</v>
      </c>
      <c r="G108" t="s">
        <v>74</v>
      </c>
      <c r="H108" s="1">
        <v>44890</v>
      </c>
      <c r="I108" s="2">
        <v>44891.025</v>
      </c>
      <c r="J108">
        <v>24.6</v>
      </c>
      <c r="K108" t="s">
        <v>24</v>
      </c>
      <c r="L108">
        <v>2</v>
      </c>
      <c r="M108">
        <v>4</v>
      </c>
      <c r="N108" t="s">
        <v>340</v>
      </c>
      <c r="O108" s="3" t="str">
        <f>TEXT(Ticket_Table[[#This Row],[raised_date]],"YYYY-MM")</f>
        <v>2022-11</v>
      </c>
      <c r="P108" s="3" t="str">
        <f>IF(Ticket_Table[[#This Row],[resolution_hrs]]&lt;=4,"Fast",IF(Ticket_Table[[#This Row],[resolution_hrs]]&lt;=24,"Normal",IF(Ticket_Table[[#This Row],[resolution_hrs]]&lt;=48,"Slow","Very Slow")))</f>
        <v>Slow</v>
      </c>
      <c r="Q108" s="3">
        <f>YEAR(Ticket_Table[[#This Row],[raised_date]])</f>
        <v>2022</v>
      </c>
    </row>
    <row r="109" spans="1:17">
      <c r="A109" t="s">
        <v>341</v>
      </c>
      <c r="B109" t="s">
        <v>61</v>
      </c>
      <c r="C109" t="s">
        <v>213</v>
      </c>
      <c r="D109" t="s">
        <v>43</v>
      </c>
      <c r="E109" t="s">
        <v>51</v>
      </c>
      <c r="F109" t="s">
        <v>38</v>
      </c>
      <c r="G109" t="s">
        <v>91</v>
      </c>
      <c r="H109" s="1">
        <v>45011</v>
      </c>
      <c r="I109" s="2">
        <v>45012.2166666667</v>
      </c>
      <c r="J109">
        <v>29.2</v>
      </c>
      <c r="K109" t="s">
        <v>32</v>
      </c>
      <c r="L109">
        <v>3</v>
      </c>
      <c r="M109">
        <v>4</v>
      </c>
      <c r="N109" t="s">
        <v>280</v>
      </c>
      <c r="O109" s="3" t="str">
        <f>TEXT(Ticket_Table[[#This Row],[raised_date]],"YYYY-MM")</f>
        <v>2023-03</v>
      </c>
      <c r="P109" s="3" t="str">
        <f>IF(Ticket_Table[[#This Row],[resolution_hrs]]&lt;=4,"Fast",IF(Ticket_Table[[#This Row],[resolution_hrs]]&lt;=24,"Normal",IF(Ticket_Table[[#This Row],[resolution_hrs]]&lt;=48,"Slow","Very Slow")))</f>
        <v>Slow</v>
      </c>
      <c r="Q109" s="3">
        <f>YEAR(Ticket_Table[[#This Row],[raised_date]])</f>
        <v>2023</v>
      </c>
    </row>
    <row r="110" spans="1:17">
      <c r="A110" t="s">
        <v>342</v>
      </c>
      <c r="B110" t="s">
        <v>343</v>
      </c>
      <c r="C110" t="s">
        <v>50</v>
      </c>
      <c r="D110" t="s">
        <v>43</v>
      </c>
      <c r="E110" t="s">
        <v>44</v>
      </c>
      <c r="F110" t="s">
        <v>22</v>
      </c>
      <c r="G110" t="s">
        <v>23</v>
      </c>
      <c r="H110" s="1">
        <v>44361</v>
      </c>
      <c r="I110" s="2">
        <v>44362.9416666667</v>
      </c>
      <c r="J110">
        <v>46.6</v>
      </c>
      <c r="K110" t="s">
        <v>24</v>
      </c>
      <c r="L110">
        <v>0</v>
      </c>
      <c r="M110">
        <v>3</v>
      </c>
      <c r="N110" t="s">
        <v>344</v>
      </c>
      <c r="O110" s="3" t="str">
        <f>TEXT(Ticket_Table[[#This Row],[raised_date]],"YYYY-MM")</f>
        <v>2021-06</v>
      </c>
      <c r="P110" s="3" t="str">
        <f>IF(Ticket_Table[[#This Row],[resolution_hrs]]&lt;=4,"Fast",IF(Ticket_Table[[#This Row],[resolution_hrs]]&lt;=24,"Normal",IF(Ticket_Table[[#This Row],[resolution_hrs]]&lt;=48,"Slow","Very Slow")))</f>
        <v>Slow</v>
      </c>
      <c r="Q110" s="3">
        <f>YEAR(Ticket_Table[[#This Row],[raised_date]])</f>
        <v>2021</v>
      </c>
    </row>
    <row r="111" spans="1:17">
      <c r="A111" t="s">
        <v>345</v>
      </c>
      <c r="B111" t="s">
        <v>346</v>
      </c>
      <c r="C111" t="s">
        <v>50</v>
      </c>
      <c r="D111" t="s">
        <v>90</v>
      </c>
      <c r="E111" t="s">
        <v>83</v>
      </c>
      <c r="F111" t="s">
        <v>38</v>
      </c>
      <c r="G111" t="s">
        <v>23</v>
      </c>
      <c r="H111" s="1">
        <v>44869</v>
      </c>
      <c r="I111" s="2">
        <v>44870.225</v>
      </c>
      <c r="J111">
        <v>29.4</v>
      </c>
      <c r="K111" t="s">
        <v>32</v>
      </c>
      <c r="L111">
        <v>2</v>
      </c>
      <c r="M111">
        <v>2</v>
      </c>
      <c r="N111" t="s">
        <v>347</v>
      </c>
      <c r="O111" s="3" t="str">
        <f>TEXT(Ticket_Table[[#This Row],[raised_date]],"YYYY-MM")</f>
        <v>2022-11</v>
      </c>
      <c r="P111" s="3" t="str">
        <f>IF(Ticket_Table[[#This Row],[resolution_hrs]]&lt;=4,"Fast",IF(Ticket_Table[[#This Row],[resolution_hrs]]&lt;=24,"Normal",IF(Ticket_Table[[#This Row],[resolution_hrs]]&lt;=48,"Slow","Very Slow")))</f>
        <v>Slow</v>
      </c>
      <c r="Q111" s="3">
        <f>YEAR(Ticket_Table[[#This Row],[raised_date]])</f>
        <v>2022</v>
      </c>
    </row>
    <row r="112" spans="1:17">
      <c r="A112" t="s">
        <v>348</v>
      </c>
      <c r="B112" t="s">
        <v>349</v>
      </c>
      <c r="C112" t="s">
        <v>68</v>
      </c>
      <c r="D112" t="s">
        <v>29</v>
      </c>
      <c r="E112" t="s">
        <v>83</v>
      </c>
      <c r="F112" t="s">
        <v>45</v>
      </c>
      <c r="G112" t="s">
        <v>23</v>
      </c>
      <c r="H112" s="1">
        <v>45289</v>
      </c>
      <c r="I112" s="2">
        <v>45289.2458333333</v>
      </c>
      <c r="J112">
        <v>5.9</v>
      </c>
      <c r="K112" t="s">
        <v>32</v>
      </c>
      <c r="L112">
        <v>0</v>
      </c>
      <c r="M112">
        <v>2</v>
      </c>
      <c r="N112" t="s">
        <v>350</v>
      </c>
      <c r="O112" s="3" t="str">
        <f>TEXT(Ticket_Table[[#This Row],[raised_date]],"YYYY-MM")</f>
        <v>2023-12</v>
      </c>
      <c r="P112" s="3" t="str">
        <f>IF(Ticket_Table[[#This Row],[resolution_hrs]]&lt;=4,"Fast",IF(Ticket_Table[[#This Row],[resolution_hrs]]&lt;=24,"Normal",IF(Ticket_Table[[#This Row],[resolution_hrs]]&lt;=48,"Slow","Very Slow")))</f>
        <v>Normal</v>
      </c>
      <c r="Q112" s="3">
        <f>YEAR(Ticket_Table[[#This Row],[raised_date]])</f>
        <v>2023</v>
      </c>
    </row>
    <row r="113" spans="1:17">
      <c r="A113" t="s">
        <v>351</v>
      </c>
      <c r="B113" t="s">
        <v>352</v>
      </c>
      <c r="C113" t="s">
        <v>102</v>
      </c>
      <c r="D113" t="s">
        <v>36</v>
      </c>
      <c r="E113" t="s">
        <v>166</v>
      </c>
      <c r="F113" t="s">
        <v>22</v>
      </c>
      <c r="G113" t="s">
        <v>31</v>
      </c>
      <c r="H113" s="1">
        <v>44975</v>
      </c>
      <c r="I113" s="2">
        <v>44978.0666666667</v>
      </c>
      <c r="J113">
        <v>73.6</v>
      </c>
      <c r="K113" t="s">
        <v>32</v>
      </c>
      <c r="L113">
        <v>0</v>
      </c>
      <c r="M113">
        <v>5</v>
      </c>
      <c r="N113" t="s">
        <v>353</v>
      </c>
      <c r="O113" s="3" t="str">
        <f>TEXT(Ticket_Table[[#This Row],[raised_date]],"YYYY-MM")</f>
        <v>2023-02</v>
      </c>
      <c r="P113" s="3" t="str">
        <f>IF(Ticket_Table[[#This Row],[resolution_hrs]]&lt;=4,"Fast",IF(Ticket_Table[[#This Row],[resolution_hrs]]&lt;=24,"Normal",IF(Ticket_Table[[#This Row],[resolution_hrs]]&lt;=48,"Slow","Very Slow")))</f>
        <v>Very Slow</v>
      </c>
      <c r="Q113" s="3">
        <f>YEAR(Ticket_Table[[#This Row],[raised_date]])</f>
        <v>2023</v>
      </c>
    </row>
    <row r="114" spans="1:17">
      <c r="A114" t="s">
        <v>354</v>
      </c>
      <c r="B114" t="s">
        <v>163</v>
      </c>
      <c r="C114" t="s">
        <v>175</v>
      </c>
      <c r="D114" t="s">
        <v>20</v>
      </c>
      <c r="E114" t="s">
        <v>37</v>
      </c>
      <c r="F114" t="s">
        <v>22</v>
      </c>
      <c r="G114" t="s">
        <v>23</v>
      </c>
      <c r="H114" s="1">
        <v>44845</v>
      </c>
      <c r="I114" s="2">
        <v>44846.4875</v>
      </c>
      <c r="J114">
        <v>35.7</v>
      </c>
      <c r="K114" t="s">
        <v>24</v>
      </c>
      <c r="L114">
        <v>1</v>
      </c>
      <c r="M114">
        <v>4</v>
      </c>
      <c r="N114" t="s">
        <v>355</v>
      </c>
      <c r="O114" s="3" t="str">
        <f>TEXT(Ticket_Table[[#This Row],[raised_date]],"YYYY-MM")</f>
        <v>2022-10</v>
      </c>
      <c r="P114" s="3" t="str">
        <f>IF(Ticket_Table[[#This Row],[resolution_hrs]]&lt;=4,"Fast",IF(Ticket_Table[[#This Row],[resolution_hrs]]&lt;=24,"Normal",IF(Ticket_Table[[#This Row],[resolution_hrs]]&lt;=48,"Slow","Very Slow")))</f>
        <v>Slow</v>
      </c>
      <c r="Q114" s="3">
        <f>YEAR(Ticket_Table[[#This Row],[raised_date]])</f>
        <v>2022</v>
      </c>
    </row>
    <row r="115" spans="1:17">
      <c r="A115" t="s">
        <v>356</v>
      </c>
      <c r="B115" t="s">
        <v>275</v>
      </c>
      <c r="C115" t="s">
        <v>261</v>
      </c>
      <c r="D115" t="s">
        <v>43</v>
      </c>
      <c r="E115" t="s">
        <v>56</v>
      </c>
      <c r="F115" t="s">
        <v>38</v>
      </c>
      <c r="G115" t="s">
        <v>23</v>
      </c>
      <c r="H115" s="1">
        <v>45196</v>
      </c>
      <c r="I115" s="2">
        <v>45197.4666666667</v>
      </c>
      <c r="J115">
        <v>35.2</v>
      </c>
      <c r="K115" t="s">
        <v>32</v>
      </c>
      <c r="L115">
        <v>1</v>
      </c>
      <c r="M115">
        <v>4</v>
      </c>
      <c r="N115" t="s">
        <v>228</v>
      </c>
      <c r="O115" s="3" t="str">
        <f>TEXT(Ticket_Table[[#This Row],[raised_date]],"YYYY-MM")</f>
        <v>2023-09</v>
      </c>
      <c r="P115" s="3" t="str">
        <f>IF(Ticket_Table[[#This Row],[resolution_hrs]]&lt;=4,"Fast",IF(Ticket_Table[[#This Row],[resolution_hrs]]&lt;=24,"Normal",IF(Ticket_Table[[#This Row],[resolution_hrs]]&lt;=48,"Slow","Very Slow")))</f>
        <v>Slow</v>
      </c>
      <c r="Q115" s="3">
        <f>YEAR(Ticket_Table[[#This Row],[raised_date]])</f>
        <v>2023</v>
      </c>
    </row>
    <row r="116" spans="1:17">
      <c r="A116" t="s">
        <v>357</v>
      </c>
      <c r="B116" t="s">
        <v>358</v>
      </c>
      <c r="C116" t="s">
        <v>64</v>
      </c>
      <c r="D116" t="s">
        <v>36</v>
      </c>
      <c r="E116" t="s">
        <v>51</v>
      </c>
      <c r="F116" t="s">
        <v>22</v>
      </c>
      <c r="G116" t="s">
        <v>23</v>
      </c>
      <c r="H116" s="1">
        <v>44270</v>
      </c>
      <c r="I116" s="2">
        <v>44272.6083333333</v>
      </c>
      <c r="J116">
        <v>62.6</v>
      </c>
      <c r="K116" t="s">
        <v>24</v>
      </c>
      <c r="L116">
        <v>1</v>
      </c>
      <c r="M116">
        <v>5</v>
      </c>
      <c r="N116" t="s">
        <v>359</v>
      </c>
      <c r="O116" s="3" t="str">
        <f>TEXT(Ticket_Table[[#This Row],[raised_date]],"YYYY-MM")</f>
        <v>2021-03</v>
      </c>
      <c r="P11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6" s="3">
        <f>YEAR(Ticket_Table[[#This Row],[raised_date]])</f>
        <v>2021</v>
      </c>
    </row>
    <row r="117" spans="1:17">
      <c r="A117" t="s">
        <v>360</v>
      </c>
      <c r="B117" t="s">
        <v>332</v>
      </c>
      <c r="C117" t="s">
        <v>261</v>
      </c>
      <c r="D117" t="s">
        <v>43</v>
      </c>
      <c r="E117" t="s">
        <v>69</v>
      </c>
      <c r="F117" t="s">
        <v>38</v>
      </c>
      <c r="G117" t="s">
        <v>23</v>
      </c>
      <c r="H117" s="1">
        <v>44337</v>
      </c>
      <c r="I117" s="2">
        <v>44337.2416666667</v>
      </c>
      <c r="J117">
        <v>5.8</v>
      </c>
      <c r="K117" t="s">
        <v>24</v>
      </c>
      <c r="L117">
        <v>1</v>
      </c>
      <c r="M117">
        <v>5</v>
      </c>
      <c r="N117" t="s">
        <v>361</v>
      </c>
      <c r="O117" s="3" t="str">
        <f>TEXT(Ticket_Table[[#This Row],[raised_date]],"YYYY-MM")</f>
        <v>2021-05</v>
      </c>
      <c r="P117" s="3" t="str">
        <f>IF(Ticket_Table[[#This Row],[resolution_hrs]]&lt;=4,"Fast",IF(Ticket_Table[[#This Row],[resolution_hrs]]&lt;=24,"Normal",IF(Ticket_Table[[#This Row],[resolution_hrs]]&lt;=48,"Slow","Very Slow")))</f>
        <v>Normal</v>
      </c>
      <c r="Q117" s="3">
        <f>YEAR(Ticket_Table[[#This Row],[raised_date]])</f>
        <v>2021</v>
      </c>
    </row>
    <row r="118" spans="1:17">
      <c r="A118" t="s">
        <v>362</v>
      </c>
      <c r="B118" t="s">
        <v>363</v>
      </c>
      <c r="C118" t="s">
        <v>95</v>
      </c>
      <c r="D118" t="s">
        <v>29</v>
      </c>
      <c r="E118" t="s">
        <v>44</v>
      </c>
      <c r="F118" t="s">
        <v>22</v>
      </c>
      <c r="G118" t="s">
        <v>46</v>
      </c>
      <c r="H118" s="1">
        <v>44677</v>
      </c>
      <c r="I118" s="2">
        <v>44680.7708333333</v>
      </c>
      <c r="J118">
        <v>90.5</v>
      </c>
      <c r="K118" t="s">
        <v>32</v>
      </c>
      <c r="L118">
        <v>0</v>
      </c>
      <c r="M118">
        <v>3</v>
      </c>
      <c r="N118" t="s">
        <v>317</v>
      </c>
      <c r="O118" s="3" t="str">
        <f>TEXT(Ticket_Table[[#This Row],[raised_date]],"YYYY-MM")</f>
        <v>2022-04</v>
      </c>
      <c r="P118" s="3" t="str">
        <f>IF(Ticket_Table[[#This Row],[resolution_hrs]]&lt;=4,"Fast",IF(Ticket_Table[[#This Row],[resolution_hrs]]&lt;=24,"Normal",IF(Ticket_Table[[#This Row],[resolution_hrs]]&lt;=48,"Slow","Very Slow")))</f>
        <v>Very Slow</v>
      </c>
      <c r="Q118" s="3">
        <f>YEAR(Ticket_Table[[#This Row],[raised_date]])</f>
        <v>2022</v>
      </c>
    </row>
    <row r="119" spans="1:17">
      <c r="A119" t="s">
        <v>364</v>
      </c>
      <c r="B119" t="s">
        <v>275</v>
      </c>
      <c r="C119" t="s">
        <v>68</v>
      </c>
      <c r="D119" t="s">
        <v>36</v>
      </c>
      <c r="E119" t="s">
        <v>30</v>
      </c>
      <c r="F119" t="s">
        <v>22</v>
      </c>
      <c r="G119" t="s">
        <v>74</v>
      </c>
      <c r="H119" s="1">
        <v>44785</v>
      </c>
      <c r="I119" s="2">
        <v>44788.5791666667</v>
      </c>
      <c r="J119">
        <v>85.9</v>
      </c>
      <c r="K119" t="s">
        <v>32</v>
      </c>
      <c r="L119">
        <v>0</v>
      </c>
      <c r="M119">
        <v>2</v>
      </c>
      <c r="N119" t="s">
        <v>365</v>
      </c>
      <c r="O119" s="3" t="str">
        <f>TEXT(Ticket_Table[[#This Row],[raised_date]],"YYYY-MM")</f>
        <v>2022-08</v>
      </c>
      <c r="P119" s="3" t="str">
        <f>IF(Ticket_Table[[#This Row],[resolution_hrs]]&lt;=4,"Fast",IF(Ticket_Table[[#This Row],[resolution_hrs]]&lt;=24,"Normal",IF(Ticket_Table[[#This Row],[resolution_hrs]]&lt;=48,"Slow","Very Slow")))</f>
        <v>Very Slow</v>
      </c>
      <c r="Q119" s="3">
        <f>YEAR(Ticket_Table[[#This Row],[raised_date]])</f>
        <v>2022</v>
      </c>
    </row>
    <row r="120" spans="1:17">
      <c r="A120" t="s">
        <v>366</v>
      </c>
      <c r="B120" t="s">
        <v>367</v>
      </c>
      <c r="C120" t="s">
        <v>117</v>
      </c>
      <c r="D120" t="s">
        <v>20</v>
      </c>
      <c r="E120" t="s">
        <v>69</v>
      </c>
      <c r="F120" t="s">
        <v>45</v>
      </c>
      <c r="G120" t="s">
        <v>46</v>
      </c>
      <c r="H120" s="1">
        <v>44662</v>
      </c>
      <c r="I120" s="2">
        <v>44662.2</v>
      </c>
      <c r="J120">
        <v>4.8</v>
      </c>
      <c r="K120" t="s">
        <v>32</v>
      </c>
      <c r="L120">
        <v>0</v>
      </c>
      <c r="M120">
        <v>5</v>
      </c>
      <c r="N120" t="s">
        <v>368</v>
      </c>
      <c r="O120" s="3" t="str">
        <f>TEXT(Ticket_Table[[#This Row],[raised_date]],"YYYY-MM")</f>
        <v>2022-04</v>
      </c>
      <c r="P120" s="3" t="str">
        <f>IF(Ticket_Table[[#This Row],[resolution_hrs]]&lt;=4,"Fast",IF(Ticket_Table[[#This Row],[resolution_hrs]]&lt;=24,"Normal",IF(Ticket_Table[[#This Row],[resolution_hrs]]&lt;=48,"Slow","Very Slow")))</f>
        <v>Normal</v>
      </c>
      <c r="Q120" s="3">
        <f>YEAR(Ticket_Table[[#This Row],[raised_date]])</f>
        <v>2022</v>
      </c>
    </row>
    <row r="121" spans="1:17">
      <c r="A121" t="s">
        <v>369</v>
      </c>
      <c r="B121" t="s">
        <v>370</v>
      </c>
      <c r="C121" t="s">
        <v>102</v>
      </c>
      <c r="D121" t="s">
        <v>43</v>
      </c>
      <c r="E121" t="s">
        <v>69</v>
      </c>
      <c r="F121" t="s">
        <v>38</v>
      </c>
      <c r="G121" t="s">
        <v>23</v>
      </c>
      <c r="H121" s="1">
        <v>44382</v>
      </c>
      <c r="I121" s="2">
        <v>44382.9083333333</v>
      </c>
      <c r="J121">
        <v>21.8</v>
      </c>
      <c r="K121" t="s">
        <v>24</v>
      </c>
      <c r="L121">
        <v>0</v>
      </c>
      <c r="M121">
        <v>5</v>
      </c>
      <c r="N121" t="s">
        <v>298</v>
      </c>
      <c r="O121" s="3" t="str">
        <f>TEXT(Ticket_Table[[#This Row],[raised_date]],"YYYY-MM")</f>
        <v>2021-07</v>
      </c>
      <c r="P121" s="3" t="str">
        <f>IF(Ticket_Table[[#This Row],[resolution_hrs]]&lt;=4,"Fast",IF(Ticket_Table[[#This Row],[resolution_hrs]]&lt;=24,"Normal",IF(Ticket_Table[[#This Row],[resolution_hrs]]&lt;=48,"Slow","Very Slow")))</f>
        <v>Normal</v>
      </c>
      <c r="Q121" s="3">
        <f>YEAR(Ticket_Table[[#This Row],[raised_date]])</f>
        <v>2021</v>
      </c>
    </row>
    <row r="122" spans="1:17">
      <c r="A122" t="s">
        <v>371</v>
      </c>
      <c r="B122" t="s">
        <v>233</v>
      </c>
      <c r="C122" t="s">
        <v>213</v>
      </c>
      <c r="D122" t="s">
        <v>29</v>
      </c>
      <c r="E122" t="s">
        <v>51</v>
      </c>
      <c r="F122" t="s">
        <v>38</v>
      </c>
      <c r="G122" t="s">
        <v>23</v>
      </c>
      <c r="H122" s="1">
        <v>45085</v>
      </c>
      <c r="I122" s="2">
        <v>45085.5291666667</v>
      </c>
      <c r="J122">
        <v>12.7</v>
      </c>
      <c r="K122" t="s">
        <v>24</v>
      </c>
      <c r="L122">
        <v>0</v>
      </c>
      <c r="M122">
        <v>4</v>
      </c>
      <c r="N122" t="s">
        <v>372</v>
      </c>
      <c r="O122" s="3" t="str">
        <f>TEXT(Ticket_Table[[#This Row],[raised_date]],"YYYY-MM")</f>
        <v>2023-06</v>
      </c>
      <c r="P122" s="3" t="str">
        <f>IF(Ticket_Table[[#This Row],[resolution_hrs]]&lt;=4,"Fast",IF(Ticket_Table[[#This Row],[resolution_hrs]]&lt;=24,"Normal",IF(Ticket_Table[[#This Row],[resolution_hrs]]&lt;=48,"Slow","Very Slow")))</f>
        <v>Normal</v>
      </c>
      <c r="Q122" s="3">
        <f>YEAR(Ticket_Table[[#This Row],[raised_date]])</f>
        <v>2023</v>
      </c>
    </row>
    <row r="123" spans="1:17">
      <c r="A123" t="s">
        <v>373</v>
      </c>
      <c r="B123" t="s">
        <v>374</v>
      </c>
      <c r="C123" t="s">
        <v>42</v>
      </c>
      <c r="D123" t="s">
        <v>36</v>
      </c>
      <c r="E123" t="s">
        <v>56</v>
      </c>
      <c r="F123" t="s">
        <v>70</v>
      </c>
      <c r="G123" t="s">
        <v>23</v>
      </c>
      <c r="H123" s="1">
        <v>44398</v>
      </c>
      <c r="I123" s="2">
        <v>44398.4</v>
      </c>
      <c r="J123">
        <v>9.6</v>
      </c>
      <c r="K123" t="s">
        <v>24</v>
      </c>
      <c r="L123">
        <v>0</v>
      </c>
      <c r="M123">
        <v>5</v>
      </c>
      <c r="N123" t="s">
        <v>218</v>
      </c>
      <c r="O123" s="3" t="str">
        <f>TEXT(Ticket_Table[[#This Row],[raised_date]],"YYYY-MM")</f>
        <v>2021-07</v>
      </c>
      <c r="P123" s="3" t="str">
        <f>IF(Ticket_Table[[#This Row],[resolution_hrs]]&lt;=4,"Fast",IF(Ticket_Table[[#This Row],[resolution_hrs]]&lt;=24,"Normal",IF(Ticket_Table[[#This Row],[resolution_hrs]]&lt;=48,"Slow","Very Slow")))</f>
        <v>Normal</v>
      </c>
      <c r="Q123" s="3">
        <f>YEAR(Ticket_Table[[#This Row],[raised_date]])</f>
        <v>2021</v>
      </c>
    </row>
    <row r="124" spans="1:17">
      <c r="A124" t="s">
        <v>375</v>
      </c>
      <c r="B124" t="s">
        <v>171</v>
      </c>
      <c r="C124" t="s">
        <v>60</v>
      </c>
      <c r="D124" t="s">
        <v>43</v>
      </c>
      <c r="E124" t="s">
        <v>44</v>
      </c>
      <c r="F124" t="s">
        <v>38</v>
      </c>
      <c r="G124" t="s">
        <v>23</v>
      </c>
      <c r="H124" s="1">
        <v>44402</v>
      </c>
      <c r="I124" s="2">
        <v>44402.2458333333</v>
      </c>
      <c r="J124">
        <v>5.9</v>
      </c>
      <c r="K124" t="s">
        <v>24</v>
      </c>
      <c r="L124">
        <v>1</v>
      </c>
      <c r="M124">
        <v>3</v>
      </c>
      <c r="N124" t="s">
        <v>376</v>
      </c>
      <c r="O124" s="3" t="str">
        <f>TEXT(Ticket_Table[[#This Row],[raised_date]],"YYYY-MM")</f>
        <v>2021-07</v>
      </c>
      <c r="P124" s="3" t="str">
        <f>IF(Ticket_Table[[#This Row],[resolution_hrs]]&lt;=4,"Fast",IF(Ticket_Table[[#This Row],[resolution_hrs]]&lt;=24,"Normal",IF(Ticket_Table[[#This Row],[resolution_hrs]]&lt;=48,"Slow","Very Slow")))</f>
        <v>Normal</v>
      </c>
      <c r="Q124" s="3">
        <f>YEAR(Ticket_Table[[#This Row],[raised_date]])</f>
        <v>2021</v>
      </c>
    </row>
    <row r="125" spans="1:17">
      <c r="A125" t="s">
        <v>377</v>
      </c>
      <c r="B125" t="s">
        <v>314</v>
      </c>
      <c r="C125" t="s">
        <v>175</v>
      </c>
      <c r="D125" t="s">
        <v>43</v>
      </c>
      <c r="E125" t="s">
        <v>44</v>
      </c>
      <c r="F125" t="s">
        <v>70</v>
      </c>
      <c r="G125" t="s">
        <v>74</v>
      </c>
      <c r="H125" s="1">
        <v>45105</v>
      </c>
      <c r="I125" s="2">
        <v>45106.2708333333</v>
      </c>
      <c r="J125">
        <v>30.5</v>
      </c>
      <c r="K125" t="s">
        <v>24</v>
      </c>
      <c r="L125">
        <v>1</v>
      </c>
      <c r="M125">
        <v>2</v>
      </c>
      <c r="N125" t="s">
        <v>378</v>
      </c>
      <c r="O125" s="3" t="str">
        <f>TEXT(Ticket_Table[[#This Row],[raised_date]],"YYYY-MM")</f>
        <v>2023-06</v>
      </c>
      <c r="P125" s="3" t="str">
        <f>IF(Ticket_Table[[#This Row],[resolution_hrs]]&lt;=4,"Fast",IF(Ticket_Table[[#This Row],[resolution_hrs]]&lt;=24,"Normal",IF(Ticket_Table[[#This Row],[resolution_hrs]]&lt;=48,"Slow","Very Slow")))</f>
        <v>Slow</v>
      </c>
      <c r="Q125" s="3">
        <f>YEAR(Ticket_Table[[#This Row],[raised_date]])</f>
        <v>2023</v>
      </c>
    </row>
    <row r="126" spans="1:17">
      <c r="A126" t="s">
        <v>379</v>
      </c>
      <c r="B126" t="s">
        <v>344</v>
      </c>
      <c r="C126" t="s">
        <v>28</v>
      </c>
      <c r="D126" t="s">
        <v>20</v>
      </c>
      <c r="E126" t="s">
        <v>56</v>
      </c>
      <c r="F126" t="s">
        <v>70</v>
      </c>
      <c r="G126" t="s">
        <v>74</v>
      </c>
      <c r="H126" s="1">
        <v>44537</v>
      </c>
      <c r="I126" s="2">
        <v>44539.1</v>
      </c>
      <c r="J126">
        <v>50.4</v>
      </c>
      <c r="K126" t="s">
        <v>32</v>
      </c>
      <c r="L126">
        <v>0</v>
      </c>
      <c r="M126">
        <v>4</v>
      </c>
      <c r="N126" t="s">
        <v>380</v>
      </c>
      <c r="O126" s="3" t="str">
        <f>TEXT(Ticket_Table[[#This Row],[raised_date]],"YYYY-MM")</f>
        <v>2021-12</v>
      </c>
      <c r="P126" s="3" t="str">
        <f>IF(Ticket_Table[[#This Row],[resolution_hrs]]&lt;=4,"Fast",IF(Ticket_Table[[#This Row],[resolution_hrs]]&lt;=24,"Normal",IF(Ticket_Table[[#This Row],[resolution_hrs]]&lt;=48,"Slow","Very Slow")))</f>
        <v>Very Slow</v>
      </c>
      <c r="Q126" s="3">
        <f>YEAR(Ticket_Table[[#This Row],[raised_date]])</f>
        <v>2021</v>
      </c>
    </row>
    <row r="127" spans="1:17">
      <c r="A127" t="s">
        <v>381</v>
      </c>
      <c r="B127" t="s">
        <v>382</v>
      </c>
      <c r="C127" t="s">
        <v>42</v>
      </c>
      <c r="D127" t="s">
        <v>29</v>
      </c>
      <c r="E127" t="s">
        <v>83</v>
      </c>
      <c r="F127" t="s">
        <v>38</v>
      </c>
      <c r="G127" t="s">
        <v>74</v>
      </c>
      <c r="H127" s="1">
        <v>44810</v>
      </c>
      <c r="I127" s="2">
        <v>44810.85</v>
      </c>
      <c r="J127">
        <v>20.4</v>
      </c>
      <c r="K127" t="s">
        <v>24</v>
      </c>
      <c r="L127">
        <v>0</v>
      </c>
      <c r="M127">
        <v>5</v>
      </c>
      <c r="N127" t="s">
        <v>383</v>
      </c>
      <c r="O127" s="3" t="str">
        <f>TEXT(Ticket_Table[[#This Row],[raised_date]],"YYYY-MM")</f>
        <v>2022-09</v>
      </c>
      <c r="P127" s="3" t="str">
        <f>IF(Ticket_Table[[#This Row],[resolution_hrs]]&lt;=4,"Fast",IF(Ticket_Table[[#This Row],[resolution_hrs]]&lt;=24,"Normal",IF(Ticket_Table[[#This Row],[resolution_hrs]]&lt;=48,"Slow","Very Slow")))</f>
        <v>Normal</v>
      </c>
      <c r="Q127" s="3">
        <f>YEAR(Ticket_Table[[#This Row],[raised_date]])</f>
        <v>2022</v>
      </c>
    </row>
    <row r="128" spans="1:17">
      <c r="A128" t="s">
        <v>384</v>
      </c>
      <c r="B128" t="s">
        <v>146</v>
      </c>
      <c r="C128" t="s">
        <v>68</v>
      </c>
      <c r="D128" t="s">
        <v>90</v>
      </c>
      <c r="E128" t="s">
        <v>106</v>
      </c>
      <c r="F128" t="s">
        <v>70</v>
      </c>
      <c r="G128" t="s">
        <v>23</v>
      </c>
      <c r="H128" s="1">
        <v>44256</v>
      </c>
      <c r="I128" s="2">
        <v>44257.3375</v>
      </c>
      <c r="J128">
        <v>32.1</v>
      </c>
      <c r="K128" t="s">
        <v>24</v>
      </c>
      <c r="L128">
        <v>1</v>
      </c>
      <c r="M128">
        <v>4</v>
      </c>
      <c r="N128" t="s">
        <v>385</v>
      </c>
      <c r="O128" s="3" t="str">
        <f>TEXT(Ticket_Table[[#This Row],[raised_date]],"YYYY-MM")</f>
        <v>2021-03</v>
      </c>
      <c r="P128" s="3" t="str">
        <f>IF(Ticket_Table[[#This Row],[resolution_hrs]]&lt;=4,"Fast",IF(Ticket_Table[[#This Row],[resolution_hrs]]&lt;=24,"Normal",IF(Ticket_Table[[#This Row],[resolution_hrs]]&lt;=48,"Slow","Very Slow")))</f>
        <v>Slow</v>
      </c>
      <c r="Q128" s="3">
        <f>YEAR(Ticket_Table[[#This Row],[raised_date]])</f>
        <v>2021</v>
      </c>
    </row>
    <row r="129" spans="1:17">
      <c r="A129" t="s">
        <v>386</v>
      </c>
      <c r="B129" t="s">
        <v>387</v>
      </c>
      <c r="C129" t="s">
        <v>42</v>
      </c>
      <c r="D129" t="s">
        <v>43</v>
      </c>
      <c r="E129" t="s">
        <v>166</v>
      </c>
      <c r="F129" t="s">
        <v>70</v>
      </c>
      <c r="G129" t="s">
        <v>74</v>
      </c>
      <c r="H129" s="1">
        <v>44291</v>
      </c>
      <c r="I129" s="2">
        <v>44293.7791666667</v>
      </c>
      <c r="J129">
        <v>66.7</v>
      </c>
      <c r="K129" t="s">
        <v>32</v>
      </c>
      <c r="L129">
        <v>0</v>
      </c>
      <c r="M129">
        <v>4</v>
      </c>
      <c r="N129" t="s">
        <v>368</v>
      </c>
      <c r="O129" s="3" t="str">
        <f>TEXT(Ticket_Table[[#This Row],[raised_date]],"YYYY-MM")</f>
        <v>2021-04</v>
      </c>
      <c r="P129" s="3" t="str">
        <f>IF(Ticket_Table[[#This Row],[resolution_hrs]]&lt;=4,"Fast",IF(Ticket_Table[[#This Row],[resolution_hrs]]&lt;=24,"Normal",IF(Ticket_Table[[#This Row],[resolution_hrs]]&lt;=48,"Slow","Very Slow")))</f>
        <v>Very Slow</v>
      </c>
      <c r="Q129" s="3">
        <f>YEAR(Ticket_Table[[#This Row],[raised_date]])</f>
        <v>2021</v>
      </c>
    </row>
    <row r="130" spans="1:17">
      <c r="A130" t="s">
        <v>388</v>
      </c>
      <c r="B130" t="s">
        <v>389</v>
      </c>
      <c r="C130" t="s">
        <v>28</v>
      </c>
      <c r="D130" t="s">
        <v>36</v>
      </c>
      <c r="E130" t="s">
        <v>21</v>
      </c>
      <c r="F130" t="s">
        <v>22</v>
      </c>
      <c r="G130" t="s">
        <v>23</v>
      </c>
      <c r="H130" s="1">
        <v>44861</v>
      </c>
      <c r="I130" s="2">
        <v>44861.225</v>
      </c>
      <c r="J130">
        <v>5.4</v>
      </c>
      <c r="K130" t="s">
        <v>24</v>
      </c>
      <c r="L130">
        <v>3</v>
      </c>
      <c r="M130">
        <v>1</v>
      </c>
      <c r="N130" t="s">
        <v>376</v>
      </c>
      <c r="O130" s="3" t="str">
        <f>TEXT(Ticket_Table[[#This Row],[raised_date]],"YYYY-MM")</f>
        <v>2022-10</v>
      </c>
      <c r="P130" s="3" t="str">
        <f>IF(Ticket_Table[[#This Row],[resolution_hrs]]&lt;=4,"Fast",IF(Ticket_Table[[#This Row],[resolution_hrs]]&lt;=24,"Normal",IF(Ticket_Table[[#This Row],[resolution_hrs]]&lt;=48,"Slow","Very Slow")))</f>
        <v>Normal</v>
      </c>
      <c r="Q130" s="3">
        <f>YEAR(Ticket_Table[[#This Row],[raised_date]])</f>
        <v>2022</v>
      </c>
    </row>
    <row r="131" spans="1:17">
      <c r="A131" t="s">
        <v>390</v>
      </c>
      <c r="B131" t="s">
        <v>180</v>
      </c>
      <c r="C131" t="s">
        <v>140</v>
      </c>
      <c r="D131" t="s">
        <v>20</v>
      </c>
      <c r="E131" t="s">
        <v>166</v>
      </c>
      <c r="F131" t="s">
        <v>38</v>
      </c>
      <c r="G131" t="s">
        <v>23</v>
      </c>
      <c r="H131" s="1">
        <v>44311</v>
      </c>
      <c r="I131" s="2">
        <v>44311.1875</v>
      </c>
      <c r="J131">
        <v>4.5</v>
      </c>
      <c r="K131" t="s">
        <v>24</v>
      </c>
      <c r="L131">
        <v>0</v>
      </c>
      <c r="M131">
        <v>3</v>
      </c>
      <c r="N131" t="s">
        <v>391</v>
      </c>
      <c r="O131" s="3" t="str">
        <f>TEXT(Ticket_Table[[#This Row],[raised_date]],"YYYY-MM")</f>
        <v>2021-04</v>
      </c>
      <c r="P131" s="3" t="str">
        <f>IF(Ticket_Table[[#This Row],[resolution_hrs]]&lt;=4,"Fast",IF(Ticket_Table[[#This Row],[resolution_hrs]]&lt;=24,"Normal",IF(Ticket_Table[[#This Row],[resolution_hrs]]&lt;=48,"Slow","Very Slow")))</f>
        <v>Normal</v>
      </c>
      <c r="Q131" s="3">
        <f>YEAR(Ticket_Table[[#This Row],[raised_date]])</f>
        <v>2021</v>
      </c>
    </row>
    <row r="132" spans="1:17">
      <c r="A132" t="s">
        <v>392</v>
      </c>
      <c r="B132" t="s">
        <v>339</v>
      </c>
      <c r="C132" t="s">
        <v>64</v>
      </c>
      <c r="D132" t="s">
        <v>20</v>
      </c>
      <c r="E132" t="s">
        <v>83</v>
      </c>
      <c r="F132" t="s">
        <v>22</v>
      </c>
      <c r="G132" t="s">
        <v>23</v>
      </c>
      <c r="H132" s="1">
        <v>44797</v>
      </c>
      <c r="I132" s="2">
        <v>44800.8208333333</v>
      </c>
      <c r="J132">
        <v>91.7</v>
      </c>
      <c r="K132" t="s">
        <v>32</v>
      </c>
      <c r="L132">
        <v>0</v>
      </c>
      <c r="M132">
        <v>5</v>
      </c>
      <c r="N132" t="s">
        <v>194</v>
      </c>
      <c r="O132" s="3" t="str">
        <f>TEXT(Ticket_Table[[#This Row],[raised_date]],"YYYY-MM")</f>
        <v>2022-08</v>
      </c>
      <c r="P132" s="3" t="str">
        <f>IF(Ticket_Table[[#This Row],[resolution_hrs]]&lt;=4,"Fast",IF(Ticket_Table[[#This Row],[resolution_hrs]]&lt;=24,"Normal",IF(Ticket_Table[[#This Row],[resolution_hrs]]&lt;=48,"Slow","Very Slow")))</f>
        <v>Very Slow</v>
      </c>
      <c r="Q132" s="3">
        <f>YEAR(Ticket_Table[[#This Row],[raised_date]])</f>
        <v>2022</v>
      </c>
    </row>
    <row r="133" spans="1:17">
      <c r="A133" t="s">
        <v>393</v>
      </c>
      <c r="B133" t="s">
        <v>394</v>
      </c>
      <c r="C133" t="s">
        <v>68</v>
      </c>
      <c r="D133" t="s">
        <v>43</v>
      </c>
      <c r="E133" t="s">
        <v>51</v>
      </c>
      <c r="F133" t="s">
        <v>38</v>
      </c>
      <c r="G133" t="s">
        <v>31</v>
      </c>
      <c r="H133" s="1">
        <v>44931</v>
      </c>
      <c r="I133" s="2">
        <v>44931.9333333333</v>
      </c>
      <c r="J133">
        <v>22.4</v>
      </c>
      <c r="K133" t="s">
        <v>24</v>
      </c>
      <c r="L133">
        <v>2</v>
      </c>
      <c r="M133">
        <v>2</v>
      </c>
      <c r="N133" t="s">
        <v>395</v>
      </c>
      <c r="O133" s="3" t="str">
        <f>TEXT(Ticket_Table[[#This Row],[raised_date]],"YYYY-MM")</f>
        <v>2023-01</v>
      </c>
      <c r="P133" s="3" t="str">
        <f>IF(Ticket_Table[[#This Row],[resolution_hrs]]&lt;=4,"Fast",IF(Ticket_Table[[#This Row],[resolution_hrs]]&lt;=24,"Normal",IF(Ticket_Table[[#This Row],[resolution_hrs]]&lt;=48,"Slow","Very Slow")))</f>
        <v>Normal</v>
      </c>
      <c r="Q133" s="3">
        <f>YEAR(Ticket_Table[[#This Row],[raised_date]])</f>
        <v>2023</v>
      </c>
    </row>
    <row r="134" spans="1:17">
      <c r="A134" t="s">
        <v>396</v>
      </c>
      <c r="B134" t="s">
        <v>397</v>
      </c>
      <c r="C134" t="s">
        <v>102</v>
      </c>
      <c r="D134" t="s">
        <v>43</v>
      </c>
      <c r="E134" t="s">
        <v>51</v>
      </c>
      <c r="F134" t="s">
        <v>22</v>
      </c>
      <c r="G134" t="s">
        <v>23</v>
      </c>
      <c r="H134" s="1">
        <v>44964</v>
      </c>
      <c r="I134" s="2">
        <v>44967.5083333333</v>
      </c>
      <c r="J134">
        <v>84.2</v>
      </c>
      <c r="K134" t="s">
        <v>32</v>
      </c>
      <c r="L134">
        <v>2</v>
      </c>
      <c r="M134">
        <v>4</v>
      </c>
      <c r="N134" t="s">
        <v>398</v>
      </c>
      <c r="O134" s="3" t="str">
        <f>TEXT(Ticket_Table[[#This Row],[raised_date]],"YYYY-MM")</f>
        <v>2023-02</v>
      </c>
      <c r="P134" s="3" t="str">
        <f>IF(Ticket_Table[[#This Row],[resolution_hrs]]&lt;=4,"Fast",IF(Ticket_Table[[#This Row],[resolution_hrs]]&lt;=24,"Normal",IF(Ticket_Table[[#This Row],[resolution_hrs]]&lt;=48,"Slow","Very Slow")))</f>
        <v>Very Slow</v>
      </c>
      <c r="Q134" s="3">
        <f>YEAR(Ticket_Table[[#This Row],[raised_date]])</f>
        <v>2023</v>
      </c>
    </row>
    <row r="135" spans="1:17">
      <c r="A135" t="s">
        <v>399</v>
      </c>
      <c r="B135" t="s">
        <v>189</v>
      </c>
      <c r="C135" t="s">
        <v>117</v>
      </c>
      <c r="D135" t="s">
        <v>43</v>
      </c>
      <c r="E135" t="s">
        <v>37</v>
      </c>
      <c r="F135" t="s">
        <v>70</v>
      </c>
      <c r="G135" t="s">
        <v>46</v>
      </c>
      <c r="H135" s="1">
        <v>45079</v>
      </c>
      <c r="I135" s="2">
        <v>45079.0875</v>
      </c>
      <c r="J135">
        <v>2.1</v>
      </c>
      <c r="K135" t="s">
        <v>24</v>
      </c>
      <c r="L135">
        <v>0</v>
      </c>
      <c r="M135">
        <v>4</v>
      </c>
      <c r="N135" t="s">
        <v>116</v>
      </c>
      <c r="O135" s="3" t="str">
        <f>TEXT(Ticket_Table[[#This Row],[raised_date]],"YYYY-MM")</f>
        <v>2023-06</v>
      </c>
      <c r="P135" s="3" t="str">
        <f>IF(Ticket_Table[[#This Row],[resolution_hrs]]&lt;=4,"Fast",IF(Ticket_Table[[#This Row],[resolution_hrs]]&lt;=24,"Normal",IF(Ticket_Table[[#This Row],[resolution_hrs]]&lt;=48,"Slow","Very Slow")))</f>
        <v>Fast</v>
      </c>
      <c r="Q135" s="3">
        <f>YEAR(Ticket_Table[[#This Row],[raised_date]])</f>
        <v>2023</v>
      </c>
    </row>
    <row r="136" spans="1:17">
      <c r="A136" t="s">
        <v>400</v>
      </c>
      <c r="B136" t="s">
        <v>195</v>
      </c>
      <c r="C136" t="s">
        <v>261</v>
      </c>
      <c r="D136" t="s">
        <v>90</v>
      </c>
      <c r="E136" t="s">
        <v>166</v>
      </c>
      <c r="F136" t="s">
        <v>38</v>
      </c>
      <c r="G136" t="s">
        <v>23</v>
      </c>
      <c r="H136" s="1">
        <v>44495</v>
      </c>
      <c r="I136" s="2">
        <v>44495.75</v>
      </c>
      <c r="J136">
        <v>18</v>
      </c>
      <c r="K136" t="s">
        <v>24</v>
      </c>
      <c r="L136">
        <v>0</v>
      </c>
      <c r="M136">
        <v>4</v>
      </c>
      <c r="N136" t="s">
        <v>401</v>
      </c>
      <c r="O136" s="3" t="str">
        <f>TEXT(Ticket_Table[[#This Row],[raised_date]],"YYYY-MM")</f>
        <v>2021-10</v>
      </c>
      <c r="P136" s="3" t="str">
        <f>IF(Ticket_Table[[#This Row],[resolution_hrs]]&lt;=4,"Fast",IF(Ticket_Table[[#This Row],[resolution_hrs]]&lt;=24,"Normal",IF(Ticket_Table[[#This Row],[resolution_hrs]]&lt;=48,"Slow","Very Slow")))</f>
        <v>Normal</v>
      </c>
      <c r="Q136" s="3">
        <f>YEAR(Ticket_Table[[#This Row],[raised_date]])</f>
        <v>2021</v>
      </c>
    </row>
    <row r="137" spans="1:17">
      <c r="A137" t="s">
        <v>402</v>
      </c>
      <c r="B137" t="s">
        <v>403</v>
      </c>
      <c r="C137" t="s">
        <v>201</v>
      </c>
      <c r="D137" t="s">
        <v>43</v>
      </c>
      <c r="E137" t="s">
        <v>166</v>
      </c>
      <c r="F137" t="s">
        <v>22</v>
      </c>
      <c r="G137" t="s">
        <v>74</v>
      </c>
      <c r="H137" s="1">
        <v>44697</v>
      </c>
      <c r="I137" s="2">
        <v>44697.0708333333</v>
      </c>
      <c r="J137">
        <v>1.7</v>
      </c>
      <c r="K137" t="s">
        <v>24</v>
      </c>
      <c r="L137">
        <v>1</v>
      </c>
      <c r="M137">
        <v>5</v>
      </c>
      <c r="N137" t="s">
        <v>266</v>
      </c>
      <c r="O137" s="3" t="str">
        <f>TEXT(Ticket_Table[[#This Row],[raised_date]],"YYYY-MM")</f>
        <v>2022-05</v>
      </c>
      <c r="P137" s="3" t="str">
        <f>IF(Ticket_Table[[#This Row],[resolution_hrs]]&lt;=4,"Fast",IF(Ticket_Table[[#This Row],[resolution_hrs]]&lt;=24,"Normal",IF(Ticket_Table[[#This Row],[resolution_hrs]]&lt;=48,"Slow","Very Slow")))</f>
        <v>Fast</v>
      </c>
      <c r="Q137" s="3">
        <f>YEAR(Ticket_Table[[#This Row],[raised_date]])</f>
        <v>2022</v>
      </c>
    </row>
    <row r="138" spans="1:17">
      <c r="A138" t="s">
        <v>404</v>
      </c>
      <c r="B138" t="s">
        <v>405</v>
      </c>
      <c r="C138" t="s">
        <v>175</v>
      </c>
      <c r="D138" t="s">
        <v>29</v>
      </c>
      <c r="E138" t="s">
        <v>21</v>
      </c>
      <c r="F138" t="s">
        <v>22</v>
      </c>
      <c r="G138" t="s">
        <v>46</v>
      </c>
      <c r="H138" s="1">
        <v>45284</v>
      </c>
      <c r="I138" s="2">
        <v>45284.8416666667</v>
      </c>
      <c r="J138">
        <v>20.2</v>
      </c>
      <c r="K138" t="s">
        <v>24</v>
      </c>
      <c r="L138">
        <v>0</v>
      </c>
      <c r="M138">
        <v>4</v>
      </c>
      <c r="N138" t="s">
        <v>406</v>
      </c>
      <c r="O138" s="3" t="str">
        <f>TEXT(Ticket_Table[[#This Row],[raised_date]],"YYYY-MM")</f>
        <v>2023-12</v>
      </c>
      <c r="P138" s="3" t="str">
        <f>IF(Ticket_Table[[#This Row],[resolution_hrs]]&lt;=4,"Fast",IF(Ticket_Table[[#This Row],[resolution_hrs]]&lt;=24,"Normal",IF(Ticket_Table[[#This Row],[resolution_hrs]]&lt;=48,"Slow","Very Slow")))</f>
        <v>Normal</v>
      </c>
      <c r="Q138" s="3">
        <f>YEAR(Ticket_Table[[#This Row],[raised_date]])</f>
        <v>2023</v>
      </c>
    </row>
    <row r="139" spans="1:17">
      <c r="A139" t="s">
        <v>407</v>
      </c>
      <c r="B139" t="s">
        <v>304</v>
      </c>
      <c r="C139" t="s">
        <v>140</v>
      </c>
      <c r="D139" t="s">
        <v>36</v>
      </c>
      <c r="E139" t="s">
        <v>51</v>
      </c>
      <c r="F139" t="s">
        <v>22</v>
      </c>
      <c r="G139" t="s">
        <v>31</v>
      </c>
      <c r="H139" s="1">
        <v>45040</v>
      </c>
      <c r="I139" s="2">
        <v>45040.4375</v>
      </c>
      <c r="J139">
        <v>10.5</v>
      </c>
      <c r="K139" t="s">
        <v>24</v>
      </c>
      <c r="L139">
        <v>1</v>
      </c>
      <c r="M139">
        <v>4</v>
      </c>
      <c r="N139" t="s">
        <v>246</v>
      </c>
      <c r="O139" s="3" t="str">
        <f>TEXT(Ticket_Table[[#This Row],[raised_date]],"YYYY-MM")</f>
        <v>2023-04</v>
      </c>
      <c r="P139" s="3" t="str">
        <f>IF(Ticket_Table[[#This Row],[resolution_hrs]]&lt;=4,"Fast",IF(Ticket_Table[[#This Row],[resolution_hrs]]&lt;=24,"Normal",IF(Ticket_Table[[#This Row],[resolution_hrs]]&lt;=48,"Slow","Very Slow")))</f>
        <v>Normal</v>
      </c>
      <c r="Q139" s="3">
        <f>YEAR(Ticket_Table[[#This Row],[raised_date]])</f>
        <v>2023</v>
      </c>
    </row>
    <row r="140" spans="1:17">
      <c r="A140" t="s">
        <v>408</v>
      </c>
      <c r="B140" t="s">
        <v>59</v>
      </c>
      <c r="C140" t="s">
        <v>102</v>
      </c>
      <c r="D140" t="s">
        <v>43</v>
      </c>
      <c r="E140" t="s">
        <v>69</v>
      </c>
      <c r="F140" t="s">
        <v>70</v>
      </c>
      <c r="G140" t="s">
        <v>46</v>
      </c>
      <c r="H140" s="1">
        <v>44565</v>
      </c>
      <c r="I140" s="2">
        <v>44566.9708333333</v>
      </c>
      <c r="J140">
        <v>47.3</v>
      </c>
      <c r="K140" t="s">
        <v>24</v>
      </c>
      <c r="L140">
        <v>0</v>
      </c>
      <c r="M140">
        <v>3</v>
      </c>
      <c r="N140" t="s">
        <v>409</v>
      </c>
      <c r="O140" s="3" t="str">
        <f>TEXT(Ticket_Table[[#This Row],[raised_date]],"YYYY-MM")</f>
        <v>2022-01</v>
      </c>
      <c r="P140" s="3" t="str">
        <f>IF(Ticket_Table[[#This Row],[resolution_hrs]]&lt;=4,"Fast",IF(Ticket_Table[[#This Row],[resolution_hrs]]&lt;=24,"Normal",IF(Ticket_Table[[#This Row],[resolution_hrs]]&lt;=48,"Slow","Very Slow")))</f>
        <v>Slow</v>
      </c>
      <c r="Q140" s="3">
        <f>YEAR(Ticket_Table[[#This Row],[raised_date]])</f>
        <v>2022</v>
      </c>
    </row>
    <row r="141" spans="1:17">
      <c r="A141" t="s">
        <v>410</v>
      </c>
      <c r="B141" t="s">
        <v>189</v>
      </c>
      <c r="C141" t="s">
        <v>60</v>
      </c>
      <c r="D141" t="s">
        <v>90</v>
      </c>
      <c r="E141" t="s">
        <v>166</v>
      </c>
      <c r="F141" t="s">
        <v>38</v>
      </c>
      <c r="G141" t="s">
        <v>91</v>
      </c>
      <c r="H141" s="1">
        <v>44545</v>
      </c>
      <c r="I141" s="2">
        <v>44546.3333333333</v>
      </c>
      <c r="J141">
        <v>32</v>
      </c>
      <c r="K141" t="s">
        <v>32</v>
      </c>
      <c r="L141">
        <v>0</v>
      </c>
      <c r="M141">
        <v>3</v>
      </c>
      <c r="N141" t="s">
        <v>27</v>
      </c>
      <c r="O141" s="3" t="str">
        <f>TEXT(Ticket_Table[[#This Row],[raised_date]],"YYYY-MM")</f>
        <v>2021-12</v>
      </c>
      <c r="P141" s="3" t="str">
        <f>IF(Ticket_Table[[#This Row],[resolution_hrs]]&lt;=4,"Fast",IF(Ticket_Table[[#This Row],[resolution_hrs]]&lt;=24,"Normal",IF(Ticket_Table[[#This Row],[resolution_hrs]]&lt;=48,"Slow","Very Slow")))</f>
        <v>Slow</v>
      </c>
      <c r="Q141" s="3">
        <f>YEAR(Ticket_Table[[#This Row],[raised_date]])</f>
        <v>2021</v>
      </c>
    </row>
    <row r="142" spans="1:17">
      <c r="A142" t="s">
        <v>411</v>
      </c>
      <c r="B142" t="s">
        <v>412</v>
      </c>
      <c r="C142" t="s">
        <v>133</v>
      </c>
      <c r="D142" t="s">
        <v>36</v>
      </c>
      <c r="E142" t="s">
        <v>21</v>
      </c>
      <c r="F142" t="s">
        <v>22</v>
      </c>
      <c r="G142" t="s">
        <v>46</v>
      </c>
      <c r="H142" s="1">
        <v>44555</v>
      </c>
      <c r="I142" s="2">
        <v>44556.8958333333</v>
      </c>
      <c r="J142">
        <v>45.5</v>
      </c>
      <c r="K142" t="s">
        <v>24</v>
      </c>
      <c r="L142">
        <v>0</v>
      </c>
      <c r="M142">
        <v>4</v>
      </c>
      <c r="N142" t="s">
        <v>413</v>
      </c>
      <c r="O142" s="3" t="str">
        <f>TEXT(Ticket_Table[[#This Row],[raised_date]],"YYYY-MM")</f>
        <v>2021-12</v>
      </c>
      <c r="P142" s="3" t="str">
        <f>IF(Ticket_Table[[#This Row],[resolution_hrs]]&lt;=4,"Fast",IF(Ticket_Table[[#This Row],[resolution_hrs]]&lt;=24,"Normal",IF(Ticket_Table[[#This Row],[resolution_hrs]]&lt;=48,"Slow","Very Slow")))</f>
        <v>Slow</v>
      </c>
      <c r="Q142" s="3">
        <f>YEAR(Ticket_Table[[#This Row],[raised_date]])</f>
        <v>2021</v>
      </c>
    </row>
    <row r="143" spans="1:17">
      <c r="A143" t="s">
        <v>414</v>
      </c>
      <c r="B143" t="s">
        <v>415</v>
      </c>
      <c r="C143" t="s">
        <v>213</v>
      </c>
      <c r="D143" t="s">
        <v>20</v>
      </c>
      <c r="E143" t="s">
        <v>56</v>
      </c>
      <c r="F143" t="s">
        <v>38</v>
      </c>
      <c r="G143" t="s">
        <v>31</v>
      </c>
      <c r="H143" s="1">
        <v>44358</v>
      </c>
      <c r="I143" s="2">
        <v>44359.2208333333</v>
      </c>
      <c r="J143">
        <v>29.3</v>
      </c>
      <c r="K143" t="s">
        <v>32</v>
      </c>
      <c r="L143">
        <v>0</v>
      </c>
      <c r="M143">
        <v>3</v>
      </c>
      <c r="N143" t="s">
        <v>99</v>
      </c>
      <c r="O143" s="3" t="str">
        <f>TEXT(Ticket_Table[[#This Row],[raised_date]],"YYYY-MM")</f>
        <v>2021-06</v>
      </c>
      <c r="P143" s="3" t="str">
        <f>IF(Ticket_Table[[#This Row],[resolution_hrs]]&lt;=4,"Fast",IF(Ticket_Table[[#This Row],[resolution_hrs]]&lt;=24,"Normal",IF(Ticket_Table[[#This Row],[resolution_hrs]]&lt;=48,"Slow","Very Slow")))</f>
        <v>Slow</v>
      </c>
      <c r="Q143" s="3">
        <f>YEAR(Ticket_Table[[#This Row],[raised_date]])</f>
        <v>2021</v>
      </c>
    </row>
    <row r="144" spans="1:17">
      <c r="A144" t="s">
        <v>416</v>
      </c>
      <c r="B144" t="s">
        <v>259</v>
      </c>
      <c r="C144" t="s">
        <v>78</v>
      </c>
      <c r="D144" t="s">
        <v>43</v>
      </c>
      <c r="E144" t="s">
        <v>30</v>
      </c>
      <c r="F144" t="s">
        <v>70</v>
      </c>
      <c r="G144" t="s">
        <v>31</v>
      </c>
      <c r="H144" s="1">
        <v>44980</v>
      </c>
      <c r="I144" s="2">
        <v>44982.3291666667</v>
      </c>
      <c r="J144">
        <v>55.9</v>
      </c>
      <c r="K144" t="s">
        <v>32</v>
      </c>
      <c r="L144">
        <v>0</v>
      </c>
      <c r="M144">
        <v>5</v>
      </c>
      <c r="N144" t="s">
        <v>255</v>
      </c>
      <c r="O144" s="3" t="str">
        <f>TEXT(Ticket_Table[[#This Row],[raised_date]],"YYYY-MM")</f>
        <v>2023-02</v>
      </c>
      <c r="P144" s="3" t="str">
        <f>IF(Ticket_Table[[#This Row],[resolution_hrs]]&lt;=4,"Fast",IF(Ticket_Table[[#This Row],[resolution_hrs]]&lt;=24,"Normal",IF(Ticket_Table[[#This Row],[resolution_hrs]]&lt;=48,"Slow","Very Slow")))</f>
        <v>Very Slow</v>
      </c>
      <c r="Q144" s="3">
        <f>YEAR(Ticket_Table[[#This Row],[raised_date]])</f>
        <v>2023</v>
      </c>
    </row>
    <row r="145" spans="1:17">
      <c r="A145" t="s">
        <v>417</v>
      </c>
      <c r="B145" t="s">
        <v>129</v>
      </c>
      <c r="C145" t="s">
        <v>133</v>
      </c>
      <c r="D145" t="s">
        <v>36</v>
      </c>
      <c r="E145" t="s">
        <v>56</v>
      </c>
      <c r="F145" t="s">
        <v>70</v>
      </c>
      <c r="G145" t="s">
        <v>23</v>
      </c>
      <c r="H145" s="1">
        <v>44690</v>
      </c>
      <c r="I145" s="2">
        <v>44692.0916666667</v>
      </c>
      <c r="J145">
        <v>50.2</v>
      </c>
      <c r="K145" t="s">
        <v>32</v>
      </c>
      <c r="L145">
        <v>0</v>
      </c>
      <c r="M145">
        <v>4</v>
      </c>
      <c r="N145" t="s">
        <v>387</v>
      </c>
      <c r="O145" s="3" t="str">
        <f>TEXT(Ticket_Table[[#This Row],[raised_date]],"YYYY-MM")</f>
        <v>2022-05</v>
      </c>
      <c r="P145" s="3" t="str">
        <f>IF(Ticket_Table[[#This Row],[resolution_hrs]]&lt;=4,"Fast",IF(Ticket_Table[[#This Row],[resolution_hrs]]&lt;=24,"Normal",IF(Ticket_Table[[#This Row],[resolution_hrs]]&lt;=48,"Slow","Very Slow")))</f>
        <v>Very Slow</v>
      </c>
      <c r="Q145" s="3">
        <f>YEAR(Ticket_Table[[#This Row],[raised_date]])</f>
        <v>2022</v>
      </c>
    </row>
    <row r="146" spans="1:17">
      <c r="A146" t="s">
        <v>418</v>
      </c>
      <c r="B146" t="s">
        <v>419</v>
      </c>
      <c r="C146" t="s">
        <v>64</v>
      </c>
      <c r="D146" t="s">
        <v>20</v>
      </c>
      <c r="E146" t="s">
        <v>21</v>
      </c>
      <c r="F146" t="s">
        <v>45</v>
      </c>
      <c r="G146" t="s">
        <v>23</v>
      </c>
      <c r="H146" s="1">
        <v>45216</v>
      </c>
      <c r="I146" s="2">
        <v>45216.0833333333</v>
      </c>
      <c r="J146">
        <v>2</v>
      </c>
      <c r="K146" t="s">
        <v>24</v>
      </c>
      <c r="L146">
        <v>0</v>
      </c>
      <c r="M146">
        <v>3</v>
      </c>
      <c r="N146" t="s">
        <v>420</v>
      </c>
      <c r="O146" s="3" t="str">
        <f>TEXT(Ticket_Table[[#This Row],[raised_date]],"YYYY-MM")</f>
        <v>2023-10</v>
      </c>
      <c r="P146" s="3" t="str">
        <f>IF(Ticket_Table[[#This Row],[resolution_hrs]]&lt;=4,"Fast",IF(Ticket_Table[[#This Row],[resolution_hrs]]&lt;=24,"Normal",IF(Ticket_Table[[#This Row],[resolution_hrs]]&lt;=48,"Slow","Very Slow")))</f>
        <v>Fast</v>
      </c>
      <c r="Q146" s="3">
        <f>YEAR(Ticket_Table[[#This Row],[raised_date]])</f>
        <v>2023</v>
      </c>
    </row>
    <row r="147" spans="1:17">
      <c r="A147" t="s">
        <v>421</v>
      </c>
      <c r="B147" t="s">
        <v>237</v>
      </c>
      <c r="C147" t="s">
        <v>175</v>
      </c>
      <c r="D147" t="s">
        <v>90</v>
      </c>
      <c r="E147" t="s">
        <v>69</v>
      </c>
      <c r="F147" t="s">
        <v>70</v>
      </c>
      <c r="G147" t="s">
        <v>23</v>
      </c>
      <c r="H147" s="1">
        <v>44490</v>
      </c>
      <c r="I147" s="2">
        <v>44491.9333333333</v>
      </c>
      <c r="J147">
        <v>46.4</v>
      </c>
      <c r="K147" t="s">
        <v>24</v>
      </c>
      <c r="L147">
        <v>0</v>
      </c>
      <c r="M147">
        <v>2</v>
      </c>
      <c r="N147" t="s">
        <v>92</v>
      </c>
      <c r="O147" s="3" t="str">
        <f>TEXT(Ticket_Table[[#This Row],[raised_date]],"YYYY-MM")</f>
        <v>2021-10</v>
      </c>
      <c r="P147" s="3" t="str">
        <f>IF(Ticket_Table[[#This Row],[resolution_hrs]]&lt;=4,"Fast",IF(Ticket_Table[[#This Row],[resolution_hrs]]&lt;=24,"Normal",IF(Ticket_Table[[#This Row],[resolution_hrs]]&lt;=48,"Slow","Very Slow")))</f>
        <v>Slow</v>
      </c>
      <c r="Q147" s="3">
        <f>YEAR(Ticket_Table[[#This Row],[raised_date]])</f>
        <v>2021</v>
      </c>
    </row>
    <row r="148" spans="1:17">
      <c r="A148" t="s">
        <v>422</v>
      </c>
      <c r="B148" t="s">
        <v>423</v>
      </c>
      <c r="C148" t="s">
        <v>201</v>
      </c>
      <c r="D148" t="s">
        <v>29</v>
      </c>
      <c r="E148" t="s">
        <v>37</v>
      </c>
      <c r="F148" t="s">
        <v>70</v>
      </c>
      <c r="G148" t="s">
        <v>31</v>
      </c>
      <c r="H148" s="1">
        <v>44672</v>
      </c>
      <c r="I148" s="2">
        <v>44673.5875</v>
      </c>
      <c r="J148">
        <v>38.1</v>
      </c>
      <c r="K148" t="s">
        <v>24</v>
      </c>
      <c r="L148">
        <v>0</v>
      </c>
      <c r="M148">
        <v>3</v>
      </c>
      <c r="N148" t="s">
        <v>424</v>
      </c>
      <c r="O148" s="3" t="str">
        <f>TEXT(Ticket_Table[[#This Row],[raised_date]],"YYYY-MM")</f>
        <v>2022-04</v>
      </c>
      <c r="P148" s="3" t="str">
        <f>IF(Ticket_Table[[#This Row],[resolution_hrs]]&lt;=4,"Fast",IF(Ticket_Table[[#This Row],[resolution_hrs]]&lt;=24,"Normal",IF(Ticket_Table[[#This Row],[resolution_hrs]]&lt;=48,"Slow","Very Slow")))</f>
        <v>Slow</v>
      </c>
      <c r="Q148" s="3">
        <f>YEAR(Ticket_Table[[#This Row],[raised_date]])</f>
        <v>2022</v>
      </c>
    </row>
    <row r="149" spans="1:17">
      <c r="A149" t="s">
        <v>425</v>
      </c>
      <c r="B149" t="s">
        <v>332</v>
      </c>
      <c r="C149" t="s">
        <v>95</v>
      </c>
      <c r="D149" t="s">
        <v>43</v>
      </c>
      <c r="E149" t="s">
        <v>51</v>
      </c>
      <c r="F149" t="s">
        <v>22</v>
      </c>
      <c r="G149" t="s">
        <v>23</v>
      </c>
      <c r="H149" s="1">
        <v>45141</v>
      </c>
      <c r="I149" s="2">
        <v>45142.8791666667</v>
      </c>
      <c r="J149">
        <v>45.1</v>
      </c>
      <c r="K149" t="s">
        <v>24</v>
      </c>
      <c r="L149">
        <v>0</v>
      </c>
      <c r="M149">
        <v>4</v>
      </c>
      <c r="N149" t="s">
        <v>426</v>
      </c>
      <c r="O149" s="3" t="str">
        <f>TEXT(Ticket_Table[[#This Row],[raised_date]],"YYYY-MM")</f>
        <v>2023-08</v>
      </c>
      <c r="P149" s="3" t="str">
        <f>IF(Ticket_Table[[#This Row],[resolution_hrs]]&lt;=4,"Fast",IF(Ticket_Table[[#This Row],[resolution_hrs]]&lt;=24,"Normal",IF(Ticket_Table[[#This Row],[resolution_hrs]]&lt;=48,"Slow","Very Slow")))</f>
        <v>Slow</v>
      </c>
      <c r="Q149" s="3">
        <f>YEAR(Ticket_Table[[#This Row],[raised_date]])</f>
        <v>2023</v>
      </c>
    </row>
    <row r="150" spans="1:17">
      <c r="A150" t="s">
        <v>427</v>
      </c>
      <c r="B150" t="s">
        <v>428</v>
      </c>
      <c r="C150" t="s">
        <v>133</v>
      </c>
      <c r="D150" t="s">
        <v>29</v>
      </c>
      <c r="E150" t="s">
        <v>37</v>
      </c>
      <c r="F150" t="s">
        <v>22</v>
      </c>
      <c r="G150" t="s">
        <v>74</v>
      </c>
      <c r="H150" s="1">
        <v>44717</v>
      </c>
      <c r="I150" s="2">
        <v>44721.225</v>
      </c>
      <c r="J150">
        <v>101.4</v>
      </c>
      <c r="K150" t="s">
        <v>32</v>
      </c>
      <c r="L150">
        <v>2</v>
      </c>
      <c r="M150">
        <v>5</v>
      </c>
      <c r="N150" t="s">
        <v>429</v>
      </c>
      <c r="O150" s="3" t="str">
        <f>TEXT(Ticket_Table[[#This Row],[raised_date]],"YYYY-MM")</f>
        <v>2022-06</v>
      </c>
      <c r="P150" s="3" t="str">
        <f>IF(Ticket_Table[[#This Row],[resolution_hrs]]&lt;=4,"Fast",IF(Ticket_Table[[#This Row],[resolution_hrs]]&lt;=24,"Normal",IF(Ticket_Table[[#This Row],[resolution_hrs]]&lt;=48,"Slow","Very Slow")))</f>
        <v>Very Slow</v>
      </c>
      <c r="Q150" s="3">
        <f>YEAR(Ticket_Table[[#This Row],[raised_date]])</f>
        <v>2022</v>
      </c>
    </row>
    <row r="151" spans="1:17">
      <c r="A151" t="s">
        <v>430</v>
      </c>
      <c r="B151" t="s">
        <v>431</v>
      </c>
      <c r="C151" t="s">
        <v>133</v>
      </c>
      <c r="D151" t="s">
        <v>90</v>
      </c>
      <c r="E151" t="s">
        <v>37</v>
      </c>
      <c r="F151" t="s">
        <v>22</v>
      </c>
      <c r="G151" t="s">
        <v>23</v>
      </c>
      <c r="H151" s="1">
        <v>45138</v>
      </c>
      <c r="I151" s="2">
        <v>45140.7625</v>
      </c>
      <c r="J151">
        <v>66.3</v>
      </c>
      <c r="K151" t="s">
        <v>24</v>
      </c>
      <c r="L151">
        <v>0</v>
      </c>
      <c r="M151">
        <v>4</v>
      </c>
      <c r="N151" t="s">
        <v>432</v>
      </c>
      <c r="O151" s="3" t="str">
        <f>TEXT(Ticket_Table[[#This Row],[raised_date]],"YYYY-MM")</f>
        <v>2023-07</v>
      </c>
      <c r="P151" s="3" t="str">
        <f>IF(Ticket_Table[[#This Row],[resolution_hrs]]&lt;=4,"Fast",IF(Ticket_Table[[#This Row],[resolution_hrs]]&lt;=24,"Normal",IF(Ticket_Table[[#This Row],[resolution_hrs]]&lt;=48,"Slow","Very Slow")))</f>
        <v>Very Slow</v>
      </c>
      <c r="Q151" s="3">
        <f>YEAR(Ticket_Table[[#This Row],[raised_date]])</f>
        <v>2023</v>
      </c>
    </row>
    <row r="152" spans="1:17">
      <c r="A152" t="s">
        <v>433</v>
      </c>
      <c r="B152" t="s">
        <v>434</v>
      </c>
      <c r="C152" t="s">
        <v>201</v>
      </c>
      <c r="D152" t="s">
        <v>36</v>
      </c>
      <c r="E152" t="s">
        <v>21</v>
      </c>
      <c r="F152" t="s">
        <v>22</v>
      </c>
      <c r="G152" t="s">
        <v>46</v>
      </c>
      <c r="H152" s="1">
        <v>44719</v>
      </c>
      <c r="I152" s="2">
        <v>44719.2083333333</v>
      </c>
      <c r="J152">
        <v>5</v>
      </c>
      <c r="K152" t="s">
        <v>24</v>
      </c>
      <c r="L152">
        <v>0</v>
      </c>
      <c r="M152">
        <v>2</v>
      </c>
      <c r="N152" t="s">
        <v>435</v>
      </c>
      <c r="O152" s="3" t="str">
        <f>TEXT(Ticket_Table[[#This Row],[raised_date]],"YYYY-MM")</f>
        <v>2022-06</v>
      </c>
      <c r="P152" s="3" t="str">
        <f>IF(Ticket_Table[[#This Row],[resolution_hrs]]&lt;=4,"Fast",IF(Ticket_Table[[#This Row],[resolution_hrs]]&lt;=24,"Normal",IF(Ticket_Table[[#This Row],[resolution_hrs]]&lt;=48,"Slow","Very Slow")))</f>
        <v>Normal</v>
      </c>
      <c r="Q152" s="3">
        <f>YEAR(Ticket_Table[[#This Row],[raised_date]])</f>
        <v>2022</v>
      </c>
    </row>
    <row r="153" spans="1:17">
      <c r="A153" t="s">
        <v>436</v>
      </c>
      <c r="B153" t="s">
        <v>374</v>
      </c>
      <c r="C153" t="s">
        <v>201</v>
      </c>
      <c r="D153" t="s">
        <v>36</v>
      </c>
      <c r="E153" t="s">
        <v>51</v>
      </c>
      <c r="F153" t="s">
        <v>70</v>
      </c>
      <c r="G153" t="s">
        <v>31</v>
      </c>
      <c r="H153" s="1">
        <v>44216</v>
      </c>
      <c r="I153" s="2">
        <v>44216.575</v>
      </c>
      <c r="J153">
        <v>13.8</v>
      </c>
      <c r="K153" t="s">
        <v>24</v>
      </c>
      <c r="L153">
        <v>0</v>
      </c>
      <c r="M153">
        <v>3</v>
      </c>
      <c r="N153" t="s">
        <v>207</v>
      </c>
      <c r="O153" s="3" t="str">
        <f>TEXT(Ticket_Table[[#This Row],[raised_date]],"YYYY-MM")</f>
        <v>2021-01</v>
      </c>
      <c r="P153" s="3" t="str">
        <f>IF(Ticket_Table[[#This Row],[resolution_hrs]]&lt;=4,"Fast",IF(Ticket_Table[[#This Row],[resolution_hrs]]&lt;=24,"Normal",IF(Ticket_Table[[#This Row],[resolution_hrs]]&lt;=48,"Slow","Very Slow")))</f>
        <v>Normal</v>
      </c>
      <c r="Q153" s="3">
        <f>YEAR(Ticket_Table[[#This Row],[raised_date]])</f>
        <v>2021</v>
      </c>
    </row>
    <row r="154" spans="1:17">
      <c r="A154" t="s">
        <v>437</v>
      </c>
      <c r="B154" t="s">
        <v>438</v>
      </c>
      <c r="C154" t="s">
        <v>287</v>
      </c>
      <c r="D154" t="s">
        <v>90</v>
      </c>
      <c r="E154" t="s">
        <v>44</v>
      </c>
      <c r="F154" t="s">
        <v>70</v>
      </c>
      <c r="G154" t="s">
        <v>31</v>
      </c>
      <c r="H154" s="1">
        <v>45149</v>
      </c>
      <c r="I154" s="2">
        <v>45150.5208333333</v>
      </c>
      <c r="J154">
        <v>36.5</v>
      </c>
      <c r="K154" t="s">
        <v>24</v>
      </c>
      <c r="L154">
        <v>1</v>
      </c>
      <c r="M154">
        <v>3</v>
      </c>
      <c r="N154" t="s">
        <v>439</v>
      </c>
      <c r="O154" s="3" t="str">
        <f>TEXT(Ticket_Table[[#This Row],[raised_date]],"YYYY-MM")</f>
        <v>2023-08</v>
      </c>
      <c r="P154" s="3" t="str">
        <f>IF(Ticket_Table[[#This Row],[resolution_hrs]]&lt;=4,"Fast",IF(Ticket_Table[[#This Row],[resolution_hrs]]&lt;=24,"Normal",IF(Ticket_Table[[#This Row],[resolution_hrs]]&lt;=48,"Slow","Very Slow")))</f>
        <v>Slow</v>
      </c>
      <c r="Q154" s="3">
        <f>YEAR(Ticket_Table[[#This Row],[raised_date]])</f>
        <v>2023</v>
      </c>
    </row>
    <row r="155" spans="1:17">
      <c r="A155" t="s">
        <v>440</v>
      </c>
      <c r="B155" t="s">
        <v>200</v>
      </c>
      <c r="C155" t="s">
        <v>19</v>
      </c>
      <c r="D155" t="s">
        <v>90</v>
      </c>
      <c r="E155" t="s">
        <v>30</v>
      </c>
      <c r="F155" t="s">
        <v>70</v>
      </c>
      <c r="G155" t="s">
        <v>74</v>
      </c>
      <c r="H155" s="1">
        <v>44786</v>
      </c>
      <c r="I155" s="2">
        <v>44788.8541666667</v>
      </c>
      <c r="J155">
        <v>68.5</v>
      </c>
      <c r="K155" t="s">
        <v>32</v>
      </c>
      <c r="L155">
        <v>0</v>
      </c>
      <c r="M155">
        <v>4</v>
      </c>
      <c r="N155" t="s">
        <v>198</v>
      </c>
      <c r="O155" s="3" t="str">
        <f>TEXT(Ticket_Table[[#This Row],[raised_date]],"YYYY-MM")</f>
        <v>2022-08</v>
      </c>
      <c r="P155" s="3" t="str">
        <f>IF(Ticket_Table[[#This Row],[resolution_hrs]]&lt;=4,"Fast",IF(Ticket_Table[[#This Row],[resolution_hrs]]&lt;=24,"Normal",IF(Ticket_Table[[#This Row],[resolution_hrs]]&lt;=48,"Slow","Very Slow")))</f>
        <v>Very Slow</v>
      </c>
      <c r="Q155" s="3">
        <f>YEAR(Ticket_Table[[#This Row],[raised_date]])</f>
        <v>2022</v>
      </c>
    </row>
    <row r="156" spans="1:17">
      <c r="A156" t="s">
        <v>441</v>
      </c>
      <c r="B156" t="s">
        <v>442</v>
      </c>
      <c r="C156" t="s">
        <v>133</v>
      </c>
      <c r="D156" t="s">
        <v>43</v>
      </c>
      <c r="E156" t="s">
        <v>166</v>
      </c>
      <c r="F156" t="s">
        <v>22</v>
      </c>
      <c r="G156" t="s">
        <v>23</v>
      </c>
      <c r="H156" s="1">
        <v>44520</v>
      </c>
      <c r="I156" s="2">
        <v>44522.8375</v>
      </c>
      <c r="J156">
        <v>68.1</v>
      </c>
      <c r="K156" t="s">
        <v>24</v>
      </c>
      <c r="L156">
        <v>0</v>
      </c>
      <c r="M156">
        <v>3</v>
      </c>
      <c r="N156" t="s">
        <v>251</v>
      </c>
      <c r="O156" s="3" t="str">
        <f>TEXT(Ticket_Table[[#This Row],[raised_date]],"YYYY-MM")</f>
        <v>2021-11</v>
      </c>
      <c r="P156" s="3" t="str">
        <f>IF(Ticket_Table[[#This Row],[resolution_hrs]]&lt;=4,"Fast",IF(Ticket_Table[[#This Row],[resolution_hrs]]&lt;=24,"Normal",IF(Ticket_Table[[#This Row],[resolution_hrs]]&lt;=48,"Slow","Very Slow")))</f>
        <v>Very Slow</v>
      </c>
      <c r="Q156" s="3">
        <f>YEAR(Ticket_Table[[#This Row],[raised_date]])</f>
        <v>2021</v>
      </c>
    </row>
    <row r="157" spans="1:17">
      <c r="A157" t="s">
        <v>443</v>
      </c>
      <c r="B157" t="s">
        <v>89</v>
      </c>
      <c r="C157" t="s">
        <v>261</v>
      </c>
      <c r="D157" t="s">
        <v>20</v>
      </c>
      <c r="E157" t="s">
        <v>37</v>
      </c>
      <c r="F157" t="s">
        <v>22</v>
      </c>
      <c r="G157" t="s">
        <v>74</v>
      </c>
      <c r="H157" s="1">
        <v>44348</v>
      </c>
      <c r="I157" s="2">
        <v>44351.5291666667</v>
      </c>
      <c r="J157">
        <v>84.7</v>
      </c>
      <c r="K157" t="s">
        <v>32</v>
      </c>
      <c r="L157">
        <v>0</v>
      </c>
      <c r="M157">
        <v>3</v>
      </c>
      <c r="N157" t="s">
        <v>118</v>
      </c>
      <c r="O157" s="3" t="str">
        <f>TEXT(Ticket_Table[[#This Row],[raised_date]],"YYYY-MM")</f>
        <v>2021-06</v>
      </c>
      <c r="P157" s="3" t="str">
        <f>IF(Ticket_Table[[#This Row],[resolution_hrs]]&lt;=4,"Fast",IF(Ticket_Table[[#This Row],[resolution_hrs]]&lt;=24,"Normal",IF(Ticket_Table[[#This Row],[resolution_hrs]]&lt;=48,"Slow","Very Slow")))</f>
        <v>Very Slow</v>
      </c>
      <c r="Q157" s="3">
        <f>YEAR(Ticket_Table[[#This Row],[raised_date]])</f>
        <v>2021</v>
      </c>
    </row>
    <row r="158" spans="1:17">
      <c r="A158" t="s">
        <v>444</v>
      </c>
      <c r="B158" t="s">
        <v>172</v>
      </c>
      <c r="C158" t="s">
        <v>95</v>
      </c>
      <c r="D158" t="s">
        <v>29</v>
      </c>
      <c r="E158" t="s">
        <v>56</v>
      </c>
      <c r="F158" t="s">
        <v>38</v>
      </c>
      <c r="G158" t="s">
        <v>31</v>
      </c>
      <c r="H158" s="1">
        <v>45101</v>
      </c>
      <c r="I158" s="2">
        <v>45101.55</v>
      </c>
      <c r="J158">
        <v>13.2</v>
      </c>
      <c r="K158" t="s">
        <v>24</v>
      </c>
      <c r="L158">
        <v>1</v>
      </c>
      <c r="M158">
        <v>3</v>
      </c>
      <c r="N158" t="s">
        <v>445</v>
      </c>
      <c r="O158" s="3" t="str">
        <f>TEXT(Ticket_Table[[#This Row],[raised_date]],"YYYY-MM")</f>
        <v>2023-06</v>
      </c>
      <c r="P158" s="3" t="str">
        <f>IF(Ticket_Table[[#This Row],[resolution_hrs]]&lt;=4,"Fast",IF(Ticket_Table[[#This Row],[resolution_hrs]]&lt;=24,"Normal",IF(Ticket_Table[[#This Row],[resolution_hrs]]&lt;=48,"Slow","Very Slow")))</f>
        <v>Normal</v>
      </c>
      <c r="Q158" s="3">
        <f>YEAR(Ticket_Table[[#This Row],[raised_date]])</f>
        <v>2023</v>
      </c>
    </row>
    <row r="159" spans="1:17">
      <c r="A159" t="s">
        <v>446</v>
      </c>
      <c r="B159" t="s">
        <v>447</v>
      </c>
      <c r="C159" t="s">
        <v>117</v>
      </c>
      <c r="D159" t="s">
        <v>29</v>
      </c>
      <c r="E159" t="s">
        <v>44</v>
      </c>
      <c r="F159" t="s">
        <v>45</v>
      </c>
      <c r="G159" t="s">
        <v>31</v>
      </c>
      <c r="H159" s="1">
        <v>44904</v>
      </c>
      <c r="I159" s="2">
        <v>44904.0416666667</v>
      </c>
      <c r="J159">
        <v>1</v>
      </c>
      <c r="K159" t="s">
        <v>24</v>
      </c>
      <c r="L159">
        <v>1</v>
      </c>
      <c r="M159">
        <v>4</v>
      </c>
      <c r="N159" t="s">
        <v>363</v>
      </c>
      <c r="O159" s="3" t="str">
        <f>TEXT(Ticket_Table[[#This Row],[raised_date]],"YYYY-MM")</f>
        <v>2022-12</v>
      </c>
      <c r="P159" s="3" t="str">
        <f>IF(Ticket_Table[[#This Row],[resolution_hrs]]&lt;=4,"Fast",IF(Ticket_Table[[#This Row],[resolution_hrs]]&lt;=24,"Normal",IF(Ticket_Table[[#This Row],[resolution_hrs]]&lt;=48,"Slow","Very Slow")))</f>
        <v>Fast</v>
      </c>
      <c r="Q159" s="3">
        <f>YEAR(Ticket_Table[[#This Row],[raised_date]])</f>
        <v>2022</v>
      </c>
    </row>
    <row r="160" spans="1:17">
      <c r="A160" t="s">
        <v>448</v>
      </c>
      <c r="B160" t="s">
        <v>449</v>
      </c>
      <c r="C160" t="s">
        <v>50</v>
      </c>
      <c r="D160" t="s">
        <v>36</v>
      </c>
      <c r="E160" t="s">
        <v>44</v>
      </c>
      <c r="F160" t="s">
        <v>22</v>
      </c>
      <c r="G160" t="s">
        <v>46</v>
      </c>
      <c r="H160" s="1">
        <v>44809</v>
      </c>
      <c r="I160" s="2">
        <v>44810.0916666667</v>
      </c>
      <c r="J160">
        <v>26.2</v>
      </c>
      <c r="K160" t="s">
        <v>24</v>
      </c>
      <c r="L160">
        <v>0</v>
      </c>
      <c r="M160">
        <v>4</v>
      </c>
      <c r="N160" t="s">
        <v>450</v>
      </c>
      <c r="O160" s="3" t="str">
        <f>TEXT(Ticket_Table[[#This Row],[raised_date]],"YYYY-MM")</f>
        <v>2022-09</v>
      </c>
      <c r="P160" s="3" t="str">
        <f>IF(Ticket_Table[[#This Row],[resolution_hrs]]&lt;=4,"Fast",IF(Ticket_Table[[#This Row],[resolution_hrs]]&lt;=24,"Normal",IF(Ticket_Table[[#This Row],[resolution_hrs]]&lt;=48,"Slow","Very Slow")))</f>
        <v>Slow</v>
      </c>
      <c r="Q160" s="3">
        <f>YEAR(Ticket_Table[[#This Row],[raised_date]])</f>
        <v>2022</v>
      </c>
    </row>
    <row r="161" spans="1:17">
      <c r="A161" t="s">
        <v>451</v>
      </c>
      <c r="B161" t="s">
        <v>452</v>
      </c>
      <c r="C161" t="s">
        <v>133</v>
      </c>
      <c r="D161" t="s">
        <v>36</v>
      </c>
      <c r="E161" t="s">
        <v>69</v>
      </c>
      <c r="F161" t="s">
        <v>38</v>
      </c>
      <c r="G161" t="s">
        <v>23</v>
      </c>
      <c r="H161" s="1">
        <v>45065</v>
      </c>
      <c r="I161" s="2">
        <v>45065.2125</v>
      </c>
      <c r="J161">
        <v>5.1</v>
      </c>
      <c r="K161" t="s">
        <v>24</v>
      </c>
      <c r="L161">
        <v>0</v>
      </c>
      <c r="M161">
        <v>5</v>
      </c>
      <c r="N161" t="s">
        <v>161</v>
      </c>
      <c r="O161" s="3" t="str">
        <f>TEXT(Ticket_Table[[#This Row],[raised_date]],"YYYY-MM")</f>
        <v>2023-05</v>
      </c>
      <c r="P161" s="3" t="str">
        <f>IF(Ticket_Table[[#This Row],[resolution_hrs]]&lt;=4,"Fast",IF(Ticket_Table[[#This Row],[resolution_hrs]]&lt;=24,"Normal",IF(Ticket_Table[[#This Row],[resolution_hrs]]&lt;=48,"Slow","Very Slow")))</f>
        <v>Normal</v>
      </c>
      <c r="Q161" s="3">
        <f>YEAR(Ticket_Table[[#This Row],[raised_date]])</f>
        <v>2023</v>
      </c>
    </row>
    <row r="162" spans="1:17">
      <c r="A162" t="s">
        <v>453</v>
      </c>
      <c r="B162" t="s">
        <v>454</v>
      </c>
      <c r="C162" t="s">
        <v>64</v>
      </c>
      <c r="D162" t="s">
        <v>43</v>
      </c>
      <c r="E162" t="s">
        <v>37</v>
      </c>
      <c r="F162" t="s">
        <v>70</v>
      </c>
      <c r="G162" t="s">
        <v>31</v>
      </c>
      <c r="H162" s="1">
        <v>44709</v>
      </c>
      <c r="I162" s="2">
        <v>44710.6083333333</v>
      </c>
      <c r="J162">
        <v>38.6</v>
      </c>
      <c r="K162" t="s">
        <v>24</v>
      </c>
      <c r="L162">
        <v>0</v>
      </c>
      <c r="M162">
        <v>4</v>
      </c>
      <c r="N162" t="s">
        <v>455</v>
      </c>
      <c r="O162" s="3" t="str">
        <f>TEXT(Ticket_Table[[#This Row],[raised_date]],"YYYY-MM")</f>
        <v>2022-05</v>
      </c>
      <c r="P162" s="3" t="str">
        <f>IF(Ticket_Table[[#This Row],[resolution_hrs]]&lt;=4,"Fast",IF(Ticket_Table[[#This Row],[resolution_hrs]]&lt;=24,"Normal",IF(Ticket_Table[[#This Row],[resolution_hrs]]&lt;=48,"Slow","Very Slow")))</f>
        <v>Slow</v>
      </c>
      <c r="Q162" s="3">
        <f>YEAR(Ticket_Table[[#This Row],[raised_date]])</f>
        <v>2022</v>
      </c>
    </row>
    <row r="163" spans="1:17">
      <c r="A163" t="s">
        <v>456</v>
      </c>
      <c r="B163" t="s">
        <v>457</v>
      </c>
      <c r="C163" t="s">
        <v>133</v>
      </c>
      <c r="D163" t="s">
        <v>90</v>
      </c>
      <c r="E163" t="s">
        <v>37</v>
      </c>
      <c r="F163" t="s">
        <v>70</v>
      </c>
      <c r="G163" t="s">
        <v>46</v>
      </c>
      <c r="H163" s="1">
        <v>45132</v>
      </c>
      <c r="I163" s="2">
        <v>45132.325</v>
      </c>
      <c r="J163">
        <v>7.8</v>
      </c>
      <c r="K163" t="s">
        <v>24</v>
      </c>
      <c r="L163">
        <v>0</v>
      </c>
      <c r="M163">
        <v>4</v>
      </c>
      <c r="N163" t="s">
        <v>458</v>
      </c>
      <c r="O163" s="3" t="str">
        <f>TEXT(Ticket_Table[[#This Row],[raised_date]],"YYYY-MM")</f>
        <v>2023-07</v>
      </c>
      <c r="P163" s="3" t="str">
        <f>IF(Ticket_Table[[#This Row],[resolution_hrs]]&lt;=4,"Fast",IF(Ticket_Table[[#This Row],[resolution_hrs]]&lt;=24,"Normal",IF(Ticket_Table[[#This Row],[resolution_hrs]]&lt;=48,"Slow","Very Slow")))</f>
        <v>Normal</v>
      </c>
      <c r="Q163" s="3">
        <f>YEAR(Ticket_Table[[#This Row],[raised_date]])</f>
        <v>2023</v>
      </c>
    </row>
    <row r="164" spans="1:17">
      <c r="A164" t="s">
        <v>459</v>
      </c>
      <c r="B164" t="s">
        <v>323</v>
      </c>
      <c r="C164" t="s">
        <v>60</v>
      </c>
      <c r="D164" t="s">
        <v>29</v>
      </c>
      <c r="E164" t="s">
        <v>106</v>
      </c>
      <c r="F164" t="s">
        <v>70</v>
      </c>
      <c r="G164" t="s">
        <v>23</v>
      </c>
      <c r="H164" s="1">
        <v>44815</v>
      </c>
      <c r="I164" s="2">
        <v>44816.1125</v>
      </c>
      <c r="J164">
        <v>26.7</v>
      </c>
      <c r="K164" t="s">
        <v>24</v>
      </c>
      <c r="L164">
        <v>1</v>
      </c>
      <c r="M164">
        <v>3</v>
      </c>
      <c r="N164" t="s">
        <v>460</v>
      </c>
      <c r="O164" s="3" t="str">
        <f>TEXT(Ticket_Table[[#This Row],[raised_date]],"YYYY-MM")</f>
        <v>2022-09</v>
      </c>
      <c r="P164" s="3" t="str">
        <f>IF(Ticket_Table[[#This Row],[resolution_hrs]]&lt;=4,"Fast",IF(Ticket_Table[[#This Row],[resolution_hrs]]&lt;=24,"Normal",IF(Ticket_Table[[#This Row],[resolution_hrs]]&lt;=48,"Slow","Very Slow")))</f>
        <v>Slow</v>
      </c>
      <c r="Q164" s="3">
        <f>YEAR(Ticket_Table[[#This Row],[raised_date]])</f>
        <v>2022</v>
      </c>
    </row>
    <row r="165" spans="1:17">
      <c r="A165" t="s">
        <v>461</v>
      </c>
      <c r="B165" t="s">
        <v>343</v>
      </c>
      <c r="C165" t="s">
        <v>287</v>
      </c>
      <c r="D165" t="s">
        <v>43</v>
      </c>
      <c r="E165" t="s">
        <v>21</v>
      </c>
      <c r="F165" t="s">
        <v>22</v>
      </c>
      <c r="G165" t="s">
        <v>23</v>
      </c>
      <c r="H165" s="1">
        <v>44604</v>
      </c>
      <c r="I165" s="2">
        <v>44607.4333333333</v>
      </c>
      <c r="J165">
        <v>82.4</v>
      </c>
      <c r="K165" t="s">
        <v>32</v>
      </c>
      <c r="L165">
        <v>0</v>
      </c>
      <c r="M165">
        <v>2</v>
      </c>
      <c r="N165" t="s">
        <v>462</v>
      </c>
      <c r="O165" s="3" t="str">
        <f>TEXT(Ticket_Table[[#This Row],[raised_date]],"YYYY-MM")</f>
        <v>2022-02</v>
      </c>
      <c r="P165" s="3" t="str">
        <f>IF(Ticket_Table[[#This Row],[resolution_hrs]]&lt;=4,"Fast",IF(Ticket_Table[[#This Row],[resolution_hrs]]&lt;=24,"Normal",IF(Ticket_Table[[#This Row],[resolution_hrs]]&lt;=48,"Slow","Very Slow")))</f>
        <v>Very Slow</v>
      </c>
      <c r="Q165" s="3">
        <f>YEAR(Ticket_Table[[#This Row],[raised_date]])</f>
        <v>2022</v>
      </c>
    </row>
    <row r="166" spans="1:17">
      <c r="A166" t="s">
        <v>463</v>
      </c>
      <c r="B166" t="s">
        <v>464</v>
      </c>
      <c r="C166" t="s">
        <v>175</v>
      </c>
      <c r="D166" t="s">
        <v>36</v>
      </c>
      <c r="E166" t="s">
        <v>69</v>
      </c>
      <c r="F166" t="s">
        <v>22</v>
      </c>
      <c r="G166" t="s">
        <v>74</v>
      </c>
      <c r="H166" s="1">
        <v>44984</v>
      </c>
      <c r="I166" s="2">
        <v>44986.45</v>
      </c>
      <c r="J166">
        <v>58.8</v>
      </c>
      <c r="K166" t="s">
        <v>24</v>
      </c>
      <c r="L166">
        <v>0</v>
      </c>
      <c r="M166">
        <v>4</v>
      </c>
      <c r="N166" t="s">
        <v>63</v>
      </c>
      <c r="O166" s="3" t="str">
        <f>TEXT(Ticket_Table[[#This Row],[raised_date]],"YYYY-MM")</f>
        <v>2023-02</v>
      </c>
      <c r="P166" s="3" t="str">
        <f>IF(Ticket_Table[[#This Row],[resolution_hrs]]&lt;=4,"Fast",IF(Ticket_Table[[#This Row],[resolution_hrs]]&lt;=24,"Normal",IF(Ticket_Table[[#This Row],[resolution_hrs]]&lt;=48,"Slow","Very Slow")))</f>
        <v>Very Slow</v>
      </c>
      <c r="Q166" s="3">
        <f>YEAR(Ticket_Table[[#This Row],[raised_date]])</f>
        <v>2023</v>
      </c>
    </row>
    <row r="167" spans="1:17">
      <c r="A167" t="s">
        <v>465</v>
      </c>
      <c r="B167" t="s">
        <v>466</v>
      </c>
      <c r="C167" t="s">
        <v>201</v>
      </c>
      <c r="D167" t="s">
        <v>36</v>
      </c>
      <c r="E167" t="s">
        <v>44</v>
      </c>
      <c r="F167" t="s">
        <v>70</v>
      </c>
      <c r="G167" t="s">
        <v>74</v>
      </c>
      <c r="H167" s="1">
        <v>45186</v>
      </c>
      <c r="I167" s="2">
        <v>45186.6916666667</v>
      </c>
      <c r="J167">
        <v>16.6</v>
      </c>
      <c r="K167" t="s">
        <v>24</v>
      </c>
      <c r="L167">
        <v>0</v>
      </c>
      <c r="M167">
        <v>2</v>
      </c>
      <c r="N167" t="s">
        <v>124</v>
      </c>
      <c r="O167" s="3" t="str">
        <f>TEXT(Ticket_Table[[#This Row],[raised_date]],"YYYY-MM")</f>
        <v>2023-09</v>
      </c>
      <c r="P167" s="3" t="str">
        <f>IF(Ticket_Table[[#This Row],[resolution_hrs]]&lt;=4,"Fast",IF(Ticket_Table[[#This Row],[resolution_hrs]]&lt;=24,"Normal",IF(Ticket_Table[[#This Row],[resolution_hrs]]&lt;=48,"Slow","Very Slow")))</f>
        <v>Normal</v>
      </c>
      <c r="Q167" s="3">
        <f>YEAR(Ticket_Table[[#This Row],[raised_date]])</f>
        <v>2023</v>
      </c>
    </row>
    <row r="168" spans="1:17">
      <c r="A168" t="s">
        <v>467</v>
      </c>
      <c r="B168" t="s">
        <v>468</v>
      </c>
      <c r="C168" t="s">
        <v>261</v>
      </c>
      <c r="D168" t="s">
        <v>29</v>
      </c>
      <c r="E168" t="s">
        <v>44</v>
      </c>
      <c r="F168" t="s">
        <v>70</v>
      </c>
      <c r="G168" t="s">
        <v>91</v>
      </c>
      <c r="H168" s="1">
        <v>44415</v>
      </c>
      <c r="I168" s="2">
        <v>44417.3208333333</v>
      </c>
      <c r="J168">
        <v>55.7</v>
      </c>
      <c r="K168" t="s">
        <v>32</v>
      </c>
      <c r="L168">
        <v>0</v>
      </c>
      <c r="M168">
        <v>3</v>
      </c>
      <c r="N168" t="s">
        <v>302</v>
      </c>
      <c r="O168" s="3" t="str">
        <f>TEXT(Ticket_Table[[#This Row],[raised_date]],"YYYY-MM")</f>
        <v>2021-08</v>
      </c>
      <c r="P168" s="3" t="str">
        <f>IF(Ticket_Table[[#This Row],[resolution_hrs]]&lt;=4,"Fast",IF(Ticket_Table[[#This Row],[resolution_hrs]]&lt;=24,"Normal",IF(Ticket_Table[[#This Row],[resolution_hrs]]&lt;=48,"Slow","Very Slow")))</f>
        <v>Very Slow</v>
      </c>
      <c r="Q168" s="3">
        <f>YEAR(Ticket_Table[[#This Row],[raised_date]])</f>
        <v>2021</v>
      </c>
    </row>
    <row r="169" spans="1:17">
      <c r="A169" t="s">
        <v>469</v>
      </c>
      <c r="B169" t="s">
        <v>470</v>
      </c>
      <c r="C169" t="s">
        <v>133</v>
      </c>
      <c r="D169" t="s">
        <v>36</v>
      </c>
      <c r="E169" t="s">
        <v>106</v>
      </c>
      <c r="F169" t="s">
        <v>45</v>
      </c>
      <c r="G169" t="s">
        <v>23</v>
      </c>
      <c r="H169" s="1">
        <v>44682</v>
      </c>
      <c r="I169" s="2">
        <v>44682.1791666667</v>
      </c>
      <c r="J169">
        <v>4.3</v>
      </c>
      <c r="K169" t="s">
        <v>32</v>
      </c>
      <c r="L169">
        <v>0</v>
      </c>
      <c r="M169">
        <v>1</v>
      </c>
      <c r="N169" t="s">
        <v>471</v>
      </c>
      <c r="O169" s="3" t="str">
        <f>TEXT(Ticket_Table[[#This Row],[raised_date]],"YYYY-MM")</f>
        <v>2022-05</v>
      </c>
      <c r="P169" s="3" t="str">
        <f>IF(Ticket_Table[[#This Row],[resolution_hrs]]&lt;=4,"Fast",IF(Ticket_Table[[#This Row],[resolution_hrs]]&lt;=24,"Normal",IF(Ticket_Table[[#This Row],[resolution_hrs]]&lt;=48,"Slow","Very Slow")))</f>
        <v>Normal</v>
      </c>
      <c r="Q169" s="3">
        <f>YEAR(Ticket_Table[[#This Row],[raised_date]])</f>
        <v>2022</v>
      </c>
    </row>
    <row r="170" spans="1:17">
      <c r="A170" t="s">
        <v>472</v>
      </c>
      <c r="B170" t="s">
        <v>269</v>
      </c>
      <c r="C170" t="s">
        <v>261</v>
      </c>
      <c r="D170" t="s">
        <v>36</v>
      </c>
      <c r="E170" t="s">
        <v>166</v>
      </c>
      <c r="F170" t="s">
        <v>70</v>
      </c>
      <c r="G170" t="s">
        <v>23</v>
      </c>
      <c r="H170" s="1">
        <v>44978</v>
      </c>
      <c r="I170" s="2">
        <v>44978.8583333333</v>
      </c>
      <c r="J170">
        <v>20.6</v>
      </c>
      <c r="K170" t="s">
        <v>24</v>
      </c>
      <c r="L170">
        <v>2</v>
      </c>
      <c r="M170">
        <v>3</v>
      </c>
      <c r="N170" t="s">
        <v>216</v>
      </c>
      <c r="O170" s="3" t="str">
        <f>TEXT(Ticket_Table[[#This Row],[raised_date]],"YYYY-MM")</f>
        <v>2023-02</v>
      </c>
      <c r="P170" s="3" t="str">
        <f>IF(Ticket_Table[[#This Row],[resolution_hrs]]&lt;=4,"Fast",IF(Ticket_Table[[#This Row],[resolution_hrs]]&lt;=24,"Normal",IF(Ticket_Table[[#This Row],[resolution_hrs]]&lt;=48,"Slow","Very Slow")))</f>
        <v>Normal</v>
      </c>
      <c r="Q170" s="3">
        <f>YEAR(Ticket_Table[[#This Row],[raised_date]])</f>
        <v>2023</v>
      </c>
    </row>
    <row r="171" spans="1:17">
      <c r="A171" t="s">
        <v>473</v>
      </c>
      <c r="B171" t="s">
        <v>474</v>
      </c>
      <c r="C171" t="s">
        <v>213</v>
      </c>
      <c r="D171" t="s">
        <v>20</v>
      </c>
      <c r="E171" t="s">
        <v>83</v>
      </c>
      <c r="F171" t="s">
        <v>22</v>
      </c>
      <c r="G171" t="s">
        <v>23</v>
      </c>
      <c r="H171" s="1">
        <v>44932</v>
      </c>
      <c r="I171" s="2">
        <v>44932.9041666667</v>
      </c>
      <c r="J171">
        <v>21.7</v>
      </c>
      <c r="K171" t="s">
        <v>24</v>
      </c>
      <c r="L171">
        <v>0</v>
      </c>
      <c r="M171">
        <v>2</v>
      </c>
      <c r="N171" t="s">
        <v>389</v>
      </c>
      <c r="O171" s="3" t="str">
        <f>TEXT(Ticket_Table[[#This Row],[raised_date]],"YYYY-MM")</f>
        <v>2023-01</v>
      </c>
      <c r="P171" s="3" t="str">
        <f>IF(Ticket_Table[[#This Row],[resolution_hrs]]&lt;=4,"Fast",IF(Ticket_Table[[#This Row],[resolution_hrs]]&lt;=24,"Normal",IF(Ticket_Table[[#This Row],[resolution_hrs]]&lt;=48,"Slow","Very Slow")))</f>
        <v>Normal</v>
      </c>
      <c r="Q171" s="3">
        <f>YEAR(Ticket_Table[[#This Row],[raised_date]])</f>
        <v>2023</v>
      </c>
    </row>
    <row r="172" spans="1:17">
      <c r="A172" t="s">
        <v>475</v>
      </c>
      <c r="B172" t="s">
        <v>305</v>
      </c>
      <c r="C172" t="s">
        <v>78</v>
      </c>
      <c r="D172" t="s">
        <v>90</v>
      </c>
      <c r="E172" t="s">
        <v>56</v>
      </c>
      <c r="F172" t="s">
        <v>38</v>
      </c>
      <c r="G172" t="s">
        <v>31</v>
      </c>
      <c r="H172" s="1">
        <v>44802</v>
      </c>
      <c r="I172" s="2">
        <v>44803.2041666667</v>
      </c>
      <c r="J172">
        <v>28.9</v>
      </c>
      <c r="K172" t="s">
        <v>32</v>
      </c>
      <c r="L172">
        <v>0</v>
      </c>
      <c r="M172">
        <v>5</v>
      </c>
      <c r="N172" t="s">
        <v>476</v>
      </c>
      <c r="O172" s="3" t="str">
        <f>TEXT(Ticket_Table[[#This Row],[raised_date]],"YYYY-MM")</f>
        <v>2022-08</v>
      </c>
      <c r="P172" s="3" t="str">
        <f>IF(Ticket_Table[[#This Row],[resolution_hrs]]&lt;=4,"Fast",IF(Ticket_Table[[#This Row],[resolution_hrs]]&lt;=24,"Normal",IF(Ticket_Table[[#This Row],[resolution_hrs]]&lt;=48,"Slow","Very Slow")))</f>
        <v>Slow</v>
      </c>
      <c r="Q172" s="3">
        <f>YEAR(Ticket_Table[[#This Row],[raised_date]])</f>
        <v>2022</v>
      </c>
    </row>
    <row r="173" spans="1:17">
      <c r="A173" t="s">
        <v>477</v>
      </c>
      <c r="B173" t="s">
        <v>478</v>
      </c>
      <c r="C173" t="s">
        <v>42</v>
      </c>
      <c r="D173" t="s">
        <v>36</v>
      </c>
      <c r="E173" t="s">
        <v>83</v>
      </c>
      <c r="F173" t="s">
        <v>22</v>
      </c>
      <c r="G173" t="s">
        <v>23</v>
      </c>
      <c r="H173" s="1">
        <v>44801</v>
      </c>
      <c r="I173" s="2">
        <v>44804.0958333333</v>
      </c>
      <c r="J173">
        <v>74.3</v>
      </c>
      <c r="K173" t="s">
        <v>32</v>
      </c>
      <c r="L173">
        <v>0</v>
      </c>
      <c r="M173">
        <v>3</v>
      </c>
      <c r="N173" t="s">
        <v>479</v>
      </c>
      <c r="O173" s="3" t="str">
        <f>TEXT(Ticket_Table[[#This Row],[raised_date]],"YYYY-MM")</f>
        <v>2022-08</v>
      </c>
      <c r="P173" s="3" t="str">
        <f>IF(Ticket_Table[[#This Row],[resolution_hrs]]&lt;=4,"Fast",IF(Ticket_Table[[#This Row],[resolution_hrs]]&lt;=24,"Normal",IF(Ticket_Table[[#This Row],[resolution_hrs]]&lt;=48,"Slow","Very Slow")))</f>
        <v>Very Slow</v>
      </c>
      <c r="Q173" s="3">
        <f>YEAR(Ticket_Table[[#This Row],[raised_date]])</f>
        <v>2022</v>
      </c>
    </row>
    <row r="174" spans="1:17">
      <c r="A174" t="s">
        <v>480</v>
      </c>
      <c r="B174" t="s">
        <v>481</v>
      </c>
      <c r="C174" t="s">
        <v>287</v>
      </c>
      <c r="D174" t="s">
        <v>20</v>
      </c>
      <c r="E174" t="s">
        <v>37</v>
      </c>
      <c r="F174" t="s">
        <v>70</v>
      </c>
      <c r="G174" t="s">
        <v>46</v>
      </c>
      <c r="H174" s="1">
        <v>44241</v>
      </c>
      <c r="I174" s="2">
        <v>44243.9083333333</v>
      </c>
      <c r="J174">
        <v>69.8</v>
      </c>
      <c r="K174" t="s">
        <v>32</v>
      </c>
      <c r="L174">
        <v>0</v>
      </c>
      <c r="M174">
        <v>2</v>
      </c>
      <c r="N174" t="s">
        <v>141</v>
      </c>
      <c r="O174" s="3" t="str">
        <f>TEXT(Ticket_Table[[#This Row],[raised_date]],"YYYY-MM")</f>
        <v>2021-02</v>
      </c>
      <c r="P174" s="3" t="str">
        <f>IF(Ticket_Table[[#This Row],[resolution_hrs]]&lt;=4,"Fast",IF(Ticket_Table[[#This Row],[resolution_hrs]]&lt;=24,"Normal",IF(Ticket_Table[[#This Row],[resolution_hrs]]&lt;=48,"Slow","Very Slow")))</f>
        <v>Very Slow</v>
      </c>
      <c r="Q174" s="3">
        <f>YEAR(Ticket_Table[[#This Row],[raised_date]])</f>
        <v>2021</v>
      </c>
    </row>
    <row r="175" spans="1:17">
      <c r="A175" t="s">
        <v>482</v>
      </c>
      <c r="B175" t="s">
        <v>228</v>
      </c>
      <c r="C175" t="s">
        <v>19</v>
      </c>
      <c r="D175" t="s">
        <v>43</v>
      </c>
      <c r="E175" t="s">
        <v>51</v>
      </c>
      <c r="F175" t="s">
        <v>38</v>
      </c>
      <c r="G175" t="s">
        <v>46</v>
      </c>
      <c r="H175" s="1">
        <v>45007</v>
      </c>
      <c r="I175" s="2">
        <v>45007.7333333333</v>
      </c>
      <c r="J175">
        <v>17.6</v>
      </c>
      <c r="K175" t="s">
        <v>24</v>
      </c>
      <c r="L175">
        <v>0</v>
      </c>
      <c r="M175">
        <v>3</v>
      </c>
      <c r="N175" t="s">
        <v>426</v>
      </c>
      <c r="O175" s="3" t="str">
        <f>TEXT(Ticket_Table[[#This Row],[raised_date]],"YYYY-MM")</f>
        <v>2023-03</v>
      </c>
      <c r="P175" s="3" t="str">
        <f>IF(Ticket_Table[[#This Row],[resolution_hrs]]&lt;=4,"Fast",IF(Ticket_Table[[#This Row],[resolution_hrs]]&lt;=24,"Normal",IF(Ticket_Table[[#This Row],[resolution_hrs]]&lt;=48,"Slow","Very Slow")))</f>
        <v>Normal</v>
      </c>
      <c r="Q175" s="3">
        <f>YEAR(Ticket_Table[[#This Row],[raised_date]])</f>
        <v>2023</v>
      </c>
    </row>
    <row r="176" spans="1:17">
      <c r="A176" t="s">
        <v>483</v>
      </c>
      <c r="B176" t="s">
        <v>484</v>
      </c>
      <c r="C176" t="s">
        <v>133</v>
      </c>
      <c r="D176" t="s">
        <v>36</v>
      </c>
      <c r="E176" t="s">
        <v>69</v>
      </c>
      <c r="F176" t="s">
        <v>45</v>
      </c>
      <c r="G176" t="s">
        <v>31</v>
      </c>
      <c r="H176" s="1">
        <v>44759</v>
      </c>
      <c r="I176" s="2">
        <v>44759.0791666667</v>
      </c>
      <c r="J176">
        <v>1.9</v>
      </c>
      <c r="K176" t="s">
        <v>24</v>
      </c>
      <c r="L176">
        <v>0</v>
      </c>
      <c r="M176">
        <v>4</v>
      </c>
      <c r="N176" t="s">
        <v>485</v>
      </c>
      <c r="O176" s="3" t="str">
        <f>TEXT(Ticket_Table[[#This Row],[raised_date]],"YYYY-MM")</f>
        <v>2022-07</v>
      </c>
      <c r="P176" s="3" t="str">
        <f>IF(Ticket_Table[[#This Row],[resolution_hrs]]&lt;=4,"Fast",IF(Ticket_Table[[#This Row],[resolution_hrs]]&lt;=24,"Normal",IF(Ticket_Table[[#This Row],[resolution_hrs]]&lt;=48,"Slow","Very Slow")))</f>
        <v>Fast</v>
      </c>
      <c r="Q176" s="3">
        <f>YEAR(Ticket_Table[[#This Row],[raised_date]])</f>
        <v>2022</v>
      </c>
    </row>
    <row r="177" spans="1:17">
      <c r="A177" t="s">
        <v>486</v>
      </c>
      <c r="B177" t="s">
        <v>310</v>
      </c>
      <c r="C177" t="s">
        <v>64</v>
      </c>
      <c r="D177" t="s">
        <v>43</v>
      </c>
      <c r="E177" t="s">
        <v>37</v>
      </c>
      <c r="F177" t="s">
        <v>38</v>
      </c>
      <c r="G177" t="s">
        <v>46</v>
      </c>
      <c r="H177" s="1">
        <v>44213</v>
      </c>
      <c r="I177" s="2">
        <v>44214.0208333333</v>
      </c>
      <c r="J177">
        <v>24.5</v>
      </c>
      <c r="K177" t="s">
        <v>32</v>
      </c>
      <c r="L177">
        <v>0</v>
      </c>
      <c r="M177">
        <v>4</v>
      </c>
      <c r="N177" t="s">
        <v>487</v>
      </c>
      <c r="O177" s="3" t="str">
        <f>TEXT(Ticket_Table[[#This Row],[raised_date]],"YYYY-MM")</f>
        <v>2021-01</v>
      </c>
      <c r="P177" s="3" t="str">
        <f>IF(Ticket_Table[[#This Row],[resolution_hrs]]&lt;=4,"Fast",IF(Ticket_Table[[#This Row],[resolution_hrs]]&lt;=24,"Normal",IF(Ticket_Table[[#This Row],[resolution_hrs]]&lt;=48,"Slow","Very Slow")))</f>
        <v>Slow</v>
      </c>
      <c r="Q177" s="3">
        <f>YEAR(Ticket_Table[[#This Row],[raised_date]])</f>
        <v>2021</v>
      </c>
    </row>
    <row r="178" spans="1:17">
      <c r="A178" t="s">
        <v>488</v>
      </c>
      <c r="B178" t="s">
        <v>132</v>
      </c>
      <c r="C178" t="s">
        <v>64</v>
      </c>
      <c r="D178" t="s">
        <v>36</v>
      </c>
      <c r="E178" t="s">
        <v>166</v>
      </c>
      <c r="F178" t="s">
        <v>38</v>
      </c>
      <c r="G178" t="s">
        <v>74</v>
      </c>
      <c r="H178" s="1">
        <v>44297</v>
      </c>
      <c r="I178" s="2">
        <v>44297.1041666667</v>
      </c>
      <c r="J178">
        <v>2.5</v>
      </c>
      <c r="K178" t="s">
        <v>24</v>
      </c>
      <c r="L178">
        <v>2</v>
      </c>
      <c r="M178">
        <v>2</v>
      </c>
      <c r="N178" t="s">
        <v>489</v>
      </c>
      <c r="O178" s="3" t="str">
        <f>TEXT(Ticket_Table[[#This Row],[raised_date]],"YYYY-MM")</f>
        <v>2021-04</v>
      </c>
      <c r="P178" s="3" t="str">
        <f>IF(Ticket_Table[[#This Row],[resolution_hrs]]&lt;=4,"Fast",IF(Ticket_Table[[#This Row],[resolution_hrs]]&lt;=24,"Normal",IF(Ticket_Table[[#This Row],[resolution_hrs]]&lt;=48,"Slow","Very Slow")))</f>
        <v>Fast</v>
      </c>
      <c r="Q178" s="3">
        <f>YEAR(Ticket_Table[[#This Row],[raised_date]])</f>
        <v>2021</v>
      </c>
    </row>
    <row r="179" spans="1:17">
      <c r="A179" t="s">
        <v>490</v>
      </c>
      <c r="B179" t="s">
        <v>491</v>
      </c>
      <c r="C179" t="s">
        <v>201</v>
      </c>
      <c r="D179" t="s">
        <v>29</v>
      </c>
      <c r="E179" t="s">
        <v>83</v>
      </c>
      <c r="F179" t="s">
        <v>38</v>
      </c>
      <c r="G179" t="s">
        <v>23</v>
      </c>
      <c r="H179" s="1">
        <v>45214</v>
      </c>
      <c r="I179" s="2">
        <v>45214.9833333333</v>
      </c>
      <c r="J179">
        <v>23.6</v>
      </c>
      <c r="K179" t="s">
        <v>24</v>
      </c>
      <c r="L179">
        <v>0</v>
      </c>
      <c r="M179">
        <v>4</v>
      </c>
      <c r="N179" t="s">
        <v>101</v>
      </c>
      <c r="O179" s="3" t="str">
        <f>TEXT(Ticket_Table[[#This Row],[raised_date]],"YYYY-MM")</f>
        <v>2023-10</v>
      </c>
      <c r="P179" s="3" t="str">
        <f>IF(Ticket_Table[[#This Row],[resolution_hrs]]&lt;=4,"Fast",IF(Ticket_Table[[#This Row],[resolution_hrs]]&lt;=24,"Normal",IF(Ticket_Table[[#This Row],[resolution_hrs]]&lt;=48,"Slow","Very Slow")))</f>
        <v>Normal</v>
      </c>
      <c r="Q179" s="3">
        <f>YEAR(Ticket_Table[[#This Row],[raised_date]])</f>
        <v>2023</v>
      </c>
    </row>
    <row r="180" spans="1:17">
      <c r="A180" t="s">
        <v>492</v>
      </c>
      <c r="B180" t="s">
        <v>394</v>
      </c>
      <c r="C180" t="s">
        <v>95</v>
      </c>
      <c r="D180" t="s">
        <v>20</v>
      </c>
      <c r="E180" t="s">
        <v>37</v>
      </c>
      <c r="F180" t="s">
        <v>45</v>
      </c>
      <c r="G180" t="s">
        <v>74</v>
      </c>
      <c r="H180" s="1">
        <v>44783</v>
      </c>
      <c r="I180" s="2">
        <v>44783.1</v>
      </c>
      <c r="J180">
        <v>2.4</v>
      </c>
      <c r="K180" t="s">
        <v>24</v>
      </c>
      <c r="L180">
        <v>0</v>
      </c>
      <c r="M180">
        <v>3</v>
      </c>
      <c r="N180" t="s">
        <v>493</v>
      </c>
      <c r="O180" s="3" t="str">
        <f>TEXT(Ticket_Table[[#This Row],[raised_date]],"YYYY-MM")</f>
        <v>2022-08</v>
      </c>
      <c r="P180" s="3" t="str">
        <f>IF(Ticket_Table[[#This Row],[resolution_hrs]]&lt;=4,"Fast",IF(Ticket_Table[[#This Row],[resolution_hrs]]&lt;=24,"Normal",IF(Ticket_Table[[#This Row],[resolution_hrs]]&lt;=48,"Slow","Very Slow")))</f>
        <v>Fast</v>
      </c>
      <c r="Q180" s="3">
        <f>YEAR(Ticket_Table[[#This Row],[raised_date]])</f>
        <v>2022</v>
      </c>
    </row>
    <row r="181" spans="1:17">
      <c r="A181" t="s">
        <v>494</v>
      </c>
      <c r="B181" t="s">
        <v>495</v>
      </c>
      <c r="C181" t="s">
        <v>102</v>
      </c>
      <c r="D181" t="s">
        <v>20</v>
      </c>
      <c r="E181" t="s">
        <v>56</v>
      </c>
      <c r="F181" t="s">
        <v>22</v>
      </c>
      <c r="G181" t="s">
        <v>91</v>
      </c>
      <c r="H181" s="1">
        <v>44668</v>
      </c>
      <c r="I181" s="2">
        <v>44669.9791666667</v>
      </c>
      <c r="J181">
        <v>47.5</v>
      </c>
      <c r="K181" t="s">
        <v>24</v>
      </c>
      <c r="L181">
        <v>0</v>
      </c>
      <c r="M181">
        <v>4</v>
      </c>
      <c r="N181" t="s">
        <v>496</v>
      </c>
      <c r="O181" s="3" t="str">
        <f>TEXT(Ticket_Table[[#This Row],[raised_date]],"YYYY-MM")</f>
        <v>2022-04</v>
      </c>
      <c r="P181" s="3" t="str">
        <f>IF(Ticket_Table[[#This Row],[resolution_hrs]]&lt;=4,"Fast",IF(Ticket_Table[[#This Row],[resolution_hrs]]&lt;=24,"Normal",IF(Ticket_Table[[#This Row],[resolution_hrs]]&lt;=48,"Slow","Very Slow")))</f>
        <v>Slow</v>
      </c>
      <c r="Q181" s="3">
        <f>YEAR(Ticket_Table[[#This Row],[raised_date]])</f>
        <v>2022</v>
      </c>
    </row>
    <row r="182" spans="1:17">
      <c r="A182" t="s">
        <v>497</v>
      </c>
      <c r="B182" t="s">
        <v>304</v>
      </c>
      <c r="C182" t="s">
        <v>19</v>
      </c>
      <c r="D182" t="s">
        <v>29</v>
      </c>
      <c r="E182" t="s">
        <v>44</v>
      </c>
      <c r="F182" t="s">
        <v>22</v>
      </c>
      <c r="G182" t="s">
        <v>23</v>
      </c>
      <c r="H182" s="1">
        <v>44918</v>
      </c>
      <c r="I182" s="2">
        <v>44919.5333333333</v>
      </c>
      <c r="J182">
        <v>36.8</v>
      </c>
      <c r="K182" t="s">
        <v>24</v>
      </c>
      <c r="L182">
        <v>0</v>
      </c>
      <c r="M182">
        <v>4</v>
      </c>
      <c r="N182" t="s">
        <v>315</v>
      </c>
      <c r="O182" s="3" t="str">
        <f>TEXT(Ticket_Table[[#This Row],[raised_date]],"YYYY-MM")</f>
        <v>2022-12</v>
      </c>
      <c r="P182" s="3" t="str">
        <f>IF(Ticket_Table[[#This Row],[resolution_hrs]]&lt;=4,"Fast",IF(Ticket_Table[[#This Row],[resolution_hrs]]&lt;=24,"Normal",IF(Ticket_Table[[#This Row],[resolution_hrs]]&lt;=48,"Slow","Very Slow")))</f>
        <v>Slow</v>
      </c>
      <c r="Q182" s="3">
        <f>YEAR(Ticket_Table[[#This Row],[raised_date]])</f>
        <v>2022</v>
      </c>
    </row>
    <row r="183" spans="1:17">
      <c r="A183" t="s">
        <v>498</v>
      </c>
      <c r="B183" t="s">
        <v>426</v>
      </c>
      <c r="C183" t="s">
        <v>82</v>
      </c>
      <c r="D183" t="s">
        <v>90</v>
      </c>
      <c r="E183" t="s">
        <v>21</v>
      </c>
      <c r="F183" t="s">
        <v>22</v>
      </c>
      <c r="G183" t="s">
        <v>46</v>
      </c>
      <c r="H183" s="1">
        <v>44645</v>
      </c>
      <c r="I183" s="2">
        <v>44648.6333333333</v>
      </c>
      <c r="J183">
        <v>87.2</v>
      </c>
      <c r="K183" t="s">
        <v>32</v>
      </c>
      <c r="L183">
        <v>0</v>
      </c>
      <c r="M183">
        <v>4</v>
      </c>
      <c r="N183" t="s">
        <v>499</v>
      </c>
      <c r="O183" s="3" t="str">
        <f>TEXT(Ticket_Table[[#This Row],[raised_date]],"YYYY-MM")</f>
        <v>2022-03</v>
      </c>
      <c r="P183" s="3" t="str">
        <f>IF(Ticket_Table[[#This Row],[resolution_hrs]]&lt;=4,"Fast",IF(Ticket_Table[[#This Row],[resolution_hrs]]&lt;=24,"Normal",IF(Ticket_Table[[#This Row],[resolution_hrs]]&lt;=48,"Slow","Very Slow")))</f>
        <v>Very Slow</v>
      </c>
      <c r="Q183" s="3">
        <f>YEAR(Ticket_Table[[#This Row],[raised_date]])</f>
        <v>2022</v>
      </c>
    </row>
    <row r="184" spans="1:17">
      <c r="A184" t="s">
        <v>500</v>
      </c>
      <c r="B184" t="s">
        <v>501</v>
      </c>
      <c r="C184" t="s">
        <v>287</v>
      </c>
      <c r="D184" t="s">
        <v>20</v>
      </c>
      <c r="E184" t="s">
        <v>30</v>
      </c>
      <c r="F184" t="s">
        <v>22</v>
      </c>
      <c r="G184" t="s">
        <v>46</v>
      </c>
      <c r="H184" s="1">
        <v>44586</v>
      </c>
      <c r="I184" s="2">
        <v>44589.4208333333</v>
      </c>
      <c r="J184">
        <v>82.1</v>
      </c>
      <c r="K184" t="s">
        <v>32</v>
      </c>
      <c r="L184">
        <v>0</v>
      </c>
      <c r="M184">
        <v>4</v>
      </c>
      <c r="N184" t="s">
        <v>27</v>
      </c>
      <c r="O184" s="3" t="str">
        <f>TEXT(Ticket_Table[[#This Row],[raised_date]],"YYYY-MM")</f>
        <v>2022-01</v>
      </c>
      <c r="P184" s="3" t="str">
        <f>IF(Ticket_Table[[#This Row],[resolution_hrs]]&lt;=4,"Fast",IF(Ticket_Table[[#This Row],[resolution_hrs]]&lt;=24,"Normal",IF(Ticket_Table[[#This Row],[resolution_hrs]]&lt;=48,"Slow","Very Slow")))</f>
        <v>Very Slow</v>
      </c>
      <c r="Q184" s="3">
        <f>YEAR(Ticket_Table[[#This Row],[raised_date]])</f>
        <v>2022</v>
      </c>
    </row>
    <row r="185" spans="1:17">
      <c r="A185" t="s">
        <v>502</v>
      </c>
      <c r="B185" t="s">
        <v>503</v>
      </c>
      <c r="C185" t="s">
        <v>78</v>
      </c>
      <c r="D185" t="s">
        <v>43</v>
      </c>
      <c r="E185" t="s">
        <v>37</v>
      </c>
      <c r="F185" t="s">
        <v>38</v>
      </c>
      <c r="G185" t="s">
        <v>23</v>
      </c>
      <c r="H185" s="1">
        <v>44710</v>
      </c>
      <c r="I185" s="2">
        <v>44710.1041666667</v>
      </c>
      <c r="J185">
        <v>2.5</v>
      </c>
      <c r="K185" t="s">
        <v>24</v>
      </c>
      <c r="L185">
        <v>0</v>
      </c>
      <c r="M185">
        <v>1</v>
      </c>
      <c r="N185" t="s">
        <v>504</v>
      </c>
      <c r="O185" s="3" t="str">
        <f>TEXT(Ticket_Table[[#This Row],[raised_date]],"YYYY-MM")</f>
        <v>2022-05</v>
      </c>
      <c r="P185" s="3" t="str">
        <f>IF(Ticket_Table[[#This Row],[resolution_hrs]]&lt;=4,"Fast",IF(Ticket_Table[[#This Row],[resolution_hrs]]&lt;=24,"Normal",IF(Ticket_Table[[#This Row],[resolution_hrs]]&lt;=48,"Slow","Very Slow")))</f>
        <v>Fast</v>
      </c>
      <c r="Q185" s="3">
        <f>YEAR(Ticket_Table[[#This Row],[raised_date]])</f>
        <v>2022</v>
      </c>
    </row>
    <row r="186" spans="1:17">
      <c r="A186" t="s">
        <v>505</v>
      </c>
      <c r="B186" t="s">
        <v>71</v>
      </c>
      <c r="C186" t="s">
        <v>19</v>
      </c>
      <c r="D186" t="s">
        <v>20</v>
      </c>
      <c r="E186" t="s">
        <v>166</v>
      </c>
      <c r="F186" t="s">
        <v>70</v>
      </c>
      <c r="G186" t="s">
        <v>23</v>
      </c>
      <c r="H186" s="1">
        <v>44477</v>
      </c>
      <c r="I186" s="2">
        <v>44479.2333333333</v>
      </c>
      <c r="J186">
        <v>53.6</v>
      </c>
      <c r="K186" t="s">
        <v>32</v>
      </c>
      <c r="L186">
        <v>2</v>
      </c>
      <c r="M186">
        <v>4</v>
      </c>
      <c r="N186" t="s">
        <v>506</v>
      </c>
      <c r="O186" s="3" t="str">
        <f>TEXT(Ticket_Table[[#This Row],[raised_date]],"YYYY-MM")</f>
        <v>2021-10</v>
      </c>
      <c r="P186" s="3" t="str">
        <f>IF(Ticket_Table[[#This Row],[resolution_hrs]]&lt;=4,"Fast",IF(Ticket_Table[[#This Row],[resolution_hrs]]&lt;=24,"Normal",IF(Ticket_Table[[#This Row],[resolution_hrs]]&lt;=48,"Slow","Very Slow")))</f>
        <v>Very Slow</v>
      </c>
      <c r="Q186" s="3">
        <f>YEAR(Ticket_Table[[#This Row],[raised_date]])</f>
        <v>2021</v>
      </c>
    </row>
    <row r="187" spans="1:17">
      <c r="A187" t="s">
        <v>507</v>
      </c>
      <c r="B187" t="s">
        <v>300</v>
      </c>
      <c r="C187" t="s">
        <v>201</v>
      </c>
      <c r="D187" t="s">
        <v>90</v>
      </c>
      <c r="E187" t="s">
        <v>69</v>
      </c>
      <c r="F187" t="s">
        <v>70</v>
      </c>
      <c r="G187" t="s">
        <v>31</v>
      </c>
      <c r="H187" s="1">
        <v>44395</v>
      </c>
      <c r="I187" s="2">
        <v>44397.7791666667</v>
      </c>
      <c r="J187">
        <v>66.7</v>
      </c>
      <c r="K187" t="s">
        <v>32</v>
      </c>
      <c r="L187">
        <v>0</v>
      </c>
      <c r="M187">
        <v>3</v>
      </c>
      <c r="N187" t="s">
        <v>112</v>
      </c>
      <c r="O187" s="3" t="str">
        <f>TEXT(Ticket_Table[[#This Row],[raised_date]],"YYYY-MM")</f>
        <v>2021-07</v>
      </c>
      <c r="P187" s="3" t="str">
        <f>IF(Ticket_Table[[#This Row],[resolution_hrs]]&lt;=4,"Fast",IF(Ticket_Table[[#This Row],[resolution_hrs]]&lt;=24,"Normal",IF(Ticket_Table[[#This Row],[resolution_hrs]]&lt;=48,"Slow","Very Slow")))</f>
        <v>Very Slow</v>
      </c>
      <c r="Q187" s="3">
        <f>YEAR(Ticket_Table[[#This Row],[raised_date]])</f>
        <v>2021</v>
      </c>
    </row>
    <row r="188" spans="1:17">
      <c r="A188" t="s">
        <v>508</v>
      </c>
      <c r="B188" t="s">
        <v>509</v>
      </c>
      <c r="C188" t="s">
        <v>95</v>
      </c>
      <c r="D188" t="s">
        <v>43</v>
      </c>
      <c r="E188" t="s">
        <v>51</v>
      </c>
      <c r="F188" t="s">
        <v>22</v>
      </c>
      <c r="G188" t="s">
        <v>23</v>
      </c>
      <c r="H188" s="1">
        <v>44277</v>
      </c>
      <c r="I188" s="2">
        <v>44277.825</v>
      </c>
      <c r="J188">
        <v>19.8</v>
      </c>
      <c r="K188" t="s">
        <v>24</v>
      </c>
      <c r="L188">
        <v>0</v>
      </c>
      <c r="M188">
        <v>5</v>
      </c>
      <c r="N188" t="s">
        <v>510</v>
      </c>
      <c r="O188" s="3" t="str">
        <f>TEXT(Ticket_Table[[#This Row],[raised_date]],"YYYY-MM")</f>
        <v>2021-03</v>
      </c>
      <c r="P188" s="3" t="str">
        <f>IF(Ticket_Table[[#This Row],[resolution_hrs]]&lt;=4,"Fast",IF(Ticket_Table[[#This Row],[resolution_hrs]]&lt;=24,"Normal",IF(Ticket_Table[[#This Row],[resolution_hrs]]&lt;=48,"Slow","Very Slow")))</f>
        <v>Normal</v>
      </c>
      <c r="Q188" s="3">
        <f>YEAR(Ticket_Table[[#This Row],[raised_date]])</f>
        <v>2021</v>
      </c>
    </row>
    <row r="189" spans="1:17">
      <c r="A189" t="s">
        <v>511</v>
      </c>
      <c r="B189" t="s">
        <v>485</v>
      </c>
      <c r="C189" t="s">
        <v>117</v>
      </c>
      <c r="D189" t="s">
        <v>43</v>
      </c>
      <c r="E189" t="s">
        <v>56</v>
      </c>
      <c r="F189" t="s">
        <v>38</v>
      </c>
      <c r="G189" t="s">
        <v>23</v>
      </c>
      <c r="H189" s="1">
        <v>44829</v>
      </c>
      <c r="I189" s="2">
        <v>44830.1875</v>
      </c>
      <c r="J189">
        <v>28.5</v>
      </c>
      <c r="K189" t="s">
        <v>32</v>
      </c>
      <c r="L189">
        <v>1</v>
      </c>
      <c r="M189">
        <v>3</v>
      </c>
      <c r="N189" t="s">
        <v>512</v>
      </c>
      <c r="O189" s="3" t="str">
        <f>TEXT(Ticket_Table[[#This Row],[raised_date]],"YYYY-MM")</f>
        <v>2022-09</v>
      </c>
      <c r="P189" s="3" t="str">
        <f>IF(Ticket_Table[[#This Row],[resolution_hrs]]&lt;=4,"Fast",IF(Ticket_Table[[#This Row],[resolution_hrs]]&lt;=24,"Normal",IF(Ticket_Table[[#This Row],[resolution_hrs]]&lt;=48,"Slow","Very Slow")))</f>
        <v>Slow</v>
      </c>
      <c r="Q189" s="3">
        <f>YEAR(Ticket_Table[[#This Row],[raised_date]])</f>
        <v>2022</v>
      </c>
    </row>
    <row r="190" spans="1:17">
      <c r="A190" t="s">
        <v>513</v>
      </c>
      <c r="B190" t="s">
        <v>92</v>
      </c>
      <c r="C190" t="s">
        <v>287</v>
      </c>
      <c r="D190" t="s">
        <v>29</v>
      </c>
      <c r="E190" t="s">
        <v>106</v>
      </c>
      <c r="F190" t="s">
        <v>70</v>
      </c>
      <c r="G190" t="s">
        <v>91</v>
      </c>
      <c r="H190" s="1">
        <v>45099</v>
      </c>
      <c r="I190" s="2">
        <v>45100.475</v>
      </c>
      <c r="J190">
        <v>35.4</v>
      </c>
      <c r="K190" t="s">
        <v>24</v>
      </c>
      <c r="L190">
        <v>0</v>
      </c>
      <c r="M190">
        <v>4</v>
      </c>
      <c r="N190" t="s">
        <v>428</v>
      </c>
      <c r="O190" s="3" t="str">
        <f>TEXT(Ticket_Table[[#This Row],[raised_date]],"YYYY-MM")</f>
        <v>2023-06</v>
      </c>
      <c r="P190" s="3" t="str">
        <f>IF(Ticket_Table[[#This Row],[resolution_hrs]]&lt;=4,"Fast",IF(Ticket_Table[[#This Row],[resolution_hrs]]&lt;=24,"Normal",IF(Ticket_Table[[#This Row],[resolution_hrs]]&lt;=48,"Slow","Very Slow")))</f>
        <v>Slow</v>
      </c>
      <c r="Q190" s="3">
        <f>YEAR(Ticket_Table[[#This Row],[raised_date]])</f>
        <v>2023</v>
      </c>
    </row>
    <row r="191" spans="1:17">
      <c r="A191" t="s">
        <v>514</v>
      </c>
      <c r="B191" t="s">
        <v>515</v>
      </c>
      <c r="C191" t="s">
        <v>28</v>
      </c>
      <c r="D191" t="s">
        <v>36</v>
      </c>
      <c r="E191" t="s">
        <v>166</v>
      </c>
      <c r="F191" t="s">
        <v>38</v>
      </c>
      <c r="G191" t="s">
        <v>23</v>
      </c>
      <c r="H191" s="1">
        <v>44265</v>
      </c>
      <c r="I191" s="2">
        <v>44265.2125</v>
      </c>
      <c r="J191">
        <v>5.1</v>
      </c>
      <c r="K191" t="s">
        <v>24</v>
      </c>
      <c r="L191">
        <v>0</v>
      </c>
      <c r="M191">
        <v>3</v>
      </c>
      <c r="N191" t="s">
        <v>251</v>
      </c>
      <c r="O191" s="3" t="str">
        <f>TEXT(Ticket_Table[[#This Row],[raised_date]],"YYYY-MM")</f>
        <v>2021-03</v>
      </c>
      <c r="P191" s="3" t="str">
        <f>IF(Ticket_Table[[#This Row],[resolution_hrs]]&lt;=4,"Fast",IF(Ticket_Table[[#This Row],[resolution_hrs]]&lt;=24,"Normal",IF(Ticket_Table[[#This Row],[resolution_hrs]]&lt;=48,"Slow","Very Slow")))</f>
        <v>Normal</v>
      </c>
      <c r="Q191" s="3">
        <f>YEAR(Ticket_Table[[#This Row],[raised_date]])</f>
        <v>2021</v>
      </c>
    </row>
    <row r="192" spans="1:17">
      <c r="A192" t="s">
        <v>516</v>
      </c>
      <c r="B192" t="s">
        <v>517</v>
      </c>
      <c r="C192" t="s">
        <v>50</v>
      </c>
      <c r="D192" t="s">
        <v>29</v>
      </c>
      <c r="E192" t="s">
        <v>83</v>
      </c>
      <c r="F192" t="s">
        <v>70</v>
      </c>
      <c r="G192" t="s">
        <v>23</v>
      </c>
      <c r="H192" s="1">
        <v>44944</v>
      </c>
      <c r="I192" s="2">
        <v>44946.6916666667</v>
      </c>
      <c r="J192">
        <v>64.6</v>
      </c>
      <c r="K192" t="s">
        <v>32</v>
      </c>
      <c r="L192">
        <v>0</v>
      </c>
      <c r="M192">
        <v>2</v>
      </c>
      <c r="N192" t="s">
        <v>518</v>
      </c>
      <c r="O192" s="3" t="str">
        <f>TEXT(Ticket_Table[[#This Row],[raised_date]],"YYYY-MM")</f>
        <v>2023-01</v>
      </c>
      <c r="P192" s="3" t="str">
        <f>IF(Ticket_Table[[#This Row],[resolution_hrs]]&lt;=4,"Fast",IF(Ticket_Table[[#This Row],[resolution_hrs]]&lt;=24,"Normal",IF(Ticket_Table[[#This Row],[resolution_hrs]]&lt;=48,"Slow","Very Slow")))</f>
        <v>Very Slow</v>
      </c>
      <c r="Q192" s="3">
        <f>YEAR(Ticket_Table[[#This Row],[raised_date]])</f>
        <v>2023</v>
      </c>
    </row>
    <row r="193" spans="1:17">
      <c r="A193" t="s">
        <v>519</v>
      </c>
      <c r="B193" t="s">
        <v>419</v>
      </c>
      <c r="C193" t="s">
        <v>213</v>
      </c>
      <c r="D193" t="s">
        <v>36</v>
      </c>
      <c r="E193" t="s">
        <v>21</v>
      </c>
      <c r="F193" t="s">
        <v>70</v>
      </c>
      <c r="G193" t="s">
        <v>31</v>
      </c>
      <c r="H193" s="1">
        <v>44466</v>
      </c>
      <c r="I193" s="2">
        <v>44468.175</v>
      </c>
      <c r="J193">
        <v>52.2</v>
      </c>
      <c r="K193" t="s">
        <v>32</v>
      </c>
      <c r="L193">
        <v>1</v>
      </c>
      <c r="M193">
        <v>4</v>
      </c>
      <c r="N193" t="s">
        <v>335</v>
      </c>
      <c r="O193" s="3" t="str">
        <f>TEXT(Ticket_Table[[#This Row],[raised_date]],"YYYY-MM")</f>
        <v>2021-09</v>
      </c>
      <c r="P193" s="3" t="str">
        <f>IF(Ticket_Table[[#This Row],[resolution_hrs]]&lt;=4,"Fast",IF(Ticket_Table[[#This Row],[resolution_hrs]]&lt;=24,"Normal",IF(Ticket_Table[[#This Row],[resolution_hrs]]&lt;=48,"Slow","Very Slow")))</f>
        <v>Very Slow</v>
      </c>
      <c r="Q193" s="3">
        <f>YEAR(Ticket_Table[[#This Row],[raised_date]])</f>
        <v>2021</v>
      </c>
    </row>
    <row r="194" spans="1:17">
      <c r="A194" t="s">
        <v>520</v>
      </c>
      <c r="B194" t="s">
        <v>218</v>
      </c>
      <c r="C194" t="s">
        <v>261</v>
      </c>
      <c r="D194" t="s">
        <v>29</v>
      </c>
      <c r="E194" t="s">
        <v>83</v>
      </c>
      <c r="F194" t="s">
        <v>22</v>
      </c>
      <c r="G194" t="s">
        <v>31</v>
      </c>
      <c r="H194" s="1">
        <v>44381</v>
      </c>
      <c r="I194" s="2">
        <v>44383.6833333333</v>
      </c>
      <c r="J194">
        <v>64.4</v>
      </c>
      <c r="K194" t="s">
        <v>24</v>
      </c>
      <c r="L194">
        <v>0</v>
      </c>
      <c r="M194">
        <v>4</v>
      </c>
      <c r="N194" t="s">
        <v>521</v>
      </c>
      <c r="O194" s="3" t="str">
        <f>TEXT(Ticket_Table[[#This Row],[raised_date]],"YYYY-MM")</f>
        <v>2021-07</v>
      </c>
      <c r="P194" s="3" t="str">
        <f>IF(Ticket_Table[[#This Row],[resolution_hrs]]&lt;=4,"Fast",IF(Ticket_Table[[#This Row],[resolution_hrs]]&lt;=24,"Normal",IF(Ticket_Table[[#This Row],[resolution_hrs]]&lt;=48,"Slow","Very Slow")))</f>
        <v>Very Slow</v>
      </c>
      <c r="Q194" s="3">
        <f>YEAR(Ticket_Table[[#This Row],[raised_date]])</f>
        <v>2021</v>
      </c>
    </row>
    <row r="195" spans="1:17">
      <c r="A195" t="s">
        <v>522</v>
      </c>
      <c r="B195" t="s">
        <v>284</v>
      </c>
      <c r="C195" t="s">
        <v>55</v>
      </c>
      <c r="D195" t="s">
        <v>36</v>
      </c>
      <c r="E195" t="s">
        <v>44</v>
      </c>
      <c r="F195" t="s">
        <v>22</v>
      </c>
      <c r="G195" t="s">
        <v>23</v>
      </c>
      <c r="H195" s="1">
        <v>44801</v>
      </c>
      <c r="I195" s="2">
        <v>44802.4958333333</v>
      </c>
      <c r="J195">
        <v>35.9</v>
      </c>
      <c r="K195" t="s">
        <v>24</v>
      </c>
      <c r="L195">
        <v>0</v>
      </c>
      <c r="M195">
        <v>3</v>
      </c>
      <c r="N195" t="s">
        <v>523</v>
      </c>
      <c r="O195" s="3" t="str">
        <f>TEXT(Ticket_Table[[#This Row],[raised_date]],"YYYY-MM")</f>
        <v>2022-08</v>
      </c>
      <c r="P195" s="3" t="str">
        <f>IF(Ticket_Table[[#This Row],[resolution_hrs]]&lt;=4,"Fast",IF(Ticket_Table[[#This Row],[resolution_hrs]]&lt;=24,"Normal",IF(Ticket_Table[[#This Row],[resolution_hrs]]&lt;=48,"Slow","Very Slow")))</f>
        <v>Slow</v>
      </c>
      <c r="Q195" s="3">
        <f>YEAR(Ticket_Table[[#This Row],[raised_date]])</f>
        <v>2022</v>
      </c>
    </row>
    <row r="196" spans="1:17">
      <c r="A196" t="s">
        <v>524</v>
      </c>
      <c r="B196" t="s">
        <v>503</v>
      </c>
      <c r="C196" t="s">
        <v>82</v>
      </c>
      <c r="D196" t="s">
        <v>20</v>
      </c>
      <c r="E196" t="s">
        <v>21</v>
      </c>
      <c r="F196" t="s">
        <v>38</v>
      </c>
      <c r="G196" t="s">
        <v>31</v>
      </c>
      <c r="H196" s="1">
        <v>44866</v>
      </c>
      <c r="I196" s="2">
        <v>44866.3333333333</v>
      </c>
      <c r="J196">
        <v>8</v>
      </c>
      <c r="K196" t="s">
        <v>24</v>
      </c>
      <c r="L196">
        <v>2</v>
      </c>
      <c r="M196">
        <v>2</v>
      </c>
      <c r="N196" t="s">
        <v>525</v>
      </c>
      <c r="O196" s="3" t="str">
        <f>TEXT(Ticket_Table[[#This Row],[raised_date]],"YYYY-MM")</f>
        <v>2022-11</v>
      </c>
      <c r="P196" s="3" t="str">
        <f>IF(Ticket_Table[[#This Row],[resolution_hrs]]&lt;=4,"Fast",IF(Ticket_Table[[#This Row],[resolution_hrs]]&lt;=24,"Normal",IF(Ticket_Table[[#This Row],[resolution_hrs]]&lt;=48,"Slow","Very Slow")))</f>
        <v>Normal</v>
      </c>
      <c r="Q196" s="3">
        <f>YEAR(Ticket_Table[[#This Row],[raised_date]])</f>
        <v>2022</v>
      </c>
    </row>
    <row r="197" spans="1:17">
      <c r="A197" t="s">
        <v>526</v>
      </c>
      <c r="B197" t="s">
        <v>527</v>
      </c>
      <c r="C197" t="s">
        <v>201</v>
      </c>
      <c r="D197" t="s">
        <v>43</v>
      </c>
      <c r="E197" t="s">
        <v>83</v>
      </c>
      <c r="F197" t="s">
        <v>45</v>
      </c>
      <c r="G197" t="s">
        <v>23</v>
      </c>
      <c r="H197" s="1">
        <v>45047</v>
      </c>
      <c r="I197" s="2">
        <v>45047.1833333333</v>
      </c>
      <c r="J197">
        <v>4.4</v>
      </c>
      <c r="K197" t="s">
        <v>32</v>
      </c>
      <c r="L197">
        <v>0</v>
      </c>
      <c r="M197">
        <v>4</v>
      </c>
      <c r="N197" t="s">
        <v>382</v>
      </c>
      <c r="O197" s="3" t="str">
        <f>TEXT(Ticket_Table[[#This Row],[raised_date]],"YYYY-MM")</f>
        <v>2023-05</v>
      </c>
      <c r="P197" s="3" t="str">
        <f>IF(Ticket_Table[[#This Row],[resolution_hrs]]&lt;=4,"Fast",IF(Ticket_Table[[#This Row],[resolution_hrs]]&lt;=24,"Normal",IF(Ticket_Table[[#This Row],[resolution_hrs]]&lt;=48,"Slow","Very Slow")))</f>
        <v>Normal</v>
      </c>
      <c r="Q197" s="3">
        <f>YEAR(Ticket_Table[[#This Row],[raised_date]])</f>
        <v>2023</v>
      </c>
    </row>
    <row r="198" spans="1:17">
      <c r="A198" t="s">
        <v>528</v>
      </c>
      <c r="B198" t="s">
        <v>529</v>
      </c>
      <c r="C198" t="s">
        <v>102</v>
      </c>
      <c r="D198" t="s">
        <v>36</v>
      </c>
      <c r="E198" t="s">
        <v>69</v>
      </c>
      <c r="F198" t="s">
        <v>70</v>
      </c>
      <c r="G198" t="s">
        <v>23</v>
      </c>
      <c r="H198" s="1">
        <v>44556</v>
      </c>
      <c r="I198" s="2">
        <v>44557.0041666667</v>
      </c>
      <c r="J198">
        <v>24.1</v>
      </c>
      <c r="K198" t="s">
        <v>24</v>
      </c>
      <c r="L198">
        <v>1</v>
      </c>
      <c r="M198">
        <v>1</v>
      </c>
      <c r="N198" t="s">
        <v>530</v>
      </c>
      <c r="O198" s="3" t="str">
        <f>TEXT(Ticket_Table[[#This Row],[raised_date]],"YYYY-MM")</f>
        <v>2021-12</v>
      </c>
      <c r="P198" s="3" t="str">
        <f>IF(Ticket_Table[[#This Row],[resolution_hrs]]&lt;=4,"Fast",IF(Ticket_Table[[#This Row],[resolution_hrs]]&lt;=24,"Normal",IF(Ticket_Table[[#This Row],[resolution_hrs]]&lt;=48,"Slow","Very Slow")))</f>
        <v>Slow</v>
      </c>
      <c r="Q198" s="3">
        <f>YEAR(Ticket_Table[[#This Row],[raised_date]])</f>
        <v>2021</v>
      </c>
    </row>
    <row r="199" spans="1:17">
      <c r="A199" t="s">
        <v>531</v>
      </c>
      <c r="B199" t="s">
        <v>532</v>
      </c>
      <c r="C199" t="s">
        <v>82</v>
      </c>
      <c r="D199" t="s">
        <v>20</v>
      </c>
      <c r="E199" t="s">
        <v>83</v>
      </c>
      <c r="F199" t="s">
        <v>22</v>
      </c>
      <c r="G199" t="s">
        <v>46</v>
      </c>
      <c r="H199" s="1">
        <v>44608</v>
      </c>
      <c r="I199" s="2">
        <v>44611.5166666667</v>
      </c>
      <c r="J199">
        <v>84.4</v>
      </c>
      <c r="K199" t="s">
        <v>32</v>
      </c>
      <c r="L199">
        <v>1</v>
      </c>
      <c r="M199">
        <v>4</v>
      </c>
      <c r="N199" t="s">
        <v>335</v>
      </c>
      <c r="O199" s="3" t="str">
        <f>TEXT(Ticket_Table[[#This Row],[raised_date]],"YYYY-MM")</f>
        <v>2022-02</v>
      </c>
      <c r="P199" s="3" t="str">
        <f>IF(Ticket_Table[[#This Row],[resolution_hrs]]&lt;=4,"Fast",IF(Ticket_Table[[#This Row],[resolution_hrs]]&lt;=24,"Normal",IF(Ticket_Table[[#This Row],[resolution_hrs]]&lt;=48,"Slow","Very Slow")))</f>
        <v>Very Slow</v>
      </c>
      <c r="Q199" s="3">
        <f>YEAR(Ticket_Table[[#This Row],[raised_date]])</f>
        <v>2022</v>
      </c>
    </row>
    <row r="200" spans="1:17">
      <c r="A200" t="s">
        <v>533</v>
      </c>
      <c r="B200" t="s">
        <v>457</v>
      </c>
      <c r="C200" t="s">
        <v>55</v>
      </c>
      <c r="D200" t="s">
        <v>90</v>
      </c>
      <c r="E200" t="s">
        <v>56</v>
      </c>
      <c r="F200" t="s">
        <v>70</v>
      </c>
      <c r="G200" t="s">
        <v>31</v>
      </c>
      <c r="H200" s="1">
        <v>44467</v>
      </c>
      <c r="I200" s="2">
        <v>44468.0083333333</v>
      </c>
      <c r="J200">
        <v>24.2</v>
      </c>
      <c r="K200" t="s">
        <v>24</v>
      </c>
      <c r="L200">
        <v>0</v>
      </c>
      <c r="M200">
        <v>4</v>
      </c>
      <c r="N200" t="s">
        <v>59</v>
      </c>
      <c r="O200" s="3" t="str">
        <f>TEXT(Ticket_Table[[#This Row],[raised_date]],"YYYY-MM")</f>
        <v>2021-09</v>
      </c>
      <c r="P200" s="3" t="str">
        <f>IF(Ticket_Table[[#This Row],[resolution_hrs]]&lt;=4,"Fast",IF(Ticket_Table[[#This Row],[resolution_hrs]]&lt;=24,"Normal",IF(Ticket_Table[[#This Row],[resolution_hrs]]&lt;=48,"Slow","Very Slow")))</f>
        <v>Slow</v>
      </c>
      <c r="Q200" s="3">
        <f>YEAR(Ticket_Table[[#This Row],[raised_date]])</f>
        <v>2021</v>
      </c>
    </row>
    <row r="201" spans="1:17">
      <c r="A201" t="s">
        <v>534</v>
      </c>
      <c r="B201" t="s">
        <v>204</v>
      </c>
      <c r="C201" t="s">
        <v>117</v>
      </c>
      <c r="D201" t="s">
        <v>29</v>
      </c>
      <c r="E201" t="s">
        <v>56</v>
      </c>
      <c r="F201" t="s">
        <v>38</v>
      </c>
      <c r="G201" t="s">
        <v>46</v>
      </c>
      <c r="H201" s="1">
        <v>44946</v>
      </c>
      <c r="I201" s="2">
        <v>44946.1833333333</v>
      </c>
      <c r="J201">
        <v>4.4</v>
      </c>
      <c r="K201" t="s">
        <v>24</v>
      </c>
      <c r="L201">
        <v>1</v>
      </c>
      <c r="M201">
        <v>4</v>
      </c>
      <c r="N201" t="s">
        <v>269</v>
      </c>
      <c r="O201" s="3" t="str">
        <f>TEXT(Ticket_Table[[#This Row],[raised_date]],"YYYY-MM")</f>
        <v>2023-01</v>
      </c>
      <c r="P201" s="3" t="str">
        <f>IF(Ticket_Table[[#This Row],[resolution_hrs]]&lt;=4,"Fast",IF(Ticket_Table[[#This Row],[resolution_hrs]]&lt;=24,"Normal",IF(Ticket_Table[[#This Row],[resolution_hrs]]&lt;=48,"Slow","Very Slow")))</f>
        <v>Normal</v>
      </c>
      <c r="Q201" s="3">
        <f>YEAR(Ticket_Table[[#This Row],[raised_date]])</f>
        <v>2023</v>
      </c>
    </row>
    <row r="202" spans="1:17">
      <c r="A202" t="s">
        <v>535</v>
      </c>
      <c r="B202" t="s">
        <v>98</v>
      </c>
      <c r="C202" t="s">
        <v>68</v>
      </c>
      <c r="D202" t="s">
        <v>90</v>
      </c>
      <c r="E202" t="s">
        <v>30</v>
      </c>
      <c r="F202" t="s">
        <v>38</v>
      </c>
      <c r="G202" t="s">
        <v>74</v>
      </c>
      <c r="H202" s="1">
        <v>45284</v>
      </c>
      <c r="I202" s="2">
        <v>45285.1166666667</v>
      </c>
      <c r="J202">
        <v>26.8</v>
      </c>
      <c r="K202" t="s">
        <v>32</v>
      </c>
      <c r="L202">
        <v>1</v>
      </c>
      <c r="M202">
        <v>2</v>
      </c>
      <c r="N202" t="s">
        <v>536</v>
      </c>
      <c r="O202" s="3" t="str">
        <f>TEXT(Ticket_Table[[#This Row],[raised_date]],"YYYY-MM")</f>
        <v>2023-12</v>
      </c>
      <c r="P202" s="3" t="str">
        <f>IF(Ticket_Table[[#This Row],[resolution_hrs]]&lt;=4,"Fast",IF(Ticket_Table[[#This Row],[resolution_hrs]]&lt;=24,"Normal",IF(Ticket_Table[[#This Row],[resolution_hrs]]&lt;=48,"Slow","Very Slow")))</f>
        <v>Slow</v>
      </c>
      <c r="Q202" s="3">
        <f>YEAR(Ticket_Table[[#This Row],[raised_date]])</f>
        <v>2023</v>
      </c>
    </row>
    <row r="203" spans="1:17">
      <c r="A203" t="s">
        <v>537</v>
      </c>
      <c r="B203" t="s">
        <v>538</v>
      </c>
      <c r="C203" t="s">
        <v>42</v>
      </c>
      <c r="D203" t="s">
        <v>20</v>
      </c>
      <c r="E203" t="s">
        <v>83</v>
      </c>
      <c r="F203" t="s">
        <v>22</v>
      </c>
      <c r="G203" t="s">
        <v>31</v>
      </c>
      <c r="H203" s="1">
        <v>45224</v>
      </c>
      <c r="I203" s="2">
        <v>45227.9208333333</v>
      </c>
      <c r="J203">
        <v>94.1</v>
      </c>
      <c r="K203" t="s">
        <v>32</v>
      </c>
      <c r="L203">
        <v>2</v>
      </c>
      <c r="M203">
        <v>4</v>
      </c>
      <c r="N203" t="s">
        <v>471</v>
      </c>
      <c r="O203" s="3" t="str">
        <f>TEXT(Ticket_Table[[#This Row],[raised_date]],"YYYY-MM")</f>
        <v>2023-10</v>
      </c>
      <c r="P203" s="3" t="str">
        <f>IF(Ticket_Table[[#This Row],[resolution_hrs]]&lt;=4,"Fast",IF(Ticket_Table[[#This Row],[resolution_hrs]]&lt;=24,"Normal",IF(Ticket_Table[[#This Row],[resolution_hrs]]&lt;=48,"Slow","Very Slow")))</f>
        <v>Very Slow</v>
      </c>
      <c r="Q203" s="3">
        <f>YEAR(Ticket_Table[[#This Row],[raised_date]])</f>
        <v>2023</v>
      </c>
    </row>
    <row r="204" spans="1:17">
      <c r="A204" t="s">
        <v>539</v>
      </c>
      <c r="B204" t="s">
        <v>501</v>
      </c>
      <c r="C204" t="s">
        <v>201</v>
      </c>
      <c r="D204" t="s">
        <v>90</v>
      </c>
      <c r="E204" t="s">
        <v>69</v>
      </c>
      <c r="F204" t="s">
        <v>22</v>
      </c>
      <c r="G204" t="s">
        <v>23</v>
      </c>
      <c r="H204" s="1">
        <v>44755</v>
      </c>
      <c r="I204" s="2">
        <v>44756.7166666667</v>
      </c>
      <c r="J204">
        <v>41.2</v>
      </c>
      <c r="K204" t="s">
        <v>24</v>
      </c>
      <c r="L204">
        <v>0</v>
      </c>
      <c r="M204">
        <v>3</v>
      </c>
      <c r="N204" t="s">
        <v>413</v>
      </c>
      <c r="O204" s="3" t="str">
        <f>TEXT(Ticket_Table[[#This Row],[raised_date]],"YYYY-MM")</f>
        <v>2022-07</v>
      </c>
      <c r="P204" s="3" t="str">
        <f>IF(Ticket_Table[[#This Row],[resolution_hrs]]&lt;=4,"Fast",IF(Ticket_Table[[#This Row],[resolution_hrs]]&lt;=24,"Normal",IF(Ticket_Table[[#This Row],[resolution_hrs]]&lt;=48,"Slow","Very Slow")))</f>
        <v>Slow</v>
      </c>
      <c r="Q204" s="3">
        <f>YEAR(Ticket_Table[[#This Row],[raised_date]])</f>
        <v>2022</v>
      </c>
    </row>
    <row r="205" spans="1:17">
      <c r="A205" t="s">
        <v>540</v>
      </c>
      <c r="B205" t="s">
        <v>541</v>
      </c>
      <c r="C205" t="s">
        <v>95</v>
      </c>
      <c r="D205" t="s">
        <v>90</v>
      </c>
      <c r="E205" t="s">
        <v>69</v>
      </c>
      <c r="F205" t="s">
        <v>38</v>
      </c>
      <c r="G205" t="s">
        <v>46</v>
      </c>
      <c r="H205" s="1">
        <v>44533</v>
      </c>
      <c r="I205" s="2">
        <v>44533.3625</v>
      </c>
      <c r="J205">
        <v>8.7</v>
      </c>
      <c r="K205" t="s">
        <v>24</v>
      </c>
      <c r="L205">
        <v>2</v>
      </c>
      <c r="M205">
        <v>2</v>
      </c>
      <c r="N205" t="s">
        <v>542</v>
      </c>
      <c r="O205" s="3" t="str">
        <f>TEXT(Ticket_Table[[#This Row],[raised_date]],"YYYY-MM")</f>
        <v>2021-12</v>
      </c>
      <c r="P205" s="3" t="str">
        <f>IF(Ticket_Table[[#This Row],[resolution_hrs]]&lt;=4,"Fast",IF(Ticket_Table[[#This Row],[resolution_hrs]]&lt;=24,"Normal",IF(Ticket_Table[[#This Row],[resolution_hrs]]&lt;=48,"Slow","Very Slow")))</f>
        <v>Normal</v>
      </c>
      <c r="Q205" s="3">
        <f>YEAR(Ticket_Table[[#This Row],[raised_date]])</f>
        <v>2021</v>
      </c>
    </row>
    <row r="206" spans="1:17">
      <c r="A206" t="s">
        <v>543</v>
      </c>
      <c r="B206" t="s">
        <v>431</v>
      </c>
      <c r="C206" t="s">
        <v>140</v>
      </c>
      <c r="D206" t="s">
        <v>20</v>
      </c>
      <c r="E206" t="s">
        <v>37</v>
      </c>
      <c r="F206" t="s">
        <v>70</v>
      </c>
      <c r="G206" t="s">
        <v>23</v>
      </c>
      <c r="H206" s="1">
        <v>44723</v>
      </c>
      <c r="I206" s="2">
        <v>44724.4333333333</v>
      </c>
      <c r="J206">
        <v>34.4</v>
      </c>
      <c r="K206" t="s">
        <v>24</v>
      </c>
      <c r="L206">
        <v>0</v>
      </c>
      <c r="M206">
        <v>4</v>
      </c>
      <c r="N206" t="s">
        <v>544</v>
      </c>
      <c r="O206" s="3" t="str">
        <f>TEXT(Ticket_Table[[#This Row],[raised_date]],"YYYY-MM")</f>
        <v>2022-06</v>
      </c>
      <c r="P206" s="3" t="str">
        <f>IF(Ticket_Table[[#This Row],[resolution_hrs]]&lt;=4,"Fast",IF(Ticket_Table[[#This Row],[resolution_hrs]]&lt;=24,"Normal",IF(Ticket_Table[[#This Row],[resolution_hrs]]&lt;=48,"Slow","Very Slow")))</f>
        <v>Slow</v>
      </c>
      <c r="Q206" s="3">
        <f>YEAR(Ticket_Table[[#This Row],[raised_date]])</f>
        <v>2022</v>
      </c>
    </row>
    <row r="207" spans="1:17">
      <c r="A207" t="s">
        <v>545</v>
      </c>
      <c r="B207" t="s">
        <v>546</v>
      </c>
      <c r="C207" t="s">
        <v>19</v>
      </c>
      <c r="D207" t="s">
        <v>43</v>
      </c>
      <c r="E207" t="s">
        <v>51</v>
      </c>
      <c r="F207" t="s">
        <v>22</v>
      </c>
      <c r="G207" t="s">
        <v>23</v>
      </c>
      <c r="H207" s="1">
        <v>45183</v>
      </c>
      <c r="I207" s="2">
        <v>45185.2</v>
      </c>
      <c r="J207">
        <v>52.8</v>
      </c>
      <c r="K207" t="s">
        <v>24</v>
      </c>
      <c r="L207">
        <v>1</v>
      </c>
      <c r="M207">
        <v>1</v>
      </c>
      <c r="N207" t="s">
        <v>204</v>
      </c>
      <c r="O207" s="3" t="str">
        <f>TEXT(Ticket_Table[[#This Row],[raised_date]],"YYYY-MM")</f>
        <v>2023-09</v>
      </c>
      <c r="P207" s="3" t="str">
        <f>IF(Ticket_Table[[#This Row],[resolution_hrs]]&lt;=4,"Fast",IF(Ticket_Table[[#This Row],[resolution_hrs]]&lt;=24,"Normal",IF(Ticket_Table[[#This Row],[resolution_hrs]]&lt;=48,"Slow","Very Slow")))</f>
        <v>Very Slow</v>
      </c>
      <c r="Q207" s="3">
        <f>YEAR(Ticket_Table[[#This Row],[raised_date]])</f>
        <v>2023</v>
      </c>
    </row>
    <row r="208" spans="1:17">
      <c r="A208" t="s">
        <v>547</v>
      </c>
      <c r="B208" t="s">
        <v>321</v>
      </c>
      <c r="C208" t="s">
        <v>175</v>
      </c>
      <c r="D208" t="s">
        <v>36</v>
      </c>
      <c r="E208" t="s">
        <v>21</v>
      </c>
      <c r="F208" t="s">
        <v>22</v>
      </c>
      <c r="G208" t="s">
        <v>23</v>
      </c>
      <c r="H208" s="1">
        <v>44801</v>
      </c>
      <c r="I208" s="2">
        <v>44805.0125</v>
      </c>
      <c r="J208">
        <v>96.3</v>
      </c>
      <c r="K208" t="s">
        <v>32</v>
      </c>
      <c r="L208">
        <v>0</v>
      </c>
      <c r="M208">
        <v>3</v>
      </c>
      <c r="N208" t="s">
        <v>420</v>
      </c>
      <c r="O208" s="3" t="str">
        <f>TEXT(Ticket_Table[[#This Row],[raised_date]],"YYYY-MM")</f>
        <v>2022-08</v>
      </c>
      <c r="P208" s="3" t="str">
        <f>IF(Ticket_Table[[#This Row],[resolution_hrs]]&lt;=4,"Fast",IF(Ticket_Table[[#This Row],[resolution_hrs]]&lt;=24,"Normal",IF(Ticket_Table[[#This Row],[resolution_hrs]]&lt;=48,"Slow","Very Slow")))</f>
        <v>Very Slow</v>
      </c>
      <c r="Q208" s="3">
        <f>YEAR(Ticket_Table[[#This Row],[raised_date]])</f>
        <v>2022</v>
      </c>
    </row>
    <row r="209" spans="1:17">
      <c r="A209" t="s">
        <v>548</v>
      </c>
      <c r="B209" t="s">
        <v>549</v>
      </c>
      <c r="C209" t="s">
        <v>55</v>
      </c>
      <c r="D209" t="s">
        <v>29</v>
      </c>
      <c r="E209" t="s">
        <v>166</v>
      </c>
      <c r="F209" t="s">
        <v>70</v>
      </c>
      <c r="G209" t="s">
        <v>74</v>
      </c>
      <c r="H209" s="1">
        <v>44890</v>
      </c>
      <c r="I209" s="2">
        <v>44890.4708333333</v>
      </c>
      <c r="J209">
        <v>11.3</v>
      </c>
      <c r="K209" t="s">
        <v>24</v>
      </c>
      <c r="L209">
        <v>0</v>
      </c>
      <c r="M209">
        <v>4</v>
      </c>
      <c r="N209" t="s">
        <v>550</v>
      </c>
      <c r="O209" s="3" t="str">
        <f>TEXT(Ticket_Table[[#This Row],[raised_date]],"YYYY-MM")</f>
        <v>2022-11</v>
      </c>
      <c r="P209" s="3" t="str">
        <f>IF(Ticket_Table[[#This Row],[resolution_hrs]]&lt;=4,"Fast",IF(Ticket_Table[[#This Row],[resolution_hrs]]&lt;=24,"Normal",IF(Ticket_Table[[#This Row],[resolution_hrs]]&lt;=48,"Slow","Very Slow")))</f>
        <v>Normal</v>
      </c>
      <c r="Q209" s="3">
        <f>YEAR(Ticket_Table[[#This Row],[raised_date]])</f>
        <v>2022</v>
      </c>
    </row>
    <row r="210" spans="1:17">
      <c r="A210" t="s">
        <v>551</v>
      </c>
      <c r="B210" t="s">
        <v>552</v>
      </c>
      <c r="C210" t="s">
        <v>19</v>
      </c>
      <c r="D210" t="s">
        <v>36</v>
      </c>
      <c r="E210" t="s">
        <v>106</v>
      </c>
      <c r="F210" t="s">
        <v>38</v>
      </c>
      <c r="G210" t="s">
        <v>74</v>
      </c>
      <c r="H210" s="1">
        <v>44432</v>
      </c>
      <c r="I210" s="2">
        <v>44433.3958333333</v>
      </c>
      <c r="J210">
        <v>33.5</v>
      </c>
      <c r="K210" t="s">
        <v>32</v>
      </c>
      <c r="L210">
        <v>0</v>
      </c>
      <c r="M210">
        <v>5</v>
      </c>
      <c r="N210" t="s">
        <v>370</v>
      </c>
      <c r="O210" s="3" t="str">
        <f>TEXT(Ticket_Table[[#This Row],[raised_date]],"YYYY-MM")</f>
        <v>2021-08</v>
      </c>
      <c r="P210" s="3" t="str">
        <f>IF(Ticket_Table[[#This Row],[resolution_hrs]]&lt;=4,"Fast",IF(Ticket_Table[[#This Row],[resolution_hrs]]&lt;=24,"Normal",IF(Ticket_Table[[#This Row],[resolution_hrs]]&lt;=48,"Slow","Very Slow")))</f>
        <v>Slow</v>
      </c>
      <c r="Q210" s="3">
        <f>YEAR(Ticket_Table[[#This Row],[raised_date]])</f>
        <v>2021</v>
      </c>
    </row>
    <row r="211" spans="1:17">
      <c r="A211" t="s">
        <v>553</v>
      </c>
      <c r="B211" t="s">
        <v>554</v>
      </c>
      <c r="C211" t="s">
        <v>133</v>
      </c>
      <c r="D211" t="s">
        <v>29</v>
      </c>
      <c r="E211" t="s">
        <v>21</v>
      </c>
      <c r="F211" t="s">
        <v>45</v>
      </c>
      <c r="G211" t="s">
        <v>23</v>
      </c>
      <c r="H211" s="1">
        <v>45156</v>
      </c>
      <c r="I211" s="2">
        <v>45156.1375</v>
      </c>
      <c r="J211">
        <v>3.3</v>
      </c>
      <c r="K211" t="s">
        <v>24</v>
      </c>
      <c r="L211">
        <v>0</v>
      </c>
      <c r="M211">
        <v>4</v>
      </c>
      <c r="N211" t="s">
        <v>398</v>
      </c>
      <c r="O211" s="3" t="str">
        <f>TEXT(Ticket_Table[[#This Row],[raised_date]],"YYYY-MM")</f>
        <v>2023-08</v>
      </c>
      <c r="P211" s="3" t="str">
        <f>IF(Ticket_Table[[#This Row],[resolution_hrs]]&lt;=4,"Fast",IF(Ticket_Table[[#This Row],[resolution_hrs]]&lt;=24,"Normal",IF(Ticket_Table[[#This Row],[resolution_hrs]]&lt;=48,"Slow","Very Slow")))</f>
        <v>Fast</v>
      </c>
      <c r="Q211" s="3">
        <f>YEAR(Ticket_Table[[#This Row],[raised_date]])</f>
        <v>2023</v>
      </c>
    </row>
    <row r="212" spans="1:17">
      <c r="A212" t="s">
        <v>555</v>
      </c>
      <c r="B212" t="s">
        <v>77</v>
      </c>
      <c r="C212" t="s">
        <v>201</v>
      </c>
      <c r="D212" t="s">
        <v>36</v>
      </c>
      <c r="E212" t="s">
        <v>21</v>
      </c>
      <c r="F212" t="s">
        <v>70</v>
      </c>
      <c r="G212" t="s">
        <v>23</v>
      </c>
      <c r="H212" s="1">
        <v>44351</v>
      </c>
      <c r="I212" s="2">
        <v>44352.1875</v>
      </c>
      <c r="J212">
        <v>28.5</v>
      </c>
      <c r="K212" t="s">
        <v>24</v>
      </c>
      <c r="L212">
        <v>0</v>
      </c>
      <c r="M212">
        <v>3</v>
      </c>
      <c r="N212" t="s">
        <v>556</v>
      </c>
      <c r="O212" s="3" t="str">
        <f>TEXT(Ticket_Table[[#This Row],[raised_date]],"YYYY-MM")</f>
        <v>2021-06</v>
      </c>
      <c r="P212" s="3" t="str">
        <f>IF(Ticket_Table[[#This Row],[resolution_hrs]]&lt;=4,"Fast",IF(Ticket_Table[[#This Row],[resolution_hrs]]&lt;=24,"Normal",IF(Ticket_Table[[#This Row],[resolution_hrs]]&lt;=48,"Slow","Very Slow")))</f>
        <v>Slow</v>
      </c>
      <c r="Q212" s="3">
        <f>YEAR(Ticket_Table[[#This Row],[raised_date]])</f>
        <v>2021</v>
      </c>
    </row>
    <row r="213" spans="1:17">
      <c r="A213" t="s">
        <v>557</v>
      </c>
      <c r="B213" t="s">
        <v>343</v>
      </c>
      <c r="C213" t="s">
        <v>50</v>
      </c>
      <c r="D213" t="s">
        <v>90</v>
      </c>
      <c r="E213" t="s">
        <v>44</v>
      </c>
      <c r="F213" t="s">
        <v>70</v>
      </c>
      <c r="G213" t="s">
        <v>46</v>
      </c>
      <c r="H213" s="1">
        <v>44485</v>
      </c>
      <c r="I213" s="2">
        <v>44485.4458333333</v>
      </c>
      <c r="J213">
        <v>10.7</v>
      </c>
      <c r="K213" t="s">
        <v>24</v>
      </c>
      <c r="L213">
        <v>0</v>
      </c>
      <c r="M213">
        <v>3</v>
      </c>
      <c r="N213" t="s">
        <v>558</v>
      </c>
      <c r="O213" s="3" t="str">
        <f>TEXT(Ticket_Table[[#This Row],[raised_date]],"YYYY-MM")</f>
        <v>2021-10</v>
      </c>
      <c r="P213" s="3" t="str">
        <f>IF(Ticket_Table[[#This Row],[resolution_hrs]]&lt;=4,"Fast",IF(Ticket_Table[[#This Row],[resolution_hrs]]&lt;=24,"Normal",IF(Ticket_Table[[#This Row],[resolution_hrs]]&lt;=48,"Slow","Very Slow")))</f>
        <v>Normal</v>
      </c>
      <c r="Q213" s="3">
        <f>YEAR(Ticket_Table[[#This Row],[raised_date]])</f>
        <v>2021</v>
      </c>
    </row>
    <row r="214" spans="1:17">
      <c r="A214" t="s">
        <v>559</v>
      </c>
      <c r="B214" t="s">
        <v>192</v>
      </c>
      <c r="C214" t="s">
        <v>82</v>
      </c>
      <c r="D214" t="s">
        <v>43</v>
      </c>
      <c r="E214" t="s">
        <v>21</v>
      </c>
      <c r="F214" t="s">
        <v>22</v>
      </c>
      <c r="G214" t="s">
        <v>23</v>
      </c>
      <c r="H214" s="1">
        <v>44659</v>
      </c>
      <c r="I214" s="2">
        <v>44662.25</v>
      </c>
      <c r="J214">
        <v>78</v>
      </c>
      <c r="K214" t="s">
        <v>32</v>
      </c>
      <c r="L214">
        <v>0</v>
      </c>
      <c r="M214">
        <v>4</v>
      </c>
      <c r="N214" t="s">
        <v>560</v>
      </c>
      <c r="O214" s="3" t="str">
        <f>TEXT(Ticket_Table[[#This Row],[raised_date]],"YYYY-MM")</f>
        <v>2022-04</v>
      </c>
      <c r="P214" s="3" t="str">
        <f>IF(Ticket_Table[[#This Row],[resolution_hrs]]&lt;=4,"Fast",IF(Ticket_Table[[#This Row],[resolution_hrs]]&lt;=24,"Normal",IF(Ticket_Table[[#This Row],[resolution_hrs]]&lt;=48,"Slow","Very Slow")))</f>
        <v>Very Slow</v>
      </c>
      <c r="Q214" s="3">
        <f>YEAR(Ticket_Table[[#This Row],[raised_date]])</f>
        <v>2022</v>
      </c>
    </row>
    <row r="215" spans="1:17">
      <c r="A215" t="s">
        <v>561</v>
      </c>
      <c r="B215" t="s">
        <v>562</v>
      </c>
      <c r="C215" t="s">
        <v>50</v>
      </c>
      <c r="D215" t="s">
        <v>90</v>
      </c>
      <c r="E215" t="s">
        <v>44</v>
      </c>
      <c r="F215" t="s">
        <v>70</v>
      </c>
      <c r="G215" t="s">
        <v>23</v>
      </c>
      <c r="H215" s="1">
        <v>45010</v>
      </c>
      <c r="I215" s="2">
        <v>45011.9125</v>
      </c>
      <c r="J215">
        <v>45.9</v>
      </c>
      <c r="K215" t="s">
        <v>24</v>
      </c>
      <c r="L215">
        <v>0</v>
      </c>
      <c r="M215">
        <v>4</v>
      </c>
      <c r="N215" t="s">
        <v>429</v>
      </c>
      <c r="O215" s="3" t="str">
        <f>TEXT(Ticket_Table[[#This Row],[raised_date]],"YYYY-MM")</f>
        <v>2023-03</v>
      </c>
      <c r="P215" s="3" t="str">
        <f>IF(Ticket_Table[[#This Row],[resolution_hrs]]&lt;=4,"Fast",IF(Ticket_Table[[#This Row],[resolution_hrs]]&lt;=24,"Normal",IF(Ticket_Table[[#This Row],[resolution_hrs]]&lt;=48,"Slow","Very Slow")))</f>
        <v>Slow</v>
      </c>
      <c r="Q215" s="3">
        <f>YEAR(Ticket_Table[[#This Row],[raised_date]])</f>
        <v>2023</v>
      </c>
    </row>
    <row r="216" spans="1:17">
      <c r="A216" t="s">
        <v>563</v>
      </c>
      <c r="B216" t="s">
        <v>564</v>
      </c>
      <c r="C216" t="s">
        <v>140</v>
      </c>
      <c r="D216" t="s">
        <v>43</v>
      </c>
      <c r="E216" t="s">
        <v>37</v>
      </c>
      <c r="F216" t="s">
        <v>70</v>
      </c>
      <c r="G216" t="s">
        <v>74</v>
      </c>
      <c r="H216" s="1">
        <v>44946</v>
      </c>
      <c r="I216" s="2">
        <v>44948.9291666667</v>
      </c>
      <c r="J216">
        <v>70.3</v>
      </c>
      <c r="K216" t="s">
        <v>32</v>
      </c>
      <c r="L216">
        <v>0</v>
      </c>
      <c r="M216">
        <v>3</v>
      </c>
      <c r="N216" t="s">
        <v>560</v>
      </c>
      <c r="O216" s="3" t="str">
        <f>TEXT(Ticket_Table[[#This Row],[raised_date]],"YYYY-MM")</f>
        <v>2023-01</v>
      </c>
      <c r="P216" s="3" t="str">
        <f>IF(Ticket_Table[[#This Row],[resolution_hrs]]&lt;=4,"Fast",IF(Ticket_Table[[#This Row],[resolution_hrs]]&lt;=24,"Normal",IF(Ticket_Table[[#This Row],[resolution_hrs]]&lt;=48,"Slow","Very Slow")))</f>
        <v>Very Slow</v>
      </c>
      <c r="Q216" s="3">
        <f>YEAR(Ticket_Table[[#This Row],[raised_date]])</f>
        <v>2023</v>
      </c>
    </row>
    <row r="217" spans="1:17">
      <c r="A217" t="s">
        <v>565</v>
      </c>
      <c r="B217" t="s">
        <v>566</v>
      </c>
      <c r="C217" t="s">
        <v>117</v>
      </c>
      <c r="D217" t="s">
        <v>20</v>
      </c>
      <c r="E217" t="s">
        <v>51</v>
      </c>
      <c r="F217" t="s">
        <v>70</v>
      </c>
      <c r="G217" t="s">
        <v>31</v>
      </c>
      <c r="H217" s="1">
        <v>44381</v>
      </c>
      <c r="I217" s="2">
        <v>44381.6416666667</v>
      </c>
      <c r="J217">
        <v>15.4</v>
      </c>
      <c r="K217" t="s">
        <v>24</v>
      </c>
      <c r="L217">
        <v>0</v>
      </c>
      <c r="M217">
        <v>4</v>
      </c>
      <c r="N217" t="s">
        <v>567</v>
      </c>
      <c r="O217" s="3" t="str">
        <f>TEXT(Ticket_Table[[#This Row],[raised_date]],"YYYY-MM")</f>
        <v>2021-07</v>
      </c>
      <c r="P217" s="3" t="str">
        <f>IF(Ticket_Table[[#This Row],[resolution_hrs]]&lt;=4,"Fast",IF(Ticket_Table[[#This Row],[resolution_hrs]]&lt;=24,"Normal",IF(Ticket_Table[[#This Row],[resolution_hrs]]&lt;=48,"Slow","Very Slow")))</f>
        <v>Normal</v>
      </c>
      <c r="Q217" s="3">
        <f>YEAR(Ticket_Table[[#This Row],[raised_date]])</f>
        <v>2021</v>
      </c>
    </row>
    <row r="218" spans="1:17">
      <c r="A218" t="s">
        <v>568</v>
      </c>
      <c r="B218" t="s">
        <v>210</v>
      </c>
      <c r="C218" t="s">
        <v>133</v>
      </c>
      <c r="D218" t="s">
        <v>29</v>
      </c>
      <c r="E218" t="s">
        <v>69</v>
      </c>
      <c r="F218" t="s">
        <v>70</v>
      </c>
      <c r="G218" t="s">
        <v>31</v>
      </c>
      <c r="H218" s="1">
        <v>45005</v>
      </c>
      <c r="I218" s="2">
        <v>45005.4166666667</v>
      </c>
      <c r="J218">
        <v>10</v>
      </c>
      <c r="K218" t="s">
        <v>24</v>
      </c>
      <c r="L218">
        <v>1</v>
      </c>
      <c r="M218">
        <v>3</v>
      </c>
      <c r="N218" t="s">
        <v>569</v>
      </c>
      <c r="O218" s="3" t="str">
        <f>TEXT(Ticket_Table[[#This Row],[raised_date]],"YYYY-MM")</f>
        <v>2023-03</v>
      </c>
      <c r="P218" s="3" t="str">
        <f>IF(Ticket_Table[[#This Row],[resolution_hrs]]&lt;=4,"Fast",IF(Ticket_Table[[#This Row],[resolution_hrs]]&lt;=24,"Normal",IF(Ticket_Table[[#This Row],[resolution_hrs]]&lt;=48,"Slow","Very Slow")))</f>
        <v>Normal</v>
      </c>
      <c r="Q218" s="3">
        <f>YEAR(Ticket_Table[[#This Row],[raised_date]])</f>
        <v>2023</v>
      </c>
    </row>
    <row r="219" spans="1:17">
      <c r="A219" t="s">
        <v>570</v>
      </c>
      <c r="B219" t="s">
        <v>571</v>
      </c>
      <c r="C219" t="s">
        <v>261</v>
      </c>
      <c r="D219" t="s">
        <v>29</v>
      </c>
      <c r="E219" t="s">
        <v>30</v>
      </c>
      <c r="F219" t="s">
        <v>22</v>
      </c>
      <c r="G219" t="s">
        <v>46</v>
      </c>
      <c r="H219" s="1">
        <v>44225</v>
      </c>
      <c r="I219" s="2">
        <v>44228.1291666667</v>
      </c>
      <c r="J219">
        <v>75.1</v>
      </c>
      <c r="K219" t="s">
        <v>32</v>
      </c>
      <c r="L219">
        <v>0</v>
      </c>
      <c r="M219">
        <v>3</v>
      </c>
      <c r="N219" t="s">
        <v>532</v>
      </c>
      <c r="O219" s="3" t="str">
        <f>TEXT(Ticket_Table[[#This Row],[raised_date]],"YYYY-MM")</f>
        <v>2021-01</v>
      </c>
      <c r="P219" s="3" t="str">
        <f>IF(Ticket_Table[[#This Row],[resolution_hrs]]&lt;=4,"Fast",IF(Ticket_Table[[#This Row],[resolution_hrs]]&lt;=24,"Normal",IF(Ticket_Table[[#This Row],[resolution_hrs]]&lt;=48,"Slow","Very Slow")))</f>
        <v>Very Slow</v>
      </c>
      <c r="Q219" s="3">
        <f>YEAR(Ticket_Table[[#This Row],[raised_date]])</f>
        <v>2021</v>
      </c>
    </row>
    <row r="220" spans="1:17">
      <c r="A220" t="s">
        <v>572</v>
      </c>
      <c r="B220" t="s">
        <v>99</v>
      </c>
      <c r="C220" t="s">
        <v>55</v>
      </c>
      <c r="D220" t="s">
        <v>20</v>
      </c>
      <c r="E220" t="s">
        <v>69</v>
      </c>
      <c r="F220" t="s">
        <v>22</v>
      </c>
      <c r="G220" t="s">
        <v>46</v>
      </c>
      <c r="H220" s="1">
        <v>44738</v>
      </c>
      <c r="I220" s="2">
        <v>44738.3083333333</v>
      </c>
      <c r="J220">
        <v>7.4</v>
      </c>
      <c r="K220" t="s">
        <v>24</v>
      </c>
      <c r="L220">
        <v>0</v>
      </c>
      <c r="M220">
        <v>2</v>
      </c>
      <c r="N220" t="s">
        <v>272</v>
      </c>
      <c r="O220" s="3" t="str">
        <f>TEXT(Ticket_Table[[#This Row],[raised_date]],"YYYY-MM")</f>
        <v>2022-06</v>
      </c>
      <c r="P220" s="3" t="str">
        <f>IF(Ticket_Table[[#This Row],[resolution_hrs]]&lt;=4,"Fast",IF(Ticket_Table[[#This Row],[resolution_hrs]]&lt;=24,"Normal",IF(Ticket_Table[[#This Row],[resolution_hrs]]&lt;=48,"Slow","Very Slow")))</f>
        <v>Normal</v>
      </c>
      <c r="Q220" s="3">
        <f>YEAR(Ticket_Table[[#This Row],[raised_date]])</f>
        <v>2022</v>
      </c>
    </row>
    <row r="221" spans="1:17">
      <c r="A221" t="s">
        <v>573</v>
      </c>
      <c r="B221" t="s">
        <v>289</v>
      </c>
      <c r="C221" t="s">
        <v>140</v>
      </c>
      <c r="D221" t="s">
        <v>36</v>
      </c>
      <c r="E221" t="s">
        <v>83</v>
      </c>
      <c r="F221" t="s">
        <v>70</v>
      </c>
      <c r="G221" t="s">
        <v>23</v>
      </c>
      <c r="H221" s="1">
        <v>44450</v>
      </c>
      <c r="I221" s="2">
        <v>44450.4458333333</v>
      </c>
      <c r="J221">
        <v>10.7</v>
      </c>
      <c r="K221" t="s">
        <v>24</v>
      </c>
      <c r="L221">
        <v>0</v>
      </c>
      <c r="M221">
        <v>4</v>
      </c>
      <c r="N221" t="s">
        <v>367</v>
      </c>
      <c r="O221" s="3" t="str">
        <f>TEXT(Ticket_Table[[#This Row],[raised_date]],"YYYY-MM")</f>
        <v>2021-09</v>
      </c>
      <c r="P221" s="3" t="str">
        <f>IF(Ticket_Table[[#This Row],[resolution_hrs]]&lt;=4,"Fast",IF(Ticket_Table[[#This Row],[resolution_hrs]]&lt;=24,"Normal",IF(Ticket_Table[[#This Row],[resolution_hrs]]&lt;=48,"Slow","Very Slow")))</f>
        <v>Normal</v>
      </c>
      <c r="Q221" s="3">
        <f>YEAR(Ticket_Table[[#This Row],[raised_date]])</f>
        <v>2021</v>
      </c>
    </row>
    <row r="222" spans="1:17">
      <c r="A222" t="s">
        <v>574</v>
      </c>
      <c r="B222" t="s">
        <v>178</v>
      </c>
      <c r="C222" t="s">
        <v>64</v>
      </c>
      <c r="D222" t="s">
        <v>20</v>
      </c>
      <c r="E222" t="s">
        <v>106</v>
      </c>
      <c r="F222" t="s">
        <v>22</v>
      </c>
      <c r="G222" t="s">
        <v>23</v>
      </c>
      <c r="H222" s="1">
        <v>45128</v>
      </c>
      <c r="I222" s="2">
        <v>45131.8375</v>
      </c>
      <c r="J222">
        <v>92.1</v>
      </c>
      <c r="K222" t="s">
        <v>32</v>
      </c>
      <c r="L222">
        <v>1</v>
      </c>
      <c r="M222">
        <v>3</v>
      </c>
      <c r="N222" t="s">
        <v>161</v>
      </c>
      <c r="O222" s="3" t="str">
        <f>TEXT(Ticket_Table[[#This Row],[raised_date]],"YYYY-MM")</f>
        <v>2023-07</v>
      </c>
      <c r="P222" s="3" t="str">
        <f>IF(Ticket_Table[[#This Row],[resolution_hrs]]&lt;=4,"Fast",IF(Ticket_Table[[#This Row],[resolution_hrs]]&lt;=24,"Normal",IF(Ticket_Table[[#This Row],[resolution_hrs]]&lt;=48,"Slow","Very Slow")))</f>
        <v>Very Slow</v>
      </c>
      <c r="Q222" s="3">
        <f>YEAR(Ticket_Table[[#This Row],[raised_date]])</f>
        <v>2023</v>
      </c>
    </row>
    <row r="223" spans="1:17">
      <c r="A223" t="s">
        <v>575</v>
      </c>
      <c r="B223" t="s">
        <v>197</v>
      </c>
      <c r="C223" t="s">
        <v>287</v>
      </c>
      <c r="D223" t="s">
        <v>20</v>
      </c>
      <c r="E223" t="s">
        <v>51</v>
      </c>
      <c r="F223" t="s">
        <v>22</v>
      </c>
      <c r="G223" t="s">
        <v>91</v>
      </c>
      <c r="H223" s="1">
        <v>44951</v>
      </c>
      <c r="I223" s="2">
        <v>44953.0875</v>
      </c>
      <c r="J223">
        <v>50.1</v>
      </c>
      <c r="K223" t="s">
        <v>24</v>
      </c>
      <c r="L223">
        <v>0</v>
      </c>
      <c r="M223">
        <v>3</v>
      </c>
      <c r="N223" t="s">
        <v>576</v>
      </c>
      <c r="O223" s="3" t="str">
        <f>TEXT(Ticket_Table[[#This Row],[raised_date]],"YYYY-MM")</f>
        <v>2023-01</v>
      </c>
      <c r="P223" s="3" t="str">
        <f>IF(Ticket_Table[[#This Row],[resolution_hrs]]&lt;=4,"Fast",IF(Ticket_Table[[#This Row],[resolution_hrs]]&lt;=24,"Normal",IF(Ticket_Table[[#This Row],[resolution_hrs]]&lt;=48,"Slow","Very Slow")))</f>
        <v>Very Slow</v>
      </c>
      <c r="Q223" s="3">
        <f>YEAR(Ticket_Table[[#This Row],[raised_date]])</f>
        <v>2023</v>
      </c>
    </row>
    <row r="224" spans="1:17">
      <c r="A224" t="s">
        <v>577</v>
      </c>
      <c r="B224" t="s">
        <v>578</v>
      </c>
      <c r="C224" t="s">
        <v>28</v>
      </c>
      <c r="D224" t="s">
        <v>43</v>
      </c>
      <c r="E224" t="s">
        <v>51</v>
      </c>
      <c r="F224" t="s">
        <v>45</v>
      </c>
      <c r="G224" t="s">
        <v>23</v>
      </c>
      <c r="H224" s="1">
        <v>44733</v>
      </c>
      <c r="I224" s="2">
        <v>44733.0791666667</v>
      </c>
      <c r="J224">
        <v>1.9</v>
      </c>
      <c r="K224" t="s">
        <v>24</v>
      </c>
      <c r="L224">
        <v>0</v>
      </c>
      <c r="M224">
        <v>3</v>
      </c>
      <c r="N224" t="s">
        <v>579</v>
      </c>
      <c r="O224" s="3" t="str">
        <f>TEXT(Ticket_Table[[#This Row],[raised_date]],"YYYY-MM")</f>
        <v>2022-06</v>
      </c>
      <c r="P224" s="3" t="str">
        <f>IF(Ticket_Table[[#This Row],[resolution_hrs]]&lt;=4,"Fast",IF(Ticket_Table[[#This Row],[resolution_hrs]]&lt;=24,"Normal",IF(Ticket_Table[[#This Row],[resolution_hrs]]&lt;=48,"Slow","Very Slow")))</f>
        <v>Fast</v>
      </c>
      <c r="Q224" s="3">
        <f>YEAR(Ticket_Table[[#This Row],[raised_date]])</f>
        <v>2022</v>
      </c>
    </row>
    <row r="225" spans="1:17">
      <c r="A225" t="s">
        <v>580</v>
      </c>
      <c r="B225" t="s">
        <v>143</v>
      </c>
      <c r="C225" t="s">
        <v>68</v>
      </c>
      <c r="D225" t="s">
        <v>20</v>
      </c>
      <c r="E225" t="s">
        <v>37</v>
      </c>
      <c r="F225" t="s">
        <v>70</v>
      </c>
      <c r="G225" t="s">
        <v>23</v>
      </c>
      <c r="H225" s="1">
        <v>44977</v>
      </c>
      <c r="I225" s="2">
        <v>44978.0583333333</v>
      </c>
      <c r="J225">
        <v>25.4</v>
      </c>
      <c r="K225" t="s">
        <v>24</v>
      </c>
      <c r="L225">
        <v>0</v>
      </c>
      <c r="M225">
        <v>5</v>
      </c>
      <c r="N225" t="s">
        <v>581</v>
      </c>
      <c r="O225" s="3" t="str">
        <f>TEXT(Ticket_Table[[#This Row],[raised_date]],"YYYY-MM")</f>
        <v>2023-02</v>
      </c>
      <c r="P225" s="3" t="str">
        <f>IF(Ticket_Table[[#This Row],[resolution_hrs]]&lt;=4,"Fast",IF(Ticket_Table[[#This Row],[resolution_hrs]]&lt;=24,"Normal",IF(Ticket_Table[[#This Row],[resolution_hrs]]&lt;=48,"Slow","Very Slow")))</f>
        <v>Slow</v>
      </c>
      <c r="Q225" s="3">
        <f>YEAR(Ticket_Table[[#This Row],[raised_date]])</f>
        <v>2023</v>
      </c>
    </row>
    <row r="226" spans="1:17">
      <c r="A226" t="s">
        <v>582</v>
      </c>
      <c r="B226" t="s">
        <v>57</v>
      </c>
      <c r="C226" t="s">
        <v>82</v>
      </c>
      <c r="D226" t="s">
        <v>29</v>
      </c>
      <c r="E226" t="s">
        <v>106</v>
      </c>
      <c r="F226" t="s">
        <v>70</v>
      </c>
      <c r="G226" t="s">
        <v>31</v>
      </c>
      <c r="H226" s="1">
        <v>44957</v>
      </c>
      <c r="I226" s="2">
        <v>44959.6625</v>
      </c>
      <c r="J226">
        <v>63.9</v>
      </c>
      <c r="K226" t="s">
        <v>32</v>
      </c>
      <c r="L226">
        <v>2</v>
      </c>
      <c r="M226">
        <v>4</v>
      </c>
      <c r="N226" t="s">
        <v>253</v>
      </c>
      <c r="O226" s="3" t="str">
        <f>TEXT(Ticket_Table[[#This Row],[raised_date]],"YYYY-MM")</f>
        <v>2023-01</v>
      </c>
      <c r="P226" s="3" t="str">
        <f>IF(Ticket_Table[[#This Row],[resolution_hrs]]&lt;=4,"Fast",IF(Ticket_Table[[#This Row],[resolution_hrs]]&lt;=24,"Normal",IF(Ticket_Table[[#This Row],[resolution_hrs]]&lt;=48,"Slow","Very Slow")))</f>
        <v>Very Slow</v>
      </c>
      <c r="Q226" s="3">
        <f>YEAR(Ticket_Table[[#This Row],[raised_date]])</f>
        <v>2023</v>
      </c>
    </row>
    <row r="227" spans="1:17">
      <c r="A227" t="s">
        <v>583</v>
      </c>
      <c r="B227" t="s">
        <v>584</v>
      </c>
      <c r="C227" t="s">
        <v>55</v>
      </c>
      <c r="D227" t="s">
        <v>90</v>
      </c>
      <c r="E227" t="s">
        <v>83</v>
      </c>
      <c r="F227" t="s">
        <v>38</v>
      </c>
      <c r="G227" t="s">
        <v>23</v>
      </c>
      <c r="H227" s="1">
        <v>44418</v>
      </c>
      <c r="I227" s="2">
        <v>44418.9208333333</v>
      </c>
      <c r="J227">
        <v>22.1</v>
      </c>
      <c r="K227" t="s">
        <v>24</v>
      </c>
      <c r="L227">
        <v>0</v>
      </c>
      <c r="M227">
        <v>3</v>
      </c>
      <c r="N227" t="s">
        <v>73</v>
      </c>
      <c r="O227" s="3" t="str">
        <f>TEXT(Ticket_Table[[#This Row],[raised_date]],"YYYY-MM")</f>
        <v>2021-08</v>
      </c>
      <c r="P227" s="3" t="str">
        <f>IF(Ticket_Table[[#This Row],[resolution_hrs]]&lt;=4,"Fast",IF(Ticket_Table[[#This Row],[resolution_hrs]]&lt;=24,"Normal",IF(Ticket_Table[[#This Row],[resolution_hrs]]&lt;=48,"Slow","Very Slow")))</f>
        <v>Normal</v>
      </c>
      <c r="Q227" s="3">
        <f>YEAR(Ticket_Table[[#This Row],[raised_date]])</f>
        <v>2021</v>
      </c>
    </row>
    <row r="228" spans="1:17">
      <c r="A228" t="s">
        <v>585</v>
      </c>
      <c r="B228" t="s">
        <v>406</v>
      </c>
      <c r="C228" t="s">
        <v>175</v>
      </c>
      <c r="D228" t="s">
        <v>43</v>
      </c>
      <c r="E228" t="s">
        <v>83</v>
      </c>
      <c r="F228" t="s">
        <v>45</v>
      </c>
      <c r="G228" t="s">
        <v>46</v>
      </c>
      <c r="H228" s="1">
        <v>44675</v>
      </c>
      <c r="I228" s="2">
        <v>44675.2041666667</v>
      </c>
      <c r="J228">
        <v>4.9</v>
      </c>
      <c r="K228" t="s">
        <v>32</v>
      </c>
      <c r="L228">
        <v>1</v>
      </c>
      <c r="M228">
        <v>4</v>
      </c>
      <c r="N228" t="s">
        <v>586</v>
      </c>
      <c r="O228" s="3" t="str">
        <f>TEXT(Ticket_Table[[#This Row],[raised_date]],"YYYY-MM")</f>
        <v>2022-04</v>
      </c>
      <c r="P228" s="3" t="str">
        <f>IF(Ticket_Table[[#This Row],[resolution_hrs]]&lt;=4,"Fast",IF(Ticket_Table[[#This Row],[resolution_hrs]]&lt;=24,"Normal",IF(Ticket_Table[[#This Row],[resolution_hrs]]&lt;=48,"Slow","Very Slow")))</f>
        <v>Normal</v>
      </c>
      <c r="Q228" s="3">
        <f>YEAR(Ticket_Table[[#This Row],[raised_date]])</f>
        <v>2022</v>
      </c>
    </row>
    <row r="229" spans="1:17">
      <c r="A229" t="s">
        <v>587</v>
      </c>
      <c r="B229" t="s">
        <v>588</v>
      </c>
      <c r="C229" t="s">
        <v>287</v>
      </c>
      <c r="D229" t="s">
        <v>43</v>
      </c>
      <c r="E229" t="s">
        <v>30</v>
      </c>
      <c r="F229" t="s">
        <v>70</v>
      </c>
      <c r="G229" t="s">
        <v>23</v>
      </c>
      <c r="H229" s="1">
        <v>45162</v>
      </c>
      <c r="I229" s="2">
        <v>45163.9291666667</v>
      </c>
      <c r="J229">
        <v>46.3</v>
      </c>
      <c r="K229" t="s">
        <v>24</v>
      </c>
      <c r="L229">
        <v>0</v>
      </c>
      <c r="M229">
        <v>3</v>
      </c>
      <c r="N229" t="s">
        <v>589</v>
      </c>
      <c r="O229" s="3" t="str">
        <f>TEXT(Ticket_Table[[#This Row],[raised_date]],"YYYY-MM")</f>
        <v>2023-08</v>
      </c>
      <c r="P229" s="3" t="str">
        <f>IF(Ticket_Table[[#This Row],[resolution_hrs]]&lt;=4,"Fast",IF(Ticket_Table[[#This Row],[resolution_hrs]]&lt;=24,"Normal",IF(Ticket_Table[[#This Row],[resolution_hrs]]&lt;=48,"Slow","Very Slow")))</f>
        <v>Slow</v>
      </c>
      <c r="Q229" s="3">
        <f>YEAR(Ticket_Table[[#This Row],[raised_date]])</f>
        <v>2023</v>
      </c>
    </row>
    <row r="230" spans="1:17">
      <c r="A230" t="s">
        <v>590</v>
      </c>
      <c r="B230" t="s">
        <v>25</v>
      </c>
      <c r="C230" t="s">
        <v>213</v>
      </c>
      <c r="D230" t="s">
        <v>36</v>
      </c>
      <c r="E230" t="s">
        <v>166</v>
      </c>
      <c r="F230" t="s">
        <v>38</v>
      </c>
      <c r="G230" t="s">
        <v>46</v>
      </c>
      <c r="H230" s="1">
        <v>44248</v>
      </c>
      <c r="I230" s="2">
        <v>44248.9333333333</v>
      </c>
      <c r="J230">
        <v>22.4</v>
      </c>
      <c r="K230" t="s">
        <v>24</v>
      </c>
      <c r="L230">
        <v>1</v>
      </c>
      <c r="M230">
        <v>4</v>
      </c>
      <c r="N230" t="s">
        <v>49</v>
      </c>
      <c r="O230" s="3" t="str">
        <f>TEXT(Ticket_Table[[#This Row],[raised_date]],"YYYY-MM")</f>
        <v>2021-02</v>
      </c>
      <c r="P230" s="3" t="str">
        <f>IF(Ticket_Table[[#This Row],[resolution_hrs]]&lt;=4,"Fast",IF(Ticket_Table[[#This Row],[resolution_hrs]]&lt;=24,"Normal",IF(Ticket_Table[[#This Row],[resolution_hrs]]&lt;=48,"Slow","Very Slow")))</f>
        <v>Normal</v>
      </c>
      <c r="Q230" s="3">
        <f>YEAR(Ticket_Table[[#This Row],[raised_date]])</f>
        <v>2021</v>
      </c>
    </row>
    <row r="231" spans="1:17">
      <c r="A231" t="s">
        <v>591</v>
      </c>
      <c r="B231" t="s">
        <v>458</v>
      </c>
      <c r="C231" t="s">
        <v>60</v>
      </c>
      <c r="D231" t="s">
        <v>90</v>
      </c>
      <c r="E231" t="s">
        <v>69</v>
      </c>
      <c r="F231" t="s">
        <v>70</v>
      </c>
      <c r="G231" t="s">
        <v>74</v>
      </c>
      <c r="H231" s="1">
        <v>44868</v>
      </c>
      <c r="I231" s="2">
        <v>44868.5458333333</v>
      </c>
      <c r="J231">
        <v>13.1</v>
      </c>
      <c r="K231" t="s">
        <v>24</v>
      </c>
      <c r="L231">
        <v>0</v>
      </c>
      <c r="M231">
        <v>4</v>
      </c>
      <c r="N231" t="s">
        <v>592</v>
      </c>
      <c r="O231" s="3" t="str">
        <f>TEXT(Ticket_Table[[#This Row],[raised_date]],"YYYY-MM")</f>
        <v>2022-11</v>
      </c>
      <c r="P231" s="3" t="str">
        <f>IF(Ticket_Table[[#This Row],[resolution_hrs]]&lt;=4,"Fast",IF(Ticket_Table[[#This Row],[resolution_hrs]]&lt;=24,"Normal",IF(Ticket_Table[[#This Row],[resolution_hrs]]&lt;=48,"Slow","Very Slow")))</f>
        <v>Normal</v>
      </c>
      <c r="Q231" s="3">
        <f>YEAR(Ticket_Table[[#This Row],[raised_date]])</f>
        <v>2022</v>
      </c>
    </row>
    <row r="232" spans="1:17">
      <c r="A232" t="s">
        <v>593</v>
      </c>
      <c r="B232" t="s">
        <v>594</v>
      </c>
      <c r="C232" t="s">
        <v>140</v>
      </c>
      <c r="D232" t="s">
        <v>43</v>
      </c>
      <c r="E232" t="s">
        <v>21</v>
      </c>
      <c r="F232" t="s">
        <v>70</v>
      </c>
      <c r="G232" t="s">
        <v>31</v>
      </c>
      <c r="H232" s="1">
        <v>44650</v>
      </c>
      <c r="I232" s="2">
        <v>44652.9125</v>
      </c>
      <c r="J232">
        <v>69.9</v>
      </c>
      <c r="K232" t="s">
        <v>32</v>
      </c>
      <c r="L232">
        <v>0</v>
      </c>
      <c r="M232">
        <v>4</v>
      </c>
      <c r="N232" t="s">
        <v>595</v>
      </c>
      <c r="O232" s="3" t="str">
        <f>TEXT(Ticket_Table[[#This Row],[raised_date]],"YYYY-MM")</f>
        <v>2022-03</v>
      </c>
      <c r="P232" s="3" t="str">
        <f>IF(Ticket_Table[[#This Row],[resolution_hrs]]&lt;=4,"Fast",IF(Ticket_Table[[#This Row],[resolution_hrs]]&lt;=24,"Normal",IF(Ticket_Table[[#This Row],[resolution_hrs]]&lt;=48,"Slow","Very Slow")))</f>
        <v>Very Slow</v>
      </c>
      <c r="Q232" s="3">
        <f>YEAR(Ticket_Table[[#This Row],[raised_date]])</f>
        <v>2022</v>
      </c>
    </row>
    <row r="233" spans="1:17">
      <c r="A233" t="s">
        <v>596</v>
      </c>
      <c r="B233" t="s">
        <v>597</v>
      </c>
      <c r="C233" t="s">
        <v>50</v>
      </c>
      <c r="D233" t="s">
        <v>20</v>
      </c>
      <c r="E233" t="s">
        <v>106</v>
      </c>
      <c r="F233" t="s">
        <v>70</v>
      </c>
      <c r="G233" t="s">
        <v>46</v>
      </c>
      <c r="H233" s="1">
        <v>44326</v>
      </c>
      <c r="I233" s="2">
        <v>44328.5708333333</v>
      </c>
      <c r="J233">
        <v>61.7</v>
      </c>
      <c r="K233" t="s">
        <v>32</v>
      </c>
      <c r="L233">
        <v>0</v>
      </c>
      <c r="M233">
        <v>2</v>
      </c>
      <c r="N233" t="s">
        <v>340</v>
      </c>
      <c r="O233" s="3" t="str">
        <f>TEXT(Ticket_Table[[#This Row],[raised_date]],"YYYY-MM")</f>
        <v>2021-05</v>
      </c>
      <c r="P233" s="3" t="str">
        <f>IF(Ticket_Table[[#This Row],[resolution_hrs]]&lt;=4,"Fast",IF(Ticket_Table[[#This Row],[resolution_hrs]]&lt;=24,"Normal",IF(Ticket_Table[[#This Row],[resolution_hrs]]&lt;=48,"Slow","Very Slow")))</f>
        <v>Very Slow</v>
      </c>
      <c r="Q233" s="3">
        <f>YEAR(Ticket_Table[[#This Row],[raised_date]])</f>
        <v>2021</v>
      </c>
    </row>
    <row r="234" spans="1:17">
      <c r="A234" t="s">
        <v>598</v>
      </c>
      <c r="B234" t="s">
        <v>599</v>
      </c>
      <c r="C234" t="s">
        <v>60</v>
      </c>
      <c r="D234" t="s">
        <v>43</v>
      </c>
      <c r="E234" t="s">
        <v>83</v>
      </c>
      <c r="F234" t="s">
        <v>38</v>
      </c>
      <c r="G234" t="s">
        <v>74</v>
      </c>
      <c r="H234" s="1">
        <v>45147</v>
      </c>
      <c r="I234" s="2">
        <v>45147.1666666667</v>
      </c>
      <c r="J234">
        <v>4</v>
      </c>
      <c r="K234" t="s">
        <v>24</v>
      </c>
      <c r="L234">
        <v>2</v>
      </c>
      <c r="M234">
        <v>5</v>
      </c>
      <c r="N234" t="s">
        <v>600</v>
      </c>
      <c r="O234" s="3" t="str">
        <f>TEXT(Ticket_Table[[#This Row],[raised_date]],"YYYY-MM")</f>
        <v>2023-08</v>
      </c>
      <c r="P234" s="3" t="str">
        <f>IF(Ticket_Table[[#This Row],[resolution_hrs]]&lt;=4,"Fast",IF(Ticket_Table[[#This Row],[resolution_hrs]]&lt;=24,"Normal",IF(Ticket_Table[[#This Row],[resolution_hrs]]&lt;=48,"Slow","Very Slow")))</f>
        <v>Fast</v>
      </c>
      <c r="Q234" s="3">
        <f>YEAR(Ticket_Table[[#This Row],[raised_date]])</f>
        <v>2023</v>
      </c>
    </row>
    <row r="235" spans="1:17">
      <c r="A235" t="s">
        <v>601</v>
      </c>
      <c r="B235" t="s">
        <v>240</v>
      </c>
      <c r="C235" t="s">
        <v>28</v>
      </c>
      <c r="D235" t="s">
        <v>43</v>
      </c>
      <c r="E235" t="s">
        <v>83</v>
      </c>
      <c r="F235" t="s">
        <v>38</v>
      </c>
      <c r="G235" t="s">
        <v>31</v>
      </c>
      <c r="H235" s="1">
        <v>44815</v>
      </c>
      <c r="I235" s="2">
        <v>44816.2916666667</v>
      </c>
      <c r="J235">
        <v>31</v>
      </c>
      <c r="K235" t="s">
        <v>32</v>
      </c>
      <c r="L235">
        <v>0</v>
      </c>
      <c r="M235">
        <v>4</v>
      </c>
      <c r="N235" t="s">
        <v>264</v>
      </c>
      <c r="O235" s="3" t="str">
        <f>TEXT(Ticket_Table[[#This Row],[raised_date]],"YYYY-MM")</f>
        <v>2022-09</v>
      </c>
      <c r="P235" s="3" t="str">
        <f>IF(Ticket_Table[[#This Row],[resolution_hrs]]&lt;=4,"Fast",IF(Ticket_Table[[#This Row],[resolution_hrs]]&lt;=24,"Normal",IF(Ticket_Table[[#This Row],[resolution_hrs]]&lt;=48,"Slow","Very Slow")))</f>
        <v>Slow</v>
      </c>
      <c r="Q235" s="3">
        <f>YEAR(Ticket_Table[[#This Row],[raised_date]])</f>
        <v>2022</v>
      </c>
    </row>
    <row r="236" spans="1:17">
      <c r="A236" t="s">
        <v>602</v>
      </c>
      <c r="B236" t="s">
        <v>315</v>
      </c>
      <c r="C236" t="s">
        <v>201</v>
      </c>
      <c r="D236" t="s">
        <v>43</v>
      </c>
      <c r="E236" t="s">
        <v>166</v>
      </c>
      <c r="F236" t="s">
        <v>70</v>
      </c>
      <c r="G236" t="s">
        <v>23</v>
      </c>
      <c r="H236" s="1">
        <v>45033</v>
      </c>
      <c r="I236" s="2">
        <v>45034.4875</v>
      </c>
      <c r="J236">
        <v>35.7</v>
      </c>
      <c r="K236" t="s">
        <v>24</v>
      </c>
      <c r="L236">
        <v>0</v>
      </c>
      <c r="M236">
        <v>5</v>
      </c>
      <c r="N236" t="s">
        <v>603</v>
      </c>
      <c r="O236" s="3" t="str">
        <f>TEXT(Ticket_Table[[#This Row],[raised_date]],"YYYY-MM")</f>
        <v>2023-04</v>
      </c>
      <c r="P236" s="3" t="str">
        <f>IF(Ticket_Table[[#This Row],[resolution_hrs]]&lt;=4,"Fast",IF(Ticket_Table[[#This Row],[resolution_hrs]]&lt;=24,"Normal",IF(Ticket_Table[[#This Row],[resolution_hrs]]&lt;=48,"Slow","Very Slow")))</f>
        <v>Slow</v>
      </c>
      <c r="Q236" s="3">
        <f>YEAR(Ticket_Table[[#This Row],[raised_date]])</f>
        <v>2023</v>
      </c>
    </row>
    <row r="237" spans="1:17">
      <c r="A237" t="s">
        <v>604</v>
      </c>
      <c r="B237" t="s">
        <v>605</v>
      </c>
      <c r="C237" t="s">
        <v>55</v>
      </c>
      <c r="D237" t="s">
        <v>36</v>
      </c>
      <c r="E237" t="s">
        <v>51</v>
      </c>
      <c r="F237" t="s">
        <v>22</v>
      </c>
      <c r="G237" t="s">
        <v>46</v>
      </c>
      <c r="H237" s="1">
        <v>44435</v>
      </c>
      <c r="I237" s="2">
        <v>44439.4791666667</v>
      </c>
      <c r="J237">
        <v>107.5</v>
      </c>
      <c r="K237" t="s">
        <v>32</v>
      </c>
      <c r="L237">
        <v>1</v>
      </c>
      <c r="M237">
        <v>4</v>
      </c>
      <c r="N237" t="s">
        <v>321</v>
      </c>
      <c r="O237" s="3" t="str">
        <f>TEXT(Ticket_Table[[#This Row],[raised_date]],"YYYY-MM")</f>
        <v>2021-08</v>
      </c>
      <c r="P237" s="3" t="str">
        <f>IF(Ticket_Table[[#This Row],[resolution_hrs]]&lt;=4,"Fast",IF(Ticket_Table[[#This Row],[resolution_hrs]]&lt;=24,"Normal",IF(Ticket_Table[[#This Row],[resolution_hrs]]&lt;=48,"Slow","Very Slow")))</f>
        <v>Very Slow</v>
      </c>
      <c r="Q237" s="3">
        <f>YEAR(Ticket_Table[[#This Row],[raised_date]])</f>
        <v>2021</v>
      </c>
    </row>
    <row r="238" spans="1:17">
      <c r="A238" t="s">
        <v>606</v>
      </c>
      <c r="B238" t="s">
        <v>607</v>
      </c>
      <c r="C238" t="s">
        <v>28</v>
      </c>
      <c r="D238" t="s">
        <v>43</v>
      </c>
      <c r="E238" t="s">
        <v>83</v>
      </c>
      <c r="F238" t="s">
        <v>70</v>
      </c>
      <c r="G238" t="s">
        <v>23</v>
      </c>
      <c r="H238" s="1">
        <v>44483</v>
      </c>
      <c r="I238" s="2">
        <v>44484.7916666667</v>
      </c>
      <c r="J238">
        <v>43</v>
      </c>
      <c r="K238" t="s">
        <v>24</v>
      </c>
      <c r="L238">
        <v>0</v>
      </c>
      <c r="M238">
        <v>5</v>
      </c>
      <c r="N238" t="s">
        <v>608</v>
      </c>
      <c r="O238" s="3" t="str">
        <f>TEXT(Ticket_Table[[#This Row],[raised_date]],"YYYY-MM")</f>
        <v>2021-10</v>
      </c>
      <c r="P238" s="3" t="str">
        <f>IF(Ticket_Table[[#This Row],[resolution_hrs]]&lt;=4,"Fast",IF(Ticket_Table[[#This Row],[resolution_hrs]]&lt;=24,"Normal",IF(Ticket_Table[[#This Row],[resolution_hrs]]&lt;=48,"Slow","Very Slow")))</f>
        <v>Slow</v>
      </c>
      <c r="Q238" s="3">
        <f>YEAR(Ticket_Table[[#This Row],[raised_date]])</f>
        <v>2021</v>
      </c>
    </row>
    <row r="239" spans="1:17">
      <c r="A239" t="s">
        <v>609</v>
      </c>
      <c r="B239" t="s">
        <v>491</v>
      </c>
      <c r="C239" t="s">
        <v>68</v>
      </c>
      <c r="D239" t="s">
        <v>43</v>
      </c>
      <c r="E239" t="s">
        <v>30</v>
      </c>
      <c r="F239" t="s">
        <v>22</v>
      </c>
      <c r="G239" t="s">
        <v>46</v>
      </c>
      <c r="H239" s="1">
        <v>44289</v>
      </c>
      <c r="I239" s="2">
        <v>44292.775</v>
      </c>
      <c r="J239">
        <v>90.6</v>
      </c>
      <c r="K239" t="s">
        <v>32</v>
      </c>
      <c r="L239">
        <v>0</v>
      </c>
      <c r="M239">
        <v>4</v>
      </c>
      <c r="N239" t="s">
        <v>610</v>
      </c>
      <c r="O239" s="3" t="str">
        <f>TEXT(Ticket_Table[[#This Row],[raised_date]],"YYYY-MM")</f>
        <v>2021-04</v>
      </c>
      <c r="P239" s="3" t="str">
        <f>IF(Ticket_Table[[#This Row],[resolution_hrs]]&lt;=4,"Fast",IF(Ticket_Table[[#This Row],[resolution_hrs]]&lt;=24,"Normal",IF(Ticket_Table[[#This Row],[resolution_hrs]]&lt;=48,"Slow","Very Slow")))</f>
        <v>Very Slow</v>
      </c>
      <c r="Q239" s="3">
        <f>YEAR(Ticket_Table[[#This Row],[raised_date]])</f>
        <v>2021</v>
      </c>
    </row>
    <row r="240" spans="1:17">
      <c r="A240" t="s">
        <v>611</v>
      </c>
      <c r="B240" t="s">
        <v>127</v>
      </c>
      <c r="C240" t="s">
        <v>68</v>
      </c>
      <c r="D240" t="s">
        <v>36</v>
      </c>
      <c r="E240" t="s">
        <v>83</v>
      </c>
      <c r="F240" t="s">
        <v>70</v>
      </c>
      <c r="G240" t="s">
        <v>46</v>
      </c>
      <c r="H240" s="1">
        <v>44273</v>
      </c>
      <c r="I240" s="2">
        <v>44273.8666666667</v>
      </c>
      <c r="J240">
        <v>20.8</v>
      </c>
      <c r="K240" t="s">
        <v>24</v>
      </c>
      <c r="L240">
        <v>0</v>
      </c>
      <c r="M240">
        <v>2</v>
      </c>
      <c r="N240" t="s">
        <v>612</v>
      </c>
      <c r="O240" s="3" t="str">
        <f>TEXT(Ticket_Table[[#This Row],[raised_date]],"YYYY-MM")</f>
        <v>2021-03</v>
      </c>
      <c r="P240" s="3" t="str">
        <f>IF(Ticket_Table[[#This Row],[resolution_hrs]]&lt;=4,"Fast",IF(Ticket_Table[[#This Row],[resolution_hrs]]&lt;=24,"Normal",IF(Ticket_Table[[#This Row],[resolution_hrs]]&lt;=48,"Slow","Very Slow")))</f>
        <v>Normal</v>
      </c>
      <c r="Q240" s="3">
        <f>YEAR(Ticket_Table[[#This Row],[raised_date]])</f>
        <v>2021</v>
      </c>
    </row>
    <row r="241" spans="1:17">
      <c r="A241" t="s">
        <v>613</v>
      </c>
      <c r="B241" t="s">
        <v>614</v>
      </c>
      <c r="C241" t="s">
        <v>68</v>
      </c>
      <c r="D241" t="s">
        <v>90</v>
      </c>
      <c r="E241" t="s">
        <v>83</v>
      </c>
      <c r="F241" t="s">
        <v>38</v>
      </c>
      <c r="G241" t="s">
        <v>31</v>
      </c>
      <c r="H241" s="1">
        <v>44820</v>
      </c>
      <c r="I241" s="2">
        <v>44821.1083333333</v>
      </c>
      <c r="J241">
        <v>26.6</v>
      </c>
      <c r="K241" t="s">
        <v>32</v>
      </c>
      <c r="L241">
        <v>0</v>
      </c>
      <c r="M241">
        <v>4</v>
      </c>
      <c r="N241" t="s">
        <v>398</v>
      </c>
      <c r="O241" s="3" t="str">
        <f>TEXT(Ticket_Table[[#This Row],[raised_date]],"YYYY-MM")</f>
        <v>2022-09</v>
      </c>
      <c r="P241" s="3" t="str">
        <f>IF(Ticket_Table[[#This Row],[resolution_hrs]]&lt;=4,"Fast",IF(Ticket_Table[[#This Row],[resolution_hrs]]&lt;=24,"Normal",IF(Ticket_Table[[#This Row],[resolution_hrs]]&lt;=48,"Slow","Very Slow")))</f>
        <v>Slow</v>
      </c>
      <c r="Q241" s="3">
        <f>YEAR(Ticket_Table[[#This Row],[raised_date]])</f>
        <v>2022</v>
      </c>
    </row>
    <row r="242" spans="1:17">
      <c r="A242" t="s">
        <v>615</v>
      </c>
      <c r="B242" t="s">
        <v>616</v>
      </c>
      <c r="C242" t="s">
        <v>60</v>
      </c>
      <c r="D242" t="s">
        <v>29</v>
      </c>
      <c r="E242" t="s">
        <v>166</v>
      </c>
      <c r="F242" t="s">
        <v>38</v>
      </c>
      <c r="G242" t="s">
        <v>46</v>
      </c>
      <c r="H242" s="1">
        <v>45205</v>
      </c>
      <c r="I242" s="2">
        <v>45206.1166666667</v>
      </c>
      <c r="J242">
        <v>26.8</v>
      </c>
      <c r="K242" t="s">
        <v>32</v>
      </c>
      <c r="L242">
        <v>0</v>
      </c>
      <c r="M242">
        <v>4</v>
      </c>
      <c r="N242" t="s">
        <v>481</v>
      </c>
      <c r="O242" s="3" t="str">
        <f>TEXT(Ticket_Table[[#This Row],[raised_date]],"YYYY-MM")</f>
        <v>2023-10</v>
      </c>
      <c r="P242" s="3" t="str">
        <f>IF(Ticket_Table[[#This Row],[resolution_hrs]]&lt;=4,"Fast",IF(Ticket_Table[[#This Row],[resolution_hrs]]&lt;=24,"Normal",IF(Ticket_Table[[#This Row],[resolution_hrs]]&lt;=48,"Slow","Very Slow")))</f>
        <v>Slow</v>
      </c>
      <c r="Q242" s="3">
        <f>YEAR(Ticket_Table[[#This Row],[raised_date]])</f>
        <v>2023</v>
      </c>
    </row>
    <row r="243" spans="1:17">
      <c r="A243" t="s">
        <v>617</v>
      </c>
      <c r="B243" t="s">
        <v>618</v>
      </c>
      <c r="C243" t="s">
        <v>55</v>
      </c>
      <c r="D243" t="s">
        <v>36</v>
      </c>
      <c r="E243" t="s">
        <v>30</v>
      </c>
      <c r="F243" t="s">
        <v>38</v>
      </c>
      <c r="G243" t="s">
        <v>23</v>
      </c>
      <c r="H243" s="1">
        <v>44434</v>
      </c>
      <c r="I243" s="2">
        <v>44434.4</v>
      </c>
      <c r="J243">
        <v>9.6</v>
      </c>
      <c r="K243" t="s">
        <v>24</v>
      </c>
      <c r="L243">
        <v>1</v>
      </c>
      <c r="M243">
        <v>5</v>
      </c>
      <c r="N243" t="s">
        <v>368</v>
      </c>
      <c r="O243" s="3" t="str">
        <f>TEXT(Ticket_Table[[#This Row],[raised_date]],"YYYY-MM")</f>
        <v>2021-08</v>
      </c>
      <c r="P243" s="3" t="str">
        <f>IF(Ticket_Table[[#This Row],[resolution_hrs]]&lt;=4,"Fast",IF(Ticket_Table[[#This Row],[resolution_hrs]]&lt;=24,"Normal",IF(Ticket_Table[[#This Row],[resolution_hrs]]&lt;=48,"Slow","Very Slow")))</f>
        <v>Normal</v>
      </c>
      <c r="Q243" s="3">
        <f>YEAR(Ticket_Table[[#This Row],[raised_date]])</f>
        <v>2021</v>
      </c>
    </row>
    <row r="244" spans="1:17">
      <c r="A244" t="s">
        <v>619</v>
      </c>
      <c r="B244" t="s">
        <v>620</v>
      </c>
      <c r="C244" t="s">
        <v>28</v>
      </c>
      <c r="D244" t="s">
        <v>36</v>
      </c>
      <c r="E244" t="s">
        <v>56</v>
      </c>
      <c r="F244" t="s">
        <v>38</v>
      </c>
      <c r="G244" t="s">
        <v>74</v>
      </c>
      <c r="H244" s="1">
        <v>44396</v>
      </c>
      <c r="I244" s="2">
        <v>44396.5208333333</v>
      </c>
      <c r="J244">
        <v>12.5</v>
      </c>
      <c r="K244" t="s">
        <v>24</v>
      </c>
      <c r="L244">
        <v>0</v>
      </c>
      <c r="M244">
        <v>3</v>
      </c>
      <c r="N244" t="s">
        <v>621</v>
      </c>
      <c r="O244" s="3" t="str">
        <f>TEXT(Ticket_Table[[#This Row],[raised_date]],"YYYY-MM")</f>
        <v>2021-07</v>
      </c>
      <c r="P244" s="3" t="str">
        <f>IF(Ticket_Table[[#This Row],[resolution_hrs]]&lt;=4,"Fast",IF(Ticket_Table[[#This Row],[resolution_hrs]]&lt;=24,"Normal",IF(Ticket_Table[[#This Row],[resolution_hrs]]&lt;=48,"Slow","Very Slow")))</f>
        <v>Normal</v>
      </c>
      <c r="Q244" s="3">
        <f>YEAR(Ticket_Table[[#This Row],[raised_date]])</f>
        <v>2021</v>
      </c>
    </row>
    <row r="245" spans="1:17">
      <c r="A245" t="s">
        <v>622</v>
      </c>
      <c r="B245" t="s">
        <v>192</v>
      </c>
      <c r="C245" t="s">
        <v>95</v>
      </c>
      <c r="D245" t="s">
        <v>43</v>
      </c>
      <c r="E245" t="s">
        <v>44</v>
      </c>
      <c r="F245" t="s">
        <v>70</v>
      </c>
      <c r="G245" t="s">
        <v>31</v>
      </c>
      <c r="H245" s="1">
        <v>44677</v>
      </c>
      <c r="I245" s="2">
        <v>44678.7541666667</v>
      </c>
      <c r="J245">
        <v>42.1</v>
      </c>
      <c r="K245" t="s">
        <v>24</v>
      </c>
      <c r="L245">
        <v>1</v>
      </c>
      <c r="M245">
        <v>4</v>
      </c>
      <c r="N245" t="s">
        <v>109</v>
      </c>
      <c r="O245" s="3" t="str">
        <f>TEXT(Ticket_Table[[#This Row],[raised_date]],"YYYY-MM")</f>
        <v>2022-04</v>
      </c>
      <c r="P245" s="3" t="str">
        <f>IF(Ticket_Table[[#This Row],[resolution_hrs]]&lt;=4,"Fast",IF(Ticket_Table[[#This Row],[resolution_hrs]]&lt;=24,"Normal",IF(Ticket_Table[[#This Row],[resolution_hrs]]&lt;=48,"Slow","Very Slow")))</f>
        <v>Slow</v>
      </c>
      <c r="Q245" s="3">
        <f>YEAR(Ticket_Table[[#This Row],[raised_date]])</f>
        <v>2022</v>
      </c>
    </row>
    <row r="246" spans="1:17">
      <c r="A246" t="s">
        <v>623</v>
      </c>
      <c r="B246" t="s">
        <v>523</v>
      </c>
      <c r="C246" t="s">
        <v>213</v>
      </c>
      <c r="D246" t="s">
        <v>43</v>
      </c>
      <c r="E246" t="s">
        <v>166</v>
      </c>
      <c r="F246" t="s">
        <v>38</v>
      </c>
      <c r="G246" t="s">
        <v>23</v>
      </c>
      <c r="H246" s="1">
        <v>44474</v>
      </c>
      <c r="I246" s="2">
        <v>44475.3416666667</v>
      </c>
      <c r="J246">
        <v>32.2</v>
      </c>
      <c r="K246" t="s">
        <v>32</v>
      </c>
      <c r="L246">
        <v>0</v>
      </c>
      <c r="M246">
        <v>5</v>
      </c>
      <c r="N246" t="s">
        <v>182</v>
      </c>
      <c r="O246" s="3" t="str">
        <f>TEXT(Ticket_Table[[#This Row],[raised_date]],"YYYY-MM")</f>
        <v>2021-10</v>
      </c>
      <c r="P246" s="3" t="str">
        <f>IF(Ticket_Table[[#This Row],[resolution_hrs]]&lt;=4,"Fast",IF(Ticket_Table[[#This Row],[resolution_hrs]]&lt;=24,"Normal",IF(Ticket_Table[[#This Row],[resolution_hrs]]&lt;=48,"Slow","Very Slow")))</f>
        <v>Slow</v>
      </c>
      <c r="Q246" s="3">
        <f>YEAR(Ticket_Table[[#This Row],[raised_date]])</f>
        <v>2021</v>
      </c>
    </row>
    <row r="247" spans="1:17">
      <c r="A247" t="s">
        <v>624</v>
      </c>
      <c r="B247" t="s">
        <v>434</v>
      </c>
      <c r="C247" t="s">
        <v>213</v>
      </c>
      <c r="D247" t="s">
        <v>29</v>
      </c>
      <c r="E247" t="s">
        <v>51</v>
      </c>
      <c r="F247" t="s">
        <v>70</v>
      </c>
      <c r="G247" t="s">
        <v>31</v>
      </c>
      <c r="H247" s="1">
        <v>44992</v>
      </c>
      <c r="I247" s="2">
        <v>44993.7916666667</v>
      </c>
      <c r="J247">
        <v>43</v>
      </c>
      <c r="K247" t="s">
        <v>24</v>
      </c>
      <c r="L247">
        <v>0</v>
      </c>
      <c r="M247">
        <v>5</v>
      </c>
      <c r="N247" t="s">
        <v>434</v>
      </c>
      <c r="O247" s="3" t="str">
        <f>TEXT(Ticket_Table[[#This Row],[raised_date]],"YYYY-MM")</f>
        <v>2023-03</v>
      </c>
      <c r="P247" s="3" t="str">
        <f>IF(Ticket_Table[[#This Row],[resolution_hrs]]&lt;=4,"Fast",IF(Ticket_Table[[#This Row],[resolution_hrs]]&lt;=24,"Normal",IF(Ticket_Table[[#This Row],[resolution_hrs]]&lt;=48,"Slow","Very Slow")))</f>
        <v>Slow</v>
      </c>
      <c r="Q247" s="3">
        <f>YEAR(Ticket_Table[[#This Row],[raised_date]])</f>
        <v>2023</v>
      </c>
    </row>
    <row r="248" spans="1:17">
      <c r="A248" t="s">
        <v>625</v>
      </c>
      <c r="B248" t="s">
        <v>129</v>
      </c>
      <c r="C248" t="s">
        <v>42</v>
      </c>
      <c r="D248" t="s">
        <v>43</v>
      </c>
      <c r="E248" t="s">
        <v>51</v>
      </c>
      <c r="F248" t="s">
        <v>22</v>
      </c>
      <c r="G248" t="s">
        <v>23</v>
      </c>
      <c r="H248" s="1">
        <v>45126</v>
      </c>
      <c r="I248" s="2">
        <v>45126.7041666667</v>
      </c>
      <c r="J248">
        <v>16.9</v>
      </c>
      <c r="K248" t="s">
        <v>24</v>
      </c>
      <c r="L248">
        <v>0</v>
      </c>
      <c r="M248">
        <v>1</v>
      </c>
      <c r="N248" t="s">
        <v>264</v>
      </c>
      <c r="O248" s="3" t="str">
        <f>TEXT(Ticket_Table[[#This Row],[raised_date]],"YYYY-MM")</f>
        <v>2023-07</v>
      </c>
      <c r="P248" s="3" t="str">
        <f>IF(Ticket_Table[[#This Row],[resolution_hrs]]&lt;=4,"Fast",IF(Ticket_Table[[#This Row],[resolution_hrs]]&lt;=24,"Normal",IF(Ticket_Table[[#This Row],[resolution_hrs]]&lt;=48,"Slow","Very Slow")))</f>
        <v>Normal</v>
      </c>
      <c r="Q248" s="3">
        <f>YEAR(Ticket_Table[[#This Row],[raised_date]])</f>
        <v>2023</v>
      </c>
    </row>
    <row r="249" spans="1:17">
      <c r="A249" t="s">
        <v>626</v>
      </c>
      <c r="B249" t="s">
        <v>567</v>
      </c>
      <c r="C249" t="s">
        <v>64</v>
      </c>
      <c r="D249" t="s">
        <v>20</v>
      </c>
      <c r="E249" t="s">
        <v>106</v>
      </c>
      <c r="F249" t="s">
        <v>22</v>
      </c>
      <c r="G249" t="s">
        <v>31</v>
      </c>
      <c r="H249" s="1">
        <v>44956</v>
      </c>
      <c r="I249" s="2">
        <v>44958.6</v>
      </c>
      <c r="J249">
        <v>62.4</v>
      </c>
      <c r="K249" t="s">
        <v>24</v>
      </c>
      <c r="L249">
        <v>0</v>
      </c>
      <c r="M249">
        <v>4</v>
      </c>
      <c r="N249" t="s">
        <v>627</v>
      </c>
      <c r="O249" s="3" t="str">
        <f>TEXT(Ticket_Table[[#This Row],[raised_date]],"YYYY-MM")</f>
        <v>2023-01</v>
      </c>
      <c r="P249" s="3" t="str">
        <f>IF(Ticket_Table[[#This Row],[resolution_hrs]]&lt;=4,"Fast",IF(Ticket_Table[[#This Row],[resolution_hrs]]&lt;=24,"Normal",IF(Ticket_Table[[#This Row],[resolution_hrs]]&lt;=48,"Slow","Very Slow")))</f>
        <v>Very Slow</v>
      </c>
      <c r="Q249" s="3">
        <f>YEAR(Ticket_Table[[#This Row],[raised_date]])</f>
        <v>2023</v>
      </c>
    </row>
    <row r="250" spans="1:17">
      <c r="A250" t="s">
        <v>628</v>
      </c>
      <c r="B250" t="s">
        <v>576</v>
      </c>
      <c r="C250" t="s">
        <v>55</v>
      </c>
      <c r="D250" t="s">
        <v>43</v>
      </c>
      <c r="E250" t="s">
        <v>166</v>
      </c>
      <c r="F250" t="s">
        <v>22</v>
      </c>
      <c r="G250" t="s">
        <v>31</v>
      </c>
      <c r="H250" s="1">
        <v>45055</v>
      </c>
      <c r="I250" s="2">
        <v>45055.0625</v>
      </c>
      <c r="J250">
        <v>1.5</v>
      </c>
      <c r="K250" t="s">
        <v>24</v>
      </c>
      <c r="L250">
        <v>0</v>
      </c>
      <c r="M250">
        <v>4</v>
      </c>
      <c r="N250" t="s">
        <v>270</v>
      </c>
      <c r="O250" s="3" t="str">
        <f>TEXT(Ticket_Table[[#This Row],[raised_date]],"YYYY-MM")</f>
        <v>2023-05</v>
      </c>
      <c r="P250" s="3" t="str">
        <f>IF(Ticket_Table[[#This Row],[resolution_hrs]]&lt;=4,"Fast",IF(Ticket_Table[[#This Row],[resolution_hrs]]&lt;=24,"Normal",IF(Ticket_Table[[#This Row],[resolution_hrs]]&lt;=48,"Slow","Very Slow")))</f>
        <v>Fast</v>
      </c>
      <c r="Q250" s="3">
        <f>YEAR(Ticket_Table[[#This Row],[raised_date]])</f>
        <v>2023</v>
      </c>
    </row>
    <row r="251" spans="1:17">
      <c r="A251" t="s">
        <v>629</v>
      </c>
      <c r="B251" t="s">
        <v>81</v>
      </c>
      <c r="C251" t="s">
        <v>261</v>
      </c>
      <c r="D251" t="s">
        <v>43</v>
      </c>
      <c r="E251" t="s">
        <v>37</v>
      </c>
      <c r="F251" t="s">
        <v>70</v>
      </c>
      <c r="G251" t="s">
        <v>31</v>
      </c>
      <c r="H251" s="1">
        <v>44513</v>
      </c>
      <c r="I251" s="2">
        <v>44515.9416666667</v>
      </c>
      <c r="J251">
        <v>70.6</v>
      </c>
      <c r="K251" t="s">
        <v>32</v>
      </c>
      <c r="L251">
        <v>1</v>
      </c>
      <c r="M251">
        <v>2</v>
      </c>
      <c r="N251" t="s">
        <v>630</v>
      </c>
      <c r="O251" s="3" t="str">
        <f>TEXT(Ticket_Table[[#This Row],[raised_date]],"YYYY-MM")</f>
        <v>2021-11</v>
      </c>
      <c r="P251" s="3" t="str">
        <f>IF(Ticket_Table[[#This Row],[resolution_hrs]]&lt;=4,"Fast",IF(Ticket_Table[[#This Row],[resolution_hrs]]&lt;=24,"Normal",IF(Ticket_Table[[#This Row],[resolution_hrs]]&lt;=48,"Slow","Very Slow")))</f>
        <v>Very Slow</v>
      </c>
      <c r="Q251" s="3">
        <f>YEAR(Ticket_Table[[#This Row],[raised_date]])</f>
        <v>2021</v>
      </c>
    </row>
    <row r="252" spans="1:17">
      <c r="A252" t="s">
        <v>631</v>
      </c>
      <c r="B252" t="s">
        <v>608</v>
      </c>
      <c r="C252" t="s">
        <v>133</v>
      </c>
      <c r="D252" t="s">
        <v>20</v>
      </c>
      <c r="E252" t="s">
        <v>166</v>
      </c>
      <c r="F252" t="s">
        <v>70</v>
      </c>
      <c r="G252" t="s">
        <v>74</v>
      </c>
      <c r="H252" s="1">
        <v>45046</v>
      </c>
      <c r="I252" s="2">
        <v>45046.1583333333</v>
      </c>
      <c r="J252">
        <v>3.8</v>
      </c>
      <c r="K252" t="s">
        <v>24</v>
      </c>
      <c r="L252">
        <v>1</v>
      </c>
      <c r="M252">
        <v>5</v>
      </c>
      <c r="N252" t="s">
        <v>584</v>
      </c>
      <c r="O252" s="3" t="str">
        <f>TEXT(Ticket_Table[[#This Row],[raised_date]],"YYYY-MM")</f>
        <v>2023-04</v>
      </c>
      <c r="P252" s="3" t="str">
        <f>IF(Ticket_Table[[#This Row],[resolution_hrs]]&lt;=4,"Fast",IF(Ticket_Table[[#This Row],[resolution_hrs]]&lt;=24,"Normal",IF(Ticket_Table[[#This Row],[resolution_hrs]]&lt;=48,"Slow","Very Slow")))</f>
        <v>Fast</v>
      </c>
      <c r="Q252" s="3">
        <f>YEAR(Ticket_Table[[#This Row],[raised_date]])</f>
        <v>2023</v>
      </c>
    </row>
    <row r="253" spans="1:17">
      <c r="A253" t="s">
        <v>632</v>
      </c>
      <c r="B253" t="s">
        <v>238</v>
      </c>
      <c r="C253" t="s">
        <v>50</v>
      </c>
      <c r="D253" t="s">
        <v>29</v>
      </c>
      <c r="E253" t="s">
        <v>56</v>
      </c>
      <c r="F253" t="s">
        <v>38</v>
      </c>
      <c r="G253" t="s">
        <v>74</v>
      </c>
      <c r="H253" s="1">
        <v>44399</v>
      </c>
      <c r="I253" s="2">
        <v>44399.7291666667</v>
      </c>
      <c r="J253">
        <v>17.5</v>
      </c>
      <c r="K253" t="s">
        <v>24</v>
      </c>
      <c r="L253">
        <v>0</v>
      </c>
      <c r="M253">
        <v>4</v>
      </c>
      <c r="N253" t="s">
        <v>499</v>
      </c>
      <c r="O253" s="3" t="str">
        <f>TEXT(Ticket_Table[[#This Row],[raised_date]],"YYYY-MM")</f>
        <v>2021-07</v>
      </c>
      <c r="P253" s="3" t="str">
        <f>IF(Ticket_Table[[#This Row],[resolution_hrs]]&lt;=4,"Fast",IF(Ticket_Table[[#This Row],[resolution_hrs]]&lt;=24,"Normal",IF(Ticket_Table[[#This Row],[resolution_hrs]]&lt;=48,"Slow","Very Slow")))</f>
        <v>Normal</v>
      </c>
      <c r="Q253" s="3">
        <f>YEAR(Ticket_Table[[#This Row],[raised_date]])</f>
        <v>2021</v>
      </c>
    </row>
    <row r="254" spans="1:17">
      <c r="A254" t="s">
        <v>633</v>
      </c>
      <c r="B254" t="s">
        <v>536</v>
      </c>
      <c r="C254" t="s">
        <v>68</v>
      </c>
      <c r="D254" t="s">
        <v>20</v>
      </c>
      <c r="E254" t="s">
        <v>83</v>
      </c>
      <c r="F254" t="s">
        <v>22</v>
      </c>
      <c r="G254" t="s">
        <v>46</v>
      </c>
      <c r="H254" s="1">
        <v>45199</v>
      </c>
      <c r="I254" s="2">
        <v>45202.4666666667</v>
      </c>
      <c r="J254">
        <v>83.2</v>
      </c>
      <c r="K254" t="s">
        <v>32</v>
      </c>
      <c r="L254">
        <v>0</v>
      </c>
      <c r="M254">
        <v>4</v>
      </c>
      <c r="N254" t="s">
        <v>120</v>
      </c>
      <c r="O254" s="3" t="str">
        <f>TEXT(Ticket_Table[[#This Row],[raised_date]],"YYYY-MM")</f>
        <v>2023-09</v>
      </c>
      <c r="P254" s="3" t="str">
        <f>IF(Ticket_Table[[#This Row],[resolution_hrs]]&lt;=4,"Fast",IF(Ticket_Table[[#This Row],[resolution_hrs]]&lt;=24,"Normal",IF(Ticket_Table[[#This Row],[resolution_hrs]]&lt;=48,"Slow","Very Slow")))</f>
        <v>Very Slow</v>
      </c>
      <c r="Q254" s="3">
        <f>YEAR(Ticket_Table[[#This Row],[raised_date]])</f>
        <v>2023</v>
      </c>
    </row>
    <row r="255" spans="1:17">
      <c r="A255" t="s">
        <v>634</v>
      </c>
      <c r="B255" t="s">
        <v>616</v>
      </c>
      <c r="C255" t="s">
        <v>78</v>
      </c>
      <c r="D255" t="s">
        <v>36</v>
      </c>
      <c r="E255" t="s">
        <v>166</v>
      </c>
      <c r="F255" t="s">
        <v>22</v>
      </c>
      <c r="G255" t="s">
        <v>46</v>
      </c>
      <c r="H255" s="1">
        <v>45032</v>
      </c>
      <c r="I255" s="2">
        <v>45032.1916666667</v>
      </c>
      <c r="J255">
        <v>4.6</v>
      </c>
      <c r="K255" t="s">
        <v>24</v>
      </c>
      <c r="L255">
        <v>0</v>
      </c>
      <c r="M255">
        <v>5</v>
      </c>
      <c r="N255" t="s">
        <v>320</v>
      </c>
      <c r="O255" s="3" t="str">
        <f>TEXT(Ticket_Table[[#This Row],[raised_date]],"YYYY-MM")</f>
        <v>2023-04</v>
      </c>
      <c r="P255" s="3" t="str">
        <f>IF(Ticket_Table[[#This Row],[resolution_hrs]]&lt;=4,"Fast",IF(Ticket_Table[[#This Row],[resolution_hrs]]&lt;=24,"Normal",IF(Ticket_Table[[#This Row],[resolution_hrs]]&lt;=48,"Slow","Very Slow")))</f>
        <v>Normal</v>
      </c>
      <c r="Q255" s="3">
        <f>YEAR(Ticket_Table[[#This Row],[raised_date]])</f>
        <v>2023</v>
      </c>
    </row>
    <row r="256" spans="1:17">
      <c r="A256" t="s">
        <v>635</v>
      </c>
      <c r="B256" t="s">
        <v>198</v>
      </c>
      <c r="C256" t="s">
        <v>60</v>
      </c>
      <c r="D256" t="s">
        <v>20</v>
      </c>
      <c r="E256" t="s">
        <v>37</v>
      </c>
      <c r="F256" t="s">
        <v>45</v>
      </c>
      <c r="G256" t="s">
        <v>31</v>
      </c>
      <c r="H256" s="1">
        <v>44769</v>
      </c>
      <c r="I256" s="2">
        <v>44769.1541666667</v>
      </c>
      <c r="J256">
        <v>3.7</v>
      </c>
      <c r="K256" t="s">
        <v>24</v>
      </c>
      <c r="L256">
        <v>1</v>
      </c>
      <c r="M256">
        <v>2</v>
      </c>
      <c r="N256" t="s">
        <v>314</v>
      </c>
      <c r="O256" s="3" t="str">
        <f>TEXT(Ticket_Table[[#This Row],[raised_date]],"YYYY-MM")</f>
        <v>2022-07</v>
      </c>
      <c r="P256" s="3" t="str">
        <f>IF(Ticket_Table[[#This Row],[resolution_hrs]]&lt;=4,"Fast",IF(Ticket_Table[[#This Row],[resolution_hrs]]&lt;=24,"Normal",IF(Ticket_Table[[#This Row],[resolution_hrs]]&lt;=48,"Slow","Very Slow")))</f>
        <v>Fast</v>
      </c>
      <c r="Q256" s="3">
        <f>YEAR(Ticket_Table[[#This Row],[raised_date]])</f>
        <v>2022</v>
      </c>
    </row>
    <row r="257" spans="1:17">
      <c r="A257" t="s">
        <v>636</v>
      </c>
      <c r="B257" t="s">
        <v>532</v>
      </c>
      <c r="C257" t="s">
        <v>19</v>
      </c>
      <c r="D257" t="s">
        <v>90</v>
      </c>
      <c r="E257" t="s">
        <v>21</v>
      </c>
      <c r="F257" t="s">
        <v>22</v>
      </c>
      <c r="G257" t="s">
        <v>23</v>
      </c>
      <c r="H257" s="1">
        <v>44264</v>
      </c>
      <c r="I257" s="2">
        <v>44266.1791666667</v>
      </c>
      <c r="J257">
        <v>52.3</v>
      </c>
      <c r="K257" t="s">
        <v>24</v>
      </c>
      <c r="L257">
        <v>0</v>
      </c>
      <c r="M257">
        <v>5</v>
      </c>
      <c r="N257" t="s">
        <v>637</v>
      </c>
      <c r="O257" s="3" t="str">
        <f>TEXT(Ticket_Table[[#This Row],[raised_date]],"YYYY-MM")</f>
        <v>2021-03</v>
      </c>
      <c r="P257" s="3" t="str">
        <f>IF(Ticket_Table[[#This Row],[resolution_hrs]]&lt;=4,"Fast",IF(Ticket_Table[[#This Row],[resolution_hrs]]&lt;=24,"Normal",IF(Ticket_Table[[#This Row],[resolution_hrs]]&lt;=48,"Slow","Very Slow")))</f>
        <v>Very Slow</v>
      </c>
      <c r="Q257" s="3">
        <f>YEAR(Ticket_Table[[#This Row],[raised_date]])</f>
        <v>2021</v>
      </c>
    </row>
    <row r="258" spans="1:17">
      <c r="A258" t="s">
        <v>638</v>
      </c>
      <c r="B258" t="s">
        <v>327</v>
      </c>
      <c r="C258" t="s">
        <v>50</v>
      </c>
      <c r="D258" t="s">
        <v>36</v>
      </c>
      <c r="E258" t="s">
        <v>37</v>
      </c>
      <c r="F258" t="s">
        <v>70</v>
      </c>
      <c r="G258" t="s">
        <v>23</v>
      </c>
      <c r="H258" s="1">
        <v>44955</v>
      </c>
      <c r="I258" s="2">
        <v>44957.4041666667</v>
      </c>
      <c r="J258">
        <v>57.7</v>
      </c>
      <c r="K258" t="s">
        <v>32</v>
      </c>
      <c r="L258">
        <v>1</v>
      </c>
      <c r="M258">
        <v>4</v>
      </c>
      <c r="N258" t="s">
        <v>581</v>
      </c>
      <c r="O258" s="3" t="str">
        <f>TEXT(Ticket_Table[[#This Row],[raised_date]],"YYYY-MM")</f>
        <v>2023-01</v>
      </c>
      <c r="P258" s="3" t="str">
        <f>IF(Ticket_Table[[#This Row],[resolution_hrs]]&lt;=4,"Fast",IF(Ticket_Table[[#This Row],[resolution_hrs]]&lt;=24,"Normal",IF(Ticket_Table[[#This Row],[resolution_hrs]]&lt;=48,"Slow","Very Slow")))</f>
        <v>Very Slow</v>
      </c>
      <c r="Q258" s="3">
        <f>YEAR(Ticket_Table[[#This Row],[raised_date]])</f>
        <v>2023</v>
      </c>
    </row>
    <row r="259" spans="1:17">
      <c r="A259" t="s">
        <v>639</v>
      </c>
      <c r="B259" t="s">
        <v>640</v>
      </c>
      <c r="C259" t="s">
        <v>133</v>
      </c>
      <c r="D259" t="s">
        <v>43</v>
      </c>
      <c r="E259" t="s">
        <v>51</v>
      </c>
      <c r="F259" t="s">
        <v>70</v>
      </c>
      <c r="G259" t="s">
        <v>23</v>
      </c>
      <c r="H259" s="1">
        <v>44641</v>
      </c>
      <c r="I259" s="2">
        <v>44643.4708333333</v>
      </c>
      <c r="J259">
        <v>59.3</v>
      </c>
      <c r="K259" t="s">
        <v>32</v>
      </c>
      <c r="L259">
        <v>0</v>
      </c>
      <c r="M259">
        <v>5</v>
      </c>
      <c r="N259" t="s">
        <v>344</v>
      </c>
      <c r="O259" s="3" t="str">
        <f>TEXT(Ticket_Table[[#This Row],[raised_date]],"YYYY-MM")</f>
        <v>2022-03</v>
      </c>
      <c r="P259" s="3" t="str">
        <f>IF(Ticket_Table[[#This Row],[resolution_hrs]]&lt;=4,"Fast",IF(Ticket_Table[[#This Row],[resolution_hrs]]&lt;=24,"Normal",IF(Ticket_Table[[#This Row],[resolution_hrs]]&lt;=48,"Slow","Very Slow")))</f>
        <v>Very Slow</v>
      </c>
      <c r="Q259" s="3">
        <f>YEAR(Ticket_Table[[#This Row],[raised_date]])</f>
        <v>2022</v>
      </c>
    </row>
    <row r="260" spans="1:17">
      <c r="A260" t="s">
        <v>641</v>
      </c>
      <c r="B260" t="s">
        <v>220</v>
      </c>
      <c r="C260" t="s">
        <v>28</v>
      </c>
      <c r="D260" t="s">
        <v>36</v>
      </c>
      <c r="E260" t="s">
        <v>56</v>
      </c>
      <c r="F260" t="s">
        <v>70</v>
      </c>
      <c r="G260" t="s">
        <v>46</v>
      </c>
      <c r="H260" s="1">
        <v>45105</v>
      </c>
      <c r="I260" s="2">
        <v>45106.3791666667</v>
      </c>
      <c r="J260">
        <v>33.1</v>
      </c>
      <c r="K260" t="s">
        <v>24</v>
      </c>
      <c r="L260">
        <v>1</v>
      </c>
      <c r="M260">
        <v>4</v>
      </c>
      <c r="N260" t="s">
        <v>308</v>
      </c>
      <c r="O260" s="3" t="str">
        <f>TEXT(Ticket_Table[[#This Row],[raised_date]],"YYYY-MM")</f>
        <v>2023-06</v>
      </c>
      <c r="P260" s="3" t="str">
        <f>IF(Ticket_Table[[#This Row],[resolution_hrs]]&lt;=4,"Fast",IF(Ticket_Table[[#This Row],[resolution_hrs]]&lt;=24,"Normal",IF(Ticket_Table[[#This Row],[resolution_hrs]]&lt;=48,"Slow","Very Slow")))</f>
        <v>Slow</v>
      </c>
      <c r="Q260" s="3">
        <f>YEAR(Ticket_Table[[#This Row],[raised_date]])</f>
        <v>2023</v>
      </c>
    </row>
    <row r="261" spans="1:17">
      <c r="A261" t="s">
        <v>642</v>
      </c>
      <c r="B261" t="s">
        <v>643</v>
      </c>
      <c r="C261" t="s">
        <v>60</v>
      </c>
      <c r="D261" t="s">
        <v>29</v>
      </c>
      <c r="E261" t="s">
        <v>83</v>
      </c>
      <c r="F261" t="s">
        <v>22</v>
      </c>
      <c r="G261" t="s">
        <v>46</v>
      </c>
      <c r="H261" s="1">
        <v>45107</v>
      </c>
      <c r="I261" s="2">
        <v>45108.1125</v>
      </c>
      <c r="J261">
        <v>26.7</v>
      </c>
      <c r="K261" t="s">
        <v>24</v>
      </c>
      <c r="L261">
        <v>0</v>
      </c>
      <c r="M261">
        <v>1</v>
      </c>
      <c r="N261" t="s">
        <v>614</v>
      </c>
      <c r="O261" s="3" t="str">
        <f>TEXT(Ticket_Table[[#This Row],[raised_date]],"YYYY-MM")</f>
        <v>2023-06</v>
      </c>
      <c r="P261" s="3" t="str">
        <f>IF(Ticket_Table[[#This Row],[resolution_hrs]]&lt;=4,"Fast",IF(Ticket_Table[[#This Row],[resolution_hrs]]&lt;=24,"Normal",IF(Ticket_Table[[#This Row],[resolution_hrs]]&lt;=48,"Slow","Very Slow")))</f>
        <v>Slow</v>
      </c>
      <c r="Q261" s="3">
        <f>YEAR(Ticket_Table[[#This Row],[raised_date]])</f>
        <v>2023</v>
      </c>
    </row>
    <row r="262" spans="1:17">
      <c r="A262" t="s">
        <v>644</v>
      </c>
      <c r="B262" t="s">
        <v>523</v>
      </c>
      <c r="C262" t="s">
        <v>261</v>
      </c>
      <c r="D262" t="s">
        <v>29</v>
      </c>
      <c r="E262" t="s">
        <v>37</v>
      </c>
      <c r="F262" t="s">
        <v>22</v>
      </c>
      <c r="G262" t="s">
        <v>23</v>
      </c>
      <c r="H262" s="1">
        <v>44680</v>
      </c>
      <c r="I262" s="2">
        <v>44682.5333333333</v>
      </c>
      <c r="J262">
        <v>60.8</v>
      </c>
      <c r="K262" t="s">
        <v>24</v>
      </c>
      <c r="L262">
        <v>0</v>
      </c>
      <c r="M262">
        <v>4</v>
      </c>
      <c r="N262" t="s">
        <v>138</v>
      </c>
      <c r="O262" s="3" t="str">
        <f>TEXT(Ticket_Table[[#This Row],[raised_date]],"YYYY-MM")</f>
        <v>2022-04</v>
      </c>
      <c r="P262" s="3" t="str">
        <f>IF(Ticket_Table[[#This Row],[resolution_hrs]]&lt;=4,"Fast",IF(Ticket_Table[[#This Row],[resolution_hrs]]&lt;=24,"Normal",IF(Ticket_Table[[#This Row],[resolution_hrs]]&lt;=48,"Slow","Very Slow")))</f>
        <v>Very Slow</v>
      </c>
      <c r="Q262" s="3">
        <f>YEAR(Ticket_Table[[#This Row],[raised_date]])</f>
        <v>2022</v>
      </c>
    </row>
    <row r="263" spans="1:17">
      <c r="A263" t="s">
        <v>645</v>
      </c>
      <c r="B263" t="s">
        <v>646</v>
      </c>
      <c r="C263" t="s">
        <v>78</v>
      </c>
      <c r="D263" t="s">
        <v>20</v>
      </c>
      <c r="E263" t="s">
        <v>56</v>
      </c>
      <c r="F263" t="s">
        <v>22</v>
      </c>
      <c r="G263" t="s">
        <v>31</v>
      </c>
      <c r="H263" s="1">
        <v>44939</v>
      </c>
      <c r="I263" s="2">
        <v>44939.0958333333</v>
      </c>
      <c r="J263">
        <v>2.3</v>
      </c>
      <c r="K263" t="s">
        <v>24</v>
      </c>
      <c r="L263">
        <v>2</v>
      </c>
      <c r="M263">
        <v>3</v>
      </c>
      <c r="N263" t="s">
        <v>647</v>
      </c>
      <c r="O263" s="3" t="str">
        <f>TEXT(Ticket_Table[[#This Row],[raised_date]],"YYYY-MM")</f>
        <v>2023-01</v>
      </c>
      <c r="P263" s="3" t="str">
        <f>IF(Ticket_Table[[#This Row],[resolution_hrs]]&lt;=4,"Fast",IF(Ticket_Table[[#This Row],[resolution_hrs]]&lt;=24,"Normal",IF(Ticket_Table[[#This Row],[resolution_hrs]]&lt;=48,"Slow","Very Slow")))</f>
        <v>Fast</v>
      </c>
      <c r="Q263" s="3">
        <f>YEAR(Ticket_Table[[#This Row],[raised_date]])</f>
        <v>2023</v>
      </c>
    </row>
    <row r="264" spans="1:17">
      <c r="A264" t="s">
        <v>648</v>
      </c>
      <c r="B264" t="s">
        <v>92</v>
      </c>
      <c r="C264" t="s">
        <v>117</v>
      </c>
      <c r="D264" t="s">
        <v>36</v>
      </c>
      <c r="E264" t="s">
        <v>21</v>
      </c>
      <c r="F264" t="s">
        <v>70</v>
      </c>
      <c r="G264" t="s">
        <v>23</v>
      </c>
      <c r="H264" s="1">
        <v>44400</v>
      </c>
      <c r="I264" s="2">
        <v>44402.2083333333</v>
      </c>
      <c r="J264">
        <v>53</v>
      </c>
      <c r="K264" t="s">
        <v>32</v>
      </c>
      <c r="L264">
        <v>1</v>
      </c>
      <c r="M264">
        <v>4</v>
      </c>
      <c r="N264" t="s">
        <v>512</v>
      </c>
      <c r="O264" s="3" t="str">
        <f>TEXT(Ticket_Table[[#This Row],[raised_date]],"YYYY-MM")</f>
        <v>2021-07</v>
      </c>
      <c r="P264" s="3" t="str">
        <f>IF(Ticket_Table[[#This Row],[resolution_hrs]]&lt;=4,"Fast",IF(Ticket_Table[[#This Row],[resolution_hrs]]&lt;=24,"Normal",IF(Ticket_Table[[#This Row],[resolution_hrs]]&lt;=48,"Slow","Very Slow")))</f>
        <v>Very Slow</v>
      </c>
      <c r="Q264" s="3">
        <f>YEAR(Ticket_Table[[#This Row],[raised_date]])</f>
        <v>2021</v>
      </c>
    </row>
    <row r="265" spans="1:17">
      <c r="A265" t="s">
        <v>649</v>
      </c>
      <c r="B265" t="s">
        <v>197</v>
      </c>
      <c r="C265" t="s">
        <v>175</v>
      </c>
      <c r="D265" t="s">
        <v>43</v>
      </c>
      <c r="E265" t="s">
        <v>30</v>
      </c>
      <c r="F265" t="s">
        <v>70</v>
      </c>
      <c r="G265" t="s">
        <v>31</v>
      </c>
      <c r="H265" s="1">
        <v>44949</v>
      </c>
      <c r="I265" s="2">
        <v>44951.85</v>
      </c>
      <c r="J265">
        <v>68.4</v>
      </c>
      <c r="K265" t="s">
        <v>32</v>
      </c>
      <c r="L265">
        <v>0</v>
      </c>
      <c r="M265">
        <v>4</v>
      </c>
      <c r="N265" t="s">
        <v>650</v>
      </c>
      <c r="O265" s="3" t="str">
        <f>TEXT(Ticket_Table[[#This Row],[raised_date]],"YYYY-MM")</f>
        <v>2023-01</v>
      </c>
      <c r="P265" s="3" t="str">
        <f>IF(Ticket_Table[[#This Row],[resolution_hrs]]&lt;=4,"Fast",IF(Ticket_Table[[#This Row],[resolution_hrs]]&lt;=24,"Normal",IF(Ticket_Table[[#This Row],[resolution_hrs]]&lt;=48,"Slow","Very Slow")))</f>
        <v>Very Slow</v>
      </c>
      <c r="Q265" s="3">
        <f>YEAR(Ticket_Table[[#This Row],[raised_date]])</f>
        <v>2023</v>
      </c>
    </row>
    <row r="266" spans="1:17">
      <c r="A266" t="s">
        <v>651</v>
      </c>
      <c r="B266" t="s">
        <v>652</v>
      </c>
      <c r="C266" t="s">
        <v>78</v>
      </c>
      <c r="D266" t="s">
        <v>29</v>
      </c>
      <c r="E266" t="s">
        <v>30</v>
      </c>
      <c r="F266" t="s">
        <v>22</v>
      </c>
      <c r="G266" t="s">
        <v>23</v>
      </c>
      <c r="H266" s="1">
        <v>44931</v>
      </c>
      <c r="I266" s="2">
        <v>44931.6333333333</v>
      </c>
      <c r="J266">
        <v>15.2</v>
      </c>
      <c r="K266" t="s">
        <v>24</v>
      </c>
      <c r="L266">
        <v>0</v>
      </c>
      <c r="M266">
        <v>4</v>
      </c>
      <c r="N266" t="s">
        <v>653</v>
      </c>
      <c r="O266" s="3" t="str">
        <f>TEXT(Ticket_Table[[#This Row],[raised_date]],"YYYY-MM")</f>
        <v>2023-01</v>
      </c>
      <c r="P266" s="3" t="str">
        <f>IF(Ticket_Table[[#This Row],[resolution_hrs]]&lt;=4,"Fast",IF(Ticket_Table[[#This Row],[resolution_hrs]]&lt;=24,"Normal",IF(Ticket_Table[[#This Row],[resolution_hrs]]&lt;=48,"Slow","Very Slow")))</f>
        <v>Normal</v>
      </c>
      <c r="Q266" s="3">
        <f>YEAR(Ticket_Table[[#This Row],[raised_date]])</f>
        <v>2023</v>
      </c>
    </row>
    <row r="267" spans="1:17">
      <c r="A267" t="s">
        <v>654</v>
      </c>
      <c r="B267" t="s">
        <v>655</v>
      </c>
      <c r="C267" t="s">
        <v>117</v>
      </c>
      <c r="D267" t="s">
        <v>43</v>
      </c>
      <c r="E267" t="s">
        <v>30</v>
      </c>
      <c r="F267" t="s">
        <v>70</v>
      </c>
      <c r="G267" t="s">
        <v>31</v>
      </c>
      <c r="H267" s="1">
        <v>44321</v>
      </c>
      <c r="I267" s="2">
        <v>44321.9166666667</v>
      </c>
      <c r="J267">
        <v>22</v>
      </c>
      <c r="K267" t="s">
        <v>24</v>
      </c>
      <c r="L267">
        <v>0</v>
      </c>
      <c r="M267">
        <v>4</v>
      </c>
      <c r="N267" t="s">
        <v>656</v>
      </c>
      <c r="O267" s="3" t="str">
        <f>TEXT(Ticket_Table[[#This Row],[raised_date]],"YYYY-MM")</f>
        <v>2021-05</v>
      </c>
      <c r="P267" s="3" t="str">
        <f>IF(Ticket_Table[[#This Row],[resolution_hrs]]&lt;=4,"Fast",IF(Ticket_Table[[#This Row],[resolution_hrs]]&lt;=24,"Normal",IF(Ticket_Table[[#This Row],[resolution_hrs]]&lt;=48,"Slow","Very Slow")))</f>
        <v>Normal</v>
      </c>
      <c r="Q267" s="3">
        <f>YEAR(Ticket_Table[[#This Row],[raised_date]])</f>
        <v>2021</v>
      </c>
    </row>
    <row r="268" spans="1:17">
      <c r="A268" t="s">
        <v>657</v>
      </c>
      <c r="B268" t="s">
        <v>151</v>
      </c>
      <c r="C268" t="s">
        <v>102</v>
      </c>
      <c r="D268" t="s">
        <v>90</v>
      </c>
      <c r="E268" t="s">
        <v>21</v>
      </c>
      <c r="F268" t="s">
        <v>38</v>
      </c>
      <c r="G268" t="s">
        <v>46</v>
      </c>
      <c r="H268" s="1">
        <v>45012</v>
      </c>
      <c r="I268" s="2">
        <v>45012.9875</v>
      </c>
      <c r="J268">
        <v>23.7</v>
      </c>
      <c r="K268" t="s">
        <v>24</v>
      </c>
      <c r="L268">
        <v>0</v>
      </c>
      <c r="M268">
        <v>4</v>
      </c>
      <c r="N268" t="s">
        <v>658</v>
      </c>
      <c r="O268" s="3" t="str">
        <f>TEXT(Ticket_Table[[#This Row],[raised_date]],"YYYY-MM")</f>
        <v>2023-03</v>
      </c>
      <c r="P268" s="3" t="str">
        <f>IF(Ticket_Table[[#This Row],[resolution_hrs]]&lt;=4,"Fast",IF(Ticket_Table[[#This Row],[resolution_hrs]]&lt;=24,"Normal",IF(Ticket_Table[[#This Row],[resolution_hrs]]&lt;=48,"Slow","Very Slow")))</f>
        <v>Normal</v>
      </c>
      <c r="Q268" s="3">
        <f>YEAR(Ticket_Table[[#This Row],[raised_date]])</f>
        <v>2023</v>
      </c>
    </row>
    <row r="269" spans="1:17">
      <c r="A269" t="s">
        <v>659</v>
      </c>
      <c r="B269" t="s">
        <v>214</v>
      </c>
      <c r="C269" t="s">
        <v>175</v>
      </c>
      <c r="D269" t="s">
        <v>29</v>
      </c>
      <c r="E269" t="s">
        <v>83</v>
      </c>
      <c r="F269" t="s">
        <v>22</v>
      </c>
      <c r="G269" t="s">
        <v>23</v>
      </c>
      <c r="H269" s="1">
        <v>44762</v>
      </c>
      <c r="I269" s="2">
        <v>44762.4458333333</v>
      </c>
      <c r="J269">
        <v>10.7</v>
      </c>
      <c r="K269" t="s">
        <v>24</v>
      </c>
      <c r="L269">
        <v>0</v>
      </c>
      <c r="M269">
        <v>4</v>
      </c>
      <c r="N269" t="s">
        <v>521</v>
      </c>
      <c r="O269" s="3" t="str">
        <f>TEXT(Ticket_Table[[#This Row],[raised_date]],"YYYY-MM")</f>
        <v>2022-07</v>
      </c>
      <c r="P269" s="3" t="str">
        <f>IF(Ticket_Table[[#This Row],[resolution_hrs]]&lt;=4,"Fast",IF(Ticket_Table[[#This Row],[resolution_hrs]]&lt;=24,"Normal",IF(Ticket_Table[[#This Row],[resolution_hrs]]&lt;=48,"Slow","Very Slow")))</f>
        <v>Normal</v>
      </c>
      <c r="Q269" s="3">
        <f>YEAR(Ticket_Table[[#This Row],[raised_date]])</f>
        <v>2022</v>
      </c>
    </row>
    <row r="270" spans="1:17">
      <c r="A270" t="s">
        <v>660</v>
      </c>
      <c r="B270" t="s">
        <v>154</v>
      </c>
      <c r="C270" t="s">
        <v>102</v>
      </c>
      <c r="D270" t="s">
        <v>20</v>
      </c>
      <c r="E270" t="s">
        <v>44</v>
      </c>
      <c r="F270" t="s">
        <v>70</v>
      </c>
      <c r="G270" t="s">
        <v>74</v>
      </c>
      <c r="H270" s="1">
        <v>44585</v>
      </c>
      <c r="I270" s="2">
        <v>44586.4625</v>
      </c>
      <c r="J270">
        <v>35.1</v>
      </c>
      <c r="K270" t="s">
        <v>24</v>
      </c>
      <c r="L270">
        <v>0</v>
      </c>
      <c r="M270">
        <v>4</v>
      </c>
      <c r="N270" t="s">
        <v>652</v>
      </c>
      <c r="O270" s="3" t="str">
        <f>TEXT(Ticket_Table[[#This Row],[raised_date]],"YYYY-MM")</f>
        <v>2022-01</v>
      </c>
      <c r="P270" s="3" t="str">
        <f>IF(Ticket_Table[[#This Row],[resolution_hrs]]&lt;=4,"Fast",IF(Ticket_Table[[#This Row],[resolution_hrs]]&lt;=24,"Normal",IF(Ticket_Table[[#This Row],[resolution_hrs]]&lt;=48,"Slow","Very Slow")))</f>
        <v>Slow</v>
      </c>
      <c r="Q270" s="3">
        <f>YEAR(Ticket_Table[[#This Row],[raised_date]])</f>
        <v>2022</v>
      </c>
    </row>
    <row r="271" spans="1:17">
      <c r="A271" t="s">
        <v>661</v>
      </c>
      <c r="B271" t="s">
        <v>560</v>
      </c>
      <c r="C271" t="s">
        <v>175</v>
      </c>
      <c r="D271" t="s">
        <v>90</v>
      </c>
      <c r="E271" t="s">
        <v>44</v>
      </c>
      <c r="F271" t="s">
        <v>38</v>
      </c>
      <c r="G271" t="s">
        <v>23</v>
      </c>
      <c r="H271" s="1">
        <v>44447</v>
      </c>
      <c r="I271" s="2">
        <v>44447.4875</v>
      </c>
      <c r="J271">
        <v>11.7</v>
      </c>
      <c r="K271" t="s">
        <v>24</v>
      </c>
      <c r="L271">
        <v>3</v>
      </c>
      <c r="M271">
        <v>5</v>
      </c>
      <c r="N271" t="s">
        <v>662</v>
      </c>
      <c r="O271" s="3" t="str">
        <f>TEXT(Ticket_Table[[#This Row],[raised_date]],"YYYY-MM")</f>
        <v>2021-09</v>
      </c>
      <c r="P271" s="3" t="str">
        <f>IF(Ticket_Table[[#This Row],[resolution_hrs]]&lt;=4,"Fast",IF(Ticket_Table[[#This Row],[resolution_hrs]]&lt;=24,"Normal",IF(Ticket_Table[[#This Row],[resolution_hrs]]&lt;=48,"Slow","Very Slow")))</f>
        <v>Normal</v>
      </c>
      <c r="Q271" s="3">
        <f>YEAR(Ticket_Table[[#This Row],[raised_date]])</f>
        <v>2021</v>
      </c>
    </row>
    <row r="272" spans="1:17">
      <c r="A272" t="s">
        <v>663</v>
      </c>
      <c r="B272" t="s">
        <v>397</v>
      </c>
      <c r="C272" t="s">
        <v>19</v>
      </c>
      <c r="D272" t="s">
        <v>36</v>
      </c>
      <c r="E272" t="s">
        <v>56</v>
      </c>
      <c r="F272" t="s">
        <v>22</v>
      </c>
      <c r="G272" t="s">
        <v>23</v>
      </c>
      <c r="H272" s="1">
        <v>45128</v>
      </c>
      <c r="I272" s="2">
        <v>45131.1791666667</v>
      </c>
      <c r="J272">
        <v>76.3</v>
      </c>
      <c r="K272" t="s">
        <v>32</v>
      </c>
      <c r="L272">
        <v>0</v>
      </c>
      <c r="M272">
        <v>2</v>
      </c>
      <c r="N272" t="s">
        <v>664</v>
      </c>
      <c r="O272" s="3" t="str">
        <f>TEXT(Ticket_Table[[#This Row],[raised_date]],"YYYY-MM")</f>
        <v>2023-07</v>
      </c>
      <c r="P272" s="3" t="str">
        <f>IF(Ticket_Table[[#This Row],[resolution_hrs]]&lt;=4,"Fast",IF(Ticket_Table[[#This Row],[resolution_hrs]]&lt;=24,"Normal",IF(Ticket_Table[[#This Row],[resolution_hrs]]&lt;=48,"Slow","Very Slow")))</f>
        <v>Very Slow</v>
      </c>
      <c r="Q272" s="3">
        <f>YEAR(Ticket_Table[[#This Row],[raised_date]])</f>
        <v>2023</v>
      </c>
    </row>
    <row r="273" spans="1:17">
      <c r="A273" t="s">
        <v>665</v>
      </c>
      <c r="B273" t="s">
        <v>646</v>
      </c>
      <c r="C273" t="s">
        <v>133</v>
      </c>
      <c r="D273" t="s">
        <v>43</v>
      </c>
      <c r="E273" t="s">
        <v>30</v>
      </c>
      <c r="F273" t="s">
        <v>70</v>
      </c>
      <c r="G273" t="s">
        <v>31</v>
      </c>
      <c r="H273" s="1">
        <v>44384</v>
      </c>
      <c r="I273" s="2">
        <v>44386.5791666667</v>
      </c>
      <c r="J273">
        <v>61.9</v>
      </c>
      <c r="K273" t="s">
        <v>32</v>
      </c>
      <c r="L273">
        <v>0</v>
      </c>
      <c r="M273">
        <v>5</v>
      </c>
      <c r="N273" t="s">
        <v>666</v>
      </c>
      <c r="O273" s="3" t="str">
        <f>TEXT(Ticket_Table[[#This Row],[raised_date]],"YYYY-MM")</f>
        <v>2021-07</v>
      </c>
      <c r="P273" s="3" t="str">
        <f>IF(Ticket_Table[[#This Row],[resolution_hrs]]&lt;=4,"Fast",IF(Ticket_Table[[#This Row],[resolution_hrs]]&lt;=24,"Normal",IF(Ticket_Table[[#This Row],[resolution_hrs]]&lt;=48,"Slow","Very Slow")))</f>
        <v>Very Slow</v>
      </c>
      <c r="Q273" s="3">
        <f>YEAR(Ticket_Table[[#This Row],[raised_date]])</f>
        <v>2021</v>
      </c>
    </row>
    <row r="274" spans="1:17">
      <c r="A274" t="s">
        <v>667</v>
      </c>
      <c r="B274" t="s">
        <v>603</v>
      </c>
      <c r="C274" t="s">
        <v>68</v>
      </c>
      <c r="D274" t="s">
        <v>29</v>
      </c>
      <c r="E274" t="s">
        <v>51</v>
      </c>
      <c r="F274" t="s">
        <v>70</v>
      </c>
      <c r="G274" t="s">
        <v>46</v>
      </c>
      <c r="H274" s="1">
        <v>44631</v>
      </c>
      <c r="I274" s="2">
        <v>44633.2541666667</v>
      </c>
      <c r="J274">
        <v>54.1</v>
      </c>
      <c r="K274" t="s">
        <v>32</v>
      </c>
      <c r="L274">
        <v>0</v>
      </c>
      <c r="M274">
        <v>3</v>
      </c>
      <c r="N274" t="s">
        <v>668</v>
      </c>
      <c r="O274" s="3" t="str">
        <f>TEXT(Ticket_Table[[#This Row],[raised_date]],"YYYY-MM")</f>
        <v>2022-03</v>
      </c>
      <c r="P274" s="3" t="str">
        <f>IF(Ticket_Table[[#This Row],[resolution_hrs]]&lt;=4,"Fast",IF(Ticket_Table[[#This Row],[resolution_hrs]]&lt;=24,"Normal",IF(Ticket_Table[[#This Row],[resolution_hrs]]&lt;=48,"Slow","Very Slow")))</f>
        <v>Very Slow</v>
      </c>
      <c r="Q274" s="3">
        <f>YEAR(Ticket_Table[[#This Row],[raised_date]])</f>
        <v>2022</v>
      </c>
    </row>
    <row r="275" spans="1:17">
      <c r="A275" t="s">
        <v>669</v>
      </c>
      <c r="B275" t="s">
        <v>670</v>
      </c>
      <c r="C275" t="s">
        <v>42</v>
      </c>
      <c r="D275" t="s">
        <v>90</v>
      </c>
      <c r="E275" t="s">
        <v>83</v>
      </c>
      <c r="F275" t="s">
        <v>38</v>
      </c>
      <c r="G275" t="s">
        <v>46</v>
      </c>
      <c r="H275" s="1">
        <v>44240</v>
      </c>
      <c r="I275" s="2">
        <v>44240.0791666667</v>
      </c>
      <c r="J275">
        <v>1.9</v>
      </c>
      <c r="K275" t="s">
        <v>24</v>
      </c>
      <c r="L275">
        <v>0</v>
      </c>
      <c r="M275">
        <v>4</v>
      </c>
      <c r="N275" t="s">
        <v>671</v>
      </c>
      <c r="O275" s="3" t="str">
        <f>TEXT(Ticket_Table[[#This Row],[raised_date]],"YYYY-MM")</f>
        <v>2021-02</v>
      </c>
      <c r="P275" s="3" t="str">
        <f>IF(Ticket_Table[[#This Row],[resolution_hrs]]&lt;=4,"Fast",IF(Ticket_Table[[#This Row],[resolution_hrs]]&lt;=24,"Normal",IF(Ticket_Table[[#This Row],[resolution_hrs]]&lt;=48,"Slow","Very Slow")))</f>
        <v>Fast</v>
      </c>
      <c r="Q275" s="3">
        <f>YEAR(Ticket_Table[[#This Row],[raised_date]])</f>
        <v>2021</v>
      </c>
    </row>
    <row r="276" spans="1:17">
      <c r="A276" t="s">
        <v>672</v>
      </c>
      <c r="B276" t="s">
        <v>112</v>
      </c>
      <c r="C276" t="s">
        <v>175</v>
      </c>
      <c r="D276" t="s">
        <v>90</v>
      </c>
      <c r="E276" t="s">
        <v>44</v>
      </c>
      <c r="F276" t="s">
        <v>38</v>
      </c>
      <c r="G276" t="s">
        <v>23</v>
      </c>
      <c r="H276" s="1">
        <v>44300</v>
      </c>
      <c r="I276" s="2">
        <v>44300.7041666667</v>
      </c>
      <c r="J276">
        <v>16.9</v>
      </c>
      <c r="K276" t="s">
        <v>24</v>
      </c>
      <c r="L276">
        <v>0</v>
      </c>
      <c r="M276">
        <v>4</v>
      </c>
      <c r="N276" t="s">
        <v>116</v>
      </c>
      <c r="O276" s="3" t="str">
        <f>TEXT(Ticket_Table[[#This Row],[raised_date]],"YYYY-MM")</f>
        <v>2021-04</v>
      </c>
      <c r="P276" s="3" t="str">
        <f>IF(Ticket_Table[[#This Row],[resolution_hrs]]&lt;=4,"Fast",IF(Ticket_Table[[#This Row],[resolution_hrs]]&lt;=24,"Normal",IF(Ticket_Table[[#This Row],[resolution_hrs]]&lt;=48,"Slow","Very Slow")))</f>
        <v>Normal</v>
      </c>
      <c r="Q276" s="3">
        <f>YEAR(Ticket_Table[[#This Row],[raised_date]])</f>
        <v>2021</v>
      </c>
    </row>
    <row r="277" spans="1:17">
      <c r="A277" t="s">
        <v>673</v>
      </c>
      <c r="B277" t="s">
        <v>363</v>
      </c>
      <c r="C277" t="s">
        <v>50</v>
      </c>
      <c r="D277" t="s">
        <v>29</v>
      </c>
      <c r="E277" t="s">
        <v>166</v>
      </c>
      <c r="F277" t="s">
        <v>70</v>
      </c>
      <c r="G277" t="s">
        <v>23</v>
      </c>
      <c r="H277" s="1">
        <v>44880</v>
      </c>
      <c r="I277" s="2">
        <v>44882.325</v>
      </c>
      <c r="J277">
        <v>55.8</v>
      </c>
      <c r="K277" t="s">
        <v>32</v>
      </c>
      <c r="L277">
        <v>0</v>
      </c>
      <c r="M277">
        <v>4</v>
      </c>
      <c r="N277" t="s">
        <v>558</v>
      </c>
      <c r="O277" s="3" t="str">
        <f>TEXT(Ticket_Table[[#This Row],[raised_date]],"YYYY-MM")</f>
        <v>2022-11</v>
      </c>
      <c r="P277" s="3" t="str">
        <f>IF(Ticket_Table[[#This Row],[resolution_hrs]]&lt;=4,"Fast",IF(Ticket_Table[[#This Row],[resolution_hrs]]&lt;=24,"Normal",IF(Ticket_Table[[#This Row],[resolution_hrs]]&lt;=48,"Slow","Very Slow")))</f>
        <v>Very Slow</v>
      </c>
      <c r="Q277" s="3">
        <f>YEAR(Ticket_Table[[#This Row],[raised_date]])</f>
        <v>2022</v>
      </c>
    </row>
    <row r="278" spans="1:17">
      <c r="A278" t="s">
        <v>674</v>
      </c>
      <c r="B278" t="s">
        <v>675</v>
      </c>
      <c r="C278" t="s">
        <v>201</v>
      </c>
      <c r="D278" t="s">
        <v>36</v>
      </c>
      <c r="E278" t="s">
        <v>106</v>
      </c>
      <c r="F278" t="s">
        <v>38</v>
      </c>
      <c r="G278" t="s">
        <v>23</v>
      </c>
      <c r="H278" s="1">
        <v>44695</v>
      </c>
      <c r="I278" s="2">
        <v>44696.3166666667</v>
      </c>
      <c r="J278">
        <v>31.6</v>
      </c>
      <c r="K278" t="s">
        <v>32</v>
      </c>
      <c r="L278">
        <v>0</v>
      </c>
      <c r="M278">
        <v>3</v>
      </c>
      <c r="N278" t="s">
        <v>676</v>
      </c>
      <c r="O278" s="3" t="str">
        <f>TEXT(Ticket_Table[[#This Row],[raised_date]],"YYYY-MM")</f>
        <v>2022-05</v>
      </c>
      <c r="P278" s="3" t="str">
        <f>IF(Ticket_Table[[#This Row],[resolution_hrs]]&lt;=4,"Fast",IF(Ticket_Table[[#This Row],[resolution_hrs]]&lt;=24,"Normal",IF(Ticket_Table[[#This Row],[resolution_hrs]]&lt;=48,"Slow","Very Slow")))</f>
        <v>Slow</v>
      </c>
      <c r="Q278" s="3">
        <f>YEAR(Ticket_Table[[#This Row],[raised_date]])</f>
        <v>2022</v>
      </c>
    </row>
    <row r="279" spans="1:17">
      <c r="A279" t="s">
        <v>677</v>
      </c>
      <c r="B279" t="s">
        <v>678</v>
      </c>
      <c r="C279" t="s">
        <v>55</v>
      </c>
      <c r="D279" t="s">
        <v>36</v>
      </c>
      <c r="E279" t="s">
        <v>69</v>
      </c>
      <c r="F279" t="s">
        <v>70</v>
      </c>
      <c r="G279" t="s">
        <v>31</v>
      </c>
      <c r="H279" s="1">
        <v>44454</v>
      </c>
      <c r="I279" s="2">
        <v>44455.2416666667</v>
      </c>
      <c r="J279">
        <v>29.8</v>
      </c>
      <c r="K279" t="s">
        <v>24</v>
      </c>
      <c r="L279">
        <v>3</v>
      </c>
      <c r="M279">
        <v>3</v>
      </c>
      <c r="N279" t="s">
        <v>331</v>
      </c>
      <c r="O279" s="3" t="str">
        <f>TEXT(Ticket_Table[[#This Row],[raised_date]],"YYYY-MM")</f>
        <v>2021-09</v>
      </c>
      <c r="P279" s="3" t="str">
        <f>IF(Ticket_Table[[#This Row],[resolution_hrs]]&lt;=4,"Fast",IF(Ticket_Table[[#This Row],[resolution_hrs]]&lt;=24,"Normal",IF(Ticket_Table[[#This Row],[resolution_hrs]]&lt;=48,"Slow","Very Slow")))</f>
        <v>Slow</v>
      </c>
      <c r="Q279" s="3">
        <f>YEAR(Ticket_Table[[#This Row],[raised_date]])</f>
        <v>2021</v>
      </c>
    </row>
    <row r="280" spans="1:17">
      <c r="A280" t="s">
        <v>679</v>
      </c>
      <c r="B280" t="s">
        <v>680</v>
      </c>
      <c r="C280" t="s">
        <v>261</v>
      </c>
      <c r="D280" t="s">
        <v>20</v>
      </c>
      <c r="E280" t="s">
        <v>21</v>
      </c>
      <c r="F280" t="s">
        <v>70</v>
      </c>
      <c r="G280" t="s">
        <v>23</v>
      </c>
      <c r="H280" s="1">
        <v>44617</v>
      </c>
      <c r="I280" s="2">
        <v>44619.3791666667</v>
      </c>
      <c r="J280">
        <v>57.1</v>
      </c>
      <c r="K280" t="s">
        <v>32</v>
      </c>
      <c r="L280">
        <v>3</v>
      </c>
      <c r="M280">
        <v>2</v>
      </c>
      <c r="N280" t="s">
        <v>584</v>
      </c>
      <c r="O280" s="3" t="str">
        <f>TEXT(Ticket_Table[[#This Row],[raised_date]],"YYYY-MM")</f>
        <v>2022-02</v>
      </c>
      <c r="P280" s="3" t="str">
        <f>IF(Ticket_Table[[#This Row],[resolution_hrs]]&lt;=4,"Fast",IF(Ticket_Table[[#This Row],[resolution_hrs]]&lt;=24,"Normal",IF(Ticket_Table[[#This Row],[resolution_hrs]]&lt;=48,"Slow","Very Slow")))</f>
        <v>Very Slow</v>
      </c>
      <c r="Q280" s="3">
        <f>YEAR(Ticket_Table[[#This Row],[raised_date]])</f>
        <v>2022</v>
      </c>
    </row>
    <row r="281" spans="1:17">
      <c r="A281" t="s">
        <v>681</v>
      </c>
      <c r="B281" t="s">
        <v>363</v>
      </c>
      <c r="C281" t="s">
        <v>117</v>
      </c>
      <c r="D281" t="s">
        <v>36</v>
      </c>
      <c r="E281" t="s">
        <v>21</v>
      </c>
      <c r="F281" t="s">
        <v>70</v>
      </c>
      <c r="G281" t="s">
        <v>31</v>
      </c>
      <c r="H281" s="1">
        <v>44337</v>
      </c>
      <c r="I281" s="2">
        <v>44338.1375</v>
      </c>
      <c r="J281">
        <v>27.3</v>
      </c>
      <c r="K281" t="s">
        <v>24</v>
      </c>
      <c r="L281">
        <v>0</v>
      </c>
      <c r="M281">
        <v>4</v>
      </c>
      <c r="N281" t="s">
        <v>382</v>
      </c>
      <c r="O281" s="3" t="str">
        <f>TEXT(Ticket_Table[[#This Row],[raised_date]],"YYYY-MM")</f>
        <v>2021-05</v>
      </c>
      <c r="P281" s="3" t="str">
        <f>IF(Ticket_Table[[#This Row],[resolution_hrs]]&lt;=4,"Fast",IF(Ticket_Table[[#This Row],[resolution_hrs]]&lt;=24,"Normal",IF(Ticket_Table[[#This Row],[resolution_hrs]]&lt;=48,"Slow","Very Slow")))</f>
        <v>Slow</v>
      </c>
      <c r="Q281" s="3">
        <f>YEAR(Ticket_Table[[#This Row],[raised_date]])</f>
        <v>2021</v>
      </c>
    </row>
    <row r="282" spans="1:17">
      <c r="A282" t="s">
        <v>682</v>
      </c>
      <c r="B282" t="s">
        <v>152</v>
      </c>
      <c r="C282" t="s">
        <v>78</v>
      </c>
      <c r="D282" t="s">
        <v>20</v>
      </c>
      <c r="E282" t="s">
        <v>44</v>
      </c>
      <c r="F282" t="s">
        <v>22</v>
      </c>
      <c r="G282" t="s">
        <v>31</v>
      </c>
      <c r="H282" s="1">
        <v>44621</v>
      </c>
      <c r="I282" s="2">
        <v>44623.1125</v>
      </c>
      <c r="J282">
        <v>50.7</v>
      </c>
      <c r="K282" t="s">
        <v>24</v>
      </c>
      <c r="L282">
        <v>0</v>
      </c>
      <c r="M282">
        <v>2</v>
      </c>
      <c r="N282" t="s">
        <v>683</v>
      </c>
      <c r="O282" s="3" t="str">
        <f>TEXT(Ticket_Table[[#This Row],[raised_date]],"YYYY-MM")</f>
        <v>2022-03</v>
      </c>
      <c r="P282" s="3" t="str">
        <f>IF(Ticket_Table[[#This Row],[resolution_hrs]]&lt;=4,"Fast",IF(Ticket_Table[[#This Row],[resolution_hrs]]&lt;=24,"Normal",IF(Ticket_Table[[#This Row],[resolution_hrs]]&lt;=48,"Slow","Very Slow")))</f>
        <v>Very Slow</v>
      </c>
      <c r="Q282" s="3">
        <f>YEAR(Ticket_Table[[#This Row],[raised_date]])</f>
        <v>2022</v>
      </c>
    </row>
    <row r="283" spans="1:17">
      <c r="A283" t="s">
        <v>684</v>
      </c>
      <c r="B283" t="s">
        <v>52</v>
      </c>
      <c r="C283" t="s">
        <v>133</v>
      </c>
      <c r="D283" t="s">
        <v>90</v>
      </c>
      <c r="E283" t="s">
        <v>21</v>
      </c>
      <c r="F283" t="s">
        <v>38</v>
      </c>
      <c r="G283" t="s">
        <v>31</v>
      </c>
      <c r="H283" s="1">
        <v>44639</v>
      </c>
      <c r="I283" s="2">
        <v>44639.9666666667</v>
      </c>
      <c r="J283">
        <v>23.2</v>
      </c>
      <c r="K283" t="s">
        <v>24</v>
      </c>
      <c r="L283">
        <v>1</v>
      </c>
      <c r="M283">
        <v>3</v>
      </c>
      <c r="N283" t="s">
        <v>685</v>
      </c>
      <c r="O283" s="3" t="str">
        <f>TEXT(Ticket_Table[[#This Row],[raised_date]],"YYYY-MM")</f>
        <v>2022-03</v>
      </c>
      <c r="P283" s="3" t="str">
        <f>IF(Ticket_Table[[#This Row],[resolution_hrs]]&lt;=4,"Fast",IF(Ticket_Table[[#This Row],[resolution_hrs]]&lt;=24,"Normal",IF(Ticket_Table[[#This Row],[resolution_hrs]]&lt;=48,"Slow","Very Slow")))</f>
        <v>Normal</v>
      </c>
      <c r="Q283" s="3">
        <f>YEAR(Ticket_Table[[#This Row],[raised_date]])</f>
        <v>2022</v>
      </c>
    </row>
    <row r="284" spans="1:17">
      <c r="A284" t="s">
        <v>686</v>
      </c>
      <c r="B284" t="s">
        <v>687</v>
      </c>
      <c r="C284" t="s">
        <v>175</v>
      </c>
      <c r="D284" t="s">
        <v>29</v>
      </c>
      <c r="E284" t="s">
        <v>30</v>
      </c>
      <c r="F284" t="s">
        <v>70</v>
      </c>
      <c r="G284" t="s">
        <v>23</v>
      </c>
      <c r="H284" s="1">
        <v>44674</v>
      </c>
      <c r="I284" s="2">
        <v>44676.5875</v>
      </c>
      <c r="J284">
        <v>62.1</v>
      </c>
      <c r="K284" t="s">
        <v>32</v>
      </c>
      <c r="L284">
        <v>0</v>
      </c>
      <c r="M284">
        <v>2</v>
      </c>
      <c r="N284" t="s">
        <v>452</v>
      </c>
      <c r="O284" s="3" t="str">
        <f>TEXT(Ticket_Table[[#This Row],[raised_date]],"YYYY-MM")</f>
        <v>2022-04</v>
      </c>
      <c r="P284" s="3" t="str">
        <f>IF(Ticket_Table[[#This Row],[resolution_hrs]]&lt;=4,"Fast",IF(Ticket_Table[[#This Row],[resolution_hrs]]&lt;=24,"Normal",IF(Ticket_Table[[#This Row],[resolution_hrs]]&lt;=48,"Slow","Very Slow")))</f>
        <v>Very Slow</v>
      </c>
      <c r="Q284" s="3">
        <f>YEAR(Ticket_Table[[#This Row],[raised_date]])</f>
        <v>2022</v>
      </c>
    </row>
    <row r="285" spans="1:17">
      <c r="A285" t="s">
        <v>688</v>
      </c>
      <c r="B285" t="s">
        <v>176</v>
      </c>
      <c r="C285" t="s">
        <v>68</v>
      </c>
      <c r="D285" t="s">
        <v>36</v>
      </c>
      <c r="E285" t="s">
        <v>69</v>
      </c>
      <c r="F285" t="s">
        <v>70</v>
      </c>
      <c r="G285" t="s">
        <v>74</v>
      </c>
      <c r="H285" s="1">
        <v>44869</v>
      </c>
      <c r="I285" s="2">
        <v>44869.25</v>
      </c>
      <c r="J285">
        <v>6</v>
      </c>
      <c r="K285" t="s">
        <v>24</v>
      </c>
      <c r="L285">
        <v>1</v>
      </c>
      <c r="M285">
        <v>2</v>
      </c>
      <c r="N285" t="s">
        <v>678</v>
      </c>
      <c r="O285" s="3" t="str">
        <f>TEXT(Ticket_Table[[#This Row],[raised_date]],"YYYY-MM")</f>
        <v>2022-11</v>
      </c>
      <c r="P285" s="3" t="str">
        <f>IF(Ticket_Table[[#This Row],[resolution_hrs]]&lt;=4,"Fast",IF(Ticket_Table[[#This Row],[resolution_hrs]]&lt;=24,"Normal",IF(Ticket_Table[[#This Row],[resolution_hrs]]&lt;=48,"Slow","Very Slow")))</f>
        <v>Normal</v>
      </c>
      <c r="Q285" s="3">
        <f>YEAR(Ticket_Table[[#This Row],[raised_date]])</f>
        <v>2022</v>
      </c>
    </row>
    <row r="286" spans="1:17">
      <c r="A286" t="s">
        <v>689</v>
      </c>
      <c r="B286" t="s">
        <v>334</v>
      </c>
      <c r="C286" t="s">
        <v>50</v>
      </c>
      <c r="D286" t="s">
        <v>20</v>
      </c>
      <c r="E286" t="s">
        <v>51</v>
      </c>
      <c r="F286" t="s">
        <v>45</v>
      </c>
      <c r="G286" t="s">
        <v>23</v>
      </c>
      <c r="H286" s="1">
        <v>44499</v>
      </c>
      <c r="I286" s="2">
        <v>44499.2291666667</v>
      </c>
      <c r="J286">
        <v>5.5</v>
      </c>
      <c r="K286" t="s">
        <v>32</v>
      </c>
      <c r="L286">
        <v>1</v>
      </c>
      <c r="M286">
        <v>5</v>
      </c>
      <c r="N286" t="s">
        <v>266</v>
      </c>
      <c r="O286" s="3" t="str">
        <f>TEXT(Ticket_Table[[#This Row],[raised_date]],"YYYY-MM")</f>
        <v>2021-10</v>
      </c>
      <c r="P286" s="3" t="str">
        <f>IF(Ticket_Table[[#This Row],[resolution_hrs]]&lt;=4,"Fast",IF(Ticket_Table[[#This Row],[resolution_hrs]]&lt;=24,"Normal",IF(Ticket_Table[[#This Row],[resolution_hrs]]&lt;=48,"Slow","Very Slow")))</f>
        <v>Normal</v>
      </c>
      <c r="Q286" s="3">
        <f>YEAR(Ticket_Table[[#This Row],[raised_date]])</f>
        <v>2021</v>
      </c>
    </row>
    <row r="287" spans="1:17">
      <c r="A287" t="s">
        <v>690</v>
      </c>
      <c r="B287" t="s">
        <v>359</v>
      </c>
      <c r="C287" t="s">
        <v>102</v>
      </c>
      <c r="D287" t="s">
        <v>90</v>
      </c>
      <c r="E287" t="s">
        <v>166</v>
      </c>
      <c r="F287" t="s">
        <v>22</v>
      </c>
      <c r="G287" t="s">
        <v>91</v>
      </c>
      <c r="H287" s="1">
        <v>44202</v>
      </c>
      <c r="I287" s="2">
        <v>44203.525</v>
      </c>
      <c r="J287">
        <v>36.6</v>
      </c>
      <c r="K287" t="s">
        <v>24</v>
      </c>
      <c r="L287">
        <v>0</v>
      </c>
      <c r="M287">
        <v>4</v>
      </c>
      <c r="N287" t="s">
        <v>87</v>
      </c>
      <c r="O287" s="3" t="str">
        <f>TEXT(Ticket_Table[[#This Row],[raised_date]],"YYYY-MM")</f>
        <v>2021-01</v>
      </c>
      <c r="P287" s="3" t="str">
        <f>IF(Ticket_Table[[#This Row],[resolution_hrs]]&lt;=4,"Fast",IF(Ticket_Table[[#This Row],[resolution_hrs]]&lt;=24,"Normal",IF(Ticket_Table[[#This Row],[resolution_hrs]]&lt;=48,"Slow","Very Slow")))</f>
        <v>Slow</v>
      </c>
      <c r="Q287" s="3">
        <f>YEAR(Ticket_Table[[#This Row],[raised_date]])</f>
        <v>2021</v>
      </c>
    </row>
    <row r="288" spans="1:17">
      <c r="A288" t="s">
        <v>691</v>
      </c>
      <c r="B288" t="s">
        <v>479</v>
      </c>
      <c r="C288" t="s">
        <v>175</v>
      </c>
      <c r="D288" t="s">
        <v>36</v>
      </c>
      <c r="E288" t="s">
        <v>56</v>
      </c>
      <c r="F288" t="s">
        <v>70</v>
      </c>
      <c r="G288" t="s">
        <v>46</v>
      </c>
      <c r="H288" s="1">
        <v>44764</v>
      </c>
      <c r="I288" s="2">
        <v>44764.1375</v>
      </c>
      <c r="J288">
        <v>3.3</v>
      </c>
      <c r="K288" t="s">
        <v>24</v>
      </c>
      <c r="L288">
        <v>0</v>
      </c>
      <c r="M288">
        <v>5</v>
      </c>
      <c r="N288" t="s">
        <v>154</v>
      </c>
      <c r="O288" s="3" t="str">
        <f>TEXT(Ticket_Table[[#This Row],[raised_date]],"YYYY-MM")</f>
        <v>2022-07</v>
      </c>
      <c r="P288" s="3" t="str">
        <f>IF(Ticket_Table[[#This Row],[resolution_hrs]]&lt;=4,"Fast",IF(Ticket_Table[[#This Row],[resolution_hrs]]&lt;=24,"Normal",IF(Ticket_Table[[#This Row],[resolution_hrs]]&lt;=48,"Slow","Very Slow")))</f>
        <v>Fast</v>
      </c>
      <c r="Q288" s="3">
        <f>YEAR(Ticket_Table[[#This Row],[raised_date]])</f>
        <v>2022</v>
      </c>
    </row>
    <row r="289" spans="1:17">
      <c r="A289" t="s">
        <v>692</v>
      </c>
      <c r="B289" t="s">
        <v>160</v>
      </c>
      <c r="C289" t="s">
        <v>213</v>
      </c>
      <c r="D289" t="s">
        <v>43</v>
      </c>
      <c r="E289" t="s">
        <v>69</v>
      </c>
      <c r="F289" t="s">
        <v>22</v>
      </c>
      <c r="G289" t="s">
        <v>23</v>
      </c>
      <c r="H289" s="1">
        <v>44493</v>
      </c>
      <c r="I289" s="2">
        <v>44494.9416666667</v>
      </c>
      <c r="J289">
        <v>46.6</v>
      </c>
      <c r="K289" t="s">
        <v>24</v>
      </c>
      <c r="L289">
        <v>2</v>
      </c>
      <c r="M289">
        <v>4</v>
      </c>
      <c r="N289" t="s">
        <v>680</v>
      </c>
      <c r="O289" s="3" t="str">
        <f>TEXT(Ticket_Table[[#This Row],[raised_date]],"YYYY-MM")</f>
        <v>2021-10</v>
      </c>
      <c r="P289" s="3" t="str">
        <f>IF(Ticket_Table[[#This Row],[resolution_hrs]]&lt;=4,"Fast",IF(Ticket_Table[[#This Row],[resolution_hrs]]&lt;=24,"Normal",IF(Ticket_Table[[#This Row],[resolution_hrs]]&lt;=48,"Slow","Very Slow")))</f>
        <v>Slow</v>
      </c>
      <c r="Q289" s="3">
        <f>YEAR(Ticket_Table[[#This Row],[raised_date]])</f>
        <v>2021</v>
      </c>
    </row>
    <row r="290" spans="1:17">
      <c r="A290" t="s">
        <v>693</v>
      </c>
      <c r="B290" t="s">
        <v>532</v>
      </c>
      <c r="C290" t="s">
        <v>175</v>
      </c>
      <c r="D290" t="s">
        <v>90</v>
      </c>
      <c r="E290" t="s">
        <v>51</v>
      </c>
      <c r="F290" t="s">
        <v>38</v>
      </c>
      <c r="G290" t="s">
        <v>31</v>
      </c>
      <c r="H290" s="1">
        <v>44463</v>
      </c>
      <c r="I290" s="2">
        <v>44463.4333333333</v>
      </c>
      <c r="J290">
        <v>10.4</v>
      </c>
      <c r="K290" t="s">
        <v>24</v>
      </c>
      <c r="L290">
        <v>1</v>
      </c>
      <c r="M290">
        <v>5</v>
      </c>
      <c r="N290" t="s">
        <v>460</v>
      </c>
      <c r="O290" s="3" t="str">
        <f>TEXT(Ticket_Table[[#This Row],[raised_date]],"YYYY-MM")</f>
        <v>2021-09</v>
      </c>
      <c r="P290" s="3" t="str">
        <f>IF(Ticket_Table[[#This Row],[resolution_hrs]]&lt;=4,"Fast",IF(Ticket_Table[[#This Row],[resolution_hrs]]&lt;=24,"Normal",IF(Ticket_Table[[#This Row],[resolution_hrs]]&lt;=48,"Slow","Very Slow")))</f>
        <v>Normal</v>
      </c>
      <c r="Q290" s="3">
        <f>YEAR(Ticket_Table[[#This Row],[raised_date]])</f>
        <v>2021</v>
      </c>
    </row>
    <row r="291" spans="1:17">
      <c r="A291" t="s">
        <v>694</v>
      </c>
      <c r="B291" t="s">
        <v>470</v>
      </c>
      <c r="C291" t="s">
        <v>42</v>
      </c>
      <c r="D291" t="s">
        <v>36</v>
      </c>
      <c r="E291" t="s">
        <v>21</v>
      </c>
      <c r="F291" t="s">
        <v>38</v>
      </c>
      <c r="G291" t="s">
        <v>23</v>
      </c>
      <c r="H291" s="1">
        <v>44710</v>
      </c>
      <c r="I291" s="2">
        <v>44711.4208333333</v>
      </c>
      <c r="J291">
        <v>34.1</v>
      </c>
      <c r="K291" t="s">
        <v>32</v>
      </c>
      <c r="L291">
        <v>1</v>
      </c>
      <c r="M291">
        <v>4</v>
      </c>
      <c r="N291" t="s">
        <v>149</v>
      </c>
      <c r="O291" s="3" t="str">
        <f>TEXT(Ticket_Table[[#This Row],[raised_date]],"YYYY-MM")</f>
        <v>2022-05</v>
      </c>
      <c r="P291" s="3" t="str">
        <f>IF(Ticket_Table[[#This Row],[resolution_hrs]]&lt;=4,"Fast",IF(Ticket_Table[[#This Row],[resolution_hrs]]&lt;=24,"Normal",IF(Ticket_Table[[#This Row],[resolution_hrs]]&lt;=48,"Slow","Very Slow")))</f>
        <v>Slow</v>
      </c>
      <c r="Q291" s="3">
        <f>YEAR(Ticket_Table[[#This Row],[raised_date]])</f>
        <v>2022</v>
      </c>
    </row>
    <row r="292" spans="1:17">
      <c r="A292" t="s">
        <v>695</v>
      </c>
      <c r="B292" t="s">
        <v>107</v>
      </c>
      <c r="C292" t="s">
        <v>201</v>
      </c>
      <c r="D292" t="s">
        <v>90</v>
      </c>
      <c r="E292" t="s">
        <v>44</v>
      </c>
      <c r="F292" t="s">
        <v>70</v>
      </c>
      <c r="G292" t="s">
        <v>23</v>
      </c>
      <c r="H292" s="1">
        <v>44554</v>
      </c>
      <c r="I292" s="2">
        <v>44555.6458333333</v>
      </c>
      <c r="J292">
        <v>39.5</v>
      </c>
      <c r="K292" t="s">
        <v>24</v>
      </c>
      <c r="L292">
        <v>0</v>
      </c>
      <c r="M292">
        <v>4</v>
      </c>
      <c r="N292" t="s">
        <v>696</v>
      </c>
      <c r="O292" s="3" t="str">
        <f>TEXT(Ticket_Table[[#This Row],[raised_date]],"YYYY-MM")</f>
        <v>2021-12</v>
      </c>
      <c r="P292" s="3" t="str">
        <f>IF(Ticket_Table[[#This Row],[resolution_hrs]]&lt;=4,"Fast",IF(Ticket_Table[[#This Row],[resolution_hrs]]&lt;=24,"Normal",IF(Ticket_Table[[#This Row],[resolution_hrs]]&lt;=48,"Slow","Very Slow")))</f>
        <v>Slow</v>
      </c>
      <c r="Q292" s="3">
        <f>YEAR(Ticket_Table[[#This Row],[raised_date]])</f>
        <v>2021</v>
      </c>
    </row>
    <row r="293" spans="1:17">
      <c r="A293" t="s">
        <v>697</v>
      </c>
      <c r="B293" t="s">
        <v>698</v>
      </c>
      <c r="C293" t="s">
        <v>213</v>
      </c>
      <c r="D293" t="s">
        <v>29</v>
      </c>
      <c r="E293" t="s">
        <v>37</v>
      </c>
      <c r="F293" t="s">
        <v>38</v>
      </c>
      <c r="G293" t="s">
        <v>74</v>
      </c>
      <c r="H293" s="1">
        <v>44422</v>
      </c>
      <c r="I293" s="2">
        <v>44423.2</v>
      </c>
      <c r="J293">
        <v>28.8</v>
      </c>
      <c r="K293" t="s">
        <v>32</v>
      </c>
      <c r="L293">
        <v>1</v>
      </c>
      <c r="M293">
        <v>4</v>
      </c>
      <c r="N293" t="s">
        <v>550</v>
      </c>
      <c r="O293" s="3" t="str">
        <f>TEXT(Ticket_Table[[#This Row],[raised_date]],"YYYY-MM")</f>
        <v>2021-08</v>
      </c>
      <c r="P293" s="3" t="str">
        <f>IF(Ticket_Table[[#This Row],[resolution_hrs]]&lt;=4,"Fast",IF(Ticket_Table[[#This Row],[resolution_hrs]]&lt;=24,"Normal",IF(Ticket_Table[[#This Row],[resolution_hrs]]&lt;=48,"Slow","Very Slow")))</f>
        <v>Slow</v>
      </c>
      <c r="Q293" s="3">
        <f>YEAR(Ticket_Table[[#This Row],[raised_date]])</f>
        <v>2021</v>
      </c>
    </row>
    <row r="294" spans="1:17">
      <c r="A294" t="s">
        <v>699</v>
      </c>
      <c r="B294" t="s">
        <v>485</v>
      </c>
      <c r="C294" t="s">
        <v>213</v>
      </c>
      <c r="D294" t="s">
        <v>29</v>
      </c>
      <c r="E294" t="s">
        <v>56</v>
      </c>
      <c r="F294" t="s">
        <v>70</v>
      </c>
      <c r="G294" t="s">
        <v>23</v>
      </c>
      <c r="H294" s="1">
        <v>44249</v>
      </c>
      <c r="I294" s="2">
        <v>44251.3708333333</v>
      </c>
      <c r="J294">
        <v>56.9</v>
      </c>
      <c r="K294" t="s">
        <v>32</v>
      </c>
      <c r="L294">
        <v>0</v>
      </c>
      <c r="M294">
        <v>3</v>
      </c>
      <c r="N294" t="s">
        <v>92</v>
      </c>
      <c r="O294" s="3" t="str">
        <f>TEXT(Ticket_Table[[#This Row],[raised_date]],"YYYY-MM")</f>
        <v>2021-02</v>
      </c>
      <c r="P294" s="3" t="str">
        <f>IF(Ticket_Table[[#This Row],[resolution_hrs]]&lt;=4,"Fast",IF(Ticket_Table[[#This Row],[resolution_hrs]]&lt;=24,"Normal",IF(Ticket_Table[[#This Row],[resolution_hrs]]&lt;=48,"Slow","Very Slow")))</f>
        <v>Very Slow</v>
      </c>
      <c r="Q294" s="3">
        <f>YEAR(Ticket_Table[[#This Row],[raised_date]])</f>
        <v>2021</v>
      </c>
    </row>
    <row r="295" spans="1:17">
      <c r="A295" t="s">
        <v>700</v>
      </c>
      <c r="B295" t="s">
        <v>403</v>
      </c>
      <c r="C295" t="s">
        <v>140</v>
      </c>
      <c r="D295" t="s">
        <v>29</v>
      </c>
      <c r="E295" t="s">
        <v>83</v>
      </c>
      <c r="F295" t="s">
        <v>38</v>
      </c>
      <c r="G295" t="s">
        <v>46</v>
      </c>
      <c r="H295" s="1">
        <v>44466</v>
      </c>
      <c r="I295" s="2">
        <v>44466.1583333333</v>
      </c>
      <c r="J295">
        <v>3.8</v>
      </c>
      <c r="K295" t="s">
        <v>24</v>
      </c>
      <c r="L295">
        <v>0</v>
      </c>
      <c r="M295">
        <v>4</v>
      </c>
      <c r="N295" t="s">
        <v>701</v>
      </c>
      <c r="O295" s="3" t="str">
        <f>TEXT(Ticket_Table[[#This Row],[raised_date]],"YYYY-MM")</f>
        <v>2021-09</v>
      </c>
      <c r="P295" s="3" t="str">
        <f>IF(Ticket_Table[[#This Row],[resolution_hrs]]&lt;=4,"Fast",IF(Ticket_Table[[#This Row],[resolution_hrs]]&lt;=24,"Normal",IF(Ticket_Table[[#This Row],[resolution_hrs]]&lt;=48,"Slow","Very Slow")))</f>
        <v>Fast</v>
      </c>
      <c r="Q295" s="3">
        <f>YEAR(Ticket_Table[[#This Row],[raised_date]])</f>
        <v>2021</v>
      </c>
    </row>
    <row r="296" spans="1:17">
      <c r="A296" t="s">
        <v>702</v>
      </c>
      <c r="B296" t="s">
        <v>703</v>
      </c>
      <c r="C296" t="s">
        <v>55</v>
      </c>
      <c r="D296" t="s">
        <v>43</v>
      </c>
      <c r="E296" t="s">
        <v>106</v>
      </c>
      <c r="F296" t="s">
        <v>70</v>
      </c>
      <c r="G296" t="s">
        <v>91</v>
      </c>
      <c r="H296" s="1">
        <v>44227</v>
      </c>
      <c r="I296" s="2">
        <v>44229.6458333333</v>
      </c>
      <c r="J296">
        <v>63.5</v>
      </c>
      <c r="K296" t="s">
        <v>32</v>
      </c>
      <c r="L296">
        <v>0</v>
      </c>
      <c r="M296">
        <v>5</v>
      </c>
      <c r="N296" t="s">
        <v>380</v>
      </c>
      <c r="O296" s="3" t="str">
        <f>TEXT(Ticket_Table[[#This Row],[raised_date]],"YYYY-MM")</f>
        <v>2021-01</v>
      </c>
      <c r="P296" s="3" t="str">
        <f>IF(Ticket_Table[[#This Row],[resolution_hrs]]&lt;=4,"Fast",IF(Ticket_Table[[#This Row],[resolution_hrs]]&lt;=24,"Normal",IF(Ticket_Table[[#This Row],[resolution_hrs]]&lt;=48,"Slow","Very Slow")))</f>
        <v>Very Slow</v>
      </c>
      <c r="Q296" s="3">
        <f>YEAR(Ticket_Table[[#This Row],[raised_date]])</f>
        <v>2021</v>
      </c>
    </row>
    <row r="297" spans="1:17">
      <c r="A297" t="s">
        <v>704</v>
      </c>
      <c r="B297" t="s">
        <v>442</v>
      </c>
      <c r="C297" t="s">
        <v>64</v>
      </c>
      <c r="D297" t="s">
        <v>29</v>
      </c>
      <c r="E297" t="s">
        <v>44</v>
      </c>
      <c r="F297" t="s">
        <v>70</v>
      </c>
      <c r="G297" t="s">
        <v>31</v>
      </c>
      <c r="H297" s="1">
        <v>44930</v>
      </c>
      <c r="I297" s="2">
        <v>44932.2166666667</v>
      </c>
      <c r="J297">
        <v>53.2</v>
      </c>
      <c r="K297" t="s">
        <v>32</v>
      </c>
      <c r="L297">
        <v>3</v>
      </c>
      <c r="M297">
        <v>4</v>
      </c>
      <c r="N297" t="s">
        <v>200</v>
      </c>
      <c r="O297" s="3" t="str">
        <f>TEXT(Ticket_Table[[#This Row],[raised_date]],"YYYY-MM")</f>
        <v>2023-01</v>
      </c>
      <c r="P297" s="3" t="str">
        <f>IF(Ticket_Table[[#This Row],[resolution_hrs]]&lt;=4,"Fast",IF(Ticket_Table[[#This Row],[resolution_hrs]]&lt;=24,"Normal",IF(Ticket_Table[[#This Row],[resolution_hrs]]&lt;=48,"Slow","Very Slow")))</f>
        <v>Very Slow</v>
      </c>
      <c r="Q297" s="3">
        <f>YEAR(Ticket_Table[[#This Row],[raised_date]])</f>
        <v>2023</v>
      </c>
    </row>
    <row r="298" spans="1:17">
      <c r="A298" t="s">
        <v>705</v>
      </c>
      <c r="B298" t="s">
        <v>550</v>
      </c>
      <c r="C298" t="s">
        <v>50</v>
      </c>
      <c r="D298" t="s">
        <v>43</v>
      </c>
      <c r="E298" t="s">
        <v>21</v>
      </c>
      <c r="F298" t="s">
        <v>45</v>
      </c>
      <c r="G298" t="s">
        <v>31</v>
      </c>
      <c r="H298" s="1">
        <v>44684</v>
      </c>
      <c r="I298" s="2">
        <v>44684.0541666667</v>
      </c>
      <c r="J298">
        <v>1.3</v>
      </c>
      <c r="K298" t="s">
        <v>24</v>
      </c>
      <c r="L298">
        <v>1</v>
      </c>
      <c r="M298">
        <v>4</v>
      </c>
      <c r="N298" t="s">
        <v>35</v>
      </c>
      <c r="O298" s="3" t="str">
        <f>TEXT(Ticket_Table[[#This Row],[raised_date]],"YYYY-MM")</f>
        <v>2022-05</v>
      </c>
      <c r="P298" s="3" t="str">
        <f>IF(Ticket_Table[[#This Row],[resolution_hrs]]&lt;=4,"Fast",IF(Ticket_Table[[#This Row],[resolution_hrs]]&lt;=24,"Normal",IF(Ticket_Table[[#This Row],[resolution_hrs]]&lt;=48,"Slow","Very Slow")))</f>
        <v>Fast</v>
      </c>
      <c r="Q298" s="3">
        <f>YEAR(Ticket_Table[[#This Row],[raised_date]])</f>
        <v>2022</v>
      </c>
    </row>
    <row r="299" spans="1:17">
      <c r="A299" t="s">
        <v>706</v>
      </c>
      <c r="B299" t="s">
        <v>707</v>
      </c>
      <c r="C299" t="s">
        <v>19</v>
      </c>
      <c r="D299" t="s">
        <v>29</v>
      </c>
      <c r="E299" t="s">
        <v>44</v>
      </c>
      <c r="F299" t="s">
        <v>22</v>
      </c>
      <c r="G299" t="s">
        <v>23</v>
      </c>
      <c r="H299" s="1">
        <v>44860</v>
      </c>
      <c r="I299" s="2">
        <v>44864.2541666667</v>
      </c>
      <c r="J299">
        <v>102.1</v>
      </c>
      <c r="K299" t="s">
        <v>32</v>
      </c>
      <c r="L299">
        <v>1</v>
      </c>
      <c r="M299">
        <v>5</v>
      </c>
      <c r="N299" t="s">
        <v>708</v>
      </c>
      <c r="O299" s="3" t="str">
        <f>TEXT(Ticket_Table[[#This Row],[raised_date]],"YYYY-MM")</f>
        <v>2022-10</v>
      </c>
      <c r="P299" s="3" t="str">
        <f>IF(Ticket_Table[[#This Row],[resolution_hrs]]&lt;=4,"Fast",IF(Ticket_Table[[#This Row],[resolution_hrs]]&lt;=24,"Normal",IF(Ticket_Table[[#This Row],[resolution_hrs]]&lt;=48,"Slow","Very Slow")))</f>
        <v>Very Slow</v>
      </c>
      <c r="Q299" s="3">
        <f>YEAR(Ticket_Table[[#This Row],[raised_date]])</f>
        <v>2022</v>
      </c>
    </row>
    <row r="300" spans="1:17">
      <c r="A300" t="s">
        <v>709</v>
      </c>
      <c r="B300" t="s">
        <v>178</v>
      </c>
      <c r="C300" t="s">
        <v>140</v>
      </c>
      <c r="D300" t="s">
        <v>90</v>
      </c>
      <c r="E300" t="s">
        <v>30</v>
      </c>
      <c r="F300" t="s">
        <v>22</v>
      </c>
      <c r="G300" t="s">
        <v>46</v>
      </c>
      <c r="H300" s="1">
        <v>44229</v>
      </c>
      <c r="I300" s="2">
        <v>44232.05</v>
      </c>
      <c r="J300">
        <v>73.2</v>
      </c>
      <c r="K300" t="s">
        <v>32</v>
      </c>
      <c r="L300">
        <v>0</v>
      </c>
      <c r="M300">
        <v>5</v>
      </c>
      <c r="N300" t="s">
        <v>710</v>
      </c>
      <c r="O300" s="3" t="str">
        <f>TEXT(Ticket_Table[[#This Row],[raised_date]],"YYYY-MM")</f>
        <v>2021-02</v>
      </c>
      <c r="P300" s="3" t="str">
        <f>IF(Ticket_Table[[#This Row],[resolution_hrs]]&lt;=4,"Fast",IF(Ticket_Table[[#This Row],[resolution_hrs]]&lt;=24,"Normal",IF(Ticket_Table[[#This Row],[resolution_hrs]]&lt;=48,"Slow","Very Slow")))</f>
        <v>Very Slow</v>
      </c>
      <c r="Q300" s="3">
        <f>YEAR(Ticket_Table[[#This Row],[raised_date]])</f>
        <v>2021</v>
      </c>
    </row>
    <row r="301" spans="1:17">
      <c r="A301" t="s">
        <v>711</v>
      </c>
      <c r="B301" t="s">
        <v>712</v>
      </c>
      <c r="C301" t="s">
        <v>78</v>
      </c>
      <c r="D301" t="s">
        <v>36</v>
      </c>
      <c r="E301" t="s">
        <v>21</v>
      </c>
      <c r="F301" t="s">
        <v>70</v>
      </c>
      <c r="G301" t="s">
        <v>23</v>
      </c>
      <c r="H301" s="1">
        <v>44553</v>
      </c>
      <c r="I301" s="2">
        <v>44555.6666666667</v>
      </c>
      <c r="J301">
        <v>64</v>
      </c>
      <c r="K301" t="s">
        <v>32</v>
      </c>
      <c r="L301">
        <v>0</v>
      </c>
      <c r="M301">
        <v>4</v>
      </c>
      <c r="N301" t="s">
        <v>361</v>
      </c>
      <c r="O301" s="3" t="str">
        <f>TEXT(Ticket_Table[[#This Row],[raised_date]],"YYYY-MM")</f>
        <v>2021-12</v>
      </c>
      <c r="P301" s="3" t="str">
        <f>IF(Ticket_Table[[#This Row],[resolution_hrs]]&lt;=4,"Fast",IF(Ticket_Table[[#This Row],[resolution_hrs]]&lt;=24,"Normal",IF(Ticket_Table[[#This Row],[resolution_hrs]]&lt;=48,"Slow","Very Slow")))</f>
        <v>Very Slow</v>
      </c>
      <c r="Q301" s="3">
        <f>YEAR(Ticket_Table[[#This Row],[raised_date]])</f>
        <v>2021</v>
      </c>
    </row>
    <row r="302" spans="1:17">
      <c r="A302" t="s">
        <v>713</v>
      </c>
      <c r="B302" t="s">
        <v>460</v>
      </c>
      <c r="C302" t="s">
        <v>175</v>
      </c>
      <c r="D302" t="s">
        <v>36</v>
      </c>
      <c r="E302" t="s">
        <v>44</v>
      </c>
      <c r="F302" t="s">
        <v>45</v>
      </c>
      <c r="G302" t="s">
        <v>23</v>
      </c>
      <c r="H302" s="1">
        <v>44740</v>
      </c>
      <c r="I302" s="2">
        <v>44740.0666666667</v>
      </c>
      <c r="J302">
        <v>1.6</v>
      </c>
      <c r="K302" t="s">
        <v>24</v>
      </c>
      <c r="L302">
        <v>1</v>
      </c>
      <c r="M302">
        <v>5</v>
      </c>
      <c r="N302" t="s">
        <v>275</v>
      </c>
      <c r="O302" s="3" t="str">
        <f>TEXT(Ticket_Table[[#This Row],[raised_date]],"YYYY-MM")</f>
        <v>2022-06</v>
      </c>
      <c r="P302" s="3" t="str">
        <f>IF(Ticket_Table[[#This Row],[resolution_hrs]]&lt;=4,"Fast",IF(Ticket_Table[[#This Row],[resolution_hrs]]&lt;=24,"Normal",IF(Ticket_Table[[#This Row],[resolution_hrs]]&lt;=48,"Slow","Very Slow")))</f>
        <v>Fast</v>
      </c>
      <c r="Q302" s="3">
        <f>YEAR(Ticket_Table[[#This Row],[raised_date]])</f>
        <v>2022</v>
      </c>
    </row>
    <row r="303" spans="1:17">
      <c r="A303" t="s">
        <v>714</v>
      </c>
      <c r="B303" t="s">
        <v>174</v>
      </c>
      <c r="C303" t="s">
        <v>102</v>
      </c>
      <c r="D303" t="s">
        <v>29</v>
      </c>
      <c r="E303" t="s">
        <v>69</v>
      </c>
      <c r="F303" t="s">
        <v>70</v>
      </c>
      <c r="G303" t="s">
        <v>23</v>
      </c>
      <c r="H303" s="1">
        <v>44304</v>
      </c>
      <c r="I303" s="2">
        <v>44305.125</v>
      </c>
      <c r="J303">
        <v>27</v>
      </c>
      <c r="K303" t="s">
        <v>24</v>
      </c>
      <c r="L303">
        <v>0</v>
      </c>
      <c r="M303">
        <v>1</v>
      </c>
      <c r="N303" t="s">
        <v>607</v>
      </c>
      <c r="O303" s="3" t="str">
        <f>TEXT(Ticket_Table[[#This Row],[raised_date]],"YYYY-MM")</f>
        <v>2021-04</v>
      </c>
      <c r="P303" s="3" t="str">
        <f>IF(Ticket_Table[[#This Row],[resolution_hrs]]&lt;=4,"Fast",IF(Ticket_Table[[#This Row],[resolution_hrs]]&lt;=24,"Normal",IF(Ticket_Table[[#This Row],[resolution_hrs]]&lt;=48,"Slow","Very Slow")))</f>
        <v>Slow</v>
      </c>
      <c r="Q303" s="3">
        <f>YEAR(Ticket_Table[[#This Row],[raised_date]])</f>
        <v>2021</v>
      </c>
    </row>
    <row r="304" spans="1:17">
      <c r="A304" t="s">
        <v>715</v>
      </c>
      <c r="B304" t="s">
        <v>716</v>
      </c>
      <c r="C304" t="s">
        <v>19</v>
      </c>
      <c r="D304" t="s">
        <v>36</v>
      </c>
      <c r="E304" t="s">
        <v>69</v>
      </c>
      <c r="F304" t="s">
        <v>22</v>
      </c>
      <c r="G304" t="s">
        <v>23</v>
      </c>
      <c r="H304" s="1">
        <v>44456</v>
      </c>
      <c r="I304" s="2">
        <v>44458.8</v>
      </c>
      <c r="J304">
        <v>67.2</v>
      </c>
      <c r="K304" t="s">
        <v>24</v>
      </c>
      <c r="L304">
        <v>1</v>
      </c>
      <c r="M304">
        <v>2</v>
      </c>
      <c r="N304" t="s">
        <v>327</v>
      </c>
      <c r="O304" s="3" t="str">
        <f>TEXT(Ticket_Table[[#This Row],[raised_date]],"YYYY-MM")</f>
        <v>2021-09</v>
      </c>
      <c r="P304" s="3" t="str">
        <f>IF(Ticket_Table[[#This Row],[resolution_hrs]]&lt;=4,"Fast",IF(Ticket_Table[[#This Row],[resolution_hrs]]&lt;=24,"Normal",IF(Ticket_Table[[#This Row],[resolution_hrs]]&lt;=48,"Slow","Very Slow")))</f>
        <v>Very Slow</v>
      </c>
      <c r="Q304" s="3">
        <f>YEAR(Ticket_Table[[#This Row],[raised_date]])</f>
        <v>2021</v>
      </c>
    </row>
    <row r="305" spans="1:17">
      <c r="A305" t="s">
        <v>717</v>
      </c>
      <c r="B305" t="s">
        <v>352</v>
      </c>
      <c r="C305" t="s">
        <v>60</v>
      </c>
      <c r="D305" t="s">
        <v>29</v>
      </c>
      <c r="E305" t="s">
        <v>166</v>
      </c>
      <c r="F305" t="s">
        <v>70</v>
      </c>
      <c r="G305" t="s">
        <v>23</v>
      </c>
      <c r="H305" s="1">
        <v>45059</v>
      </c>
      <c r="I305" s="2">
        <v>45060.125</v>
      </c>
      <c r="J305">
        <v>27</v>
      </c>
      <c r="K305" t="s">
        <v>24</v>
      </c>
      <c r="L305">
        <v>0</v>
      </c>
      <c r="M305">
        <v>1</v>
      </c>
      <c r="N305" t="s">
        <v>647</v>
      </c>
      <c r="O305" s="3" t="str">
        <f>TEXT(Ticket_Table[[#This Row],[raised_date]],"YYYY-MM")</f>
        <v>2023-05</v>
      </c>
      <c r="P305" s="3" t="str">
        <f>IF(Ticket_Table[[#This Row],[resolution_hrs]]&lt;=4,"Fast",IF(Ticket_Table[[#This Row],[resolution_hrs]]&lt;=24,"Normal",IF(Ticket_Table[[#This Row],[resolution_hrs]]&lt;=48,"Slow","Very Slow")))</f>
        <v>Slow</v>
      </c>
      <c r="Q305" s="3">
        <f>YEAR(Ticket_Table[[#This Row],[raised_date]])</f>
        <v>2023</v>
      </c>
    </row>
    <row r="306" spans="1:17">
      <c r="A306" t="s">
        <v>718</v>
      </c>
      <c r="B306" t="s">
        <v>59</v>
      </c>
      <c r="C306" t="s">
        <v>201</v>
      </c>
      <c r="D306" t="s">
        <v>29</v>
      </c>
      <c r="E306" t="s">
        <v>166</v>
      </c>
      <c r="F306" t="s">
        <v>70</v>
      </c>
      <c r="G306" t="s">
        <v>23</v>
      </c>
      <c r="H306" s="1">
        <v>45274</v>
      </c>
      <c r="I306" s="2">
        <v>45274.5583333333</v>
      </c>
      <c r="J306">
        <v>13.4</v>
      </c>
      <c r="K306" t="s">
        <v>24</v>
      </c>
      <c r="L306">
        <v>1</v>
      </c>
      <c r="M306">
        <v>4</v>
      </c>
      <c r="N306" t="s">
        <v>647</v>
      </c>
      <c r="O306" s="3" t="str">
        <f>TEXT(Ticket_Table[[#This Row],[raised_date]],"YYYY-MM")</f>
        <v>2023-12</v>
      </c>
      <c r="P306" s="3" t="str">
        <f>IF(Ticket_Table[[#This Row],[resolution_hrs]]&lt;=4,"Fast",IF(Ticket_Table[[#This Row],[resolution_hrs]]&lt;=24,"Normal",IF(Ticket_Table[[#This Row],[resolution_hrs]]&lt;=48,"Slow","Very Slow")))</f>
        <v>Normal</v>
      </c>
      <c r="Q306" s="3">
        <f>YEAR(Ticket_Table[[#This Row],[raised_date]])</f>
        <v>2023</v>
      </c>
    </row>
    <row r="307" spans="1:17">
      <c r="A307" t="s">
        <v>719</v>
      </c>
      <c r="B307" t="s">
        <v>197</v>
      </c>
      <c r="C307" t="s">
        <v>64</v>
      </c>
      <c r="D307" t="s">
        <v>20</v>
      </c>
      <c r="E307" t="s">
        <v>56</v>
      </c>
      <c r="F307" t="s">
        <v>22</v>
      </c>
      <c r="G307" t="s">
        <v>91</v>
      </c>
      <c r="H307" s="1">
        <v>44429</v>
      </c>
      <c r="I307" s="2">
        <v>44431.5333333333</v>
      </c>
      <c r="J307">
        <v>60.8</v>
      </c>
      <c r="K307" t="s">
        <v>24</v>
      </c>
      <c r="L307">
        <v>1</v>
      </c>
      <c r="M307">
        <v>2</v>
      </c>
      <c r="N307" t="s">
        <v>720</v>
      </c>
      <c r="O307" s="3" t="str">
        <f>TEXT(Ticket_Table[[#This Row],[raised_date]],"YYYY-MM")</f>
        <v>2021-08</v>
      </c>
      <c r="P307" s="3" t="str">
        <f>IF(Ticket_Table[[#This Row],[resolution_hrs]]&lt;=4,"Fast",IF(Ticket_Table[[#This Row],[resolution_hrs]]&lt;=24,"Normal",IF(Ticket_Table[[#This Row],[resolution_hrs]]&lt;=48,"Slow","Very Slow")))</f>
        <v>Very Slow</v>
      </c>
      <c r="Q307" s="3">
        <f>YEAR(Ticket_Table[[#This Row],[raised_date]])</f>
        <v>2021</v>
      </c>
    </row>
    <row r="308" spans="1:17">
      <c r="A308" t="s">
        <v>721</v>
      </c>
      <c r="B308" t="s">
        <v>504</v>
      </c>
      <c r="C308" t="s">
        <v>28</v>
      </c>
      <c r="D308" t="s">
        <v>20</v>
      </c>
      <c r="E308" t="s">
        <v>44</v>
      </c>
      <c r="F308" t="s">
        <v>38</v>
      </c>
      <c r="G308" t="s">
        <v>23</v>
      </c>
      <c r="H308" s="1">
        <v>44327</v>
      </c>
      <c r="I308" s="2">
        <v>44327.1375</v>
      </c>
      <c r="J308">
        <v>3.3</v>
      </c>
      <c r="K308" t="s">
        <v>24</v>
      </c>
      <c r="L308">
        <v>0</v>
      </c>
      <c r="M308">
        <v>1</v>
      </c>
      <c r="N308" t="s">
        <v>722</v>
      </c>
      <c r="O308" s="3" t="str">
        <f>TEXT(Ticket_Table[[#This Row],[raised_date]],"YYYY-MM")</f>
        <v>2021-05</v>
      </c>
      <c r="P308" s="3" t="str">
        <f>IF(Ticket_Table[[#This Row],[resolution_hrs]]&lt;=4,"Fast",IF(Ticket_Table[[#This Row],[resolution_hrs]]&lt;=24,"Normal",IF(Ticket_Table[[#This Row],[resolution_hrs]]&lt;=48,"Slow","Very Slow")))</f>
        <v>Fast</v>
      </c>
      <c r="Q308" s="3">
        <f>YEAR(Ticket_Table[[#This Row],[raised_date]])</f>
        <v>2021</v>
      </c>
    </row>
    <row r="309" spans="1:17">
      <c r="A309" t="s">
        <v>723</v>
      </c>
      <c r="B309" t="s">
        <v>154</v>
      </c>
      <c r="C309" t="s">
        <v>78</v>
      </c>
      <c r="D309" t="s">
        <v>20</v>
      </c>
      <c r="E309" t="s">
        <v>166</v>
      </c>
      <c r="F309" t="s">
        <v>45</v>
      </c>
      <c r="G309" t="s">
        <v>23</v>
      </c>
      <c r="H309" s="1">
        <v>45172</v>
      </c>
      <c r="I309" s="2">
        <v>45172.1875</v>
      </c>
      <c r="J309">
        <v>4.5</v>
      </c>
      <c r="K309" t="s">
        <v>32</v>
      </c>
      <c r="L309">
        <v>0</v>
      </c>
      <c r="M309">
        <v>2</v>
      </c>
      <c r="N309" t="s">
        <v>517</v>
      </c>
      <c r="O309" s="3" t="str">
        <f>TEXT(Ticket_Table[[#This Row],[raised_date]],"YYYY-MM")</f>
        <v>2023-09</v>
      </c>
      <c r="P309" s="3" t="str">
        <f>IF(Ticket_Table[[#This Row],[resolution_hrs]]&lt;=4,"Fast",IF(Ticket_Table[[#This Row],[resolution_hrs]]&lt;=24,"Normal",IF(Ticket_Table[[#This Row],[resolution_hrs]]&lt;=48,"Slow","Very Slow")))</f>
        <v>Normal</v>
      </c>
      <c r="Q309" s="3">
        <f>YEAR(Ticket_Table[[#This Row],[raised_date]])</f>
        <v>2023</v>
      </c>
    </row>
    <row r="310" spans="1:17">
      <c r="A310" t="s">
        <v>724</v>
      </c>
      <c r="B310" t="s">
        <v>127</v>
      </c>
      <c r="C310" t="s">
        <v>261</v>
      </c>
      <c r="D310" t="s">
        <v>43</v>
      </c>
      <c r="E310" t="s">
        <v>30</v>
      </c>
      <c r="F310" t="s">
        <v>70</v>
      </c>
      <c r="G310" t="s">
        <v>46</v>
      </c>
      <c r="H310" s="1">
        <v>45115</v>
      </c>
      <c r="I310" s="2">
        <v>45115.6458333333</v>
      </c>
      <c r="J310">
        <v>15.5</v>
      </c>
      <c r="K310" t="s">
        <v>24</v>
      </c>
      <c r="L310">
        <v>0</v>
      </c>
      <c r="M310">
        <v>3</v>
      </c>
      <c r="N310" t="s">
        <v>110</v>
      </c>
      <c r="O310" s="3" t="str">
        <f>TEXT(Ticket_Table[[#This Row],[raised_date]],"YYYY-MM")</f>
        <v>2023-07</v>
      </c>
      <c r="P310" s="3" t="str">
        <f>IF(Ticket_Table[[#This Row],[resolution_hrs]]&lt;=4,"Fast",IF(Ticket_Table[[#This Row],[resolution_hrs]]&lt;=24,"Normal",IF(Ticket_Table[[#This Row],[resolution_hrs]]&lt;=48,"Slow","Very Slow")))</f>
        <v>Normal</v>
      </c>
      <c r="Q310" s="3">
        <f>YEAR(Ticket_Table[[#This Row],[raised_date]])</f>
        <v>2023</v>
      </c>
    </row>
    <row r="311" spans="1:17">
      <c r="A311" t="s">
        <v>725</v>
      </c>
      <c r="B311" t="s">
        <v>726</v>
      </c>
      <c r="C311" t="s">
        <v>55</v>
      </c>
      <c r="D311" t="s">
        <v>20</v>
      </c>
      <c r="E311" t="s">
        <v>51</v>
      </c>
      <c r="F311" t="s">
        <v>70</v>
      </c>
      <c r="G311" t="s">
        <v>23</v>
      </c>
      <c r="H311" s="1">
        <v>44938</v>
      </c>
      <c r="I311" s="2">
        <v>44940.9458333333</v>
      </c>
      <c r="J311">
        <v>70.7</v>
      </c>
      <c r="K311" t="s">
        <v>32</v>
      </c>
      <c r="L311">
        <v>2</v>
      </c>
      <c r="M311">
        <v>4</v>
      </c>
      <c r="N311" t="s">
        <v>365</v>
      </c>
      <c r="O311" s="3" t="str">
        <f>TEXT(Ticket_Table[[#This Row],[raised_date]],"YYYY-MM")</f>
        <v>2023-01</v>
      </c>
      <c r="P311" s="3" t="str">
        <f>IF(Ticket_Table[[#This Row],[resolution_hrs]]&lt;=4,"Fast",IF(Ticket_Table[[#This Row],[resolution_hrs]]&lt;=24,"Normal",IF(Ticket_Table[[#This Row],[resolution_hrs]]&lt;=48,"Slow","Very Slow")))</f>
        <v>Very Slow</v>
      </c>
      <c r="Q311" s="3">
        <f>YEAR(Ticket_Table[[#This Row],[raised_date]])</f>
        <v>2023</v>
      </c>
    </row>
    <row r="312" spans="1:17">
      <c r="A312" t="s">
        <v>727</v>
      </c>
      <c r="B312" t="s">
        <v>365</v>
      </c>
      <c r="C312" t="s">
        <v>68</v>
      </c>
      <c r="D312" t="s">
        <v>29</v>
      </c>
      <c r="E312" t="s">
        <v>166</v>
      </c>
      <c r="F312" t="s">
        <v>70</v>
      </c>
      <c r="G312" t="s">
        <v>46</v>
      </c>
      <c r="H312" s="1">
        <v>45248</v>
      </c>
      <c r="I312" s="2">
        <v>45248.7458333333</v>
      </c>
      <c r="J312">
        <v>17.9</v>
      </c>
      <c r="K312" t="s">
        <v>24</v>
      </c>
      <c r="L312">
        <v>0</v>
      </c>
      <c r="M312">
        <v>2</v>
      </c>
      <c r="N312" t="s">
        <v>186</v>
      </c>
      <c r="O312" s="3" t="str">
        <f>TEXT(Ticket_Table[[#This Row],[raised_date]],"YYYY-MM")</f>
        <v>2023-11</v>
      </c>
      <c r="P312" s="3" t="str">
        <f>IF(Ticket_Table[[#This Row],[resolution_hrs]]&lt;=4,"Fast",IF(Ticket_Table[[#This Row],[resolution_hrs]]&lt;=24,"Normal",IF(Ticket_Table[[#This Row],[resolution_hrs]]&lt;=48,"Slow","Very Slow")))</f>
        <v>Normal</v>
      </c>
      <c r="Q312" s="3">
        <f>YEAR(Ticket_Table[[#This Row],[raised_date]])</f>
        <v>2023</v>
      </c>
    </row>
    <row r="313" spans="1:17">
      <c r="A313" t="s">
        <v>728</v>
      </c>
      <c r="B313" t="s">
        <v>124</v>
      </c>
      <c r="C313" t="s">
        <v>287</v>
      </c>
      <c r="D313" t="s">
        <v>90</v>
      </c>
      <c r="E313" t="s">
        <v>44</v>
      </c>
      <c r="F313" t="s">
        <v>22</v>
      </c>
      <c r="G313" t="s">
        <v>23</v>
      </c>
      <c r="H313" s="1">
        <v>44420</v>
      </c>
      <c r="I313" s="2">
        <v>44420.55</v>
      </c>
      <c r="J313">
        <v>13.2</v>
      </c>
      <c r="K313" t="s">
        <v>24</v>
      </c>
      <c r="L313">
        <v>1</v>
      </c>
      <c r="M313">
        <v>4</v>
      </c>
      <c r="N313" t="s">
        <v>449</v>
      </c>
      <c r="O313" s="3" t="str">
        <f>TEXT(Ticket_Table[[#This Row],[raised_date]],"YYYY-MM")</f>
        <v>2021-08</v>
      </c>
      <c r="P313" s="3" t="str">
        <f>IF(Ticket_Table[[#This Row],[resolution_hrs]]&lt;=4,"Fast",IF(Ticket_Table[[#This Row],[resolution_hrs]]&lt;=24,"Normal",IF(Ticket_Table[[#This Row],[resolution_hrs]]&lt;=48,"Slow","Very Slow")))</f>
        <v>Normal</v>
      </c>
      <c r="Q313" s="3">
        <f>YEAR(Ticket_Table[[#This Row],[raised_date]])</f>
        <v>2021</v>
      </c>
    </row>
    <row r="314" spans="1:17">
      <c r="A314" t="s">
        <v>729</v>
      </c>
      <c r="B314" t="s">
        <v>730</v>
      </c>
      <c r="C314" t="s">
        <v>117</v>
      </c>
      <c r="D314" t="s">
        <v>20</v>
      </c>
      <c r="E314" t="s">
        <v>69</v>
      </c>
      <c r="F314" t="s">
        <v>38</v>
      </c>
      <c r="G314" t="s">
        <v>23</v>
      </c>
      <c r="H314" s="1">
        <v>45122</v>
      </c>
      <c r="I314" s="2">
        <v>45122.7375</v>
      </c>
      <c r="J314">
        <v>17.7</v>
      </c>
      <c r="K314" t="s">
        <v>24</v>
      </c>
      <c r="L314">
        <v>0</v>
      </c>
      <c r="M314">
        <v>3</v>
      </c>
      <c r="N314" t="s">
        <v>109</v>
      </c>
      <c r="O314" s="3" t="str">
        <f>TEXT(Ticket_Table[[#This Row],[raised_date]],"YYYY-MM")</f>
        <v>2023-07</v>
      </c>
      <c r="P314" s="3" t="str">
        <f>IF(Ticket_Table[[#This Row],[resolution_hrs]]&lt;=4,"Fast",IF(Ticket_Table[[#This Row],[resolution_hrs]]&lt;=24,"Normal",IF(Ticket_Table[[#This Row],[resolution_hrs]]&lt;=48,"Slow","Very Slow")))</f>
        <v>Normal</v>
      </c>
      <c r="Q314" s="3">
        <f>YEAR(Ticket_Table[[#This Row],[raised_date]])</f>
        <v>2023</v>
      </c>
    </row>
    <row r="315" spans="1:17">
      <c r="A315" t="s">
        <v>731</v>
      </c>
      <c r="B315" t="s">
        <v>165</v>
      </c>
      <c r="C315" t="s">
        <v>68</v>
      </c>
      <c r="D315" t="s">
        <v>20</v>
      </c>
      <c r="E315" t="s">
        <v>106</v>
      </c>
      <c r="F315" t="s">
        <v>70</v>
      </c>
      <c r="G315" t="s">
        <v>74</v>
      </c>
      <c r="H315" s="1">
        <v>45228</v>
      </c>
      <c r="I315" s="2">
        <v>45230.8208333333</v>
      </c>
      <c r="J315">
        <v>67.7</v>
      </c>
      <c r="K315" t="s">
        <v>32</v>
      </c>
      <c r="L315">
        <v>1</v>
      </c>
      <c r="M315">
        <v>3</v>
      </c>
      <c r="N315" t="s">
        <v>716</v>
      </c>
      <c r="O315" s="3" t="str">
        <f>TEXT(Ticket_Table[[#This Row],[raised_date]],"YYYY-MM")</f>
        <v>2023-10</v>
      </c>
      <c r="P315" s="3" t="str">
        <f>IF(Ticket_Table[[#This Row],[resolution_hrs]]&lt;=4,"Fast",IF(Ticket_Table[[#This Row],[resolution_hrs]]&lt;=24,"Normal",IF(Ticket_Table[[#This Row],[resolution_hrs]]&lt;=48,"Slow","Very Slow")))</f>
        <v>Very Slow</v>
      </c>
      <c r="Q315" s="3">
        <f>YEAR(Ticket_Table[[#This Row],[raised_date]])</f>
        <v>2023</v>
      </c>
    </row>
    <row r="316" spans="1:17">
      <c r="A316" t="s">
        <v>732</v>
      </c>
      <c r="B316" t="s">
        <v>703</v>
      </c>
      <c r="C316" t="s">
        <v>82</v>
      </c>
      <c r="D316" t="s">
        <v>90</v>
      </c>
      <c r="E316" t="s">
        <v>37</v>
      </c>
      <c r="F316" t="s">
        <v>70</v>
      </c>
      <c r="G316" t="s">
        <v>31</v>
      </c>
      <c r="H316" s="1">
        <v>44650</v>
      </c>
      <c r="I316" s="2">
        <v>44651.7583333333</v>
      </c>
      <c r="J316">
        <v>42.2</v>
      </c>
      <c r="K316" t="s">
        <v>24</v>
      </c>
      <c r="L316">
        <v>0</v>
      </c>
      <c r="M316">
        <v>5</v>
      </c>
      <c r="N316" t="s">
        <v>733</v>
      </c>
      <c r="O316" s="3" t="str">
        <f>TEXT(Ticket_Table[[#This Row],[raised_date]],"YYYY-MM")</f>
        <v>2022-03</v>
      </c>
      <c r="P316" s="3" t="str">
        <f>IF(Ticket_Table[[#This Row],[resolution_hrs]]&lt;=4,"Fast",IF(Ticket_Table[[#This Row],[resolution_hrs]]&lt;=24,"Normal",IF(Ticket_Table[[#This Row],[resolution_hrs]]&lt;=48,"Slow","Very Slow")))</f>
        <v>Slow</v>
      </c>
      <c r="Q316" s="3">
        <f>YEAR(Ticket_Table[[#This Row],[raised_date]])</f>
        <v>2022</v>
      </c>
    </row>
    <row r="317" spans="1:17">
      <c r="A317" t="s">
        <v>734</v>
      </c>
      <c r="B317" t="s">
        <v>621</v>
      </c>
      <c r="C317" t="s">
        <v>64</v>
      </c>
      <c r="D317" t="s">
        <v>29</v>
      </c>
      <c r="E317" t="s">
        <v>83</v>
      </c>
      <c r="F317" t="s">
        <v>38</v>
      </c>
      <c r="G317" t="s">
        <v>46</v>
      </c>
      <c r="H317" s="1">
        <v>44285</v>
      </c>
      <c r="I317" s="2">
        <v>44286.4416666667</v>
      </c>
      <c r="J317">
        <v>34.6</v>
      </c>
      <c r="K317" t="s">
        <v>32</v>
      </c>
      <c r="L317">
        <v>0</v>
      </c>
      <c r="M317">
        <v>5</v>
      </c>
      <c r="N317" t="s">
        <v>735</v>
      </c>
      <c r="O317" s="3" t="str">
        <f>TEXT(Ticket_Table[[#This Row],[raised_date]],"YYYY-MM")</f>
        <v>2021-03</v>
      </c>
      <c r="P317" s="3" t="str">
        <f>IF(Ticket_Table[[#This Row],[resolution_hrs]]&lt;=4,"Fast",IF(Ticket_Table[[#This Row],[resolution_hrs]]&lt;=24,"Normal",IF(Ticket_Table[[#This Row],[resolution_hrs]]&lt;=48,"Slow","Very Slow")))</f>
        <v>Slow</v>
      </c>
      <c r="Q317" s="3">
        <f>YEAR(Ticket_Table[[#This Row],[raised_date]])</f>
        <v>2021</v>
      </c>
    </row>
    <row r="318" spans="1:17">
      <c r="A318" t="s">
        <v>736</v>
      </c>
      <c r="B318" t="s">
        <v>737</v>
      </c>
      <c r="C318" t="s">
        <v>213</v>
      </c>
      <c r="D318" t="s">
        <v>43</v>
      </c>
      <c r="E318" t="s">
        <v>166</v>
      </c>
      <c r="F318" t="s">
        <v>70</v>
      </c>
      <c r="G318" t="s">
        <v>23</v>
      </c>
      <c r="H318" s="1">
        <v>45264</v>
      </c>
      <c r="I318" s="2">
        <v>45264.6625</v>
      </c>
      <c r="J318">
        <v>15.9</v>
      </c>
      <c r="K318" t="s">
        <v>24</v>
      </c>
      <c r="L318">
        <v>2</v>
      </c>
      <c r="M318">
        <v>4</v>
      </c>
      <c r="N318" t="s">
        <v>272</v>
      </c>
      <c r="O318" s="3" t="str">
        <f>TEXT(Ticket_Table[[#This Row],[raised_date]],"YYYY-MM")</f>
        <v>2023-12</v>
      </c>
      <c r="P318" s="3" t="str">
        <f>IF(Ticket_Table[[#This Row],[resolution_hrs]]&lt;=4,"Fast",IF(Ticket_Table[[#This Row],[resolution_hrs]]&lt;=24,"Normal",IF(Ticket_Table[[#This Row],[resolution_hrs]]&lt;=48,"Slow","Very Slow")))</f>
        <v>Normal</v>
      </c>
      <c r="Q318" s="3">
        <f>YEAR(Ticket_Table[[#This Row],[raised_date]])</f>
        <v>2023</v>
      </c>
    </row>
    <row r="319" spans="1:17">
      <c r="A319" t="s">
        <v>738</v>
      </c>
      <c r="B319" t="s">
        <v>143</v>
      </c>
      <c r="C319" t="s">
        <v>82</v>
      </c>
      <c r="D319" t="s">
        <v>20</v>
      </c>
      <c r="E319" t="s">
        <v>83</v>
      </c>
      <c r="F319" t="s">
        <v>70</v>
      </c>
      <c r="G319" t="s">
        <v>23</v>
      </c>
      <c r="H319" s="1">
        <v>44814</v>
      </c>
      <c r="I319" s="2">
        <v>44816.2458333333</v>
      </c>
      <c r="J319">
        <v>53.9</v>
      </c>
      <c r="K319" t="s">
        <v>32</v>
      </c>
      <c r="L319">
        <v>0</v>
      </c>
      <c r="M319">
        <v>3</v>
      </c>
      <c r="N319" t="s">
        <v>132</v>
      </c>
      <c r="O319" s="3" t="str">
        <f>TEXT(Ticket_Table[[#This Row],[raised_date]],"YYYY-MM")</f>
        <v>2022-09</v>
      </c>
      <c r="P319" s="3" t="str">
        <f>IF(Ticket_Table[[#This Row],[resolution_hrs]]&lt;=4,"Fast",IF(Ticket_Table[[#This Row],[resolution_hrs]]&lt;=24,"Normal",IF(Ticket_Table[[#This Row],[resolution_hrs]]&lt;=48,"Slow","Very Slow")))</f>
        <v>Very Slow</v>
      </c>
      <c r="Q319" s="3">
        <f>YEAR(Ticket_Table[[#This Row],[raised_date]])</f>
        <v>2022</v>
      </c>
    </row>
    <row r="320" spans="1:17">
      <c r="A320" t="s">
        <v>739</v>
      </c>
      <c r="B320" t="s">
        <v>740</v>
      </c>
      <c r="C320" t="s">
        <v>95</v>
      </c>
      <c r="D320" t="s">
        <v>90</v>
      </c>
      <c r="E320" t="s">
        <v>37</v>
      </c>
      <c r="F320" t="s">
        <v>22</v>
      </c>
      <c r="G320" t="s">
        <v>23</v>
      </c>
      <c r="H320" s="1">
        <v>45135</v>
      </c>
      <c r="I320" s="2">
        <v>45136.0458333333</v>
      </c>
      <c r="J320">
        <v>25.1</v>
      </c>
      <c r="K320" t="s">
        <v>24</v>
      </c>
      <c r="L320">
        <v>0</v>
      </c>
      <c r="M320">
        <v>5</v>
      </c>
      <c r="N320" t="s">
        <v>716</v>
      </c>
      <c r="O320" s="3" t="str">
        <f>TEXT(Ticket_Table[[#This Row],[raised_date]],"YYYY-MM")</f>
        <v>2023-07</v>
      </c>
      <c r="P320" s="3" t="str">
        <f>IF(Ticket_Table[[#This Row],[resolution_hrs]]&lt;=4,"Fast",IF(Ticket_Table[[#This Row],[resolution_hrs]]&lt;=24,"Normal",IF(Ticket_Table[[#This Row],[resolution_hrs]]&lt;=48,"Slow","Very Slow")))</f>
        <v>Slow</v>
      </c>
      <c r="Q320" s="3">
        <f>YEAR(Ticket_Table[[#This Row],[raised_date]])</f>
        <v>2023</v>
      </c>
    </row>
    <row r="321" spans="1:17">
      <c r="A321" t="s">
        <v>741</v>
      </c>
      <c r="B321" t="s">
        <v>471</v>
      </c>
      <c r="C321" t="s">
        <v>64</v>
      </c>
      <c r="D321" t="s">
        <v>29</v>
      </c>
      <c r="E321" t="s">
        <v>56</v>
      </c>
      <c r="F321" t="s">
        <v>38</v>
      </c>
      <c r="G321" t="s">
        <v>31</v>
      </c>
      <c r="H321" s="1">
        <v>44260</v>
      </c>
      <c r="I321" s="2">
        <v>44260.5541666667</v>
      </c>
      <c r="J321">
        <v>13.3</v>
      </c>
      <c r="K321" t="s">
        <v>24</v>
      </c>
      <c r="L321">
        <v>0</v>
      </c>
      <c r="M321">
        <v>4</v>
      </c>
      <c r="N321" t="s">
        <v>92</v>
      </c>
      <c r="O321" s="3" t="str">
        <f>TEXT(Ticket_Table[[#This Row],[raised_date]],"YYYY-MM")</f>
        <v>2021-03</v>
      </c>
      <c r="P321" s="3" t="str">
        <f>IF(Ticket_Table[[#This Row],[resolution_hrs]]&lt;=4,"Fast",IF(Ticket_Table[[#This Row],[resolution_hrs]]&lt;=24,"Normal",IF(Ticket_Table[[#This Row],[resolution_hrs]]&lt;=48,"Slow","Very Slow")))</f>
        <v>Normal</v>
      </c>
      <c r="Q321" s="3">
        <f>YEAR(Ticket_Table[[#This Row],[raised_date]])</f>
        <v>2021</v>
      </c>
    </row>
    <row r="322" spans="1:17">
      <c r="A322" t="s">
        <v>742</v>
      </c>
      <c r="B322" t="s">
        <v>529</v>
      </c>
      <c r="C322" t="s">
        <v>42</v>
      </c>
      <c r="D322" t="s">
        <v>36</v>
      </c>
      <c r="E322" t="s">
        <v>69</v>
      </c>
      <c r="F322" t="s">
        <v>45</v>
      </c>
      <c r="G322" t="s">
        <v>23</v>
      </c>
      <c r="H322" s="1">
        <v>44321</v>
      </c>
      <c r="I322" s="2">
        <v>44321.0958333333</v>
      </c>
      <c r="J322">
        <v>2.3</v>
      </c>
      <c r="K322" t="s">
        <v>24</v>
      </c>
      <c r="L322">
        <v>0</v>
      </c>
      <c r="M322">
        <v>4</v>
      </c>
      <c r="N322" t="s">
        <v>594</v>
      </c>
      <c r="O322" s="3" t="str">
        <f>TEXT(Ticket_Table[[#This Row],[raised_date]],"YYYY-MM")</f>
        <v>2021-05</v>
      </c>
      <c r="P322" s="3" t="str">
        <f>IF(Ticket_Table[[#This Row],[resolution_hrs]]&lt;=4,"Fast",IF(Ticket_Table[[#This Row],[resolution_hrs]]&lt;=24,"Normal",IF(Ticket_Table[[#This Row],[resolution_hrs]]&lt;=48,"Slow","Very Slow")))</f>
        <v>Fast</v>
      </c>
      <c r="Q322" s="3">
        <f>YEAR(Ticket_Table[[#This Row],[raised_date]])</f>
        <v>2021</v>
      </c>
    </row>
    <row r="323" spans="1:17">
      <c r="A323" t="s">
        <v>743</v>
      </c>
      <c r="B323" t="s">
        <v>744</v>
      </c>
      <c r="C323" t="s">
        <v>117</v>
      </c>
      <c r="D323" t="s">
        <v>43</v>
      </c>
      <c r="E323" t="s">
        <v>69</v>
      </c>
      <c r="F323" t="s">
        <v>70</v>
      </c>
      <c r="G323" t="s">
        <v>23</v>
      </c>
      <c r="H323" s="1">
        <v>45177</v>
      </c>
      <c r="I323" s="2">
        <v>45179.0541666667</v>
      </c>
      <c r="J323">
        <v>49.3</v>
      </c>
      <c r="K323" t="s">
        <v>32</v>
      </c>
      <c r="L323">
        <v>0</v>
      </c>
      <c r="M323">
        <v>4</v>
      </c>
      <c r="N323" t="s">
        <v>471</v>
      </c>
      <c r="O323" s="3" t="str">
        <f>TEXT(Ticket_Table[[#This Row],[raised_date]],"YYYY-MM")</f>
        <v>2023-09</v>
      </c>
      <c r="P323" s="3" t="str">
        <f>IF(Ticket_Table[[#This Row],[resolution_hrs]]&lt;=4,"Fast",IF(Ticket_Table[[#This Row],[resolution_hrs]]&lt;=24,"Normal",IF(Ticket_Table[[#This Row],[resolution_hrs]]&lt;=48,"Slow","Very Slow")))</f>
        <v>Very Slow</v>
      </c>
      <c r="Q323" s="3">
        <f>YEAR(Ticket_Table[[#This Row],[raised_date]])</f>
        <v>2023</v>
      </c>
    </row>
    <row r="324" spans="1:17">
      <c r="A324" t="s">
        <v>745</v>
      </c>
      <c r="B324" t="s">
        <v>394</v>
      </c>
      <c r="C324" t="s">
        <v>50</v>
      </c>
      <c r="D324" t="s">
        <v>90</v>
      </c>
      <c r="E324" t="s">
        <v>37</v>
      </c>
      <c r="F324" t="s">
        <v>45</v>
      </c>
      <c r="G324" t="s">
        <v>74</v>
      </c>
      <c r="H324" s="1">
        <v>45019</v>
      </c>
      <c r="I324" s="2">
        <v>45019.1</v>
      </c>
      <c r="J324">
        <v>2.4</v>
      </c>
      <c r="K324" t="s">
        <v>24</v>
      </c>
      <c r="L324">
        <v>0</v>
      </c>
      <c r="M324">
        <v>3</v>
      </c>
      <c r="N324" t="s">
        <v>746</v>
      </c>
      <c r="O324" s="3" t="str">
        <f>TEXT(Ticket_Table[[#This Row],[raised_date]],"YYYY-MM")</f>
        <v>2023-04</v>
      </c>
      <c r="P324" s="3" t="str">
        <f>IF(Ticket_Table[[#This Row],[resolution_hrs]]&lt;=4,"Fast",IF(Ticket_Table[[#This Row],[resolution_hrs]]&lt;=24,"Normal",IF(Ticket_Table[[#This Row],[resolution_hrs]]&lt;=48,"Slow","Very Slow")))</f>
        <v>Fast</v>
      </c>
      <c r="Q324" s="3">
        <f>YEAR(Ticket_Table[[#This Row],[raised_date]])</f>
        <v>2023</v>
      </c>
    </row>
    <row r="325" spans="1:17">
      <c r="A325" t="s">
        <v>747</v>
      </c>
      <c r="B325" t="s">
        <v>720</v>
      </c>
      <c r="C325" t="s">
        <v>201</v>
      </c>
      <c r="D325" t="s">
        <v>90</v>
      </c>
      <c r="E325" t="s">
        <v>44</v>
      </c>
      <c r="F325" t="s">
        <v>22</v>
      </c>
      <c r="G325" t="s">
        <v>31</v>
      </c>
      <c r="H325" s="1">
        <v>45070</v>
      </c>
      <c r="I325" s="2">
        <v>45070.325</v>
      </c>
      <c r="J325">
        <v>7.8</v>
      </c>
      <c r="K325" t="s">
        <v>24</v>
      </c>
      <c r="L325">
        <v>1</v>
      </c>
      <c r="M325">
        <v>4</v>
      </c>
      <c r="N325" t="s">
        <v>243</v>
      </c>
      <c r="O325" s="3" t="str">
        <f>TEXT(Ticket_Table[[#This Row],[raised_date]],"YYYY-MM")</f>
        <v>2023-05</v>
      </c>
      <c r="P325" s="3" t="str">
        <f>IF(Ticket_Table[[#This Row],[resolution_hrs]]&lt;=4,"Fast",IF(Ticket_Table[[#This Row],[resolution_hrs]]&lt;=24,"Normal",IF(Ticket_Table[[#This Row],[resolution_hrs]]&lt;=48,"Slow","Very Slow")))</f>
        <v>Normal</v>
      </c>
      <c r="Q325" s="3">
        <f>YEAR(Ticket_Table[[#This Row],[raised_date]])</f>
        <v>2023</v>
      </c>
    </row>
    <row r="326" spans="1:17">
      <c r="A326" t="s">
        <v>748</v>
      </c>
      <c r="B326" t="s">
        <v>749</v>
      </c>
      <c r="C326" t="s">
        <v>102</v>
      </c>
      <c r="D326" t="s">
        <v>90</v>
      </c>
      <c r="E326" t="s">
        <v>83</v>
      </c>
      <c r="F326" t="s">
        <v>70</v>
      </c>
      <c r="G326" t="s">
        <v>23</v>
      </c>
      <c r="H326" s="1">
        <v>44418</v>
      </c>
      <c r="I326" s="2">
        <v>44419.0625</v>
      </c>
      <c r="J326">
        <v>25.5</v>
      </c>
      <c r="K326" t="s">
        <v>24</v>
      </c>
      <c r="L326">
        <v>0</v>
      </c>
      <c r="M326">
        <v>4</v>
      </c>
      <c r="N326" t="s">
        <v>737</v>
      </c>
      <c r="O326" s="3" t="str">
        <f>TEXT(Ticket_Table[[#This Row],[raised_date]],"YYYY-MM")</f>
        <v>2021-08</v>
      </c>
      <c r="P326" s="3" t="str">
        <f>IF(Ticket_Table[[#This Row],[resolution_hrs]]&lt;=4,"Fast",IF(Ticket_Table[[#This Row],[resolution_hrs]]&lt;=24,"Normal",IF(Ticket_Table[[#This Row],[resolution_hrs]]&lt;=48,"Slow","Very Slow")))</f>
        <v>Slow</v>
      </c>
      <c r="Q326" s="3">
        <f>YEAR(Ticket_Table[[#This Row],[raised_date]])</f>
        <v>2021</v>
      </c>
    </row>
    <row r="327" spans="1:17">
      <c r="A327" t="s">
        <v>750</v>
      </c>
      <c r="B327" t="s">
        <v>751</v>
      </c>
      <c r="C327" t="s">
        <v>42</v>
      </c>
      <c r="D327" t="s">
        <v>20</v>
      </c>
      <c r="E327" t="s">
        <v>83</v>
      </c>
      <c r="F327" t="s">
        <v>70</v>
      </c>
      <c r="G327" t="s">
        <v>31</v>
      </c>
      <c r="H327" s="1">
        <v>45201</v>
      </c>
      <c r="I327" s="2">
        <v>45202.4791666667</v>
      </c>
      <c r="J327">
        <v>35.5</v>
      </c>
      <c r="K327" t="s">
        <v>24</v>
      </c>
      <c r="L327">
        <v>0</v>
      </c>
      <c r="M327">
        <v>4</v>
      </c>
      <c r="N327" t="s">
        <v>346</v>
      </c>
      <c r="O327" s="3" t="str">
        <f>TEXT(Ticket_Table[[#This Row],[raised_date]],"YYYY-MM")</f>
        <v>2023-10</v>
      </c>
      <c r="P327" s="3" t="str">
        <f>IF(Ticket_Table[[#This Row],[resolution_hrs]]&lt;=4,"Fast",IF(Ticket_Table[[#This Row],[resolution_hrs]]&lt;=24,"Normal",IF(Ticket_Table[[#This Row],[resolution_hrs]]&lt;=48,"Slow","Very Slow")))</f>
        <v>Slow</v>
      </c>
      <c r="Q327" s="3">
        <f>YEAR(Ticket_Table[[#This Row],[raised_date]])</f>
        <v>2023</v>
      </c>
    </row>
    <row r="328" spans="1:17">
      <c r="A328" t="s">
        <v>752</v>
      </c>
      <c r="B328" t="s">
        <v>98</v>
      </c>
      <c r="C328" t="s">
        <v>117</v>
      </c>
      <c r="D328" t="s">
        <v>36</v>
      </c>
      <c r="E328" t="s">
        <v>37</v>
      </c>
      <c r="F328" t="s">
        <v>70</v>
      </c>
      <c r="G328" t="s">
        <v>23</v>
      </c>
      <c r="H328" s="1">
        <v>45105</v>
      </c>
      <c r="I328" s="2">
        <v>45106.6</v>
      </c>
      <c r="J328">
        <v>38.4</v>
      </c>
      <c r="K328" t="s">
        <v>24</v>
      </c>
      <c r="L328">
        <v>0</v>
      </c>
      <c r="M328">
        <v>3</v>
      </c>
      <c r="N328" t="s">
        <v>138</v>
      </c>
      <c r="O328" s="3" t="str">
        <f>TEXT(Ticket_Table[[#This Row],[raised_date]],"YYYY-MM")</f>
        <v>2023-06</v>
      </c>
      <c r="P328" s="3" t="str">
        <f>IF(Ticket_Table[[#This Row],[resolution_hrs]]&lt;=4,"Fast",IF(Ticket_Table[[#This Row],[resolution_hrs]]&lt;=24,"Normal",IF(Ticket_Table[[#This Row],[resolution_hrs]]&lt;=48,"Slow","Very Slow")))</f>
        <v>Slow</v>
      </c>
      <c r="Q328" s="3">
        <f>YEAR(Ticket_Table[[#This Row],[raised_date]])</f>
        <v>2023</v>
      </c>
    </row>
    <row r="329" spans="1:17">
      <c r="A329" t="s">
        <v>753</v>
      </c>
      <c r="B329" t="s">
        <v>658</v>
      </c>
      <c r="C329" t="s">
        <v>55</v>
      </c>
      <c r="D329" t="s">
        <v>43</v>
      </c>
      <c r="E329" t="s">
        <v>83</v>
      </c>
      <c r="F329" t="s">
        <v>70</v>
      </c>
      <c r="G329" t="s">
        <v>31</v>
      </c>
      <c r="H329" s="1">
        <v>44347</v>
      </c>
      <c r="I329" s="2">
        <v>44347.4041666667</v>
      </c>
      <c r="J329">
        <v>9.7</v>
      </c>
      <c r="K329" t="s">
        <v>24</v>
      </c>
      <c r="L329">
        <v>1</v>
      </c>
      <c r="M329">
        <v>5</v>
      </c>
      <c r="N329" t="s">
        <v>200</v>
      </c>
      <c r="O329" s="3" t="str">
        <f>TEXT(Ticket_Table[[#This Row],[raised_date]],"YYYY-MM")</f>
        <v>2021-05</v>
      </c>
      <c r="P329" s="3" t="str">
        <f>IF(Ticket_Table[[#This Row],[resolution_hrs]]&lt;=4,"Fast",IF(Ticket_Table[[#This Row],[resolution_hrs]]&lt;=24,"Normal",IF(Ticket_Table[[#This Row],[resolution_hrs]]&lt;=48,"Slow","Very Slow")))</f>
        <v>Normal</v>
      </c>
      <c r="Q329" s="3">
        <f>YEAR(Ticket_Table[[#This Row],[raised_date]])</f>
        <v>2021</v>
      </c>
    </row>
    <row r="330" spans="1:17">
      <c r="A330" t="s">
        <v>754</v>
      </c>
      <c r="B330" t="s">
        <v>481</v>
      </c>
      <c r="C330" t="s">
        <v>82</v>
      </c>
      <c r="D330" t="s">
        <v>29</v>
      </c>
      <c r="E330" t="s">
        <v>44</v>
      </c>
      <c r="F330" t="s">
        <v>70</v>
      </c>
      <c r="G330" t="s">
        <v>31</v>
      </c>
      <c r="H330" s="1">
        <v>44362</v>
      </c>
      <c r="I330" s="2">
        <v>44364.1416666667</v>
      </c>
      <c r="J330">
        <v>51.4</v>
      </c>
      <c r="K330" t="s">
        <v>32</v>
      </c>
      <c r="L330">
        <v>0</v>
      </c>
      <c r="M330">
        <v>3</v>
      </c>
      <c r="N330" t="s">
        <v>245</v>
      </c>
      <c r="O330" s="3" t="str">
        <f>TEXT(Ticket_Table[[#This Row],[raised_date]],"YYYY-MM")</f>
        <v>2021-06</v>
      </c>
      <c r="P330" s="3" t="str">
        <f>IF(Ticket_Table[[#This Row],[resolution_hrs]]&lt;=4,"Fast",IF(Ticket_Table[[#This Row],[resolution_hrs]]&lt;=24,"Normal",IF(Ticket_Table[[#This Row],[resolution_hrs]]&lt;=48,"Slow","Very Slow")))</f>
        <v>Very Slow</v>
      </c>
      <c r="Q330" s="3">
        <f>YEAR(Ticket_Table[[#This Row],[raised_date]])</f>
        <v>2021</v>
      </c>
    </row>
    <row r="331" spans="1:17">
      <c r="A331" t="s">
        <v>755</v>
      </c>
      <c r="B331" t="s">
        <v>564</v>
      </c>
      <c r="C331" t="s">
        <v>175</v>
      </c>
      <c r="D331" t="s">
        <v>29</v>
      </c>
      <c r="E331" t="s">
        <v>69</v>
      </c>
      <c r="F331" t="s">
        <v>22</v>
      </c>
      <c r="G331" t="s">
        <v>31</v>
      </c>
      <c r="H331" s="1">
        <v>44856</v>
      </c>
      <c r="I331" s="2">
        <v>44859.0666666667</v>
      </c>
      <c r="J331">
        <v>73.6</v>
      </c>
      <c r="K331" t="s">
        <v>32</v>
      </c>
      <c r="L331">
        <v>2</v>
      </c>
      <c r="M331">
        <v>4</v>
      </c>
      <c r="N331" t="s">
        <v>756</v>
      </c>
      <c r="O331" s="3" t="str">
        <f>TEXT(Ticket_Table[[#This Row],[raised_date]],"YYYY-MM")</f>
        <v>2022-10</v>
      </c>
      <c r="P331" s="3" t="str">
        <f>IF(Ticket_Table[[#This Row],[resolution_hrs]]&lt;=4,"Fast",IF(Ticket_Table[[#This Row],[resolution_hrs]]&lt;=24,"Normal",IF(Ticket_Table[[#This Row],[resolution_hrs]]&lt;=48,"Slow","Very Slow")))</f>
        <v>Very Slow</v>
      </c>
      <c r="Q331" s="3">
        <f>YEAR(Ticket_Table[[#This Row],[raised_date]])</f>
        <v>2022</v>
      </c>
    </row>
    <row r="332" spans="1:17">
      <c r="A332" t="s">
        <v>757</v>
      </c>
      <c r="B332" t="s">
        <v>135</v>
      </c>
      <c r="C332" t="s">
        <v>95</v>
      </c>
      <c r="D332" t="s">
        <v>36</v>
      </c>
      <c r="E332" t="s">
        <v>56</v>
      </c>
      <c r="F332" t="s">
        <v>70</v>
      </c>
      <c r="G332" t="s">
        <v>23</v>
      </c>
      <c r="H332" s="1">
        <v>44500</v>
      </c>
      <c r="I332" s="2">
        <v>44501.6166666667</v>
      </c>
      <c r="J332">
        <v>38.8</v>
      </c>
      <c r="K332" t="s">
        <v>24</v>
      </c>
      <c r="L332">
        <v>0</v>
      </c>
      <c r="M332">
        <v>3</v>
      </c>
      <c r="N332" t="s">
        <v>758</v>
      </c>
      <c r="O332" s="3" t="str">
        <f>TEXT(Ticket_Table[[#This Row],[raised_date]],"YYYY-MM")</f>
        <v>2021-10</v>
      </c>
      <c r="P332" s="3" t="str">
        <f>IF(Ticket_Table[[#This Row],[resolution_hrs]]&lt;=4,"Fast",IF(Ticket_Table[[#This Row],[resolution_hrs]]&lt;=24,"Normal",IF(Ticket_Table[[#This Row],[resolution_hrs]]&lt;=48,"Slow","Very Slow")))</f>
        <v>Slow</v>
      </c>
      <c r="Q332" s="3">
        <f>YEAR(Ticket_Table[[#This Row],[raised_date]])</f>
        <v>2021</v>
      </c>
    </row>
    <row r="333" spans="1:17">
      <c r="A333" t="s">
        <v>759</v>
      </c>
      <c r="B333" t="s">
        <v>760</v>
      </c>
      <c r="C333" t="s">
        <v>64</v>
      </c>
      <c r="D333" t="s">
        <v>90</v>
      </c>
      <c r="E333" t="s">
        <v>30</v>
      </c>
      <c r="F333" t="s">
        <v>22</v>
      </c>
      <c r="G333" t="s">
        <v>23</v>
      </c>
      <c r="H333" s="1">
        <v>44331</v>
      </c>
      <c r="I333" s="2">
        <v>44332.3458333333</v>
      </c>
      <c r="J333">
        <v>32.3</v>
      </c>
      <c r="K333" t="s">
        <v>24</v>
      </c>
      <c r="L333">
        <v>0</v>
      </c>
      <c r="M333">
        <v>4</v>
      </c>
      <c r="N333" t="s">
        <v>256</v>
      </c>
      <c r="O333" s="3" t="str">
        <f>TEXT(Ticket_Table[[#This Row],[raised_date]],"YYYY-MM")</f>
        <v>2021-05</v>
      </c>
      <c r="P333" s="3" t="str">
        <f>IF(Ticket_Table[[#This Row],[resolution_hrs]]&lt;=4,"Fast",IF(Ticket_Table[[#This Row],[resolution_hrs]]&lt;=24,"Normal",IF(Ticket_Table[[#This Row],[resolution_hrs]]&lt;=48,"Slow","Very Slow")))</f>
        <v>Slow</v>
      </c>
      <c r="Q333" s="3">
        <f>YEAR(Ticket_Table[[#This Row],[raised_date]])</f>
        <v>2021</v>
      </c>
    </row>
    <row r="334" spans="1:17">
      <c r="A334" t="s">
        <v>761</v>
      </c>
      <c r="B334" t="s">
        <v>195</v>
      </c>
      <c r="C334" t="s">
        <v>60</v>
      </c>
      <c r="D334" t="s">
        <v>90</v>
      </c>
      <c r="E334" t="s">
        <v>69</v>
      </c>
      <c r="F334" t="s">
        <v>38</v>
      </c>
      <c r="G334" t="s">
        <v>23</v>
      </c>
      <c r="H334" s="1">
        <v>44455</v>
      </c>
      <c r="I334" s="2">
        <v>44455.9458333333</v>
      </c>
      <c r="J334">
        <v>22.7</v>
      </c>
      <c r="K334" t="s">
        <v>24</v>
      </c>
      <c r="L334">
        <v>0</v>
      </c>
      <c r="M334">
        <v>3</v>
      </c>
      <c r="N334" t="s">
        <v>588</v>
      </c>
      <c r="O334" s="3" t="str">
        <f>TEXT(Ticket_Table[[#This Row],[raised_date]],"YYYY-MM")</f>
        <v>2021-09</v>
      </c>
      <c r="P334" s="3" t="str">
        <f>IF(Ticket_Table[[#This Row],[resolution_hrs]]&lt;=4,"Fast",IF(Ticket_Table[[#This Row],[resolution_hrs]]&lt;=24,"Normal",IF(Ticket_Table[[#This Row],[resolution_hrs]]&lt;=48,"Slow","Very Slow")))</f>
        <v>Normal</v>
      </c>
      <c r="Q334" s="3">
        <f>YEAR(Ticket_Table[[#This Row],[raised_date]])</f>
        <v>2021</v>
      </c>
    </row>
    <row r="335" spans="1:17">
      <c r="A335" t="s">
        <v>762</v>
      </c>
      <c r="B335" t="s">
        <v>344</v>
      </c>
      <c r="C335" t="s">
        <v>95</v>
      </c>
      <c r="D335" t="s">
        <v>90</v>
      </c>
      <c r="E335" t="s">
        <v>51</v>
      </c>
      <c r="F335" t="s">
        <v>22</v>
      </c>
      <c r="G335" t="s">
        <v>23</v>
      </c>
      <c r="H335" s="1">
        <v>44760</v>
      </c>
      <c r="I335" s="2">
        <v>44763.6083333333</v>
      </c>
      <c r="J335">
        <v>86.6</v>
      </c>
      <c r="K335" t="s">
        <v>32</v>
      </c>
      <c r="L335">
        <v>0</v>
      </c>
      <c r="M335">
        <v>4</v>
      </c>
      <c r="N335" t="s">
        <v>63</v>
      </c>
      <c r="O335" s="3" t="str">
        <f>TEXT(Ticket_Table[[#This Row],[raised_date]],"YYYY-MM")</f>
        <v>2022-07</v>
      </c>
      <c r="P335" s="3" t="str">
        <f>IF(Ticket_Table[[#This Row],[resolution_hrs]]&lt;=4,"Fast",IF(Ticket_Table[[#This Row],[resolution_hrs]]&lt;=24,"Normal",IF(Ticket_Table[[#This Row],[resolution_hrs]]&lt;=48,"Slow","Very Slow")))</f>
        <v>Very Slow</v>
      </c>
      <c r="Q335" s="3">
        <f>YEAR(Ticket_Table[[#This Row],[raised_date]])</f>
        <v>2022</v>
      </c>
    </row>
    <row r="336" spans="1:17">
      <c r="A336" t="s">
        <v>763</v>
      </c>
      <c r="B336" t="s">
        <v>612</v>
      </c>
      <c r="C336" t="s">
        <v>102</v>
      </c>
      <c r="D336" t="s">
        <v>90</v>
      </c>
      <c r="E336" t="s">
        <v>51</v>
      </c>
      <c r="F336" t="s">
        <v>22</v>
      </c>
      <c r="G336" t="s">
        <v>46</v>
      </c>
      <c r="H336" s="1">
        <v>44862</v>
      </c>
      <c r="I336" s="2">
        <v>44866.2583333333</v>
      </c>
      <c r="J336">
        <v>102.2</v>
      </c>
      <c r="K336" t="s">
        <v>32</v>
      </c>
      <c r="L336">
        <v>1</v>
      </c>
      <c r="M336">
        <v>3</v>
      </c>
      <c r="N336" t="s">
        <v>764</v>
      </c>
      <c r="O336" s="3" t="str">
        <f>TEXT(Ticket_Table[[#This Row],[raised_date]],"YYYY-MM")</f>
        <v>2022-10</v>
      </c>
      <c r="P336" s="3" t="str">
        <f>IF(Ticket_Table[[#This Row],[resolution_hrs]]&lt;=4,"Fast",IF(Ticket_Table[[#This Row],[resolution_hrs]]&lt;=24,"Normal",IF(Ticket_Table[[#This Row],[resolution_hrs]]&lt;=48,"Slow","Very Slow")))</f>
        <v>Very Slow</v>
      </c>
      <c r="Q336" s="3">
        <f>YEAR(Ticket_Table[[#This Row],[raised_date]])</f>
        <v>2022</v>
      </c>
    </row>
    <row r="337" spans="1:17">
      <c r="A337" t="s">
        <v>765</v>
      </c>
      <c r="B337" t="s">
        <v>449</v>
      </c>
      <c r="C337" t="s">
        <v>60</v>
      </c>
      <c r="D337" t="s">
        <v>90</v>
      </c>
      <c r="E337" t="s">
        <v>69</v>
      </c>
      <c r="F337" t="s">
        <v>70</v>
      </c>
      <c r="G337" t="s">
        <v>31</v>
      </c>
      <c r="H337" s="1">
        <v>44977</v>
      </c>
      <c r="I337" s="2">
        <v>44979.4333333333</v>
      </c>
      <c r="J337">
        <v>58.4</v>
      </c>
      <c r="K337" t="s">
        <v>32</v>
      </c>
      <c r="L337">
        <v>0</v>
      </c>
      <c r="M337">
        <v>4</v>
      </c>
      <c r="N337" t="s">
        <v>658</v>
      </c>
      <c r="O337" s="3" t="str">
        <f>TEXT(Ticket_Table[[#This Row],[raised_date]],"YYYY-MM")</f>
        <v>2023-02</v>
      </c>
      <c r="P337" s="3" t="str">
        <f>IF(Ticket_Table[[#This Row],[resolution_hrs]]&lt;=4,"Fast",IF(Ticket_Table[[#This Row],[resolution_hrs]]&lt;=24,"Normal",IF(Ticket_Table[[#This Row],[resolution_hrs]]&lt;=48,"Slow","Very Slow")))</f>
        <v>Very Slow</v>
      </c>
      <c r="Q337" s="3">
        <f>YEAR(Ticket_Table[[#This Row],[raised_date]])</f>
        <v>2023</v>
      </c>
    </row>
    <row r="338" spans="1:17">
      <c r="A338" t="s">
        <v>766</v>
      </c>
      <c r="B338" t="s">
        <v>767</v>
      </c>
      <c r="C338" t="s">
        <v>78</v>
      </c>
      <c r="D338" t="s">
        <v>36</v>
      </c>
      <c r="E338" t="s">
        <v>44</v>
      </c>
      <c r="F338" t="s">
        <v>70</v>
      </c>
      <c r="G338" t="s">
        <v>46</v>
      </c>
      <c r="H338" s="1">
        <v>45283</v>
      </c>
      <c r="I338" s="2">
        <v>45285.825</v>
      </c>
      <c r="J338">
        <v>67.8</v>
      </c>
      <c r="K338" t="s">
        <v>32</v>
      </c>
      <c r="L338">
        <v>0</v>
      </c>
      <c r="M338">
        <v>3</v>
      </c>
      <c r="N338" t="s">
        <v>300</v>
      </c>
      <c r="O338" s="3" t="str">
        <f>TEXT(Ticket_Table[[#This Row],[raised_date]],"YYYY-MM")</f>
        <v>2023-12</v>
      </c>
      <c r="P338" s="3" t="str">
        <f>IF(Ticket_Table[[#This Row],[resolution_hrs]]&lt;=4,"Fast",IF(Ticket_Table[[#This Row],[resolution_hrs]]&lt;=24,"Normal",IF(Ticket_Table[[#This Row],[resolution_hrs]]&lt;=48,"Slow","Very Slow")))</f>
        <v>Very Slow</v>
      </c>
      <c r="Q338" s="3">
        <f>YEAR(Ticket_Table[[#This Row],[raised_date]])</f>
        <v>2023</v>
      </c>
    </row>
    <row r="339" spans="1:17">
      <c r="A339" t="s">
        <v>768</v>
      </c>
      <c r="B339" t="s">
        <v>272</v>
      </c>
      <c r="C339" t="s">
        <v>19</v>
      </c>
      <c r="D339" t="s">
        <v>20</v>
      </c>
      <c r="E339" t="s">
        <v>30</v>
      </c>
      <c r="F339" t="s">
        <v>38</v>
      </c>
      <c r="G339" t="s">
        <v>74</v>
      </c>
      <c r="H339" s="1">
        <v>44800</v>
      </c>
      <c r="I339" s="2">
        <v>44800.1375</v>
      </c>
      <c r="J339">
        <v>3.3</v>
      </c>
      <c r="K339" t="s">
        <v>24</v>
      </c>
      <c r="L339">
        <v>0</v>
      </c>
      <c r="M339">
        <v>5</v>
      </c>
      <c r="N339" t="s">
        <v>529</v>
      </c>
      <c r="O339" s="3" t="str">
        <f>TEXT(Ticket_Table[[#This Row],[raised_date]],"YYYY-MM")</f>
        <v>2022-08</v>
      </c>
      <c r="P339" s="3" t="str">
        <f>IF(Ticket_Table[[#This Row],[resolution_hrs]]&lt;=4,"Fast",IF(Ticket_Table[[#This Row],[resolution_hrs]]&lt;=24,"Normal",IF(Ticket_Table[[#This Row],[resolution_hrs]]&lt;=48,"Slow","Very Slow")))</f>
        <v>Fast</v>
      </c>
      <c r="Q339" s="3">
        <f>YEAR(Ticket_Table[[#This Row],[raised_date]])</f>
        <v>2022</v>
      </c>
    </row>
    <row r="340" spans="1:17">
      <c r="A340" t="s">
        <v>769</v>
      </c>
      <c r="B340" t="s">
        <v>358</v>
      </c>
      <c r="C340" t="s">
        <v>261</v>
      </c>
      <c r="D340" t="s">
        <v>43</v>
      </c>
      <c r="E340" t="s">
        <v>56</v>
      </c>
      <c r="F340" t="s">
        <v>70</v>
      </c>
      <c r="G340" t="s">
        <v>23</v>
      </c>
      <c r="H340" s="1">
        <v>45126</v>
      </c>
      <c r="I340" s="2">
        <v>45128.6791666667</v>
      </c>
      <c r="J340">
        <v>64.3</v>
      </c>
      <c r="K340" t="s">
        <v>32</v>
      </c>
      <c r="L340">
        <v>0</v>
      </c>
      <c r="M340">
        <v>5</v>
      </c>
      <c r="N340" t="s">
        <v>180</v>
      </c>
      <c r="O340" s="3" t="str">
        <f>TEXT(Ticket_Table[[#This Row],[raised_date]],"YYYY-MM")</f>
        <v>2023-07</v>
      </c>
      <c r="P340" s="3" t="str">
        <f>IF(Ticket_Table[[#This Row],[resolution_hrs]]&lt;=4,"Fast",IF(Ticket_Table[[#This Row],[resolution_hrs]]&lt;=24,"Normal",IF(Ticket_Table[[#This Row],[resolution_hrs]]&lt;=48,"Slow","Very Slow")))</f>
        <v>Very Slow</v>
      </c>
      <c r="Q340" s="3">
        <f>YEAR(Ticket_Table[[#This Row],[raised_date]])</f>
        <v>2023</v>
      </c>
    </row>
    <row r="341" spans="1:17">
      <c r="A341" t="s">
        <v>770</v>
      </c>
      <c r="B341" t="s">
        <v>235</v>
      </c>
      <c r="C341" t="s">
        <v>55</v>
      </c>
      <c r="D341" t="s">
        <v>90</v>
      </c>
      <c r="E341" t="s">
        <v>83</v>
      </c>
      <c r="F341" t="s">
        <v>70</v>
      </c>
      <c r="G341" t="s">
        <v>46</v>
      </c>
      <c r="H341" s="1">
        <v>45232</v>
      </c>
      <c r="I341" s="2">
        <v>45233.3958333333</v>
      </c>
      <c r="J341">
        <v>33.5</v>
      </c>
      <c r="K341" t="s">
        <v>24</v>
      </c>
      <c r="L341">
        <v>1</v>
      </c>
      <c r="M341">
        <v>4</v>
      </c>
      <c r="N341" t="s">
        <v>676</v>
      </c>
      <c r="O341" s="3" t="str">
        <f>TEXT(Ticket_Table[[#This Row],[raised_date]],"YYYY-MM")</f>
        <v>2023-11</v>
      </c>
      <c r="P341" s="3" t="str">
        <f>IF(Ticket_Table[[#This Row],[resolution_hrs]]&lt;=4,"Fast",IF(Ticket_Table[[#This Row],[resolution_hrs]]&lt;=24,"Normal",IF(Ticket_Table[[#This Row],[resolution_hrs]]&lt;=48,"Slow","Very Slow")))</f>
        <v>Slow</v>
      </c>
      <c r="Q341" s="3">
        <f>YEAR(Ticket_Table[[#This Row],[raised_date]])</f>
        <v>2023</v>
      </c>
    </row>
    <row r="342" spans="1:17">
      <c r="A342" t="s">
        <v>771</v>
      </c>
      <c r="B342" t="s">
        <v>772</v>
      </c>
      <c r="C342" t="s">
        <v>287</v>
      </c>
      <c r="D342" t="s">
        <v>20</v>
      </c>
      <c r="E342" t="s">
        <v>51</v>
      </c>
      <c r="F342" t="s">
        <v>38</v>
      </c>
      <c r="G342" t="s">
        <v>31</v>
      </c>
      <c r="H342" s="1">
        <v>45078</v>
      </c>
      <c r="I342" s="2">
        <v>45078.1583333333</v>
      </c>
      <c r="J342">
        <v>3.8</v>
      </c>
      <c r="K342" t="s">
        <v>24</v>
      </c>
      <c r="L342">
        <v>0</v>
      </c>
      <c r="M342">
        <v>5</v>
      </c>
      <c r="N342" t="s">
        <v>224</v>
      </c>
      <c r="O342" s="3" t="str">
        <f>TEXT(Ticket_Table[[#This Row],[raised_date]],"YYYY-MM")</f>
        <v>2023-06</v>
      </c>
      <c r="P342" s="3" t="str">
        <f>IF(Ticket_Table[[#This Row],[resolution_hrs]]&lt;=4,"Fast",IF(Ticket_Table[[#This Row],[resolution_hrs]]&lt;=24,"Normal",IF(Ticket_Table[[#This Row],[resolution_hrs]]&lt;=48,"Slow","Very Slow")))</f>
        <v>Fast</v>
      </c>
      <c r="Q342" s="3">
        <f>YEAR(Ticket_Table[[#This Row],[raised_date]])</f>
        <v>2023</v>
      </c>
    </row>
    <row r="343" spans="1:17">
      <c r="A343" t="s">
        <v>773</v>
      </c>
      <c r="B343" t="s">
        <v>47</v>
      </c>
      <c r="C343" t="s">
        <v>213</v>
      </c>
      <c r="D343" t="s">
        <v>29</v>
      </c>
      <c r="E343" t="s">
        <v>51</v>
      </c>
      <c r="F343" t="s">
        <v>70</v>
      </c>
      <c r="G343" t="s">
        <v>31</v>
      </c>
      <c r="H343" s="1">
        <v>44400</v>
      </c>
      <c r="I343" s="2">
        <v>44402.7</v>
      </c>
      <c r="J343">
        <v>64.8</v>
      </c>
      <c r="K343" t="s">
        <v>32</v>
      </c>
      <c r="L343">
        <v>0</v>
      </c>
      <c r="M343">
        <v>2</v>
      </c>
      <c r="N343" t="s">
        <v>564</v>
      </c>
      <c r="O343" s="3" t="str">
        <f>TEXT(Ticket_Table[[#This Row],[raised_date]],"YYYY-MM")</f>
        <v>2021-07</v>
      </c>
      <c r="P343" s="3" t="str">
        <f>IF(Ticket_Table[[#This Row],[resolution_hrs]]&lt;=4,"Fast",IF(Ticket_Table[[#This Row],[resolution_hrs]]&lt;=24,"Normal",IF(Ticket_Table[[#This Row],[resolution_hrs]]&lt;=48,"Slow","Very Slow")))</f>
        <v>Very Slow</v>
      </c>
      <c r="Q343" s="3">
        <f>YEAR(Ticket_Table[[#This Row],[raised_date]])</f>
        <v>2021</v>
      </c>
    </row>
    <row r="344" spans="1:17">
      <c r="A344" t="s">
        <v>774</v>
      </c>
      <c r="B344" t="s">
        <v>120</v>
      </c>
      <c r="C344" t="s">
        <v>28</v>
      </c>
      <c r="D344" t="s">
        <v>36</v>
      </c>
      <c r="E344" t="s">
        <v>51</v>
      </c>
      <c r="F344" t="s">
        <v>22</v>
      </c>
      <c r="G344" t="s">
        <v>31</v>
      </c>
      <c r="H344" s="1">
        <v>44431</v>
      </c>
      <c r="I344" s="2">
        <v>44432.3291666667</v>
      </c>
      <c r="J344">
        <v>31.9</v>
      </c>
      <c r="K344" t="s">
        <v>24</v>
      </c>
      <c r="L344">
        <v>0</v>
      </c>
      <c r="M344">
        <v>5</v>
      </c>
      <c r="N344" t="s">
        <v>668</v>
      </c>
      <c r="O344" s="3" t="str">
        <f>TEXT(Ticket_Table[[#This Row],[raised_date]],"YYYY-MM")</f>
        <v>2021-08</v>
      </c>
      <c r="P344" s="3" t="str">
        <f>IF(Ticket_Table[[#This Row],[resolution_hrs]]&lt;=4,"Fast",IF(Ticket_Table[[#This Row],[resolution_hrs]]&lt;=24,"Normal",IF(Ticket_Table[[#This Row],[resolution_hrs]]&lt;=48,"Slow","Very Slow")))</f>
        <v>Slow</v>
      </c>
      <c r="Q344" s="3">
        <f>YEAR(Ticket_Table[[#This Row],[raised_date]])</f>
        <v>2021</v>
      </c>
    </row>
    <row r="345" spans="1:17">
      <c r="A345" t="s">
        <v>775</v>
      </c>
      <c r="B345" t="s">
        <v>776</v>
      </c>
      <c r="C345" t="s">
        <v>175</v>
      </c>
      <c r="D345" t="s">
        <v>20</v>
      </c>
      <c r="E345" t="s">
        <v>21</v>
      </c>
      <c r="F345" t="s">
        <v>70</v>
      </c>
      <c r="G345" t="s">
        <v>31</v>
      </c>
      <c r="H345" s="1">
        <v>44637</v>
      </c>
      <c r="I345" s="2">
        <v>44639.8708333333</v>
      </c>
      <c r="J345">
        <v>68.9</v>
      </c>
      <c r="K345" t="s">
        <v>32</v>
      </c>
      <c r="L345">
        <v>0</v>
      </c>
      <c r="M345">
        <v>2</v>
      </c>
      <c r="N345" t="s">
        <v>214</v>
      </c>
      <c r="O345" s="3" t="str">
        <f>TEXT(Ticket_Table[[#This Row],[raised_date]],"YYYY-MM")</f>
        <v>2022-03</v>
      </c>
      <c r="P345" s="3" t="str">
        <f>IF(Ticket_Table[[#This Row],[resolution_hrs]]&lt;=4,"Fast",IF(Ticket_Table[[#This Row],[resolution_hrs]]&lt;=24,"Normal",IF(Ticket_Table[[#This Row],[resolution_hrs]]&lt;=48,"Slow","Very Slow")))</f>
        <v>Very Slow</v>
      </c>
      <c r="Q345" s="3">
        <f>YEAR(Ticket_Table[[#This Row],[raised_date]])</f>
        <v>2022</v>
      </c>
    </row>
    <row r="346" spans="1:17">
      <c r="A346" t="s">
        <v>777</v>
      </c>
      <c r="B346" t="s">
        <v>487</v>
      </c>
      <c r="C346" t="s">
        <v>175</v>
      </c>
      <c r="D346" t="s">
        <v>90</v>
      </c>
      <c r="E346" t="s">
        <v>44</v>
      </c>
      <c r="F346" t="s">
        <v>45</v>
      </c>
      <c r="G346" t="s">
        <v>23</v>
      </c>
      <c r="H346" s="1">
        <v>45077</v>
      </c>
      <c r="I346" s="2">
        <v>45077.0625</v>
      </c>
      <c r="J346">
        <v>1.5</v>
      </c>
      <c r="K346" t="s">
        <v>24</v>
      </c>
      <c r="L346">
        <v>1</v>
      </c>
      <c r="M346">
        <v>4</v>
      </c>
      <c r="N346" t="s">
        <v>778</v>
      </c>
      <c r="O346" s="3" t="str">
        <f>TEXT(Ticket_Table[[#This Row],[raised_date]],"YYYY-MM")</f>
        <v>2023-05</v>
      </c>
      <c r="P346" s="3" t="str">
        <f>IF(Ticket_Table[[#This Row],[resolution_hrs]]&lt;=4,"Fast",IF(Ticket_Table[[#This Row],[resolution_hrs]]&lt;=24,"Normal",IF(Ticket_Table[[#This Row],[resolution_hrs]]&lt;=48,"Slow","Very Slow")))</f>
        <v>Fast</v>
      </c>
      <c r="Q346" s="3">
        <f>YEAR(Ticket_Table[[#This Row],[raised_date]])</f>
        <v>2023</v>
      </c>
    </row>
    <row r="347" spans="1:17">
      <c r="A347" t="s">
        <v>779</v>
      </c>
      <c r="B347" t="s">
        <v>98</v>
      </c>
      <c r="C347" t="s">
        <v>140</v>
      </c>
      <c r="D347" t="s">
        <v>90</v>
      </c>
      <c r="E347" t="s">
        <v>69</v>
      </c>
      <c r="F347" t="s">
        <v>70</v>
      </c>
      <c r="G347" t="s">
        <v>23</v>
      </c>
      <c r="H347" s="1">
        <v>45121</v>
      </c>
      <c r="I347" s="2">
        <v>45121.8583333333</v>
      </c>
      <c r="J347">
        <v>20.6</v>
      </c>
      <c r="K347" t="s">
        <v>24</v>
      </c>
      <c r="L347">
        <v>1</v>
      </c>
      <c r="M347">
        <v>3</v>
      </c>
      <c r="N347" t="s">
        <v>780</v>
      </c>
      <c r="O347" s="3" t="str">
        <f>TEXT(Ticket_Table[[#This Row],[raised_date]],"YYYY-MM")</f>
        <v>2023-07</v>
      </c>
      <c r="P347" s="3" t="str">
        <f>IF(Ticket_Table[[#This Row],[resolution_hrs]]&lt;=4,"Fast",IF(Ticket_Table[[#This Row],[resolution_hrs]]&lt;=24,"Normal",IF(Ticket_Table[[#This Row],[resolution_hrs]]&lt;=48,"Slow","Very Slow")))</f>
        <v>Normal</v>
      </c>
      <c r="Q347" s="3">
        <f>YEAR(Ticket_Table[[#This Row],[raised_date]])</f>
        <v>2023</v>
      </c>
    </row>
    <row r="348" spans="1:17">
      <c r="A348" t="s">
        <v>781</v>
      </c>
      <c r="B348" t="s">
        <v>782</v>
      </c>
      <c r="C348" t="s">
        <v>68</v>
      </c>
      <c r="D348" t="s">
        <v>90</v>
      </c>
      <c r="E348" t="s">
        <v>30</v>
      </c>
      <c r="F348" t="s">
        <v>22</v>
      </c>
      <c r="G348" t="s">
        <v>23</v>
      </c>
      <c r="H348" s="1">
        <v>44664</v>
      </c>
      <c r="I348" s="2">
        <v>44667.15</v>
      </c>
      <c r="J348">
        <v>75.6</v>
      </c>
      <c r="K348" t="s">
        <v>32</v>
      </c>
      <c r="L348">
        <v>0</v>
      </c>
      <c r="M348">
        <v>5</v>
      </c>
      <c r="N348" t="s">
        <v>87</v>
      </c>
      <c r="O348" s="3" t="str">
        <f>TEXT(Ticket_Table[[#This Row],[raised_date]],"YYYY-MM")</f>
        <v>2022-04</v>
      </c>
      <c r="P348" s="3" t="str">
        <f>IF(Ticket_Table[[#This Row],[resolution_hrs]]&lt;=4,"Fast",IF(Ticket_Table[[#This Row],[resolution_hrs]]&lt;=24,"Normal",IF(Ticket_Table[[#This Row],[resolution_hrs]]&lt;=48,"Slow","Very Slow")))</f>
        <v>Very Slow</v>
      </c>
      <c r="Q348" s="3">
        <f>YEAR(Ticket_Table[[#This Row],[raised_date]])</f>
        <v>2022</v>
      </c>
    </row>
    <row r="349" spans="1:17">
      <c r="A349" t="s">
        <v>783</v>
      </c>
      <c r="B349" t="s">
        <v>558</v>
      </c>
      <c r="C349" t="s">
        <v>50</v>
      </c>
      <c r="D349" t="s">
        <v>20</v>
      </c>
      <c r="E349" t="s">
        <v>69</v>
      </c>
      <c r="F349" t="s">
        <v>22</v>
      </c>
      <c r="G349" t="s">
        <v>46</v>
      </c>
      <c r="H349" s="1">
        <v>45044</v>
      </c>
      <c r="I349" s="2">
        <v>45046.2541666667</v>
      </c>
      <c r="J349">
        <v>54.1</v>
      </c>
      <c r="K349" t="s">
        <v>24</v>
      </c>
      <c r="L349">
        <v>0</v>
      </c>
      <c r="M349">
        <v>4</v>
      </c>
      <c r="N349" t="s">
        <v>296</v>
      </c>
      <c r="O349" s="3" t="str">
        <f>TEXT(Ticket_Table[[#This Row],[raised_date]],"YYYY-MM")</f>
        <v>2023-04</v>
      </c>
      <c r="P349" s="3" t="str">
        <f>IF(Ticket_Table[[#This Row],[resolution_hrs]]&lt;=4,"Fast",IF(Ticket_Table[[#This Row],[resolution_hrs]]&lt;=24,"Normal",IF(Ticket_Table[[#This Row],[resolution_hrs]]&lt;=48,"Slow","Very Slow")))</f>
        <v>Very Slow</v>
      </c>
      <c r="Q349" s="3">
        <f>YEAR(Ticket_Table[[#This Row],[raised_date]])</f>
        <v>2023</v>
      </c>
    </row>
    <row r="350" spans="1:17">
      <c r="A350" t="s">
        <v>784</v>
      </c>
      <c r="B350" t="s">
        <v>79</v>
      </c>
      <c r="C350" t="s">
        <v>95</v>
      </c>
      <c r="D350" t="s">
        <v>90</v>
      </c>
      <c r="E350" t="s">
        <v>21</v>
      </c>
      <c r="F350" t="s">
        <v>22</v>
      </c>
      <c r="G350" t="s">
        <v>23</v>
      </c>
      <c r="H350" s="1">
        <v>44891</v>
      </c>
      <c r="I350" s="2">
        <v>44894.9416666667</v>
      </c>
      <c r="J350">
        <v>94.6</v>
      </c>
      <c r="K350" t="s">
        <v>32</v>
      </c>
      <c r="L350">
        <v>0</v>
      </c>
      <c r="M350">
        <v>4</v>
      </c>
      <c r="N350" t="s">
        <v>256</v>
      </c>
      <c r="O350" s="3" t="str">
        <f>TEXT(Ticket_Table[[#This Row],[raised_date]],"YYYY-MM")</f>
        <v>2022-11</v>
      </c>
      <c r="P350" s="3" t="str">
        <f>IF(Ticket_Table[[#This Row],[resolution_hrs]]&lt;=4,"Fast",IF(Ticket_Table[[#This Row],[resolution_hrs]]&lt;=24,"Normal",IF(Ticket_Table[[#This Row],[resolution_hrs]]&lt;=48,"Slow","Very Slow")))</f>
        <v>Very Slow</v>
      </c>
      <c r="Q350" s="3">
        <f>YEAR(Ticket_Table[[#This Row],[raised_date]])</f>
        <v>2022</v>
      </c>
    </row>
    <row r="351" spans="1:17">
      <c r="A351" t="s">
        <v>785</v>
      </c>
      <c r="B351" t="s">
        <v>589</v>
      </c>
      <c r="C351" t="s">
        <v>50</v>
      </c>
      <c r="D351" t="s">
        <v>20</v>
      </c>
      <c r="E351" t="s">
        <v>51</v>
      </c>
      <c r="F351" t="s">
        <v>70</v>
      </c>
      <c r="G351" t="s">
        <v>31</v>
      </c>
      <c r="H351" s="1">
        <v>45125</v>
      </c>
      <c r="I351" s="2">
        <v>45126.5833333333</v>
      </c>
      <c r="J351">
        <v>38</v>
      </c>
      <c r="K351" t="s">
        <v>24</v>
      </c>
      <c r="L351">
        <v>2</v>
      </c>
      <c r="M351">
        <v>5</v>
      </c>
      <c r="N351" t="s">
        <v>372</v>
      </c>
      <c r="O351" s="3" t="str">
        <f>TEXT(Ticket_Table[[#This Row],[raised_date]],"YYYY-MM")</f>
        <v>2023-07</v>
      </c>
      <c r="P351" s="3" t="str">
        <f>IF(Ticket_Table[[#This Row],[resolution_hrs]]&lt;=4,"Fast",IF(Ticket_Table[[#This Row],[resolution_hrs]]&lt;=24,"Normal",IF(Ticket_Table[[#This Row],[resolution_hrs]]&lt;=48,"Slow","Very Slow")))</f>
        <v>Slow</v>
      </c>
      <c r="Q351" s="3">
        <f>YEAR(Ticket_Table[[#This Row],[raised_date]])</f>
        <v>2023</v>
      </c>
    </row>
    <row r="352" spans="1:17">
      <c r="A352" t="s">
        <v>786</v>
      </c>
      <c r="B352" t="s">
        <v>683</v>
      </c>
      <c r="C352" t="s">
        <v>102</v>
      </c>
      <c r="D352" t="s">
        <v>90</v>
      </c>
      <c r="E352" t="s">
        <v>37</v>
      </c>
      <c r="F352" t="s">
        <v>70</v>
      </c>
      <c r="G352" t="s">
        <v>46</v>
      </c>
      <c r="H352" s="1">
        <v>45013</v>
      </c>
      <c r="I352" s="2">
        <v>45014.8958333333</v>
      </c>
      <c r="J352">
        <v>45.5</v>
      </c>
      <c r="K352" t="s">
        <v>24</v>
      </c>
      <c r="L352">
        <v>0</v>
      </c>
      <c r="M352">
        <v>4</v>
      </c>
      <c r="N352" t="s">
        <v>787</v>
      </c>
      <c r="O352" s="3" t="str">
        <f>TEXT(Ticket_Table[[#This Row],[raised_date]],"YYYY-MM")</f>
        <v>2023-03</v>
      </c>
      <c r="P352" s="3" t="str">
        <f>IF(Ticket_Table[[#This Row],[resolution_hrs]]&lt;=4,"Fast",IF(Ticket_Table[[#This Row],[resolution_hrs]]&lt;=24,"Normal",IF(Ticket_Table[[#This Row],[resolution_hrs]]&lt;=48,"Slow","Very Slow")))</f>
        <v>Slow</v>
      </c>
      <c r="Q352" s="3">
        <f>YEAR(Ticket_Table[[#This Row],[raised_date]])</f>
        <v>2023</v>
      </c>
    </row>
    <row r="353" spans="1:17">
      <c r="A353" t="s">
        <v>788</v>
      </c>
      <c r="B353" t="s">
        <v>183</v>
      </c>
      <c r="C353" t="s">
        <v>60</v>
      </c>
      <c r="D353" t="s">
        <v>29</v>
      </c>
      <c r="E353" t="s">
        <v>21</v>
      </c>
      <c r="F353" t="s">
        <v>22</v>
      </c>
      <c r="G353" t="s">
        <v>23</v>
      </c>
      <c r="H353" s="1">
        <v>45048</v>
      </c>
      <c r="I353" s="2">
        <v>45049.35</v>
      </c>
      <c r="J353">
        <v>32.4</v>
      </c>
      <c r="K353" t="s">
        <v>24</v>
      </c>
      <c r="L353">
        <v>0</v>
      </c>
      <c r="M353">
        <v>4</v>
      </c>
      <c r="N353" t="s">
        <v>589</v>
      </c>
      <c r="O353" s="3" t="str">
        <f>TEXT(Ticket_Table[[#This Row],[raised_date]],"YYYY-MM")</f>
        <v>2023-05</v>
      </c>
      <c r="P353" s="3" t="str">
        <f>IF(Ticket_Table[[#This Row],[resolution_hrs]]&lt;=4,"Fast",IF(Ticket_Table[[#This Row],[resolution_hrs]]&lt;=24,"Normal",IF(Ticket_Table[[#This Row],[resolution_hrs]]&lt;=48,"Slow","Very Slow")))</f>
        <v>Slow</v>
      </c>
      <c r="Q353" s="3">
        <f>YEAR(Ticket_Table[[#This Row],[raised_date]])</f>
        <v>2023</v>
      </c>
    </row>
    <row r="354" spans="1:17">
      <c r="A354" t="s">
        <v>789</v>
      </c>
      <c r="B354" t="s">
        <v>790</v>
      </c>
      <c r="C354" t="s">
        <v>95</v>
      </c>
      <c r="D354" t="s">
        <v>29</v>
      </c>
      <c r="E354" t="s">
        <v>44</v>
      </c>
      <c r="F354" t="s">
        <v>45</v>
      </c>
      <c r="G354" t="s">
        <v>31</v>
      </c>
      <c r="H354" s="1">
        <v>44391</v>
      </c>
      <c r="I354" s="2">
        <v>44391.2416666667</v>
      </c>
      <c r="J354">
        <v>5.8</v>
      </c>
      <c r="K354" t="s">
        <v>32</v>
      </c>
      <c r="L354">
        <v>0</v>
      </c>
      <c r="M354">
        <v>1</v>
      </c>
      <c r="N354" t="s">
        <v>780</v>
      </c>
      <c r="O354" s="3" t="str">
        <f>TEXT(Ticket_Table[[#This Row],[raised_date]],"YYYY-MM")</f>
        <v>2021-07</v>
      </c>
      <c r="P354" s="3" t="str">
        <f>IF(Ticket_Table[[#This Row],[resolution_hrs]]&lt;=4,"Fast",IF(Ticket_Table[[#This Row],[resolution_hrs]]&lt;=24,"Normal",IF(Ticket_Table[[#This Row],[resolution_hrs]]&lt;=48,"Slow","Very Slow")))</f>
        <v>Normal</v>
      </c>
      <c r="Q354" s="3">
        <f>YEAR(Ticket_Table[[#This Row],[raised_date]])</f>
        <v>2021</v>
      </c>
    </row>
    <row r="355" spans="1:17">
      <c r="A355" t="s">
        <v>791</v>
      </c>
      <c r="B355" t="s">
        <v>449</v>
      </c>
      <c r="C355" t="s">
        <v>140</v>
      </c>
      <c r="D355" t="s">
        <v>43</v>
      </c>
      <c r="E355" t="s">
        <v>56</v>
      </c>
      <c r="F355" t="s">
        <v>38</v>
      </c>
      <c r="G355" t="s">
        <v>46</v>
      </c>
      <c r="H355" s="1">
        <v>44837</v>
      </c>
      <c r="I355" s="2">
        <v>44837.8333333333</v>
      </c>
      <c r="J355">
        <v>20</v>
      </c>
      <c r="K355" t="s">
        <v>24</v>
      </c>
      <c r="L355">
        <v>0</v>
      </c>
      <c r="M355">
        <v>5</v>
      </c>
      <c r="N355" t="s">
        <v>792</v>
      </c>
      <c r="O355" s="3" t="str">
        <f>TEXT(Ticket_Table[[#This Row],[raised_date]],"YYYY-MM")</f>
        <v>2022-10</v>
      </c>
      <c r="P355" s="3" t="str">
        <f>IF(Ticket_Table[[#This Row],[resolution_hrs]]&lt;=4,"Fast",IF(Ticket_Table[[#This Row],[resolution_hrs]]&lt;=24,"Normal",IF(Ticket_Table[[#This Row],[resolution_hrs]]&lt;=48,"Slow","Very Slow")))</f>
        <v>Normal</v>
      </c>
      <c r="Q355" s="3">
        <f>YEAR(Ticket_Table[[#This Row],[raised_date]])</f>
        <v>2022</v>
      </c>
    </row>
    <row r="356" spans="1:17">
      <c r="A356" t="s">
        <v>793</v>
      </c>
      <c r="B356" t="s">
        <v>794</v>
      </c>
      <c r="C356" t="s">
        <v>19</v>
      </c>
      <c r="D356" t="s">
        <v>90</v>
      </c>
      <c r="E356" t="s">
        <v>83</v>
      </c>
      <c r="F356" t="s">
        <v>70</v>
      </c>
      <c r="G356" t="s">
        <v>46</v>
      </c>
      <c r="H356" s="1">
        <v>45071</v>
      </c>
      <c r="I356" s="2">
        <v>45071.4333333333</v>
      </c>
      <c r="J356">
        <v>10.4</v>
      </c>
      <c r="K356" t="s">
        <v>24</v>
      </c>
      <c r="L356">
        <v>0</v>
      </c>
      <c r="M356">
        <v>5</v>
      </c>
      <c r="N356" t="s">
        <v>387</v>
      </c>
      <c r="O356" s="3" t="str">
        <f>TEXT(Ticket_Table[[#This Row],[raised_date]],"YYYY-MM")</f>
        <v>2023-05</v>
      </c>
      <c r="P356" s="3" t="str">
        <f>IF(Ticket_Table[[#This Row],[resolution_hrs]]&lt;=4,"Fast",IF(Ticket_Table[[#This Row],[resolution_hrs]]&lt;=24,"Normal",IF(Ticket_Table[[#This Row],[resolution_hrs]]&lt;=48,"Slow","Very Slow")))</f>
        <v>Normal</v>
      </c>
      <c r="Q356" s="3">
        <f>YEAR(Ticket_Table[[#This Row],[raised_date]])</f>
        <v>2023</v>
      </c>
    </row>
    <row r="357" spans="1:17">
      <c r="A357" t="s">
        <v>795</v>
      </c>
      <c r="B357" t="s">
        <v>224</v>
      </c>
      <c r="C357" t="s">
        <v>117</v>
      </c>
      <c r="D357" t="s">
        <v>90</v>
      </c>
      <c r="E357" t="s">
        <v>106</v>
      </c>
      <c r="F357" t="s">
        <v>38</v>
      </c>
      <c r="G357" t="s">
        <v>74</v>
      </c>
      <c r="H357" s="1">
        <v>44837</v>
      </c>
      <c r="I357" s="2">
        <v>44837.5458333333</v>
      </c>
      <c r="J357">
        <v>13.1</v>
      </c>
      <c r="K357" t="s">
        <v>24</v>
      </c>
      <c r="L357">
        <v>0</v>
      </c>
      <c r="M357">
        <v>5</v>
      </c>
      <c r="N357" t="s">
        <v>796</v>
      </c>
      <c r="O357" s="3" t="str">
        <f>TEXT(Ticket_Table[[#This Row],[raised_date]],"YYYY-MM")</f>
        <v>2022-10</v>
      </c>
      <c r="P357" s="3" t="str">
        <f>IF(Ticket_Table[[#This Row],[resolution_hrs]]&lt;=4,"Fast",IF(Ticket_Table[[#This Row],[resolution_hrs]]&lt;=24,"Normal",IF(Ticket_Table[[#This Row],[resolution_hrs]]&lt;=48,"Slow","Very Slow")))</f>
        <v>Normal</v>
      </c>
      <c r="Q357" s="3">
        <f>YEAR(Ticket_Table[[#This Row],[raised_date]])</f>
        <v>2022</v>
      </c>
    </row>
    <row r="358" spans="1:17">
      <c r="A358" t="s">
        <v>797</v>
      </c>
      <c r="B358" t="s">
        <v>73</v>
      </c>
      <c r="C358" t="s">
        <v>175</v>
      </c>
      <c r="D358" t="s">
        <v>20</v>
      </c>
      <c r="E358" t="s">
        <v>30</v>
      </c>
      <c r="F358" t="s">
        <v>22</v>
      </c>
      <c r="G358" t="s">
        <v>31</v>
      </c>
      <c r="H358" s="1">
        <v>44719</v>
      </c>
      <c r="I358" s="2">
        <v>44721.0208333333</v>
      </c>
      <c r="J358">
        <v>48.5</v>
      </c>
      <c r="K358" t="s">
        <v>24</v>
      </c>
      <c r="L358">
        <v>0</v>
      </c>
      <c r="M358">
        <v>3</v>
      </c>
      <c r="N358" t="s">
        <v>49</v>
      </c>
      <c r="O358" s="3" t="str">
        <f>TEXT(Ticket_Table[[#This Row],[raised_date]],"YYYY-MM")</f>
        <v>2022-06</v>
      </c>
      <c r="P358" s="3" t="str">
        <f>IF(Ticket_Table[[#This Row],[resolution_hrs]]&lt;=4,"Fast",IF(Ticket_Table[[#This Row],[resolution_hrs]]&lt;=24,"Normal",IF(Ticket_Table[[#This Row],[resolution_hrs]]&lt;=48,"Slow","Very Slow")))</f>
        <v>Very Slow</v>
      </c>
      <c r="Q358" s="3">
        <f>YEAR(Ticket_Table[[#This Row],[raised_date]])</f>
        <v>2022</v>
      </c>
    </row>
    <row r="359" spans="1:17">
      <c r="A359" t="s">
        <v>798</v>
      </c>
      <c r="B359" t="s">
        <v>227</v>
      </c>
      <c r="C359" t="s">
        <v>140</v>
      </c>
      <c r="D359" t="s">
        <v>20</v>
      </c>
      <c r="E359" t="s">
        <v>21</v>
      </c>
      <c r="F359" t="s">
        <v>70</v>
      </c>
      <c r="G359" t="s">
        <v>23</v>
      </c>
      <c r="H359" s="1">
        <v>44963</v>
      </c>
      <c r="I359" s="2">
        <v>44964.95</v>
      </c>
      <c r="J359">
        <v>46.8</v>
      </c>
      <c r="K359" t="s">
        <v>24</v>
      </c>
      <c r="L359">
        <v>0</v>
      </c>
      <c r="M359">
        <v>3</v>
      </c>
      <c r="N359" t="s">
        <v>532</v>
      </c>
      <c r="O359" s="3" t="str">
        <f>TEXT(Ticket_Table[[#This Row],[raised_date]],"YYYY-MM")</f>
        <v>2023-02</v>
      </c>
      <c r="P359" s="3" t="str">
        <f>IF(Ticket_Table[[#This Row],[resolution_hrs]]&lt;=4,"Fast",IF(Ticket_Table[[#This Row],[resolution_hrs]]&lt;=24,"Normal",IF(Ticket_Table[[#This Row],[resolution_hrs]]&lt;=48,"Slow","Very Slow")))</f>
        <v>Slow</v>
      </c>
      <c r="Q359" s="3">
        <f>YEAR(Ticket_Table[[#This Row],[raised_date]])</f>
        <v>2023</v>
      </c>
    </row>
    <row r="360" spans="1:17">
      <c r="A360" t="s">
        <v>799</v>
      </c>
      <c r="B360" t="s">
        <v>340</v>
      </c>
      <c r="C360" t="s">
        <v>64</v>
      </c>
      <c r="D360" t="s">
        <v>90</v>
      </c>
      <c r="E360" t="s">
        <v>56</v>
      </c>
      <c r="F360" t="s">
        <v>70</v>
      </c>
      <c r="G360" t="s">
        <v>31</v>
      </c>
      <c r="H360" s="1">
        <v>44509</v>
      </c>
      <c r="I360" s="2">
        <v>44509.9041666667</v>
      </c>
      <c r="J360">
        <v>21.7</v>
      </c>
      <c r="K360" t="s">
        <v>24</v>
      </c>
      <c r="L360">
        <v>0</v>
      </c>
      <c r="M360">
        <v>3</v>
      </c>
      <c r="N360" t="s">
        <v>800</v>
      </c>
      <c r="O360" s="3" t="str">
        <f>TEXT(Ticket_Table[[#This Row],[raised_date]],"YYYY-MM")</f>
        <v>2021-11</v>
      </c>
      <c r="P360" s="3" t="str">
        <f>IF(Ticket_Table[[#This Row],[resolution_hrs]]&lt;=4,"Fast",IF(Ticket_Table[[#This Row],[resolution_hrs]]&lt;=24,"Normal",IF(Ticket_Table[[#This Row],[resolution_hrs]]&lt;=48,"Slow","Very Slow")))</f>
        <v>Normal</v>
      </c>
      <c r="Q360" s="3">
        <f>YEAR(Ticket_Table[[#This Row],[raised_date]])</f>
        <v>2021</v>
      </c>
    </row>
    <row r="361" spans="1:17">
      <c r="A361" t="s">
        <v>801</v>
      </c>
      <c r="B361" t="s">
        <v>802</v>
      </c>
      <c r="C361" t="s">
        <v>55</v>
      </c>
      <c r="D361" t="s">
        <v>43</v>
      </c>
      <c r="E361" t="s">
        <v>106</v>
      </c>
      <c r="F361" t="s">
        <v>38</v>
      </c>
      <c r="G361" t="s">
        <v>46</v>
      </c>
      <c r="H361" s="1">
        <v>45168</v>
      </c>
      <c r="I361" s="2">
        <v>45168.1333333333</v>
      </c>
      <c r="J361">
        <v>3.2</v>
      </c>
      <c r="K361" t="s">
        <v>24</v>
      </c>
      <c r="L361">
        <v>0</v>
      </c>
      <c r="M361">
        <v>3</v>
      </c>
      <c r="N361" t="s">
        <v>232</v>
      </c>
      <c r="O361" s="3" t="str">
        <f>TEXT(Ticket_Table[[#This Row],[raised_date]],"YYYY-MM")</f>
        <v>2023-08</v>
      </c>
      <c r="P361" s="3" t="str">
        <f>IF(Ticket_Table[[#This Row],[resolution_hrs]]&lt;=4,"Fast",IF(Ticket_Table[[#This Row],[resolution_hrs]]&lt;=24,"Normal",IF(Ticket_Table[[#This Row],[resolution_hrs]]&lt;=48,"Slow","Very Slow")))</f>
        <v>Fast</v>
      </c>
      <c r="Q361" s="3">
        <f>YEAR(Ticket_Table[[#This Row],[raised_date]])</f>
        <v>2023</v>
      </c>
    </row>
    <row r="362" spans="1:17">
      <c r="A362" t="s">
        <v>803</v>
      </c>
      <c r="B362" t="s">
        <v>804</v>
      </c>
      <c r="C362" t="s">
        <v>55</v>
      </c>
      <c r="D362" t="s">
        <v>90</v>
      </c>
      <c r="E362" t="s">
        <v>56</v>
      </c>
      <c r="F362" t="s">
        <v>38</v>
      </c>
      <c r="G362" t="s">
        <v>31</v>
      </c>
      <c r="H362" s="1">
        <v>44334</v>
      </c>
      <c r="I362" s="2">
        <v>44335.3125</v>
      </c>
      <c r="J362">
        <v>31.5</v>
      </c>
      <c r="K362" t="s">
        <v>32</v>
      </c>
      <c r="L362">
        <v>0</v>
      </c>
      <c r="M362">
        <v>3</v>
      </c>
      <c r="N362" t="s">
        <v>805</v>
      </c>
      <c r="O362" s="3" t="str">
        <f>TEXT(Ticket_Table[[#This Row],[raised_date]],"YYYY-MM")</f>
        <v>2021-05</v>
      </c>
      <c r="P362" s="3" t="str">
        <f>IF(Ticket_Table[[#This Row],[resolution_hrs]]&lt;=4,"Fast",IF(Ticket_Table[[#This Row],[resolution_hrs]]&lt;=24,"Normal",IF(Ticket_Table[[#This Row],[resolution_hrs]]&lt;=48,"Slow","Very Slow")))</f>
        <v>Slow</v>
      </c>
      <c r="Q362" s="3">
        <f>YEAR(Ticket_Table[[#This Row],[raised_date]])</f>
        <v>2021</v>
      </c>
    </row>
    <row r="363" spans="1:17">
      <c r="A363" t="s">
        <v>806</v>
      </c>
      <c r="B363" t="s">
        <v>701</v>
      </c>
      <c r="C363" t="s">
        <v>95</v>
      </c>
      <c r="D363" t="s">
        <v>20</v>
      </c>
      <c r="E363" t="s">
        <v>69</v>
      </c>
      <c r="F363" t="s">
        <v>22</v>
      </c>
      <c r="G363" t="s">
        <v>23</v>
      </c>
      <c r="H363" s="1">
        <v>44383</v>
      </c>
      <c r="I363" s="2">
        <v>44384.0791666667</v>
      </c>
      <c r="J363">
        <v>25.9</v>
      </c>
      <c r="K363" t="s">
        <v>24</v>
      </c>
      <c r="L363">
        <v>1</v>
      </c>
      <c r="M363">
        <v>4</v>
      </c>
      <c r="N363" t="s">
        <v>18</v>
      </c>
      <c r="O363" s="3" t="str">
        <f>TEXT(Ticket_Table[[#This Row],[raised_date]],"YYYY-MM")</f>
        <v>2021-07</v>
      </c>
      <c r="P363" s="3" t="str">
        <f>IF(Ticket_Table[[#This Row],[resolution_hrs]]&lt;=4,"Fast",IF(Ticket_Table[[#This Row],[resolution_hrs]]&lt;=24,"Normal",IF(Ticket_Table[[#This Row],[resolution_hrs]]&lt;=48,"Slow","Very Slow")))</f>
        <v>Slow</v>
      </c>
      <c r="Q363" s="3">
        <f>YEAR(Ticket_Table[[#This Row],[raised_date]])</f>
        <v>2021</v>
      </c>
    </row>
    <row r="364" spans="1:17">
      <c r="A364" t="s">
        <v>807</v>
      </c>
      <c r="B364" t="s">
        <v>808</v>
      </c>
      <c r="C364" t="s">
        <v>287</v>
      </c>
      <c r="D364" t="s">
        <v>90</v>
      </c>
      <c r="E364" t="s">
        <v>69</v>
      </c>
      <c r="F364" t="s">
        <v>45</v>
      </c>
      <c r="G364" t="s">
        <v>23</v>
      </c>
      <c r="H364" s="1">
        <v>44371</v>
      </c>
      <c r="I364" s="2">
        <v>44371.2375</v>
      </c>
      <c r="J364">
        <v>5.7</v>
      </c>
      <c r="K364" t="s">
        <v>32</v>
      </c>
      <c r="L364">
        <v>0</v>
      </c>
      <c r="M364">
        <v>5</v>
      </c>
      <c r="N364" t="s">
        <v>740</v>
      </c>
      <c r="O364" s="3" t="str">
        <f>TEXT(Ticket_Table[[#This Row],[raised_date]],"YYYY-MM")</f>
        <v>2021-06</v>
      </c>
      <c r="P364" s="3" t="str">
        <f>IF(Ticket_Table[[#This Row],[resolution_hrs]]&lt;=4,"Fast",IF(Ticket_Table[[#This Row],[resolution_hrs]]&lt;=24,"Normal",IF(Ticket_Table[[#This Row],[resolution_hrs]]&lt;=48,"Slow","Very Slow")))</f>
        <v>Normal</v>
      </c>
      <c r="Q364" s="3">
        <f>YEAR(Ticket_Table[[#This Row],[raised_date]])</f>
        <v>2021</v>
      </c>
    </row>
    <row r="365" spans="1:17">
      <c r="A365" t="s">
        <v>809</v>
      </c>
      <c r="B365" t="s">
        <v>810</v>
      </c>
      <c r="C365" t="s">
        <v>287</v>
      </c>
      <c r="D365" t="s">
        <v>20</v>
      </c>
      <c r="E365" t="s">
        <v>51</v>
      </c>
      <c r="F365" t="s">
        <v>22</v>
      </c>
      <c r="G365" t="s">
        <v>23</v>
      </c>
      <c r="H365" s="1">
        <v>44387</v>
      </c>
      <c r="I365" s="2">
        <v>44389.9166666667</v>
      </c>
      <c r="J365">
        <v>70</v>
      </c>
      <c r="K365" t="s">
        <v>24</v>
      </c>
      <c r="L365">
        <v>2</v>
      </c>
      <c r="M365">
        <v>5</v>
      </c>
      <c r="N365" t="s">
        <v>811</v>
      </c>
      <c r="O365" s="3" t="str">
        <f>TEXT(Ticket_Table[[#This Row],[raised_date]],"YYYY-MM")</f>
        <v>2021-07</v>
      </c>
      <c r="P365" s="3" t="str">
        <f>IF(Ticket_Table[[#This Row],[resolution_hrs]]&lt;=4,"Fast",IF(Ticket_Table[[#This Row],[resolution_hrs]]&lt;=24,"Normal",IF(Ticket_Table[[#This Row],[resolution_hrs]]&lt;=48,"Slow","Very Slow")))</f>
        <v>Very Slow</v>
      </c>
      <c r="Q365" s="3">
        <f>YEAR(Ticket_Table[[#This Row],[raised_date]])</f>
        <v>2021</v>
      </c>
    </row>
    <row r="366" spans="1:17">
      <c r="A366" t="s">
        <v>812</v>
      </c>
      <c r="B366" t="s">
        <v>525</v>
      </c>
      <c r="C366" t="s">
        <v>78</v>
      </c>
      <c r="D366" t="s">
        <v>90</v>
      </c>
      <c r="E366" t="s">
        <v>166</v>
      </c>
      <c r="F366" t="s">
        <v>38</v>
      </c>
      <c r="G366" t="s">
        <v>23</v>
      </c>
      <c r="H366" s="1">
        <v>45081</v>
      </c>
      <c r="I366" s="2">
        <v>45081.6416666667</v>
      </c>
      <c r="J366">
        <v>15.4</v>
      </c>
      <c r="K366" t="s">
        <v>24</v>
      </c>
      <c r="L366">
        <v>0</v>
      </c>
      <c r="M366">
        <v>2</v>
      </c>
      <c r="N366" t="s">
        <v>652</v>
      </c>
      <c r="O366" s="3" t="str">
        <f>TEXT(Ticket_Table[[#This Row],[raised_date]],"YYYY-MM")</f>
        <v>2023-06</v>
      </c>
      <c r="P366" s="3" t="str">
        <f>IF(Ticket_Table[[#This Row],[resolution_hrs]]&lt;=4,"Fast",IF(Ticket_Table[[#This Row],[resolution_hrs]]&lt;=24,"Normal",IF(Ticket_Table[[#This Row],[resolution_hrs]]&lt;=48,"Slow","Very Slow")))</f>
        <v>Normal</v>
      </c>
      <c r="Q366" s="3">
        <f>YEAR(Ticket_Table[[#This Row],[raised_date]])</f>
        <v>2023</v>
      </c>
    </row>
    <row r="367" spans="1:17">
      <c r="A367" t="s">
        <v>813</v>
      </c>
      <c r="B367" t="s">
        <v>110</v>
      </c>
      <c r="C367" t="s">
        <v>117</v>
      </c>
      <c r="D367" t="s">
        <v>36</v>
      </c>
      <c r="E367" t="s">
        <v>83</v>
      </c>
      <c r="F367" t="s">
        <v>45</v>
      </c>
      <c r="G367" t="s">
        <v>23</v>
      </c>
      <c r="H367" s="1">
        <v>44394</v>
      </c>
      <c r="I367" s="2">
        <v>44394.1125</v>
      </c>
      <c r="J367">
        <v>2.7</v>
      </c>
      <c r="K367" t="s">
        <v>24</v>
      </c>
      <c r="L367">
        <v>0</v>
      </c>
      <c r="M367">
        <v>3</v>
      </c>
      <c r="N367" t="s">
        <v>310</v>
      </c>
      <c r="O367" s="3" t="str">
        <f>TEXT(Ticket_Table[[#This Row],[raised_date]],"YYYY-MM")</f>
        <v>2021-07</v>
      </c>
      <c r="P367" s="3" t="str">
        <f>IF(Ticket_Table[[#This Row],[resolution_hrs]]&lt;=4,"Fast",IF(Ticket_Table[[#This Row],[resolution_hrs]]&lt;=24,"Normal",IF(Ticket_Table[[#This Row],[resolution_hrs]]&lt;=48,"Slow","Very Slow")))</f>
        <v>Fast</v>
      </c>
      <c r="Q367" s="3">
        <f>YEAR(Ticket_Table[[#This Row],[raised_date]])</f>
        <v>2021</v>
      </c>
    </row>
    <row r="368" spans="1:17">
      <c r="A368" t="s">
        <v>814</v>
      </c>
      <c r="B368" t="s">
        <v>450</v>
      </c>
      <c r="C368" t="s">
        <v>68</v>
      </c>
      <c r="D368" t="s">
        <v>20</v>
      </c>
      <c r="E368" t="s">
        <v>44</v>
      </c>
      <c r="F368" t="s">
        <v>22</v>
      </c>
      <c r="G368" t="s">
        <v>23</v>
      </c>
      <c r="H368" s="1">
        <v>44960</v>
      </c>
      <c r="I368" s="2">
        <v>44962.9208333333</v>
      </c>
      <c r="J368">
        <v>70.1</v>
      </c>
      <c r="K368" t="s">
        <v>24</v>
      </c>
      <c r="L368">
        <v>1</v>
      </c>
      <c r="M368">
        <v>3</v>
      </c>
      <c r="N368" t="s">
        <v>59</v>
      </c>
      <c r="O368" s="3" t="str">
        <f>TEXT(Ticket_Table[[#This Row],[raised_date]],"YYYY-MM")</f>
        <v>2023-02</v>
      </c>
      <c r="P368" s="3" t="str">
        <f>IF(Ticket_Table[[#This Row],[resolution_hrs]]&lt;=4,"Fast",IF(Ticket_Table[[#This Row],[resolution_hrs]]&lt;=24,"Normal",IF(Ticket_Table[[#This Row],[resolution_hrs]]&lt;=48,"Slow","Very Slow")))</f>
        <v>Very Slow</v>
      </c>
      <c r="Q368" s="3">
        <f>YEAR(Ticket_Table[[#This Row],[raised_date]])</f>
        <v>2023</v>
      </c>
    </row>
    <row r="369" spans="1:17">
      <c r="A369" t="s">
        <v>815</v>
      </c>
      <c r="B369" t="s">
        <v>474</v>
      </c>
      <c r="C369" t="s">
        <v>64</v>
      </c>
      <c r="D369" t="s">
        <v>43</v>
      </c>
      <c r="E369" t="s">
        <v>44</v>
      </c>
      <c r="F369" t="s">
        <v>38</v>
      </c>
      <c r="G369" t="s">
        <v>46</v>
      </c>
      <c r="H369" s="1">
        <v>44463</v>
      </c>
      <c r="I369" s="2">
        <v>44463.5166666667</v>
      </c>
      <c r="J369">
        <v>12.4</v>
      </c>
      <c r="K369" t="s">
        <v>24</v>
      </c>
      <c r="L369">
        <v>1</v>
      </c>
      <c r="M369">
        <v>3</v>
      </c>
      <c r="N369" t="s">
        <v>238</v>
      </c>
      <c r="O369" s="3" t="str">
        <f>TEXT(Ticket_Table[[#This Row],[raised_date]],"YYYY-MM")</f>
        <v>2021-09</v>
      </c>
      <c r="P369" s="3" t="str">
        <f>IF(Ticket_Table[[#This Row],[resolution_hrs]]&lt;=4,"Fast",IF(Ticket_Table[[#This Row],[resolution_hrs]]&lt;=24,"Normal",IF(Ticket_Table[[#This Row],[resolution_hrs]]&lt;=48,"Slow","Very Slow")))</f>
        <v>Normal</v>
      </c>
      <c r="Q369" s="3">
        <f>YEAR(Ticket_Table[[#This Row],[raised_date]])</f>
        <v>2021</v>
      </c>
    </row>
    <row r="370" spans="1:17">
      <c r="A370" t="s">
        <v>816</v>
      </c>
      <c r="B370" t="s">
        <v>678</v>
      </c>
      <c r="C370" t="s">
        <v>175</v>
      </c>
      <c r="D370" t="s">
        <v>36</v>
      </c>
      <c r="E370" t="s">
        <v>51</v>
      </c>
      <c r="F370" t="s">
        <v>22</v>
      </c>
      <c r="G370" t="s">
        <v>23</v>
      </c>
      <c r="H370" s="1">
        <v>44319</v>
      </c>
      <c r="I370" s="2">
        <v>44321.6875</v>
      </c>
      <c r="J370">
        <v>64.5</v>
      </c>
      <c r="K370" t="s">
        <v>24</v>
      </c>
      <c r="L370">
        <v>0</v>
      </c>
      <c r="M370">
        <v>4</v>
      </c>
      <c r="N370" t="s">
        <v>817</v>
      </c>
      <c r="O370" s="3" t="str">
        <f>TEXT(Ticket_Table[[#This Row],[raised_date]],"YYYY-MM")</f>
        <v>2021-05</v>
      </c>
      <c r="P370" s="3" t="str">
        <f>IF(Ticket_Table[[#This Row],[resolution_hrs]]&lt;=4,"Fast",IF(Ticket_Table[[#This Row],[resolution_hrs]]&lt;=24,"Normal",IF(Ticket_Table[[#This Row],[resolution_hrs]]&lt;=48,"Slow","Very Slow")))</f>
        <v>Very Slow</v>
      </c>
      <c r="Q370" s="3">
        <f>YEAR(Ticket_Table[[#This Row],[raised_date]])</f>
        <v>2021</v>
      </c>
    </row>
    <row r="371" spans="1:17">
      <c r="A371" t="s">
        <v>818</v>
      </c>
      <c r="B371" t="s">
        <v>204</v>
      </c>
      <c r="C371" t="s">
        <v>133</v>
      </c>
      <c r="D371" t="s">
        <v>90</v>
      </c>
      <c r="E371" t="s">
        <v>69</v>
      </c>
      <c r="F371" t="s">
        <v>70</v>
      </c>
      <c r="G371" t="s">
        <v>23</v>
      </c>
      <c r="H371" s="1">
        <v>44872</v>
      </c>
      <c r="I371" s="2">
        <v>44874.1041666667</v>
      </c>
      <c r="J371">
        <v>50.5</v>
      </c>
      <c r="K371" t="s">
        <v>32</v>
      </c>
      <c r="L371">
        <v>2</v>
      </c>
      <c r="M371">
        <v>3</v>
      </c>
      <c r="N371" t="s">
        <v>630</v>
      </c>
      <c r="O371" s="3" t="str">
        <f>TEXT(Ticket_Table[[#This Row],[raised_date]],"YYYY-MM")</f>
        <v>2022-11</v>
      </c>
      <c r="P371" s="3" t="str">
        <f>IF(Ticket_Table[[#This Row],[resolution_hrs]]&lt;=4,"Fast",IF(Ticket_Table[[#This Row],[resolution_hrs]]&lt;=24,"Normal",IF(Ticket_Table[[#This Row],[resolution_hrs]]&lt;=48,"Slow","Very Slow")))</f>
        <v>Very Slow</v>
      </c>
      <c r="Q371" s="3">
        <f>YEAR(Ticket_Table[[#This Row],[raised_date]])</f>
        <v>2022</v>
      </c>
    </row>
    <row r="372" spans="1:17">
      <c r="A372" t="s">
        <v>819</v>
      </c>
      <c r="B372" t="s">
        <v>84</v>
      </c>
      <c r="C372" t="s">
        <v>261</v>
      </c>
      <c r="D372" t="s">
        <v>20</v>
      </c>
      <c r="E372" t="s">
        <v>51</v>
      </c>
      <c r="F372" t="s">
        <v>70</v>
      </c>
      <c r="G372" t="s">
        <v>23</v>
      </c>
      <c r="H372" s="1">
        <v>44447</v>
      </c>
      <c r="I372" s="2">
        <v>44449.5333333333</v>
      </c>
      <c r="J372">
        <v>60.8</v>
      </c>
      <c r="K372" t="s">
        <v>32</v>
      </c>
      <c r="L372">
        <v>0</v>
      </c>
      <c r="M372">
        <v>5</v>
      </c>
      <c r="N372" t="s">
        <v>232</v>
      </c>
      <c r="O372" s="3" t="str">
        <f>TEXT(Ticket_Table[[#This Row],[raised_date]],"YYYY-MM")</f>
        <v>2021-09</v>
      </c>
      <c r="P372" s="3" t="str">
        <f>IF(Ticket_Table[[#This Row],[resolution_hrs]]&lt;=4,"Fast",IF(Ticket_Table[[#This Row],[resolution_hrs]]&lt;=24,"Normal",IF(Ticket_Table[[#This Row],[resolution_hrs]]&lt;=48,"Slow","Very Slow")))</f>
        <v>Very Slow</v>
      </c>
      <c r="Q372" s="3">
        <f>YEAR(Ticket_Table[[#This Row],[raised_date]])</f>
        <v>2021</v>
      </c>
    </row>
    <row r="373" spans="1:17">
      <c r="A373" t="s">
        <v>820</v>
      </c>
      <c r="B373" t="s">
        <v>182</v>
      </c>
      <c r="C373" t="s">
        <v>68</v>
      </c>
      <c r="D373" t="s">
        <v>36</v>
      </c>
      <c r="E373" t="s">
        <v>37</v>
      </c>
      <c r="F373" t="s">
        <v>70</v>
      </c>
      <c r="G373" t="s">
        <v>23</v>
      </c>
      <c r="H373" s="1">
        <v>45038</v>
      </c>
      <c r="I373" s="2">
        <v>45039.3583333333</v>
      </c>
      <c r="J373">
        <v>32.6</v>
      </c>
      <c r="K373" t="s">
        <v>24</v>
      </c>
      <c r="L373">
        <v>0</v>
      </c>
      <c r="M373">
        <v>4</v>
      </c>
      <c r="N373" t="s">
        <v>105</v>
      </c>
      <c r="O373" s="3" t="str">
        <f>TEXT(Ticket_Table[[#This Row],[raised_date]],"YYYY-MM")</f>
        <v>2023-04</v>
      </c>
      <c r="P373" s="3" t="str">
        <f>IF(Ticket_Table[[#This Row],[resolution_hrs]]&lt;=4,"Fast",IF(Ticket_Table[[#This Row],[resolution_hrs]]&lt;=24,"Normal",IF(Ticket_Table[[#This Row],[resolution_hrs]]&lt;=48,"Slow","Very Slow")))</f>
        <v>Slow</v>
      </c>
      <c r="Q373" s="3">
        <f>YEAR(Ticket_Table[[#This Row],[raised_date]])</f>
        <v>2023</v>
      </c>
    </row>
    <row r="374" spans="1:17">
      <c r="A374" t="s">
        <v>821</v>
      </c>
      <c r="B374" t="s">
        <v>607</v>
      </c>
      <c r="C374" t="s">
        <v>82</v>
      </c>
      <c r="D374" t="s">
        <v>43</v>
      </c>
      <c r="E374" t="s">
        <v>21</v>
      </c>
      <c r="F374" t="s">
        <v>45</v>
      </c>
      <c r="G374" t="s">
        <v>31</v>
      </c>
      <c r="H374" s="1">
        <v>44921</v>
      </c>
      <c r="I374" s="2">
        <v>44921.1041666667</v>
      </c>
      <c r="J374">
        <v>2.5</v>
      </c>
      <c r="K374" t="s">
        <v>24</v>
      </c>
      <c r="L374">
        <v>0</v>
      </c>
      <c r="M374">
        <v>4</v>
      </c>
      <c r="N374" t="s">
        <v>822</v>
      </c>
      <c r="O374" s="3" t="str">
        <f>TEXT(Ticket_Table[[#This Row],[raised_date]],"YYYY-MM")</f>
        <v>2022-12</v>
      </c>
      <c r="P374" s="3" t="str">
        <f>IF(Ticket_Table[[#This Row],[resolution_hrs]]&lt;=4,"Fast",IF(Ticket_Table[[#This Row],[resolution_hrs]]&lt;=24,"Normal",IF(Ticket_Table[[#This Row],[resolution_hrs]]&lt;=48,"Slow","Very Slow")))</f>
        <v>Fast</v>
      </c>
      <c r="Q374" s="3">
        <f>YEAR(Ticket_Table[[#This Row],[raised_date]])</f>
        <v>2022</v>
      </c>
    </row>
    <row r="375" spans="1:17">
      <c r="A375" t="s">
        <v>823</v>
      </c>
      <c r="B375" t="s">
        <v>536</v>
      </c>
      <c r="C375" t="s">
        <v>133</v>
      </c>
      <c r="D375" t="s">
        <v>20</v>
      </c>
      <c r="E375" t="s">
        <v>21</v>
      </c>
      <c r="F375" t="s">
        <v>38</v>
      </c>
      <c r="G375" t="s">
        <v>31</v>
      </c>
      <c r="H375" s="1">
        <v>45063</v>
      </c>
      <c r="I375" s="2">
        <v>45063.2333333333</v>
      </c>
      <c r="J375">
        <v>5.6</v>
      </c>
      <c r="K375" t="s">
        <v>24</v>
      </c>
      <c r="L375">
        <v>0</v>
      </c>
      <c r="M375">
        <v>4</v>
      </c>
      <c r="N375" t="s">
        <v>824</v>
      </c>
      <c r="O375" s="3" t="str">
        <f>TEXT(Ticket_Table[[#This Row],[raised_date]],"YYYY-MM")</f>
        <v>2023-05</v>
      </c>
      <c r="P375" s="3" t="str">
        <f>IF(Ticket_Table[[#This Row],[resolution_hrs]]&lt;=4,"Fast",IF(Ticket_Table[[#This Row],[resolution_hrs]]&lt;=24,"Normal",IF(Ticket_Table[[#This Row],[resolution_hrs]]&lt;=48,"Slow","Very Slow")))</f>
        <v>Normal</v>
      </c>
      <c r="Q375" s="3">
        <f>YEAR(Ticket_Table[[#This Row],[raised_date]])</f>
        <v>2023</v>
      </c>
    </row>
    <row r="376" spans="1:17">
      <c r="A376" t="s">
        <v>825</v>
      </c>
      <c r="B376" t="s">
        <v>826</v>
      </c>
      <c r="C376" t="s">
        <v>201</v>
      </c>
      <c r="D376" t="s">
        <v>36</v>
      </c>
      <c r="E376" t="s">
        <v>30</v>
      </c>
      <c r="F376" t="s">
        <v>70</v>
      </c>
      <c r="G376" t="s">
        <v>23</v>
      </c>
      <c r="H376" s="1">
        <v>44302</v>
      </c>
      <c r="I376" s="2">
        <v>44304.375</v>
      </c>
      <c r="J376">
        <v>57</v>
      </c>
      <c r="K376" t="s">
        <v>32</v>
      </c>
      <c r="L376">
        <v>0</v>
      </c>
      <c r="M376">
        <v>4</v>
      </c>
      <c r="N376" t="s">
        <v>84</v>
      </c>
      <c r="O376" s="3" t="str">
        <f>TEXT(Ticket_Table[[#This Row],[raised_date]],"YYYY-MM")</f>
        <v>2021-04</v>
      </c>
      <c r="P376" s="3" t="str">
        <f>IF(Ticket_Table[[#This Row],[resolution_hrs]]&lt;=4,"Fast",IF(Ticket_Table[[#This Row],[resolution_hrs]]&lt;=24,"Normal",IF(Ticket_Table[[#This Row],[resolution_hrs]]&lt;=48,"Slow","Very Slow")))</f>
        <v>Very Slow</v>
      </c>
      <c r="Q376" s="3">
        <f>YEAR(Ticket_Table[[#This Row],[raised_date]])</f>
        <v>2021</v>
      </c>
    </row>
    <row r="377" spans="1:17">
      <c r="A377" t="s">
        <v>827</v>
      </c>
      <c r="B377" t="s">
        <v>828</v>
      </c>
      <c r="C377" t="s">
        <v>55</v>
      </c>
      <c r="D377" t="s">
        <v>36</v>
      </c>
      <c r="E377" t="s">
        <v>69</v>
      </c>
      <c r="F377" t="s">
        <v>38</v>
      </c>
      <c r="G377" t="s">
        <v>31</v>
      </c>
      <c r="H377" s="1">
        <v>44786</v>
      </c>
      <c r="I377" s="2">
        <v>44786.2916666667</v>
      </c>
      <c r="J377">
        <v>7</v>
      </c>
      <c r="K377" t="s">
        <v>24</v>
      </c>
      <c r="L377">
        <v>0</v>
      </c>
      <c r="M377">
        <v>4</v>
      </c>
      <c r="N377" t="s">
        <v>808</v>
      </c>
      <c r="O377" s="3" t="str">
        <f>TEXT(Ticket_Table[[#This Row],[raised_date]],"YYYY-MM")</f>
        <v>2022-08</v>
      </c>
      <c r="P377" s="3" t="str">
        <f>IF(Ticket_Table[[#This Row],[resolution_hrs]]&lt;=4,"Fast",IF(Ticket_Table[[#This Row],[resolution_hrs]]&lt;=24,"Normal",IF(Ticket_Table[[#This Row],[resolution_hrs]]&lt;=48,"Slow","Very Slow")))</f>
        <v>Normal</v>
      </c>
      <c r="Q377" s="3">
        <f>YEAR(Ticket_Table[[#This Row],[raised_date]])</f>
        <v>2022</v>
      </c>
    </row>
    <row r="378" spans="1:17">
      <c r="A378" t="s">
        <v>829</v>
      </c>
      <c r="B378" t="s">
        <v>603</v>
      </c>
      <c r="C378" t="s">
        <v>261</v>
      </c>
      <c r="D378" t="s">
        <v>36</v>
      </c>
      <c r="E378" t="s">
        <v>166</v>
      </c>
      <c r="F378" t="s">
        <v>45</v>
      </c>
      <c r="G378" t="s">
        <v>74</v>
      </c>
      <c r="H378" s="1">
        <v>44836</v>
      </c>
      <c r="I378" s="2">
        <v>44836.0958333333</v>
      </c>
      <c r="J378">
        <v>2.3</v>
      </c>
      <c r="K378" t="s">
        <v>24</v>
      </c>
      <c r="L378">
        <v>0</v>
      </c>
      <c r="M378">
        <v>5</v>
      </c>
      <c r="N378" t="s">
        <v>275</v>
      </c>
      <c r="O378" s="3" t="str">
        <f>TEXT(Ticket_Table[[#This Row],[raised_date]],"YYYY-MM")</f>
        <v>2022-10</v>
      </c>
      <c r="P378" s="3" t="str">
        <f>IF(Ticket_Table[[#This Row],[resolution_hrs]]&lt;=4,"Fast",IF(Ticket_Table[[#This Row],[resolution_hrs]]&lt;=24,"Normal",IF(Ticket_Table[[#This Row],[resolution_hrs]]&lt;=48,"Slow","Very Slow")))</f>
        <v>Fast</v>
      </c>
      <c r="Q378" s="3">
        <f>YEAR(Ticket_Table[[#This Row],[raised_date]])</f>
        <v>2022</v>
      </c>
    </row>
    <row r="379" spans="1:17">
      <c r="A379" t="s">
        <v>830</v>
      </c>
      <c r="B379" t="s">
        <v>171</v>
      </c>
      <c r="C379" t="s">
        <v>175</v>
      </c>
      <c r="D379" t="s">
        <v>29</v>
      </c>
      <c r="E379" t="s">
        <v>37</v>
      </c>
      <c r="F379" t="s">
        <v>22</v>
      </c>
      <c r="G379" t="s">
        <v>31</v>
      </c>
      <c r="H379" s="1">
        <v>44917</v>
      </c>
      <c r="I379" s="2">
        <v>44919.2</v>
      </c>
      <c r="J379">
        <v>52.8</v>
      </c>
      <c r="K379" t="s">
        <v>24</v>
      </c>
      <c r="L379">
        <v>0</v>
      </c>
      <c r="M379">
        <v>4</v>
      </c>
      <c r="N379" t="s">
        <v>135</v>
      </c>
      <c r="O379" s="3" t="str">
        <f>TEXT(Ticket_Table[[#This Row],[raised_date]],"YYYY-MM")</f>
        <v>2022-12</v>
      </c>
      <c r="P379" s="3" t="str">
        <f>IF(Ticket_Table[[#This Row],[resolution_hrs]]&lt;=4,"Fast",IF(Ticket_Table[[#This Row],[resolution_hrs]]&lt;=24,"Normal",IF(Ticket_Table[[#This Row],[resolution_hrs]]&lt;=48,"Slow","Very Slow")))</f>
        <v>Very Slow</v>
      </c>
      <c r="Q379" s="3">
        <f>YEAR(Ticket_Table[[#This Row],[raised_date]])</f>
        <v>2022</v>
      </c>
    </row>
    <row r="380" spans="1:17">
      <c r="A380" t="s">
        <v>831</v>
      </c>
      <c r="B380" t="s">
        <v>678</v>
      </c>
      <c r="C380" t="s">
        <v>102</v>
      </c>
      <c r="D380" t="s">
        <v>90</v>
      </c>
      <c r="E380" t="s">
        <v>37</v>
      </c>
      <c r="F380" t="s">
        <v>45</v>
      </c>
      <c r="G380" t="s">
        <v>23</v>
      </c>
      <c r="H380" s="1">
        <v>44409</v>
      </c>
      <c r="I380" s="2">
        <v>44409.2458333333</v>
      </c>
      <c r="J380">
        <v>5.9</v>
      </c>
      <c r="K380" t="s">
        <v>32</v>
      </c>
      <c r="L380">
        <v>2</v>
      </c>
      <c r="M380">
        <v>5</v>
      </c>
      <c r="N380" t="s">
        <v>79</v>
      </c>
      <c r="O380" s="3" t="str">
        <f>TEXT(Ticket_Table[[#This Row],[raised_date]],"YYYY-MM")</f>
        <v>2021-08</v>
      </c>
      <c r="P380" s="3" t="str">
        <f>IF(Ticket_Table[[#This Row],[resolution_hrs]]&lt;=4,"Fast",IF(Ticket_Table[[#This Row],[resolution_hrs]]&lt;=24,"Normal",IF(Ticket_Table[[#This Row],[resolution_hrs]]&lt;=48,"Slow","Very Slow")))</f>
        <v>Normal</v>
      </c>
      <c r="Q380" s="3">
        <f>YEAR(Ticket_Table[[#This Row],[raised_date]])</f>
        <v>2021</v>
      </c>
    </row>
    <row r="381" spans="1:17">
      <c r="A381" t="s">
        <v>832</v>
      </c>
      <c r="B381" t="s">
        <v>833</v>
      </c>
      <c r="C381" t="s">
        <v>42</v>
      </c>
      <c r="D381" t="s">
        <v>20</v>
      </c>
      <c r="E381" t="s">
        <v>69</v>
      </c>
      <c r="F381" t="s">
        <v>22</v>
      </c>
      <c r="G381" t="s">
        <v>23</v>
      </c>
      <c r="H381" s="1">
        <v>45236</v>
      </c>
      <c r="I381" s="2">
        <v>45239.475</v>
      </c>
      <c r="J381">
        <v>83.4</v>
      </c>
      <c r="K381" t="s">
        <v>32</v>
      </c>
      <c r="L381">
        <v>0</v>
      </c>
      <c r="M381">
        <v>3</v>
      </c>
      <c r="N381" t="s">
        <v>510</v>
      </c>
      <c r="O381" s="3" t="str">
        <f>TEXT(Ticket_Table[[#This Row],[raised_date]],"YYYY-MM")</f>
        <v>2023-11</v>
      </c>
      <c r="P381" s="3" t="str">
        <f>IF(Ticket_Table[[#This Row],[resolution_hrs]]&lt;=4,"Fast",IF(Ticket_Table[[#This Row],[resolution_hrs]]&lt;=24,"Normal",IF(Ticket_Table[[#This Row],[resolution_hrs]]&lt;=48,"Slow","Very Slow")))</f>
        <v>Very Slow</v>
      </c>
      <c r="Q381" s="3">
        <f>YEAR(Ticket_Table[[#This Row],[raised_date]])</f>
        <v>2023</v>
      </c>
    </row>
    <row r="382" spans="1:17">
      <c r="A382" t="s">
        <v>834</v>
      </c>
      <c r="B382" t="s">
        <v>835</v>
      </c>
      <c r="C382" t="s">
        <v>261</v>
      </c>
      <c r="D382" t="s">
        <v>20</v>
      </c>
      <c r="E382" t="s">
        <v>21</v>
      </c>
      <c r="F382" t="s">
        <v>38</v>
      </c>
      <c r="G382" t="s">
        <v>46</v>
      </c>
      <c r="H382" s="1">
        <v>44632</v>
      </c>
      <c r="I382" s="2">
        <v>44632.1125</v>
      </c>
      <c r="J382">
        <v>2.7</v>
      </c>
      <c r="K382" t="s">
        <v>24</v>
      </c>
      <c r="L382">
        <v>0</v>
      </c>
      <c r="M382">
        <v>2</v>
      </c>
      <c r="N382" t="s">
        <v>363</v>
      </c>
      <c r="O382" s="3" t="str">
        <f>TEXT(Ticket_Table[[#This Row],[raised_date]],"YYYY-MM")</f>
        <v>2022-03</v>
      </c>
      <c r="P382" s="3" t="str">
        <f>IF(Ticket_Table[[#This Row],[resolution_hrs]]&lt;=4,"Fast",IF(Ticket_Table[[#This Row],[resolution_hrs]]&lt;=24,"Normal",IF(Ticket_Table[[#This Row],[resolution_hrs]]&lt;=48,"Slow","Very Slow")))</f>
        <v>Fast</v>
      </c>
      <c r="Q382" s="3">
        <f>YEAR(Ticket_Table[[#This Row],[raised_date]])</f>
        <v>2022</v>
      </c>
    </row>
    <row r="383" spans="1:17">
      <c r="A383" t="s">
        <v>836</v>
      </c>
      <c r="B383" t="s">
        <v>589</v>
      </c>
      <c r="C383" t="s">
        <v>201</v>
      </c>
      <c r="D383" t="s">
        <v>20</v>
      </c>
      <c r="E383" t="s">
        <v>106</v>
      </c>
      <c r="F383" t="s">
        <v>22</v>
      </c>
      <c r="G383" t="s">
        <v>74</v>
      </c>
      <c r="H383" s="1">
        <v>44513</v>
      </c>
      <c r="I383" s="2">
        <v>44514.6166666667</v>
      </c>
      <c r="J383">
        <v>38.8</v>
      </c>
      <c r="K383" t="s">
        <v>24</v>
      </c>
      <c r="L383">
        <v>1</v>
      </c>
      <c r="M383">
        <v>5</v>
      </c>
      <c r="N383" t="s">
        <v>374</v>
      </c>
      <c r="O383" s="3" t="str">
        <f>TEXT(Ticket_Table[[#This Row],[raised_date]],"YYYY-MM")</f>
        <v>2021-11</v>
      </c>
      <c r="P383" s="3" t="str">
        <f>IF(Ticket_Table[[#This Row],[resolution_hrs]]&lt;=4,"Fast",IF(Ticket_Table[[#This Row],[resolution_hrs]]&lt;=24,"Normal",IF(Ticket_Table[[#This Row],[resolution_hrs]]&lt;=48,"Slow","Very Slow")))</f>
        <v>Slow</v>
      </c>
      <c r="Q383" s="3">
        <f>YEAR(Ticket_Table[[#This Row],[raised_date]])</f>
        <v>2021</v>
      </c>
    </row>
    <row r="384" spans="1:17">
      <c r="A384" t="s">
        <v>837</v>
      </c>
      <c r="B384" t="s">
        <v>84</v>
      </c>
      <c r="C384" t="s">
        <v>261</v>
      </c>
      <c r="D384" t="s">
        <v>36</v>
      </c>
      <c r="E384" t="s">
        <v>21</v>
      </c>
      <c r="F384" t="s">
        <v>22</v>
      </c>
      <c r="G384" t="s">
        <v>74</v>
      </c>
      <c r="H384" s="1">
        <v>45184</v>
      </c>
      <c r="I384" s="2">
        <v>45186.075</v>
      </c>
      <c r="J384">
        <v>49.8</v>
      </c>
      <c r="K384" t="s">
        <v>24</v>
      </c>
      <c r="L384">
        <v>0</v>
      </c>
      <c r="M384">
        <v>3</v>
      </c>
      <c r="N384" t="s">
        <v>506</v>
      </c>
      <c r="O384" s="3" t="str">
        <f>TEXT(Ticket_Table[[#This Row],[raised_date]],"YYYY-MM")</f>
        <v>2023-09</v>
      </c>
      <c r="P384" s="3" t="str">
        <f>IF(Ticket_Table[[#This Row],[resolution_hrs]]&lt;=4,"Fast",IF(Ticket_Table[[#This Row],[resolution_hrs]]&lt;=24,"Normal",IF(Ticket_Table[[#This Row],[resolution_hrs]]&lt;=48,"Slow","Very Slow")))</f>
        <v>Very Slow</v>
      </c>
      <c r="Q384" s="3">
        <f>YEAR(Ticket_Table[[#This Row],[raised_date]])</f>
        <v>2023</v>
      </c>
    </row>
    <row r="385" spans="1:17">
      <c r="A385" t="s">
        <v>838</v>
      </c>
      <c r="B385" t="s">
        <v>605</v>
      </c>
      <c r="C385" t="s">
        <v>213</v>
      </c>
      <c r="D385" t="s">
        <v>90</v>
      </c>
      <c r="E385" t="s">
        <v>30</v>
      </c>
      <c r="F385" t="s">
        <v>70</v>
      </c>
      <c r="G385" t="s">
        <v>46</v>
      </c>
      <c r="H385" s="1">
        <v>44656</v>
      </c>
      <c r="I385" s="2">
        <v>44656.5333333333</v>
      </c>
      <c r="J385">
        <v>12.8</v>
      </c>
      <c r="K385" t="s">
        <v>24</v>
      </c>
      <c r="L385">
        <v>0</v>
      </c>
      <c r="M385">
        <v>4</v>
      </c>
      <c r="N385" t="s">
        <v>94</v>
      </c>
      <c r="O385" s="3" t="str">
        <f>TEXT(Ticket_Table[[#This Row],[raised_date]],"YYYY-MM")</f>
        <v>2022-04</v>
      </c>
      <c r="P385" s="3" t="str">
        <f>IF(Ticket_Table[[#This Row],[resolution_hrs]]&lt;=4,"Fast",IF(Ticket_Table[[#This Row],[resolution_hrs]]&lt;=24,"Normal",IF(Ticket_Table[[#This Row],[resolution_hrs]]&lt;=48,"Slow","Very Slow")))</f>
        <v>Normal</v>
      </c>
      <c r="Q385" s="3">
        <f>YEAR(Ticket_Table[[#This Row],[raised_date]])</f>
        <v>2022</v>
      </c>
    </row>
    <row r="386" spans="1:17">
      <c r="A386" t="s">
        <v>839</v>
      </c>
      <c r="B386" t="s">
        <v>614</v>
      </c>
      <c r="C386" t="s">
        <v>213</v>
      </c>
      <c r="D386" t="s">
        <v>43</v>
      </c>
      <c r="E386" t="s">
        <v>30</v>
      </c>
      <c r="F386" t="s">
        <v>70</v>
      </c>
      <c r="G386" t="s">
        <v>74</v>
      </c>
      <c r="H386" s="1">
        <v>44418</v>
      </c>
      <c r="I386" s="2">
        <v>44420.775</v>
      </c>
      <c r="J386">
        <v>66.6</v>
      </c>
      <c r="K386" t="s">
        <v>32</v>
      </c>
      <c r="L386">
        <v>0</v>
      </c>
      <c r="M386">
        <v>4</v>
      </c>
      <c r="N386" t="s">
        <v>401</v>
      </c>
      <c r="O386" s="3" t="str">
        <f>TEXT(Ticket_Table[[#This Row],[raised_date]],"YYYY-MM")</f>
        <v>2021-08</v>
      </c>
      <c r="P386" s="3" t="str">
        <f>IF(Ticket_Table[[#This Row],[resolution_hrs]]&lt;=4,"Fast",IF(Ticket_Table[[#This Row],[resolution_hrs]]&lt;=24,"Normal",IF(Ticket_Table[[#This Row],[resolution_hrs]]&lt;=48,"Slow","Very Slow")))</f>
        <v>Very Slow</v>
      </c>
      <c r="Q386" s="3">
        <f>YEAR(Ticket_Table[[#This Row],[raised_date]])</f>
        <v>2021</v>
      </c>
    </row>
    <row r="387" spans="1:17">
      <c r="A387" t="s">
        <v>840</v>
      </c>
      <c r="B387" t="s">
        <v>607</v>
      </c>
      <c r="C387" t="s">
        <v>213</v>
      </c>
      <c r="D387" t="s">
        <v>20</v>
      </c>
      <c r="E387" t="s">
        <v>69</v>
      </c>
      <c r="F387" t="s">
        <v>70</v>
      </c>
      <c r="G387" t="s">
        <v>31</v>
      </c>
      <c r="H387" s="1">
        <v>44914</v>
      </c>
      <c r="I387" s="2">
        <v>44916.1458333333</v>
      </c>
      <c r="J387">
        <v>51.5</v>
      </c>
      <c r="K387" t="s">
        <v>32</v>
      </c>
      <c r="L387">
        <v>0</v>
      </c>
      <c r="M387">
        <v>3</v>
      </c>
      <c r="N387" t="s">
        <v>778</v>
      </c>
      <c r="O387" s="3" t="str">
        <f>TEXT(Ticket_Table[[#This Row],[raised_date]],"YYYY-MM")</f>
        <v>2022-12</v>
      </c>
      <c r="P387" s="3" t="str">
        <f>IF(Ticket_Table[[#This Row],[resolution_hrs]]&lt;=4,"Fast",IF(Ticket_Table[[#This Row],[resolution_hrs]]&lt;=24,"Normal",IF(Ticket_Table[[#This Row],[resolution_hrs]]&lt;=48,"Slow","Very Slow")))</f>
        <v>Very Slow</v>
      </c>
      <c r="Q387" s="3">
        <f>YEAR(Ticket_Table[[#This Row],[raised_date]])</f>
        <v>2022</v>
      </c>
    </row>
    <row r="388" spans="1:17">
      <c r="A388" t="s">
        <v>841</v>
      </c>
      <c r="B388" t="s">
        <v>349</v>
      </c>
      <c r="C388" t="s">
        <v>42</v>
      </c>
      <c r="D388" t="s">
        <v>90</v>
      </c>
      <c r="E388" t="s">
        <v>83</v>
      </c>
      <c r="F388" t="s">
        <v>22</v>
      </c>
      <c r="G388" t="s">
        <v>46</v>
      </c>
      <c r="H388" s="1">
        <v>44949</v>
      </c>
      <c r="I388" s="2">
        <v>44950.3125</v>
      </c>
      <c r="J388">
        <v>31.5</v>
      </c>
      <c r="K388" t="s">
        <v>24</v>
      </c>
      <c r="L388">
        <v>2</v>
      </c>
      <c r="M388">
        <v>4</v>
      </c>
      <c r="N388" t="s">
        <v>176</v>
      </c>
      <c r="O388" s="3" t="str">
        <f>TEXT(Ticket_Table[[#This Row],[raised_date]],"YYYY-MM")</f>
        <v>2023-01</v>
      </c>
      <c r="P388" s="3" t="str">
        <f>IF(Ticket_Table[[#This Row],[resolution_hrs]]&lt;=4,"Fast",IF(Ticket_Table[[#This Row],[resolution_hrs]]&lt;=24,"Normal",IF(Ticket_Table[[#This Row],[resolution_hrs]]&lt;=48,"Slow","Very Slow")))</f>
        <v>Slow</v>
      </c>
      <c r="Q388" s="3">
        <f>YEAR(Ticket_Table[[#This Row],[raised_date]])</f>
        <v>2023</v>
      </c>
    </row>
    <row r="389" spans="1:17">
      <c r="A389" t="s">
        <v>842</v>
      </c>
      <c r="B389" t="s">
        <v>300</v>
      </c>
      <c r="C389" t="s">
        <v>133</v>
      </c>
      <c r="D389" t="s">
        <v>90</v>
      </c>
      <c r="E389" t="s">
        <v>83</v>
      </c>
      <c r="F389" t="s">
        <v>70</v>
      </c>
      <c r="G389" t="s">
        <v>23</v>
      </c>
      <c r="H389" s="1">
        <v>44432</v>
      </c>
      <c r="I389" s="2">
        <v>44434.9208333333</v>
      </c>
      <c r="J389">
        <v>70.1</v>
      </c>
      <c r="K389" t="s">
        <v>32</v>
      </c>
      <c r="L389">
        <v>0</v>
      </c>
      <c r="M389">
        <v>5</v>
      </c>
      <c r="N389" t="s">
        <v>479</v>
      </c>
      <c r="O389" s="3" t="str">
        <f>TEXT(Ticket_Table[[#This Row],[raised_date]],"YYYY-MM")</f>
        <v>2021-08</v>
      </c>
      <c r="P389" s="3" t="str">
        <f>IF(Ticket_Table[[#This Row],[resolution_hrs]]&lt;=4,"Fast",IF(Ticket_Table[[#This Row],[resolution_hrs]]&lt;=24,"Normal",IF(Ticket_Table[[#This Row],[resolution_hrs]]&lt;=48,"Slow","Very Slow")))</f>
        <v>Very Slow</v>
      </c>
      <c r="Q389" s="3">
        <f>YEAR(Ticket_Table[[#This Row],[raised_date]])</f>
        <v>2021</v>
      </c>
    </row>
    <row r="390" spans="1:17">
      <c r="A390" t="s">
        <v>843</v>
      </c>
      <c r="B390" t="s">
        <v>844</v>
      </c>
      <c r="C390" t="s">
        <v>175</v>
      </c>
      <c r="D390" t="s">
        <v>29</v>
      </c>
      <c r="E390" t="s">
        <v>166</v>
      </c>
      <c r="F390" t="s">
        <v>45</v>
      </c>
      <c r="G390" t="s">
        <v>31</v>
      </c>
      <c r="H390" s="1">
        <v>44767</v>
      </c>
      <c r="I390" s="2">
        <v>44767.2166666667</v>
      </c>
      <c r="J390">
        <v>5.2</v>
      </c>
      <c r="K390" t="s">
        <v>32</v>
      </c>
      <c r="L390">
        <v>0</v>
      </c>
      <c r="M390">
        <v>5</v>
      </c>
      <c r="N390" t="s">
        <v>493</v>
      </c>
      <c r="O390" s="3" t="str">
        <f>TEXT(Ticket_Table[[#This Row],[raised_date]],"YYYY-MM")</f>
        <v>2022-07</v>
      </c>
      <c r="P390" s="3" t="str">
        <f>IF(Ticket_Table[[#This Row],[resolution_hrs]]&lt;=4,"Fast",IF(Ticket_Table[[#This Row],[resolution_hrs]]&lt;=24,"Normal",IF(Ticket_Table[[#This Row],[resolution_hrs]]&lt;=48,"Slow","Very Slow")))</f>
        <v>Normal</v>
      </c>
      <c r="Q390" s="3">
        <f>YEAR(Ticket_Table[[#This Row],[raised_date]])</f>
        <v>2022</v>
      </c>
    </row>
    <row r="391" spans="1:17">
      <c r="A391" t="s">
        <v>845</v>
      </c>
      <c r="B391" t="s">
        <v>562</v>
      </c>
      <c r="C391" t="s">
        <v>50</v>
      </c>
      <c r="D391" t="s">
        <v>20</v>
      </c>
      <c r="E391" t="s">
        <v>83</v>
      </c>
      <c r="F391" t="s">
        <v>70</v>
      </c>
      <c r="G391" t="s">
        <v>46</v>
      </c>
      <c r="H391" s="1">
        <v>44660</v>
      </c>
      <c r="I391" s="2">
        <v>44662.0916666667</v>
      </c>
      <c r="J391">
        <v>50.2</v>
      </c>
      <c r="K391" t="s">
        <v>32</v>
      </c>
      <c r="L391">
        <v>0</v>
      </c>
      <c r="M391">
        <v>4</v>
      </c>
      <c r="N391" t="s">
        <v>578</v>
      </c>
      <c r="O391" s="3" t="str">
        <f>TEXT(Ticket_Table[[#This Row],[raised_date]],"YYYY-MM")</f>
        <v>2022-04</v>
      </c>
      <c r="P391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" s="3">
        <f>YEAR(Ticket_Table[[#This Row],[raised_date]])</f>
        <v>2022</v>
      </c>
    </row>
    <row r="392" spans="1:17">
      <c r="A392" t="s">
        <v>846</v>
      </c>
      <c r="B392" t="s">
        <v>621</v>
      </c>
      <c r="C392" t="s">
        <v>82</v>
      </c>
      <c r="D392" t="s">
        <v>36</v>
      </c>
      <c r="E392" t="s">
        <v>56</v>
      </c>
      <c r="F392" t="s">
        <v>22</v>
      </c>
      <c r="G392" t="s">
        <v>31</v>
      </c>
      <c r="H392" s="1">
        <v>45075</v>
      </c>
      <c r="I392" s="2">
        <v>45078.0125</v>
      </c>
      <c r="J392">
        <v>72.3</v>
      </c>
      <c r="K392" t="s">
        <v>32</v>
      </c>
      <c r="L392">
        <v>0</v>
      </c>
      <c r="M392">
        <v>4</v>
      </c>
      <c r="N392" t="s">
        <v>578</v>
      </c>
      <c r="O392" s="3" t="str">
        <f>TEXT(Ticket_Table[[#This Row],[raised_date]],"YYYY-MM")</f>
        <v>2023-05</v>
      </c>
      <c r="P392" s="3" t="str">
        <f>IF(Ticket_Table[[#This Row],[resolution_hrs]]&lt;=4,"Fast",IF(Ticket_Table[[#This Row],[resolution_hrs]]&lt;=24,"Normal",IF(Ticket_Table[[#This Row],[resolution_hrs]]&lt;=48,"Slow","Very Slow")))</f>
        <v>Very Slow</v>
      </c>
      <c r="Q392" s="3">
        <f>YEAR(Ticket_Table[[#This Row],[raised_date]])</f>
        <v>2023</v>
      </c>
    </row>
    <row r="393" spans="1:17">
      <c r="A393" t="s">
        <v>847</v>
      </c>
      <c r="B393" t="s">
        <v>352</v>
      </c>
      <c r="C393" t="s">
        <v>140</v>
      </c>
      <c r="D393" t="s">
        <v>90</v>
      </c>
      <c r="E393" t="s">
        <v>56</v>
      </c>
      <c r="F393" t="s">
        <v>70</v>
      </c>
      <c r="G393" t="s">
        <v>23</v>
      </c>
      <c r="H393" s="1">
        <v>44250</v>
      </c>
      <c r="I393" s="2">
        <v>44250.4958333333</v>
      </c>
      <c r="J393">
        <v>11.9</v>
      </c>
      <c r="K393" t="s">
        <v>24</v>
      </c>
      <c r="L393">
        <v>0</v>
      </c>
      <c r="M393">
        <v>5</v>
      </c>
      <c r="N393" t="s">
        <v>183</v>
      </c>
      <c r="O393" s="3" t="str">
        <f>TEXT(Ticket_Table[[#This Row],[raised_date]],"YYYY-MM")</f>
        <v>2021-02</v>
      </c>
      <c r="P393" s="3" t="str">
        <f>IF(Ticket_Table[[#This Row],[resolution_hrs]]&lt;=4,"Fast",IF(Ticket_Table[[#This Row],[resolution_hrs]]&lt;=24,"Normal",IF(Ticket_Table[[#This Row],[resolution_hrs]]&lt;=48,"Slow","Very Slow")))</f>
        <v>Normal</v>
      </c>
      <c r="Q393" s="3">
        <f>YEAR(Ticket_Table[[#This Row],[raised_date]])</f>
        <v>2021</v>
      </c>
    </row>
    <row r="394" spans="1:17">
      <c r="A394" t="s">
        <v>848</v>
      </c>
      <c r="B394" t="s">
        <v>849</v>
      </c>
      <c r="C394" t="s">
        <v>287</v>
      </c>
      <c r="D394" t="s">
        <v>90</v>
      </c>
      <c r="E394" t="s">
        <v>44</v>
      </c>
      <c r="F394" t="s">
        <v>22</v>
      </c>
      <c r="G394" t="s">
        <v>23</v>
      </c>
      <c r="H394" s="1">
        <v>44744</v>
      </c>
      <c r="I394" s="2">
        <v>44745.1041666667</v>
      </c>
      <c r="J394">
        <v>26.5</v>
      </c>
      <c r="K394" t="s">
        <v>24</v>
      </c>
      <c r="L394">
        <v>0</v>
      </c>
      <c r="M394">
        <v>4</v>
      </c>
      <c r="N394" t="s">
        <v>578</v>
      </c>
      <c r="O394" s="3" t="str">
        <f>TEXT(Ticket_Table[[#This Row],[raised_date]],"YYYY-MM")</f>
        <v>2022-07</v>
      </c>
      <c r="P394" s="3" t="str">
        <f>IF(Ticket_Table[[#This Row],[resolution_hrs]]&lt;=4,"Fast",IF(Ticket_Table[[#This Row],[resolution_hrs]]&lt;=24,"Normal",IF(Ticket_Table[[#This Row],[resolution_hrs]]&lt;=48,"Slow","Very Slow")))</f>
        <v>Slow</v>
      </c>
      <c r="Q394" s="3">
        <f>YEAR(Ticket_Table[[#This Row],[raised_date]])</f>
        <v>2022</v>
      </c>
    </row>
    <row r="395" spans="1:17">
      <c r="A395" t="s">
        <v>850</v>
      </c>
      <c r="B395" t="s">
        <v>387</v>
      </c>
      <c r="C395" t="s">
        <v>55</v>
      </c>
      <c r="D395" t="s">
        <v>43</v>
      </c>
      <c r="E395" t="s">
        <v>56</v>
      </c>
      <c r="F395" t="s">
        <v>38</v>
      </c>
      <c r="G395" t="s">
        <v>46</v>
      </c>
      <c r="H395" s="1">
        <v>44256</v>
      </c>
      <c r="I395" s="2">
        <v>44256.1</v>
      </c>
      <c r="J395">
        <v>2.4</v>
      </c>
      <c r="K395" t="s">
        <v>24</v>
      </c>
      <c r="L395">
        <v>1</v>
      </c>
      <c r="M395">
        <v>3</v>
      </c>
      <c r="N395" t="s">
        <v>343</v>
      </c>
      <c r="O395" s="3" t="str">
        <f>TEXT(Ticket_Table[[#This Row],[raised_date]],"YYYY-MM")</f>
        <v>2021-03</v>
      </c>
      <c r="P395" s="3" t="str">
        <f>IF(Ticket_Table[[#This Row],[resolution_hrs]]&lt;=4,"Fast",IF(Ticket_Table[[#This Row],[resolution_hrs]]&lt;=24,"Normal",IF(Ticket_Table[[#This Row],[resolution_hrs]]&lt;=48,"Slow","Very Slow")))</f>
        <v>Fast</v>
      </c>
      <c r="Q395" s="3">
        <f>YEAR(Ticket_Table[[#This Row],[raised_date]])</f>
        <v>2021</v>
      </c>
    </row>
    <row r="396" spans="1:17">
      <c r="A396" t="s">
        <v>851</v>
      </c>
      <c r="B396" t="s">
        <v>510</v>
      </c>
      <c r="C396" t="s">
        <v>68</v>
      </c>
      <c r="D396" t="s">
        <v>29</v>
      </c>
      <c r="E396" t="s">
        <v>106</v>
      </c>
      <c r="F396" t="s">
        <v>38</v>
      </c>
      <c r="G396" t="s">
        <v>74</v>
      </c>
      <c r="H396" s="1">
        <v>44566</v>
      </c>
      <c r="I396" s="2">
        <v>44566.5041666667</v>
      </c>
      <c r="J396">
        <v>12.1</v>
      </c>
      <c r="K396" t="s">
        <v>24</v>
      </c>
      <c r="L396">
        <v>1</v>
      </c>
      <c r="M396">
        <v>2</v>
      </c>
      <c r="N396" t="s">
        <v>361</v>
      </c>
      <c r="O396" s="3" t="str">
        <f>TEXT(Ticket_Table[[#This Row],[raised_date]],"YYYY-MM")</f>
        <v>2022-01</v>
      </c>
      <c r="P396" s="3" t="str">
        <f>IF(Ticket_Table[[#This Row],[resolution_hrs]]&lt;=4,"Fast",IF(Ticket_Table[[#This Row],[resolution_hrs]]&lt;=24,"Normal",IF(Ticket_Table[[#This Row],[resolution_hrs]]&lt;=48,"Slow","Very Slow")))</f>
        <v>Normal</v>
      </c>
      <c r="Q396" s="3">
        <f>YEAR(Ticket_Table[[#This Row],[raised_date]])</f>
        <v>2022</v>
      </c>
    </row>
    <row r="397" spans="1:17">
      <c r="A397" t="s">
        <v>852</v>
      </c>
      <c r="B397" t="s">
        <v>853</v>
      </c>
      <c r="C397" t="s">
        <v>95</v>
      </c>
      <c r="D397" t="s">
        <v>90</v>
      </c>
      <c r="E397" t="s">
        <v>106</v>
      </c>
      <c r="F397" t="s">
        <v>70</v>
      </c>
      <c r="G397" t="s">
        <v>23</v>
      </c>
      <c r="H397" s="1">
        <v>44756</v>
      </c>
      <c r="I397" s="2">
        <v>44756.4166666667</v>
      </c>
      <c r="J397">
        <v>10</v>
      </c>
      <c r="K397" t="s">
        <v>24</v>
      </c>
      <c r="L397">
        <v>0</v>
      </c>
      <c r="M397">
        <v>4</v>
      </c>
      <c r="N397" t="s">
        <v>854</v>
      </c>
      <c r="O397" s="3" t="str">
        <f>TEXT(Ticket_Table[[#This Row],[raised_date]],"YYYY-MM")</f>
        <v>2022-07</v>
      </c>
      <c r="P397" s="3" t="str">
        <f>IF(Ticket_Table[[#This Row],[resolution_hrs]]&lt;=4,"Fast",IF(Ticket_Table[[#This Row],[resolution_hrs]]&lt;=24,"Normal",IF(Ticket_Table[[#This Row],[resolution_hrs]]&lt;=48,"Slow","Very Slow")))</f>
        <v>Normal</v>
      </c>
      <c r="Q397" s="3">
        <f>YEAR(Ticket_Table[[#This Row],[raised_date]])</f>
        <v>2022</v>
      </c>
    </row>
    <row r="398" spans="1:17">
      <c r="A398" t="s">
        <v>855</v>
      </c>
      <c r="B398" t="s">
        <v>810</v>
      </c>
      <c r="C398" t="s">
        <v>213</v>
      </c>
      <c r="D398" t="s">
        <v>90</v>
      </c>
      <c r="E398" t="s">
        <v>106</v>
      </c>
      <c r="F398" t="s">
        <v>70</v>
      </c>
      <c r="G398" t="s">
        <v>46</v>
      </c>
      <c r="H398" s="1">
        <v>44829</v>
      </c>
      <c r="I398" s="2">
        <v>44829.8125</v>
      </c>
      <c r="J398">
        <v>19.5</v>
      </c>
      <c r="K398" t="s">
        <v>24</v>
      </c>
      <c r="L398">
        <v>0</v>
      </c>
      <c r="M398">
        <v>2</v>
      </c>
      <c r="N398" t="s">
        <v>466</v>
      </c>
      <c r="O398" s="3" t="str">
        <f>TEXT(Ticket_Table[[#This Row],[raised_date]],"YYYY-MM")</f>
        <v>2022-09</v>
      </c>
      <c r="P398" s="3" t="str">
        <f>IF(Ticket_Table[[#This Row],[resolution_hrs]]&lt;=4,"Fast",IF(Ticket_Table[[#This Row],[resolution_hrs]]&lt;=24,"Normal",IF(Ticket_Table[[#This Row],[resolution_hrs]]&lt;=48,"Slow","Very Slow")))</f>
        <v>Normal</v>
      </c>
      <c r="Q398" s="3">
        <f>YEAR(Ticket_Table[[#This Row],[raised_date]])</f>
        <v>2022</v>
      </c>
    </row>
    <row r="399" spans="1:17">
      <c r="A399" t="s">
        <v>856</v>
      </c>
      <c r="B399" t="s">
        <v>857</v>
      </c>
      <c r="C399" t="s">
        <v>117</v>
      </c>
      <c r="D399" t="s">
        <v>36</v>
      </c>
      <c r="E399" t="s">
        <v>56</v>
      </c>
      <c r="F399" t="s">
        <v>38</v>
      </c>
      <c r="G399" t="s">
        <v>23</v>
      </c>
      <c r="H399" s="1">
        <v>44892</v>
      </c>
      <c r="I399" s="2">
        <v>44892.3125</v>
      </c>
      <c r="J399">
        <v>7.5</v>
      </c>
      <c r="K399" t="s">
        <v>24</v>
      </c>
      <c r="L399">
        <v>3</v>
      </c>
      <c r="M399">
        <v>2</v>
      </c>
      <c r="N399" t="s">
        <v>858</v>
      </c>
      <c r="O399" s="3" t="str">
        <f>TEXT(Ticket_Table[[#This Row],[raised_date]],"YYYY-MM")</f>
        <v>2022-11</v>
      </c>
      <c r="P399" s="3" t="str">
        <f>IF(Ticket_Table[[#This Row],[resolution_hrs]]&lt;=4,"Fast",IF(Ticket_Table[[#This Row],[resolution_hrs]]&lt;=24,"Normal",IF(Ticket_Table[[#This Row],[resolution_hrs]]&lt;=48,"Slow","Very Slow")))</f>
        <v>Normal</v>
      </c>
      <c r="Q399" s="3">
        <f>YEAR(Ticket_Table[[#This Row],[raised_date]])</f>
        <v>2022</v>
      </c>
    </row>
    <row r="400" spans="1:17">
      <c r="A400" t="s">
        <v>859</v>
      </c>
      <c r="B400" t="s">
        <v>860</v>
      </c>
      <c r="C400" t="s">
        <v>95</v>
      </c>
      <c r="D400" t="s">
        <v>36</v>
      </c>
      <c r="E400" t="s">
        <v>166</v>
      </c>
      <c r="F400" t="s">
        <v>70</v>
      </c>
      <c r="G400" t="s">
        <v>74</v>
      </c>
      <c r="H400" s="1">
        <v>44915</v>
      </c>
      <c r="I400" s="2">
        <v>44916.7041666667</v>
      </c>
      <c r="J400">
        <v>40.9</v>
      </c>
      <c r="K400" t="s">
        <v>24</v>
      </c>
      <c r="L400">
        <v>0</v>
      </c>
      <c r="M400">
        <v>5</v>
      </c>
      <c r="N400" t="s">
        <v>449</v>
      </c>
      <c r="O400" s="3" t="str">
        <f>TEXT(Ticket_Table[[#This Row],[raised_date]],"YYYY-MM")</f>
        <v>2022-12</v>
      </c>
      <c r="P400" s="3" t="str">
        <f>IF(Ticket_Table[[#This Row],[resolution_hrs]]&lt;=4,"Fast",IF(Ticket_Table[[#This Row],[resolution_hrs]]&lt;=24,"Normal",IF(Ticket_Table[[#This Row],[resolution_hrs]]&lt;=48,"Slow","Very Slow")))</f>
        <v>Slow</v>
      </c>
      <c r="Q400" s="3">
        <f>YEAR(Ticket_Table[[#This Row],[raised_date]])</f>
        <v>2022</v>
      </c>
    </row>
    <row r="401" spans="1:17">
      <c r="A401" t="s">
        <v>861</v>
      </c>
      <c r="B401" t="s">
        <v>506</v>
      </c>
      <c r="C401" t="s">
        <v>28</v>
      </c>
      <c r="D401" t="s">
        <v>43</v>
      </c>
      <c r="E401" t="s">
        <v>21</v>
      </c>
      <c r="F401" t="s">
        <v>38</v>
      </c>
      <c r="G401" t="s">
        <v>23</v>
      </c>
      <c r="H401" s="1">
        <v>44209</v>
      </c>
      <c r="I401" s="2">
        <v>44209.0916666667</v>
      </c>
      <c r="J401">
        <v>2.2</v>
      </c>
      <c r="K401" t="s">
        <v>24</v>
      </c>
      <c r="L401">
        <v>2</v>
      </c>
      <c r="M401">
        <v>4</v>
      </c>
      <c r="N401" t="s">
        <v>370</v>
      </c>
      <c r="O401" s="3" t="str">
        <f>TEXT(Ticket_Table[[#This Row],[raised_date]],"YYYY-MM")</f>
        <v>2021-01</v>
      </c>
      <c r="P401" s="3" t="str">
        <f>IF(Ticket_Table[[#This Row],[resolution_hrs]]&lt;=4,"Fast",IF(Ticket_Table[[#This Row],[resolution_hrs]]&lt;=24,"Normal",IF(Ticket_Table[[#This Row],[resolution_hrs]]&lt;=48,"Slow","Very Slow")))</f>
        <v>Fast</v>
      </c>
      <c r="Q401" s="3">
        <f>YEAR(Ticket_Table[[#This Row],[raised_date]])</f>
        <v>2021</v>
      </c>
    </row>
    <row r="402" spans="1:17">
      <c r="A402" t="s">
        <v>862</v>
      </c>
      <c r="B402" t="s">
        <v>828</v>
      </c>
      <c r="C402" t="s">
        <v>64</v>
      </c>
      <c r="D402" t="s">
        <v>43</v>
      </c>
      <c r="E402" t="s">
        <v>69</v>
      </c>
      <c r="F402" t="s">
        <v>70</v>
      </c>
      <c r="G402" t="s">
        <v>46</v>
      </c>
      <c r="H402" s="1">
        <v>44568</v>
      </c>
      <c r="I402" s="2">
        <v>44568.9791666667</v>
      </c>
      <c r="J402">
        <v>23.5</v>
      </c>
      <c r="K402" t="s">
        <v>24</v>
      </c>
      <c r="L402">
        <v>1</v>
      </c>
      <c r="M402">
        <v>5</v>
      </c>
      <c r="N402" t="s">
        <v>683</v>
      </c>
      <c r="O402" s="3" t="str">
        <f>TEXT(Ticket_Table[[#This Row],[raised_date]],"YYYY-MM")</f>
        <v>2022-01</v>
      </c>
      <c r="P402" s="3" t="str">
        <f>IF(Ticket_Table[[#This Row],[resolution_hrs]]&lt;=4,"Fast",IF(Ticket_Table[[#This Row],[resolution_hrs]]&lt;=24,"Normal",IF(Ticket_Table[[#This Row],[resolution_hrs]]&lt;=48,"Slow","Very Slow")))</f>
        <v>Normal</v>
      </c>
      <c r="Q402" s="3">
        <f>YEAR(Ticket_Table[[#This Row],[raised_date]])</f>
        <v>2022</v>
      </c>
    </row>
    <row r="403" spans="1:17">
      <c r="A403" t="s">
        <v>863</v>
      </c>
      <c r="B403" t="s">
        <v>683</v>
      </c>
      <c r="C403" t="s">
        <v>201</v>
      </c>
      <c r="D403" t="s">
        <v>43</v>
      </c>
      <c r="E403" t="s">
        <v>51</v>
      </c>
      <c r="F403" t="s">
        <v>38</v>
      </c>
      <c r="G403" t="s">
        <v>31</v>
      </c>
      <c r="H403" s="1">
        <v>44490</v>
      </c>
      <c r="I403" s="2">
        <v>44490.5416666667</v>
      </c>
      <c r="J403">
        <v>13</v>
      </c>
      <c r="K403" t="s">
        <v>24</v>
      </c>
      <c r="L403">
        <v>2</v>
      </c>
      <c r="M403">
        <v>4</v>
      </c>
      <c r="N403" t="s">
        <v>853</v>
      </c>
      <c r="O403" s="3" t="str">
        <f>TEXT(Ticket_Table[[#This Row],[raised_date]],"YYYY-MM")</f>
        <v>2021-10</v>
      </c>
      <c r="P403" s="3" t="str">
        <f>IF(Ticket_Table[[#This Row],[resolution_hrs]]&lt;=4,"Fast",IF(Ticket_Table[[#This Row],[resolution_hrs]]&lt;=24,"Normal",IF(Ticket_Table[[#This Row],[resolution_hrs]]&lt;=48,"Slow","Very Slow")))</f>
        <v>Normal</v>
      </c>
      <c r="Q403" s="3">
        <f>YEAR(Ticket_Table[[#This Row],[raised_date]])</f>
        <v>2021</v>
      </c>
    </row>
    <row r="404" spans="1:17">
      <c r="A404" t="s">
        <v>864</v>
      </c>
      <c r="B404" t="s">
        <v>273</v>
      </c>
      <c r="C404" t="s">
        <v>133</v>
      </c>
      <c r="D404" t="s">
        <v>36</v>
      </c>
      <c r="E404" t="s">
        <v>44</v>
      </c>
      <c r="F404" t="s">
        <v>70</v>
      </c>
      <c r="G404" t="s">
        <v>46</v>
      </c>
      <c r="H404" s="1">
        <v>45017</v>
      </c>
      <c r="I404" s="2">
        <v>45018.1458333333</v>
      </c>
      <c r="J404">
        <v>27.5</v>
      </c>
      <c r="K404" t="s">
        <v>24</v>
      </c>
      <c r="L404">
        <v>0</v>
      </c>
      <c r="M404">
        <v>4</v>
      </c>
      <c r="N404" t="s">
        <v>283</v>
      </c>
      <c r="O404" s="3" t="str">
        <f>TEXT(Ticket_Table[[#This Row],[raised_date]],"YYYY-MM")</f>
        <v>2023-04</v>
      </c>
      <c r="P404" s="3" t="str">
        <f>IF(Ticket_Table[[#This Row],[resolution_hrs]]&lt;=4,"Fast",IF(Ticket_Table[[#This Row],[resolution_hrs]]&lt;=24,"Normal",IF(Ticket_Table[[#This Row],[resolution_hrs]]&lt;=48,"Slow","Very Slow")))</f>
        <v>Slow</v>
      </c>
      <c r="Q404" s="3">
        <f>YEAR(Ticket_Table[[#This Row],[raised_date]])</f>
        <v>2023</v>
      </c>
    </row>
    <row r="405" spans="1:17">
      <c r="A405" t="s">
        <v>865</v>
      </c>
      <c r="B405" t="s">
        <v>353</v>
      </c>
      <c r="C405" t="s">
        <v>201</v>
      </c>
      <c r="D405" t="s">
        <v>36</v>
      </c>
      <c r="E405" t="s">
        <v>30</v>
      </c>
      <c r="F405" t="s">
        <v>70</v>
      </c>
      <c r="G405" t="s">
        <v>31</v>
      </c>
      <c r="H405" s="1">
        <v>44339</v>
      </c>
      <c r="I405" s="2">
        <v>44340.6375</v>
      </c>
      <c r="J405">
        <v>39.3</v>
      </c>
      <c r="K405" t="s">
        <v>24</v>
      </c>
      <c r="L405">
        <v>0</v>
      </c>
      <c r="M405">
        <v>1</v>
      </c>
      <c r="N405" t="s">
        <v>866</v>
      </c>
      <c r="O405" s="3" t="str">
        <f>TEXT(Ticket_Table[[#This Row],[raised_date]],"YYYY-MM")</f>
        <v>2021-05</v>
      </c>
      <c r="P405" s="3" t="str">
        <f>IF(Ticket_Table[[#This Row],[resolution_hrs]]&lt;=4,"Fast",IF(Ticket_Table[[#This Row],[resolution_hrs]]&lt;=24,"Normal",IF(Ticket_Table[[#This Row],[resolution_hrs]]&lt;=48,"Slow","Very Slow")))</f>
        <v>Slow</v>
      </c>
      <c r="Q405" s="3">
        <f>YEAR(Ticket_Table[[#This Row],[raised_date]])</f>
        <v>2021</v>
      </c>
    </row>
    <row r="406" spans="1:17">
      <c r="A406" t="s">
        <v>867</v>
      </c>
      <c r="B406" t="s">
        <v>675</v>
      </c>
      <c r="C406" t="s">
        <v>42</v>
      </c>
      <c r="D406" t="s">
        <v>29</v>
      </c>
      <c r="E406" t="s">
        <v>37</v>
      </c>
      <c r="F406" t="s">
        <v>45</v>
      </c>
      <c r="G406" t="s">
        <v>46</v>
      </c>
      <c r="H406" s="1">
        <v>44487</v>
      </c>
      <c r="I406" s="2">
        <v>44487.075</v>
      </c>
      <c r="J406">
        <v>1.8</v>
      </c>
      <c r="K406" t="s">
        <v>24</v>
      </c>
      <c r="L406">
        <v>0</v>
      </c>
      <c r="M406">
        <v>5</v>
      </c>
      <c r="N406" t="s">
        <v>445</v>
      </c>
      <c r="O406" s="3" t="str">
        <f>TEXT(Ticket_Table[[#This Row],[raised_date]],"YYYY-MM")</f>
        <v>2021-10</v>
      </c>
      <c r="P406" s="3" t="str">
        <f>IF(Ticket_Table[[#This Row],[resolution_hrs]]&lt;=4,"Fast",IF(Ticket_Table[[#This Row],[resolution_hrs]]&lt;=24,"Normal",IF(Ticket_Table[[#This Row],[resolution_hrs]]&lt;=48,"Slow","Very Slow")))</f>
        <v>Fast</v>
      </c>
      <c r="Q406" s="3">
        <f>YEAR(Ticket_Table[[#This Row],[raised_date]])</f>
        <v>2021</v>
      </c>
    </row>
    <row r="407" spans="1:17">
      <c r="A407" t="s">
        <v>868</v>
      </c>
      <c r="B407" t="s">
        <v>355</v>
      </c>
      <c r="C407" t="s">
        <v>175</v>
      </c>
      <c r="D407" t="s">
        <v>20</v>
      </c>
      <c r="E407" t="s">
        <v>30</v>
      </c>
      <c r="F407" t="s">
        <v>70</v>
      </c>
      <c r="G407" t="s">
        <v>31</v>
      </c>
      <c r="H407" s="1">
        <v>44259</v>
      </c>
      <c r="I407" s="2">
        <v>44259.9333333333</v>
      </c>
      <c r="J407">
        <v>22.4</v>
      </c>
      <c r="K407" t="s">
        <v>24</v>
      </c>
      <c r="L407">
        <v>1</v>
      </c>
      <c r="M407">
        <v>2</v>
      </c>
      <c r="N407" t="s">
        <v>733</v>
      </c>
      <c r="O407" s="3" t="str">
        <f>TEXT(Ticket_Table[[#This Row],[raised_date]],"YYYY-MM")</f>
        <v>2021-03</v>
      </c>
      <c r="P407" s="3" t="str">
        <f>IF(Ticket_Table[[#This Row],[resolution_hrs]]&lt;=4,"Fast",IF(Ticket_Table[[#This Row],[resolution_hrs]]&lt;=24,"Normal",IF(Ticket_Table[[#This Row],[resolution_hrs]]&lt;=48,"Slow","Very Slow")))</f>
        <v>Normal</v>
      </c>
      <c r="Q407" s="3">
        <f>YEAR(Ticket_Table[[#This Row],[raised_date]])</f>
        <v>2021</v>
      </c>
    </row>
    <row r="408" spans="1:17">
      <c r="A408" t="s">
        <v>869</v>
      </c>
      <c r="B408" t="s">
        <v>212</v>
      </c>
      <c r="C408" t="s">
        <v>213</v>
      </c>
      <c r="D408" t="s">
        <v>20</v>
      </c>
      <c r="E408" t="s">
        <v>44</v>
      </c>
      <c r="F408" t="s">
        <v>70</v>
      </c>
      <c r="G408" t="s">
        <v>23</v>
      </c>
      <c r="H408" s="1">
        <v>44384</v>
      </c>
      <c r="I408" s="2">
        <v>44386.7666666667</v>
      </c>
      <c r="J408">
        <v>66.4</v>
      </c>
      <c r="K408" t="s">
        <v>32</v>
      </c>
      <c r="L408">
        <v>0</v>
      </c>
      <c r="M408">
        <v>4</v>
      </c>
      <c r="N408" t="s">
        <v>579</v>
      </c>
      <c r="O408" s="3" t="str">
        <f>TEXT(Ticket_Table[[#This Row],[raised_date]],"YYYY-MM")</f>
        <v>2021-07</v>
      </c>
      <c r="P408" s="3" t="str">
        <f>IF(Ticket_Table[[#This Row],[resolution_hrs]]&lt;=4,"Fast",IF(Ticket_Table[[#This Row],[resolution_hrs]]&lt;=24,"Normal",IF(Ticket_Table[[#This Row],[resolution_hrs]]&lt;=48,"Slow","Very Slow")))</f>
        <v>Very Slow</v>
      </c>
      <c r="Q408" s="3">
        <f>YEAR(Ticket_Table[[#This Row],[raised_date]])</f>
        <v>2021</v>
      </c>
    </row>
    <row r="409" spans="1:17">
      <c r="A409" t="s">
        <v>870</v>
      </c>
      <c r="B409" t="s">
        <v>871</v>
      </c>
      <c r="C409" t="s">
        <v>95</v>
      </c>
      <c r="D409" t="s">
        <v>29</v>
      </c>
      <c r="E409" t="s">
        <v>30</v>
      </c>
      <c r="F409" t="s">
        <v>22</v>
      </c>
      <c r="G409" t="s">
        <v>23</v>
      </c>
      <c r="H409" s="1">
        <v>45283</v>
      </c>
      <c r="I409" s="2">
        <v>45284.8458333333</v>
      </c>
      <c r="J409">
        <v>44.3</v>
      </c>
      <c r="K409" t="s">
        <v>24</v>
      </c>
      <c r="L409">
        <v>1</v>
      </c>
      <c r="M409">
        <v>2</v>
      </c>
      <c r="N409" t="s">
        <v>96</v>
      </c>
      <c r="O409" s="3" t="str">
        <f>TEXT(Ticket_Table[[#This Row],[raised_date]],"YYYY-MM")</f>
        <v>2023-12</v>
      </c>
      <c r="P409" s="3" t="str">
        <f>IF(Ticket_Table[[#This Row],[resolution_hrs]]&lt;=4,"Fast",IF(Ticket_Table[[#This Row],[resolution_hrs]]&lt;=24,"Normal",IF(Ticket_Table[[#This Row],[resolution_hrs]]&lt;=48,"Slow","Very Slow")))</f>
        <v>Slow</v>
      </c>
      <c r="Q409" s="3">
        <f>YEAR(Ticket_Table[[#This Row],[raised_date]])</f>
        <v>2023</v>
      </c>
    </row>
    <row r="410" spans="1:17">
      <c r="A410" t="s">
        <v>872</v>
      </c>
      <c r="B410" t="s">
        <v>592</v>
      </c>
      <c r="C410" t="s">
        <v>117</v>
      </c>
      <c r="D410" t="s">
        <v>20</v>
      </c>
      <c r="E410" t="s">
        <v>21</v>
      </c>
      <c r="F410" t="s">
        <v>70</v>
      </c>
      <c r="G410" t="s">
        <v>74</v>
      </c>
      <c r="H410" s="1">
        <v>44637</v>
      </c>
      <c r="I410" s="2">
        <v>44638.5208333333</v>
      </c>
      <c r="J410">
        <v>36.5</v>
      </c>
      <c r="K410" t="s">
        <v>24</v>
      </c>
      <c r="L410">
        <v>0</v>
      </c>
      <c r="M410">
        <v>3</v>
      </c>
      <c r="N410" t="s">
        <v>873</v>
      </c>
      <c r="O410" s="3" t="str">
        <f>TEXT(Ticket_Table[[#This Row],[raised_date]],"YYYY-MM")</f>
        <v>2022-03</v>
      </c>
      <c r="P410" s="3" t="str">
        <f>IF(Ticket_Table[[#This Row],[resolution_hrs]]&lt;=4,"Fast",IF(Ticket_Table[[#This Row],[resolution_hrs]]&lt;=24,"Normal",IF(Ticket_Table[[#This Row],[resolution_hrs]]&lt;=48,"Slow","Very Slow")))</f>
        <v>Slow</v>
      </c>
      <c r="Q410" s="3">
        <f>YEAR(Ticket_Table[[#This Row],[raised_date]])</f>
        <v>2022</v>
      </c>
    </row>
    <row r="411" spans="1:17">
      <c r="A411" t="s">
        <v>874</v>
      </c>
      <c r="B411" t="s">
        <v>409</v>
      </c>
      <c r="C411" t="s">
        <v>261</v>
      </c>
      <c r="D411" t="s">
        <v>36</v>
      </c>
      <c r="E411" t="s">
        <v>30</v>
      </c>
      <c r="F411" t="s">
        <v>70</v>
      </c>
      <c r="G411" t="s">
        <v>23</v>
      </c>
      <c r="H411" s="1">
        <v>44967</v>
      </c>
      <c r="I411" s="2">
        <v>44967.4708333333</v>
      </c>
      <c r="J411">
        <v>11.3</v>
      </c>
      <c r="K411" t="s">
        <v>24</v>
      </c>
      <c r="L411">
        <v>0</v>
      </c>
      <c r="M411">
        <v>3</v>
      </c>
      <c r="N411" t="s">
        <v>192</v>
      </c>
      <c r="O411" s="3" t="str">
        <f>TEXT(Ticket_Table[[#This Row],[raised_date]],"YYYY-MM")</f>
        <v>2023-02</v>
      </c>
      <c r="P411" s="3" t="str">
        <f>IF(Ticket_Table[[#This Row],[resolution_hrs]]&lt;=4,"Fast",IF(Ticket_Table[[#This Row],[resolution_hrs]]&lt;=24,"Normal",IF(Ticket_Table[[#This Row],[resolution_hrs]]&lt;=48,"Slow","Very Slow")))</f>
        <v>Normal</v>
      </c>
      <c r="Q411" s="3">
        <f>YEAR(Ticket_Table[[#This Row],[raised_date]])</f>
        <v>2023</v>
      </c>
    </row>
    <row r="412" spans="1:17">
      <c r="A412" t="s">
        <v>875</v>
      </c>
      <c r="B412" t="s">
        <v>735</v>
      </c>
      <c r="C412" t="s">
        <v>55</v>
      </c>
      <c r="D412" t="s">
        <v>20</v>
      </c>
      <c r="E412" t="s">
        <v>30</v>
      </c>
      <c r="F412" t="s">
        <v>22</v>
      </c>
      <c r="G412" t="s">
        <v>46</v>
      </c>
      <c r="H412" s="1">
        <v>45056</v>
      </c>
      <c r="I412" s="2">
        <v>45058.0833333333</v>
      </c>
      <c r="J412">
        <v>50</v>
      </c>
      <c r="K412" t="s">
        <v>24</v>
      </c>
      <c r="L412">
        <v>1</v>
      </c>
      <c r="M412">
        <v>4</v>
      </c>
      <c r="N412" t="s">
        <v>876</v>
      </c>
      <c r="O412" s="3" t="str">
        <f>TEXT(Ticket_Table[[#This Row],[raised_date]],"YYYY-MM")</f>
        <v>2023-05</v>
      </c>
      <c r="P412" s="3" t="str">
        <f>IF(Ticket_Table[[#This Row],[resolution_hrs]]&lt;=4,"Fast",IF(Ticket_Table[[#This Row],[resolution_hrs]]&lt;=24,"Normal",IF(Ticket_Table[[#This Row],[resolution_hrs]]&lt;=48,"Slow","Very Slow")))</f>
        <v>Very Slow</v>
      </c>
      <c r="Q412" s="3">
        <f>YEAR(Ticket_Table[[#This Row],[raised_date]])</f>
        <v>2023</v>
      </c>
    </row>
    <row r="413" spans="1:17">
      <c r="A413" t="s">
        <v>877</v>
      </c>
      <c r="B413" t="s">
        <v>676</v>
      </c>
      <c r="C413" t="s">
        <v>201</v>
      </c>
      <c r="D413" t="s">
        <v>36</v>
      </c>
      <c r="E413" t="s">
        <v>21</v>
      </c>
      <c r="F413" t="s">
        <v>22</v>
      </c>
      <c r="G413" t="s">
        <v>23</v>
      </c>
      <c r="H413" s="1">
        <v>45126</v>
      </c>
      <c r="I413" s="2">
        <v>45127.4708333333</v>
      </c>
      <c r="J413">
        <v>35.3</v>
      </c>
      <c r="K413" t="s">
        <v>24</v>
      </c>
      <c r="L413">
        <v>0</v>
      </c>
      <c r="M413">
        <v>5</v>
      </c>
      <c r="N413" t="s">
        <v>878</v>
      </c>
      <c r="O413" s="3" t="str">
        <f>TEXT(Ticket_Table[[#This Row],[raised_date]],"YYYY-MM")</f>
        <v>2023-07</v>
      </c>
      <c r="P413" s="3" t="str">
        <f>IF(Ticket_Table[[#This Row],[resolution_hrs]]&lt;=4,"Fast",IF(Ticket_Table[[#This Row],[resolution_hrs]]&lt;=24,"Normal",IF(Ticket_Table[[#This Row],[resolution_hrs]]&lt;=48,"Slow","Very Slow")))</f>
        <v>Slow</v>
      </c>
      <c r="Q413" s="3">
        <f>YEAR(Ticket_Table[[#This Row],[raised_date]])</f>
        <v>2023</v>
      </c>
    </row>
    <row r="414" spans="1:17">
      <c r="A414" t="s">
        <v>879</v>
      </c>
      <c r="B414" t="s">
        <v>460</v>
      </c>
      <c r="C414" t="s">
        <v>102</v>
      </c>
      <c r="D414" t="s">
        <v>29</v>
      </c>
      <c r="E414" t="s">
        <v>21</v>
      </c>
      <c r="F414" t="s">
        <v>70</v>
      </c>
      <c r="G414" t="s">
        <v>46</v>
      </c>
      <c r="H414" s="1">
        <v>44895</v>
      </c>
      <c r="I414" s="2">
        <v>44895.0541666667</v>
      </c>
      <c r="J414">
        <v>1.3</v>
      </c>
      <c r="K414" t="s">
        <v>24</v>
      </c>
      <c r="L414">
        <v>0</v>
      </c>
      <c r="M414">
        <v>4</v>
      </c>
      <c r="N414" t="s">
        <v>880</v>
      </c>
      <c r="O414" s="3" t="str">
        <f>TEXT(Ticket_Table[[#This Row],[raised_date]],"YYYY-MM")</f>
        <v>2022-11</v>
      </c>
      <c r="P414" s="3" t="str">
        <f>IF(Ticket_Table[[#This Row],[resolution_hrs]]&lt;=4,"Fast",IF(Ticket_Table[[#This Row],[resolution_hrs]]&lt;=24,"Normal",IF(Ticket_Table[[#This Row],[resolution_hrs]]&lt;=48,"Slow","Very Slow")))</f>
        <v>Fast</v>
      </c>
      <c r="Q414" s="3">
        <f>YEAR(Ticket_Table[[#This Row],[raised_date]])</f>
        <v>2022</v>
      </c>
    </row>
    <row r="415" spans="1:17">
      <c r="A415" t="s">
        <v>881</v>
      </c>
      <c r="B415" t="s">
        <v>532</v>
      </c>
      <c r="C415" t="s">
        <v>140</v>
      </c>
      <c r="D415" t="s">
        <v>43</v>
      </c>
      <c r="E415" t="s">
        <v>56</v>
      </c>
      <c r="F415" t="s">
        <v>38</v>
      </c>
      <c r="G415" t="s">
        <v>23</v>
      </c>
      <c r="H415" s="1">
        <v>44519</v>
      </c>
      <c r="I415" s="2">
        <v>44520.1166666667</v>
      </c>
      <c r="J415">
        <v>26.8</v>
      </c>
      <c r="K415" t="s">
        <v>32</v>
      </c>
      <c r="L415">
        <v>0</v>
      </c>
      <c r="M415">
        <v>4</v>
      </c>
      <c r="N415" t="s">
        <v>658</v>
      </c>
      <c r="O415" s="3" t="str">
        <f>TEXT(Ticket_Table[[#This Row],[raised_date]],"YYYY-MM")</f>
        <v>2021-11</v>
      </c>
      <c r="P415" s="3" t="str">
        <f>IF(Ticket_Table[[#This Row],[resolution_hrs]]&lt;=4,"Fast",IF(Ticket_Table[[#This Row],[resolution_hrs]]&lt;=24,"Normal",IF(Ticket_Table[[#This Row],[resolution_hrs]]&lt;=48,"Slow","Very Slow")))</f>
        <v>Slow</v>
      </c>
      <c r="Q415" s="3">
        <f>YEAR(Ticket_Table[[#This Row],[raised_date]])</f>
        <v>2021</v>
      </c>
    </row>
    <row r="416" spans="1:17">
      <c r="A416" t="s">
        <v>882</v>
      </c>
      <c r="B416" t="s">
        <v>406</v>
      </c>
      <c r="C416" t="s">
        <v>28</v>
      </c>
      <c r="D416" t="s">
        <v>29</v>
      </c>
      <c r="E416" t="s">
        <v>21</v>
      </c>
      <c r="F416" t="s">
        <v>70</v>
      </c>
      <c r="G416" t="s">
        <v>46</v>
      </c>
      <c r="H416" s="1">
        <v>44954</v>
      </c>
      <c r="I416" s="2">
        <v>44956.9291666667</v>
      </c>
      <c r="J416">
        <v>70.3</v>
      </c>
      <c r="K416" t="s">
        <v>32</v>
      </c>
      <c r="L416">
        <v>0</v>
      </c>
      <c r="M416">
        <v>5</v>
      </c>
      <c r="N416" t="s">
        <v>355</v>
      </c>
      <c r="O416" s="3" t="str">
        <f>TEXT(Ticket_Table[[#This Row],[raised_date]],"YYYY-MM")</f>
        <v>2023-01</v>
      </c>
      <c r="P416" s="3" t="str">
        <f>IF(Ticket_Table[[#This Row],[resolution_hrs]]&lt;=4,"Fast",IF(Ticket_Table[[#This Row],[resolution_hrs]]&lt;=24,"Normal",IF(Ticket_Table[[#This Row],[resolution_hrs]]&lt;=48,"Slow","Very Slow")))</f>
        <v>Very Slow</v>
      </c>
      <c r="Q416" s="3">
        <f>YEAR(Ticket_Table[[#This Row],[raised_date]])</f>
        <v>2023</v>
      </c>
    </row>
    <row r="417" spans="1:17">
      <c r="A417" t="s">
        <v>883</v>
      </c>
      <c r="B417" t="s">
        <v>653</v>
      </c>
      <c r="C417" t="s">
        <v>287</v>
      </c>
      <c r="D417" t="s">
        <v>20</v>
      </c>
      <c r="E417" t="s">
        <v>51</v>
      </c>
      <c r="F417" t="s">
        <v>22</v>
      </c>
      <c r="G417" t="s">
        <v>46</v>
      </c>
      <c r="H417" s="1">
        <v>44835</v>
      </c>
      <c r="I417" s="2">
        <v>44836.5166666667</v>
      </c>
      <c r="J417">
        <v>36.4</v>
      </c>
      <c r="K417" t="s">
        <v>24</v>
      </c>
      <c r="L417">
        <v>0</v>
      </c>
      <c r="M417">
        <v>4</v>
      </c>
      <c r="N417" t="s">
        <v>884</v>
      </c>
      <c r="O417" s="3" t="str">
        <f>TEXT(Ticket_Table[[#This Row],[raised_date]],"YYYY-MM")</f>
        <v>2022-10</v>
      </c>
      <c r="P417" s="3" t="str">
        <f>IF(Ticket_Table[[#This Row],[resolution_hrs]]&lt;=4,"Fast",IF(Ticket_Table[[#This Row],[resolution_hrs]]&lt;=24,"Normal",IF(Ticket_Table[[#This Row],[resolution_hrs]]&lt;=48,"Slow","Very Slow")))</f>
        <v>Slow</v>
      </c>
      <c r="Q417" s="3">
        <f>YEAR(Ticket_Table[[#This Row],[raised_date]])</f>
        <v>2022</v>
      </c>
    </row>
    <row r="418" spans="1:17">
      <c r="A418" t="s">
        <v>885</v>
      </c>
      <c r="B418" t="s">
        <v>886</v>
      </c>
      <c r="C418" t="s">
        <v>60</v>
      </c>
      <c r="D418" t="s">
        <v>36</v>
      </c>
      <c r="E418" t="s">
        <v>83</v>
      </c>
      <c r="F418" t="s">
        <v>38</v>
      </c>
      <c r="G418" t="s">
        <v>23</v>
      </c>
      <c r="H418" s="1">
        <v>44861</v>
      </c>
      <c r="I418" s="2">
        <v>44862.0708333333</v>
      </c>
      <c r="J418">
        <v>25.7</v>
      </c>
      <c r="K418" t="s">
        <v>32</v>
      </c>
      <c r="L418">
        <v>0</v>
      </c>
      <c r="M418">
        <v>5</v>
      </c>
      <c r="N418" t="s">
        <v>270</v>
      </c>
      <c r="O418" s="3" t="str">
        <f>TEXT(Ticket_Table[[#This Row],[raised_date]],"YYYY-MM")</f>
        <v>2022-10</v>
      </c>
      <c r="P418" s="3" t="str">
        <f>IF(Ticket_Table[[#This Row],[resolution_hrs]]&lt;=4,"Fast",IF(Ticket_Table[[#This Row],[resolution_hrs]]&lt;=24,"Normal",IF(Ticket_Table[[#This Row],[resolution_hrs]]&lt;=48,"Slow","Very Slow")))</f>
        <v>Slow</v>
      </c>
      <c r="Q418" s="3">
        <f>YEAR(Ticket_Table[[#This Row],[raised_date]])</f>
        <v>2022</v>
      </c>
    </row>
    <row r="419" spans="1:17">
      <c r="A419" t="s">
        <v>887</v>
      </c>
      <c r="B419" t="s">
        <v>264</v>
      </c>
      <c r="C419" t="s">
        <v>287</v>
      </c>
      <c r="D419" t="s">
        <v>20</v>
      </c>
      <c r="E419" t="s">
        <v>51</v>
      </c>
      <c r="F419" t="s">
        <v>22</v>
      </c>
      <c r="G419" t="s">
        <v>91</v>
      </c>
      <c r="H419" s="1">
        <v>44370</v>
      </c>
      <c r="I419" s="2">
        <v>44372.1541666667</v>
      </c>
      <c r="J419">
        <v>51.7</v>
      </c>
      <c r="K419" t="s">
        <v>24</v>
      </c>
      <c r="L419">
        <v>0</v>
      </c>
      <c r="M419">
        <v>4</v>
      </c>
      <c r="N419" t="s">
        <v>515</v>
      </c>
      <c r="O419" s="3" t="str">
        <f>TEXT(Ticket_Table[[#This Row],[raised_date]],"YYYY-MM")</f>
        <v>2021-06</v>
      </c>
      <c r="P419" s="3" t="str">
        <f>IF(Ticket_Table[[#This Row],[resolution_hrs]]&lt;=4,"Fast",IF(Ticket_Table[[#This Row],[resolution_hrs]]&lt;=24,"Normal",IF(Ticket_Table[[#This Row],[resolution_hrs]]&lt;=48,"Slow","Very Slow")))</f>
        <v>Very Slow</v>
      </c>
      <c r="Q419" s="3">
        <f>YEAR(Ticket_Table[[#This Row],[raised_date]])</f>
        <v>2021</v>
      </c>
    </row>
    <row r="420" spans="1:17">
      <c r="A420" t="s">
        <v>888</v>
      </c>
      <c r="B420" t="s">
        <v>92</v>
      </c>
      <c r="C420" t="s">
        <v>50</v>
      </c>
      <c r="D420" t="s">
        <v>20</v>
      </c>
      <c r="E420" t="s">
        <v>30</v>
      </c>
      <c r="F420" t="s">
        <v>70</v>
      </c>
      <c r="G420" t="s">
        <v>23</v>
      </c>
      <c r="H420" s="1">
        <v>44304</v>
      </c>
      <c r="I420" s="2">
        <v>44304.9</v>
      </c>
      <c r="J420">
        <v>21.6</v>
      </c>
      <c r="K420" t="s">
        <v>24</v>
      </c>
      <c r="L420">
        <v>1</v>
      </c>
      <c r="M420">
        <v>5</v>
      </c>
      <c r="N420" t="s">
        <v>395</v>
      </c>
      <c r="O420" s="3" t="str">
        <f>TEXT(Ticket_Table[[#This Row],[raised_date]],"YYYY-MM")</f>
        <v>2021-04</v>
      </c>
      <c r="P420" s="3" t="str">
        <f>IF(Ticket_Table[[#This Row],[resolution_hrs]]&lt;=4,"Fast",IF(Ticket_Table[[#This Row],[resolution_hrs]]&lt;=24,"Normal",IF(Ticket_Table[[#This Row],[resolution_hrs]]&lt;=48,"Slow","Very Slow")))</f>
        <v>Normal</v>
      </c>
      <c r="Q420" s="3">
        <f>YEAR(Ticket_Table[[#This Row],[raised_date]])</f>
        <v>2021</v>
      </c>
    </row>
    <row r="421" spans="1:17">
      <c r="A421" t="s">
        <v>889</v>
      </c>
      <c r="B421" t="s">
        <v>385</v>
      </c>
      <c r="C421" t="s">
        <v>68</v>
      </c>
      <c r="D421" t="s">
        <v>43</v>
      </c>
      <c r="E421" t="s">
        <v>51</v>
      </c>
      <c r="F421" t="s">
        <v>22</v>
      </c>
      <c r="G421" t="s">
        <v>31</v>
      </c>
      <c r="H421" s="1">
        <v>44515</v>
      </c>
      <c r="I421" s="2">
        <v>44519.25</v>
      </c>
      <c r="J421">
        <v>102</v>
      </c>
      <c r="K421" t="s">
        <v>32</v>
      </c>
      <c r="L421">
        <v>2</v>
      </c>
      <c r="M421">
        <v>4</v>
      </c>
      <c r="N421" t="s">
        <v>515</v>
      </c>
      <c r="O421" s="3" t="str">
        <f>TEXT(Ticket_Table[[#This Row],[raised_date]],"YYYY-MM")</f>
        <v>2021-11</v>
      </c>
      <c r="P421" s="3" t="str">
        <f>IF(Ticket_Table[[#This Row],[resolution_hrs]]&lt;=4,"Fast",IF(Ticket_Table[[#This Row],[resolution_hrs]]&lt;=24,"Normal",IF(Ticket_Table[[#This Row],[resolution_hrs]]&lt;=48,"Slow","Very Slow")))</f>
        <v>Very Slow</v>
      </c>
      <c r="Q421" s="3">
        <f>YEAR(Ticket_Table[[#This Row],[raised_date]])</f>
        <v>2021</v>
      </c>
    </row>
    <row r="422" spans="1:17">
      <c r="A422" t="s">
        <v>890</v>
      </c>
      <c r="B422" t="s">
        <v>321</v>
      </c>
      <c r="C422" t="s">
        <v>133</v>
      </c>
      <c r="D422" t="s">
        <v>20</v>
      </c>
      <c r="E422" t="s">
        <v>44</v>
      </c>
      <c r="F422" t="s">
        <v>22</v>
      </c>
      <c r="G422" t="s">
        <v>23</v>
      </c>
      <c r="H422" s="1">
        <v>44519</v>
      </c>
      <c r="I422" s="2">
        <v>44523.4125</v>
      </c>
      <c r="J422">
        <v>105.9</v>
      </c>
      <c r="K422" t="s">
        <v>32</v>
      </c>
      <c r="L422">
        <v>0</v>
      </c>
      <c r="M422">
        <v>2</v>
      </c>
      <c r="N422" t="s">
        <v>195</v>
      </c>
      <c r="O422" s="3" t="str">
        <f>TEXT(Ticket_Table[[#This Row],[raised_date]],"YYYY-MM")</f>
        <v>2021-11</v>
      </c>
      <c r="P422" s="3" t="str">
        <f>IF(Ticket_Table[[#This Row],[resolution_hrs]]&lt;=4,"Fast",IF(Ticket_Table[[#This Row],[resolution_hrs]]&lt;=24,"Normal",IF(Ticket_Table[[#This Row],[resolution_hrs]]&lt;=48,"Slow","Very Slow")))</f>
        <v>Very Slow</v>
      </c>
      <c r="Q422" s="3">
        <f>YEAR(Ticket_Table[[#This Row],[raised_date]])</f>
        <v>2021</v>
      </c>
    </row>
    <row r="423" spans="1:17">
      <c r="A423" t="s">
        <v>891</v>
      </c>
      <c r="B423" t="s">
        <v>387</v>
      </c>
      <c r="C423" t="s">
        <v>102</v>
      </c>
      <c r="D423" t="s">
        <v>43</v>
      </c>
      <c r="E423" t="s">
        <v>69</v>
      </c>
      <c r="F423" t="s">
        <v>22</v>
      </c>
      <c r="G423" t="s">
        <v>23</v>
      </c>
      <c r="H423" s="1">
        <v>44298</v>
      </c>
      <c r="I423" s="2">
        <v>44300.6</v>
      </c>
      <c r="J423">
        <v>62.4</v>
      </c>
      <c r="K423" t="s">
        <v>24</v>
      </c>
      <c r="L423">
        <v>0</v>
      </c>
      <c r="M423">
        <v>1</v>
      </c>
      <c r="N423" t="s">
        <v>135</v>
      </c>
      <c r="O423" s="3" t="str">
        <f>TEXT(Ticket_Table[[#This Row],[raised_date]],"YYYY-MM")</f>
        <v>2021-04</v>
      </c>
      <c r="P423" s="3" t="str">
        <f>IF(Ticket_Table[[#This Row],[resolution_hrs]]&lt;=4,"Fast",IF(Ticket_Table[[#This Row],[resolution_hrs]]&lt;=24,"Normal",IF(Ticket_Table[[#This Row],[resolution_hrs]]&lt;=48,"Slow","Very Slow")))</f>
        <v>Very Slow</v>
      </c>
      <c r="Q423" s="3">
        <f>YEAR(Ticket_Table[[#This Row],[raised_date]])</f>
        <v>2021</v>
      </c>
    </row>
    <row r="424" spans="1:17">
      <c r="A424" t="s">
        <v>892</v>
      </c>
      <c r="B424" t="s">
        <v>92</v>
      </c>
      <c r="C424" t="s">
        <v>82</v>
      </c>
      <c r="D424" t="s">
        <v>36</v>
      </c>
      <c r="E424" t="s">
        <v>83</v>
      </c>
      <c r="F424" t="s">
        <v>70</v>
      </c>
      <c r="G424" t="s">
        <v>74</v>
      </c>
      <c r="H424" s="1">
        <v>44364</v>
      </c>
      <c r="I424" s="2">
        <v>44364.475</v>
      </c>
      <c r="J424">
        <v>11.4</v>
      </c>
      <c r="K424" t="s">
        <v>24</v>
      </c>
      <c r="L424">
        <v>0</v>
      </c>
      <c r="M424">
        <v>3</v>
      </c>
      <c r="N424" t="s">
        <v>403</v>
      </c>
      <c r="O424" s="3" t="str">
        <f>TEXT(Ticket_Table[[#This Row],[raised_date]],"YYYY-MM")</f>
        <v>2021-06</v>
      </c>
      <c r="P424" s="3" t="str">
        <f>IF(Ticket_Table[[#This Row],[resolution_hrs]]&lt;=4,"Fast",IF(Ticket_Table[[#This Row],[resolution_hrs]]&lt;=24,"Normal",IF(Ticket_Table[[#This Row],[resolution_hrs]]&lt;=48,"Slow","Very Slow")))</f>
        <v>Normal</v>
      </c>
      <c r="Q424" s="3">
        <f>YEAR(Ticket_Table[[#This Row],[raised_date]])</f>
        <v>2021</v>
      </c>
    </row>
    <row r="425" spans="1:17">
      <c r="A425" t="s">
        <v>893</v>
      </c>
      <c r="B425" t="s">
        <v>194</v>
      </c>
      <c r="C425" t="s">
        <v>68</v>
      </c>
      <c r="D425" t="s">
        <v>36</v>
      </c>
      <c r="E425" t="s">
        <v>69</v>
      </c>
      <c r="F425" t="s">
        <v>22</v>
      </c>
      <c r="G425" t="s">
        <v>46</v>
      </c>
      <c r="H425" s="1">
        <v>44754</v>
      </c>
      <c r="I425" s="2">
        <v>44756.5625</v>
      </c>
      <c r="J425">
        <v>61.5</v>
      </c>
      <c r="K425" t="s">
        <v>24</v>
      </c>
      <c r="L425">
        <v>1</v>
      </c>
      <c r="M425">
        <v>3</v>
      </c>
      <c r="N425" t="s">
        <v>347</v>
      </c>
      <c r="O425" s="3" t="str">
        <f>TEXT(Ticket_Table[[#This Row],[raised_date]],"YYYY-MM")</f>
        <v>2022-07</v>
      </c>
      <c r="P425" s="3" t="str">
        <f>IF(Ticket_Table[[#This Row],[resolution_hrs]]&lt;=4,"Fast",IF(Ticket_Table[[#This Row],[resolution_hrs]]&lt;=24,"Normal",IF(Ticket_Table[[#This Row],[resolution_hrs]]&lt;=48,"Slow","Very Slow")))</f>
        <v>Very Slow</v>
      </c>
      <c r="Q425" s="3">
        <f>YEAR(Ticket_Table[[#This Row],[raised_date]])</f>
        <v>2022</v>
      </c>
    </row>
    <row r="426" spans="1:17">
      <c r="A426" t="s">
        <v>894</v>
      </c>
      <c r="B426" t="s">
        <v>895</v>
      </c>
      <c r="C426" t="s">
        <v>55</v>
      </c>
      <c r="D426" t="s">
        <v>43</v>
      </c>
      <c r="E426" t="s">
        <v>37</v>
      </c>
      <c r="F426" t="s">
        <v>70</v>
      </c>
      <c r="G426" t="s">
        <v>31</v>
      </c>
      <c r="H426" s="1">
        <v>45104</v>
      </c>
      <c r="I426" s="2">
        <v>45106.725</v>
      </c>
      <c r="J426">
        <v>65.4</v>
      </c>
      <c r="K426" t="s">
        <v>32</v>
      </c>
      <c r="L426">
        <v>0</v>
      </c>
      <c r="M426">
        <v>5</v>
      </c>
      <c r="N426" t="s">
        <v>655</v>
      </c>
      <c r="O426" s="3" t="str">
        <f>TEXT(Ticket_Table[[#This Row],[raised_date]],"YYYY-MM")</f>
        <v>2023-06</v>
      </c>
      <c r="P426" s="3" t="str">
        <f>IF(Ticket_Table[[#This Row],[resolution_hrs]]&lt;=4,"Fast",IF(Ticket_Table[[#This Row],[resolution_hrs]]&lt;=24,"Normal",IF(Ticket_Table[[#This Row],[resolution_hrs]]&lt;=48,"Slow","Very Slow")))</f>
        <v>Very Slow</v>
      </c>
      <c r="Q426" s="3">
        <f>YEAR(Ticket_Table[[#This Row],[raised_date]])</f>
        <v>2023</v>
      </c>
    </row>
    <row r="427" spans="1:17">
      <c r="A427" t="s">
        <v>896</v>
      </c>
      <c r="B427" t="s">
        <v>897</v>
      </c>
      <c r="C427" t="s">
        <v>82</v>
      </c>
      <c r="D427" t="s">
        <v>29</v>
      </c>
      <c r="E427" t="s">
        <v>51</v>
      </c>
      <c r="F427" t="s">
        <v>70</v>
      </c>
      <c r="G427" t="s">
        <v>23</v>
      </c>
      <c r="H427" s="1">
        <v>45065</v>
      </c>
      <c r="I427" s="2">
        <v>45066.35</v>
      </c>
      <c r="J427">
        <v>32.4</v>
      </c>
      <c r="K427" t="s">
        <v>24</v>
      </c>
      <c r="L427">
        <v>2</v>
      </c>
      <c r="M427">
        <v>4</v>
      </c>
      <c r="N427" t="s">
        <v>346</v>
      </c>
      <c r="O427" s="3" t="str">
        <f>TEXT(Ticket_Table[[#This Row],[raised_date]],"YYYY-MM")</f>
        <v>2023-05</v>
      </c>
      <c r="P427" s="3" t="str">
        <f>IF(Ticket_Table[[#This Row],[resolution_hrs]]&lt;=4,"Fast",IF(Ticket_Table[[#This Row],[resolution_hrs]]&lt;=24,"Normal",IF(Ticket_Table[[#This Row],[resolution_hrs]]&lt;=48,"Slow","Very Slow")))</f>
        <v>Slow</v>
      </c>
      <c r="Q427" s="3">
        <f>YEAR(Ticket_Table[[#This Row],[raised_date]])</f>
        <v>2023</v>
      </c>
    </row>
    <row r="428" spans="1:17">
      <c r="A428" t="s">
        <v>898</v>
      </c>
      <c r="B428" t="s">
        <v>899</v>
      </c>
      <c r="C428" t="s">
        <v>42</v>
      </c>
      <c r="D428" t="s">
        <v>36</v>
      </c>
      <c r="E428" t="s">
        <v>69</v>
      </c>
      <c r="F428" t="s">
        <v>70</v>
      </c>
      <c r="G428" t="s">
        <v>23</v>
      </c>
      <c r="H428" s="1">
        <v>45191</v>
      </c>
      <c r="I428" s="2">
        <v>45193.0791666667</v>
      </c>
      <c r="J428">
        <v>49.9</v>
      </c>
      <c r="K428" t="s">
        <v>32</v>
      </c>
      <c r="L428">
        <v>0</v>
      </c>
      <c r="M428">
        <v>5</v>
      </c>
      <c r="N428" t="s">
        <v>792</v>
      </c>
      <c r="O428" s="3" t="str">
        <f>TEXT(Ticket_Table[[#This Row],[raised_date]],"YYYY-MM")</f>
        <v>2023-09</v>
      </c>
      <c r="P428" s="3" t="str">
        <f>IF(Ticket_Table[[#This Row],[resolution_hrs]]&lt;=4,"Fast",IF(Ticket_Table[[#This Row],[resolution_hrs]]&lt;=24,"Normal",IF(Ticket_Table[[#This Row],[resolution_hrs]]&lt;=48,"Slow","Very Slow")))</f>
        <v>Very Slow</v>
      </c>
      <c r="Q428" s="3">
        <f>YEAR(Ticket_Table[[#This Row],[raised_date]])</f>
        <v>2023</v>
      </c>
    </row>
    <row r="429" spans="1:17">
      <c r="A429" t="s">
        <v>900</v>
      </c>
      <c r="B429" t="s">
        <v>332</v>
      </c>
      <c r="C429" t="s">
        <v>117</v>
      </c>
      <c r="D429" t="s">
        <v>29</v>
      </c>
      <c r="E429" t="s">
        <v>21</v>
      </c>
      <c r="F429" t="s">
        <v>70</v>
      </c>
      <c r="G429" t="s">
        <v>23</v>
      </c>
      <c r="H429" s="1">
        <v>45102</v>
      </c>
      <c r="I429" s="2">
        <v>45104.2041666667</v>
      </c>
      <c r="J429">
        <v>52.9</v>
      </c>
      <c r="K429" t="s">
        <v>32</v>
      </c>
      <c r="L429">
        <v>1</v>
      </c>
      <c r="M429">
        <v>4</v>
      </c>
      <c r="N429" t="s">
        <v>849</v>
      </c>
      <c r="O429" s="3" t="str">
        <f>TEXT(Ticket_Table[[#This Row],[raised_date]],"YYYY-MM")</f>
        <v>2023-06</v>
      </c>
      <c r="P429" s="3" t="str">
        <f>IF(Ticket_Table[[#This Row],[resolution_hrs]]&lt;=4,"Fast",IF(Ticket_Table[[#This Row],[resolution_hrs]]&lt;=24,"Normal",IF(Ticket_Table[[#This Row],[resolution_hrs]]&lt;=48,"Slow","Very Slow")))</f>
        <v>Very Slow</v>
      </c>
      <c r="Q429" s="3">
        <f>YEAR(Ticket_Table[[#This Row],[raised_date]])</f>
        <v>2023</v>
      </c>
    </row>
    <row r="430" spans="1:17">
      <c r="A430" t="s">
        <v>901</v>
      </c>
      <c r="B430" t="s">
        <v>676</v>
      </c>
      <c r="C430" t="s">
        <v>82</v>
      </c>
      <c r="D430" t="s">
        <v>36</v>
      </c>
      <c r="E430" t="s">
        <v>166</v>
      </c>
      <c r="F430" t="s">
        <v>38</v>
      </c>
      <c r="G430" t="s">
        <v>23</v>
      </c>
      <c r="H430" s="1">
        <v>45045</v>
      </c>
      <c r="I430" s="2">
        <v>45046.3541666667</v>
      </c>
      <c r="J430">
        <v>32.5</v>
      </c>
      <c r="K430" t="s">
        <v>32</v>
      </c>
      <c r="L430">
        <v>0</v>
      </c>
      <c r="M430">
        <v>4</v>
      </c>
      <c r="N430" t="s">
        <v>614</v>
      </c>
      <c r="O430" s="3" t="str">
        <f>TEXT(Ticket_Table[[#This Row],[raised_date]],"YYYY-MM")</f>
        <v>2023-04</v>
      </c>
      <c r="P430" s="3" t="str">
        <f>IF(Ticket_Table[[#This Row],[resolution_hrs]]&lt;=4,"Fast",IF(Ticket_Table[[#This Row],[resolution_hrs]]&lt;=24,"Normal",IF(Ticket_Table[[#This Row],[resolution_hrs]]&lt;=48,"Slow","Very Slow")))</f>
        <v>Slow</v>
      </c>
      <c r="Q430" s="3">
        <f>YEAR(Ticket_Table[[#This Row],[raised_date]])</f>
        <v>2023</v>
      </c>
    </row>
    <row r="431" spans="1:17">
      <c r="A431" t="s">
        <v>902</v>
      </c>
      <c r="B431" t="s">
        <v>903</v>
      </c>
      <c r="C431" t="s">
        <v>68</v>
      </c>
      <c r="D431" t="s">
        <v>36</v>
      </c>
      <c r="E431" t="s">
        <v>166</v>
      </c>
      <c r="F431" t="s">
        <v>22</v>
      </c>
      <c r="G431" t="s">
        <v>23</v>
      </c>
      <c r="H431" s="1">
        <v>44756</v>
      </c>
      <c r="I431" s="2">
        <v>44756.6625</v>
      </c>
      <c r="J431">
        <v>15.9</v>
      </c>
      <c r="K431" t="s">
        <v>24</v>
      </c>
      <c r="L431">
        <v>2</v>
      </c>
      <c r="M431">
        <v>3</v>
      </c>
      <c r="N431" t="s">
        <v>126</v>
      </c>
      <c r="O431" s="3" t="str">
        <f>TEXT(Ticket_Table[[#This Row],[raised_date]],"YYYY-MM")</f>
        <v>2022-07</v>
      </c>
      <c r="P431" s="3" t="str">
        <f>IF(Ticket_Table[[#This Row],[resolution_hrs]]&lt;=4,"Fast",IF(Ticket_Table[[#This Row],[resolution_hrs]]&lt;=24,"Normal",IF(Ticket_Table[[#This Row],[resolution_hrs]]&lt;=48,"Slow","Very Slow")))</f>
        <v>Normal</v>
      </c>
      <c r="Q431" s="3">
        <f>YEAR(Ticket_Table[[#This Row],[raised_date]])</f>
        <v>2022</v>
      </c>
    </row>
    <row r="432" spans="1:17">
      <c r="A432" t="s">
        <v>904</v>
      </c>
      <c r="B432" t="s">
        <v>248</v>
      </c>
      <c r="C432" t="s">
        <v>60</v>
      </c>
      <c r="D432" t="s">
        <v>90</v>
      </c>
      <c r="E432" t="s">
        <v>21</v>
      </c>
      <c r="F432" t="s">
        <v>70</v>
      </c>
      <c r="G432" t="s">
        <v>23</v>
      </c>
      <c r="H432" s="1">
        <v>44638</v>
      </c>
      <c r="I432" s="2">
        <v>44639.6708333333</v>
      </c>
      <c r="J432">
        <v>40.1</v>
      </c>
      <c r="K432" t="s">
        <v>24</v>
      </c>
      <c r="L432">
        <v>0</v>
      </c>
      <c r="M432">
        <v>4</v>
      </c>
      <c r="N432" t="s">
        <v>409</v>
      </c>
      <c r="O432" s="3" t="str">
        <f>TEXT(Ticket_Table[[#This Row],[raised_date]],"YYYY-MM")</f>
        <v>2022-03</v>
      </c>
      <c r="P432" s="3" t="str">
        <f>IF(Ticket_Table[[#This Row],[resolution_hrs]]&lt;=4,"Fast",IF(Ticket_Table[[#This Row],[resolution_hrs]]&lt;=24,"Normal",IF(Ticket_Table[[#This Row],[resolution_hrs]]&lt;=48,"Slow","Very Slow")))</f>
        <v>Slow</v>
      </c>
      <c r="Q432" s="3">
        <f>YEAR(Ticket_Table[[#This Row],[raised_date]])</f>
        <v>2022</v>
      </c>
    </row>
    <row r="433" spans="1:17">
      <c r="A433" t="s">
        <v>905</v>
      </c>
      <c r="B433" t="s">
        <v>906</v>
      </c>
      <c r="C433" t="s">
        <v>287</v>
      </c>
      <c r="D433" t="s">
        <v>20</v>
      </c>
      <c r="E433" t="s">
        <v>69</v>
      </c>
      <c r="F433" t="s">
        <v>22</v>
      </c>
      <c r="G433" t="s">
        <v>46</v>
      </c>
      <c r="H433" s="1">
        <v>45246</v>
      </c>
      <c r="I433" s="2">
        <v>45247.4166666667</v>
      </c>
      <c r="J433">
        <v>34</v>
      </c>
      <c r="K433" t="s">
        <v>24</v>
      </c>
      <c r="L433">
        <v>0</v>
      </c>
      <c r="M433">
        <v>4</v>
      </c>
      <c r="N433" t="s">
        <v>27</v>
      </c>
      <c r="O433" s="3" t="str">
        <f>TEXT(Ticket_Table[[#This Row],[raised_date]],"YYYY-MM")</f>
        <v>2023-11</v>
      </c>
      <c r="P433" s="3" t="str">
        <f>IF(Ticket_Table[[#This Row],[resolution_hrs]]&lt;=4,"Fast",IF(Ticket_Table[[#This Row],[resolution_hrs]]&lt;=24,"Normal",IF(Ticket_Table[[#This Row],[resolution_hrs]]&lt;=48,"Slow","Very Slow")))</f>
        <v>Slow</v>
      </c>
      <c r="Q433" s="3">
        <f>YEAR(Ticket_Table[[#This Row],[raised_date]])</f>
        <v>2023</v>
      </c>
    </row>
    <row r="434" spans="1:17">
      <c r="A434" t="s">
        <v>907</v>
      </c>
      <c r="B434" t="s">
        <v>600</v>
      </c>
      <c r="C434" t="s">
        <v>19</v>
      </c>
      <c r="D434" t="s">
        <v>20</v>
      </c>
      <c r="E434" t="s">
        <v>30</v>
      </c>
      <c r="F434" t="s">
        <v>22</v>
      </c>
      <c r="G434" t="s">
        <v>23</v>
      </c>
      <c r="H434" s="1">
        <v>44430</v>
      </c>
      <c r="I434" s="2">
        <v>44431.8333333333</v>
      </c>
      <c r="J434">
        <v>44</v>
      </c>
      <c r="K434" t="s">
        <v>24</v>
      </c>
      <c r="L434">
        <v>0</v>
      </c>
      <c r="M434">
        <v>5</v>
      </c>
      <c r="N434" t="s">
        <v>857</v>
      </c>
      <c r="O434" s="3" t="str">
        <f>TEXT(Ticket_Table[[#This Row],[raised_date]],"YYYY-MM")</f>
        <v>2021-08</v>
      </c>
      <c r="P434" s="3" t="str">
        <f>IF(Ticket_Table[[#This Row],[resolution_hrs]]&lt;=4,"Fast",IF(Ticket_Table[[#This Row],[resolution_hrs]]&lt;=24,"Normal",IF(Ticket_Table[[#This Row],[resolution_hrs]]&lt;=48,"Slow","Very Slow")))</f>
        <v>Slow</v>
      </c>
      <c r="Q434" s="3">
        <f>YEAR(Ticket_Table[[#This Row],[raised_date]])</f>
        <v>2021</v>
      </c>
    </row>
    <row r="435" spans="1:17">
      <c r="A435" t="s">
        <v>908</v>
      </c>
      <c r="B435" t="s">
        <v>308</v>
      </c>
      <c r="C435" t="s">
        <v>140</v>
      </c>
      <c r="D435" t="s">
        <v>29</v>
      </c>
      <c r="E435" t="s">
        <v>21</v>
      </c>
      <c r="F435" t="s">
        <v>70</v>
      </c>
      <c r="G435" t="s">
        <v>23</v>
      </c>
      <c r="H435" s="1">
        <v>44903</v>
      </c>
      <c r="I435" s="2">
        <v>44905.5291666667</v>
      </c>
      <c r="J435">
        <v>60.7</v>
      </c>
      <c r="K435" t="s">
        <v>32</v>
      </c>
      <c r="L435">
        <v>1</v>
      </c>
      <c r="M435">
        <v>4</v>
      </c>
      <c r="N435" t="s">
        <v>466</v>
      </c>
      <c r="O435" s="3" t="str">
        <f>TEXT(Ticket_Table[[#This Row],[raised_date]],"YYYY-MM")</f>
        <v>2022-12</v>
      </c>
      <c r="P435" s="3" t="str">
        <f>IF(Ticket_Table[[#This Row],[resolution_hrs]]&lt;=4,"Fast",IF(Ticket_Table[[#This Row],[resolution_hrs]]&lt;=24,"Normal",IF(Ticket_Table[[#This Row],[resolution_hrs]]&lt;=48,"Slow","Very Slow")))</f>
        <v>Very Slow</v>
      </c>
      <c r="Q435" s="3">
        <f>YEAR(Ticket_Table[[#This Row],[raised_date]])</f>
        <v>2022</v>
      </c>
    </row>
    <row r="436" spans="1:17">
      <c r="A436" t="s">
        <v>909</v>
      </c>
      <c r="B436" t="s">
        <v>637</v>
      </c>
      <c r="C436" t="s">
        <v>175</v>
      </c>
      <c r="D436" t="s">
        <v>20</v>
      </c>
      <c r="E436" t="s">
        <v>83</v>
      </c>
      <c r="F436" t="s">
        <v>70</v>
      </c>
      <c r="G436" t="s">
        <v>91</v>
      </c>
      <c r="H436" s="1">
        <v>45077</v>
      </c>
      <c r="I436" s="2">
        <v>45078.3625</v>
      </c>
      <c r="J436">
        <v>32.7</v>
      </c>
      <c r="K436" t="s">
        <v>24</v>
      </c>
      <c r="L436">
        <v>0</v>
      </c>
      <c r="M436">
        <v>4</v>
      </c>
      <c r="N436" t="s">
        <v>298</v>
      </c>
      <c r="O436" s="3" t="str">
        <f>TEXT(Ticket_Table[[#This Row],[raised_date]],"YYYY-MM")</f>
        <v>2023-05</v>
      </c>
      <c r="P436" s="3" t="str">
        <f>IF(Ticket_Table[[#This Row],[resolution_hrs]]&lt;=4,"Fast",IF(Ticket_Table[[#This Row],[resolution_hrs]]&lt;=24,"Normal",IF(Ticket_Table[[#This Row],[resolution_hrs]]&lt;=48,"Slow","Very Slow")))</f>
        <v>Slow</v>
      </c>
      <c r="Q436" s="3">
        <f>YEAR(Ticket_Table[[#This Row],[raised_date]])</f>
        <v>2023</v>
      </c>
    </row>
    <row r="437" spans="1:17">
      <c r="A437" t="s">
        <v>910</v>
      </c>
      <c r="B437" t="s">
        <v>395</v>
      </c>
      <c r="C437" t="s">
        <v>28</v>
      </c>
      <c r="D437" t="s">
        <v>29</v>
      </c>
      <c r="E437" t="s">
        <v>106</v>
      </c>
      <c r="F437" t="s">
        <v>38</v>
      </c>
      <c r="G437" t="s">
        <v>23</v>
      </c>
      <c r="H437" s="1">
        <v>44424</v>
      </c>
      <c r="I437" s="2">
        <v>44424.175</v>
      </c>
      <c r="J437">
        <v>4.2</v>
      </c>
      <c r="K437" t="s">
        <v>24</v>
      </c>
      <c r="L437">
        <v>0</v>
      </c>
      <c r="M437">
        <v>3</v>
      </c>
      <c r="N437" t="s">
        <v>233</v>
      </c>
      <c r="O437" s="3" t="str">
        <f>TEXT(Ticket_Table[[#This Row],[raised_date]],"YYYY-MM")</f>
        <v>2021-08</v>
      </c>
      <c r="P437" s="3" t="str">
        <f>IF(Ticket_Table[[#This Row],[resolution_hrs]]&lt;=4,"Fast",IF(Ticket_Table[[#This Row],[resolution_hrs]]&lt;=24,"Normal",IF(Ticket_Table[[#This Row],[resolution_hrs]]&lt;=48,"Slow","Very Slow")))</f>
        <v>Normal</v>
      </c>
      <c r="Q437" s="3">
        <f>YEAR(Ticket_Table[[#This Row],[raised_date]])</f>
        <v>2021</v>
      </c>
    </row>
    <row r="438" spans="1:17">
      <c r="A438" t="s">
        <v>911</v>
      </c>
      <c r="B438" t="s">
        <v>426</v>
      </c>
      <c r="C438" t="s">
        <v>28</v>
      </c>
      <c r="D438" t="s">
        <v>36</v>
      </c>
      <c r="E438" t="s">
        <v>44</v>
      </c>
      <c r="F438" t="s">
        <v>70</v>
      </c>
      <c r="G438" t="s">
        <v>23</v>
      </c>
      <c r="H438" s="1">
        <v>44777</v>
      </c>
      <c r="I438" s="2">
        <v>44777.2041666667</v>
      </c>
      <c r="J438">
        <v>4.9</v>
      </c>
      <c r="K438" t="s">
        <v>24</v>
      </c>
      <c r="L438">
        <v>0</v>
      </c>
      <c r="M438">
        <v>4</v>
      </c>
      <c r="N438" t="s">
        <v>235</v>
      </c>
      <c r="O438" s="3" t="str">
        <f>TEXT(Ticket_Table[[#This Row],[raised_date]],"YYYY-MM")</f>
        <v>2022-08</v>
      </c>
      <c r="P438" s="3" t="str">
        <f>IF(Ticket_Table[[#This Row],[resolution_hrs]]&lt;=4,"Fast",IF(Ticket_Table[[#This Row],[resolution_hrs]]&lt;=24,"Normal",IF(Ticket_Table[[#This Row],[resolution_hrs]]&lt;=48,"Slow","Very Slow")))</f>
        <v>Normal</v>
      </c>
      <c r="Q438" s="3">
        <f>YEAR(Ticket_Table[[#This Row],[raised_date]])</f>
        <v>2022</v>
      </c>
    </row>
    <row r="439" spans="1:17">
      <c r="A439" t="s">
        <v>912</v>
      </c>
      <c r="B439" t="s">
        <v>860</v>
      </c>
      <c r="C439" t="s">
        <v>175</v>
      </c>
      <c r="D439" t="s">
        <v>90</v>
      </c>
      <c r="E439" t="s">
        <v>30</v>
      </c>
      <c r="F439" t="s">
        <v>45</v>
      </c>
      <c r="G439" t="s">
        <v>46</v>
      </c>
      <c r="H439" s="1">
        <v>45193</v>
      </c>
      <c r="I439" s="2">
        <v>45193.175</v>
      </c>
      <c r="J439">
        <v>4.2</v>
      </c>
      <c r="K439" t="s">
        <v>32</v>
      </c>
      <c r="L439">
        <v>0</v>
      </c>
      <c r="M439">
        <v>5</v>
      </c>
      <c r="N439" t="s">
        <v>599</v>
      </c>
      <c r="O439" s="3" t="str">
        <f>TEXT(Ticket_Table[[#This Row],[raised_date]],"YYYY-MM")</f>
        <v>2023-09</v>
      </c>
      <c r="P439" s="3" t="str">
        <f>IF(Ticket_Table[[#This Row],[resolution_hrs]]&lt;=4,"Fast",IF(Ticket_Table[[#This Row],[resolution_hrs]]&lt;=24,"Normal",IF(Ticket_Table[[#This Row],[resolution_hrs]]&lt;=48,"Slow","Very Slow")))</f>
        <v>Normal</v>
      </c>
      <c r="Q439" s="3">
        <f>YEAR(Ticket_Table[[#This Row],[raised_date]])</f>
        <v>2023</v>
      </c>
    </row>
    <row r="440" spans="1:17">
      <c r="A440" t="s">
        <v>913</v>
      </c>
      <c r="B440" t="s">
        <v>914</v>
      </c>
      <c r="C440" t="s">
        <v>175</v>
      </c>
      <c r="D440" t="s">
        <v>90</v>
      </c>
      <c r="E440" t="s">
        <v>83</v>
      </c>
      <c r="F440" t="s">
        <v>22</v>
      </c>
      <c r="G440" t="s">
        <v>74</v>
      </c>
      <c r="H440" s="1">
        <v>45276</v>
      </c>
      <c r="I440" s="2">
        <v>45278.6416666667</v>
      </c>
      <c r="J440">
        <v>63.4</v>
      </c>
      <c r="K440" t="s">
        <v>24</v>
      </c>
      <c r="L440">
        <v>0</v>
      </c>
      <c r="M440">
        <v>4</v>
      </c>
      <c r="N440" t="s">
        <v>130</v>
      </c>
      <c r="O440" s="3" t="str">
        <f>TEXT(Ticket_Table[[#This Row],[raised_date]],"YYYY-MM")</f>
        <v>2023-12</v>
      </c>
      <c r="P440" s="3" t="str">
        <f>IF(Ticket_Table[[#This Row],[resolution_hrs]]&lt;=4,"Fast",IF(Ticket_Table[[#This Row],[resolution_hrs]]&lt;=24,"Normal",IF(Ticket_Table[[#This Row],[resolution_hrs]]&lt;=48,"Slow","Very Slow")))</f>
        <v>Very Slow</v>
      </c>
      <c r="Q440" s="3">
        <f>YEAR(Ticket_Table[[#This Row],[raised_date]])</f>
        <v>2023</v>
      </c>
    </row>
    <row r="441" spans="1:17">
      <c r="A441" t="s">
        <v>915</v>
      </c>
      <c r="B441" t="s">
        <v>546</v>
      </c>
      <c r="C441" t="s">
        <v>175</v>
      </c>
      <c r="D441" t="s">
        <v>36</v>
      </c>
      <c r="E441" t="s">
        <v>69</v>
      </c>
      <c r="F441" t="s">
        <v>22</v>
      </c>
      <c r="G441" t="s">
        <v>31</v>
      </c>
      <c r="H441" s="1">
        <v>44828</v>
      </c>
      <c r="I441" s="2">
        <v>44829.0333333333</v>
      </c>
      <c r="J441">
        <v>24.8</v>
      </c>
      <c r="K441" t="s">
        <v>24</v>
      </c>
      <c r="L441">
        <v>3</v>
      </c>
      <c r="M441">
        <v>2</v>
      </c>
      <c r="N441" t="s">
        <v>185</v>
      </c>
      <c r="O441" s="3" t="str">
        <f>TEXT(Ticket_Table[[#This Row],[raised_date]],"YYYY-MM")</f>
        <v>2022-09</v>
      </c>
      <c r="P441" s="3" t="str">
        <f>IF(Ticket_Table[[#This Row],[resolution_hrs]]&lt;=4,"Fast",IF(Ticket_Table[[#This Row],[resolution_hrs]]&lt;=24,"Normal",IF(Ticket_Table[[#This Row],[resolution_hrs]]&lt;=48,"Slow","Very Slow")))</f>
        <v>Slow</v>
      </c>
      <c r="Q441" s="3">
        <f>YEAR(Ticket_Table[[#This Row],[raised_date]])</f>
        <v>2022</v>
      </c>
    </row>
    <row r="442" spans="1:17">
      <c r="A442" t="s">
        <v>916</v>
      </c>
      <c r="B442" t="s">
        <v>57</v>
      </c>
      <c r="C442" t="s">
        <v>28</v>
      </c>
      <c r="D442" t="s">
        <v>43</v>
      </c>
      <c r="E442" t="s">
        <v>30</v>
      </c>
      <c r="F442" t="s">
        <v>22</v>
      </c>
      <c r="G442" t="s">
        <v>31</v>
      </c>
      <c r="H442" s="1">
        <v>44290</v>
      </c>
      <c r="I442" s="2">
        <v>44294.2125</v>
      </c>
      <c r="J442">
        <v>101.1</v>
      </c>
      <c r="K442" t="s">
        <v>32</v>
      </c>
      <c r="L442">
        <v>0</v>
      </c>
      <c r="M442">
        <v>3</v>
      </c>
      <c r="N442" t="s">
        <v>917</v>
      </c>
      <c r="O442" s="3" t="str">
        <f>TEXT(Ticket_Table[[#This Row],[raised_date]],"YYYY-MM")</f>
        <v>2021-04</v>
      </c>
      <c r="P442" s="3" t="str">
        <f>IF(Ticket_Table[[#This Row],[resolution_hrs]]&lt;=4,"Fast",IF(Ticket_Table[[#This Row],[resolution_hrs]]&lt;=24,"Normal",IF(Ticket_Table[[#This Row],[resolution_hrs]]&lt;=48,"Slow","Very Slow")))</f>
        <v>Very Slow</v>
      </c>
      <c r="Q442" s="3">
        <f>YEAR(Ticket_Table[[#This Row],[raised_date]])</f>
        <v>2021</v>
      </c>
    </row>
    <row r="443" spans="1:17">
      <c r="A443" t="s">
        <v>918</v>
      </c>
      <c r="B443" t="s">
        <v>919</v>
      </c>
      <c r="C443" t="s">
        <v>55</v>
      </c>
      <c r="D443" t="s">
        <v>43</v>
      </c>
      <c r="E443" t="s">
        <v>30</v>
      </c>
      <c r="F443" t="s">
        <v>22</v>
      </c>
      <c r="G443" t="s">
        <v>23</v>
      </c>
      <c r="H443" s="1">
        <v>44648</v>
      </c>
      <c r="I443" s="2">
        <v>44649.2791666667</v>
      </c>
      <c r="J443">
        <v>30.7</v>
      </c>
      <c r="K443" t="s">
        <v>24</v>
      </c>
      <c r="L443">
        <v>0</v>
      </c>
      <c r="M443">
        <v>4</v>
      </c>
      <c r="N443" t="s">
        <v>135</v>
      </c>
      <c r="O443" s="3" t="str">
        <f>TEXT(Ticket_Table[[#This Row],[raised_date]],"YYYY-MM")</f>
        <v>2022-03</v>
      </c>
      <c r="P443" s="3" t="str">
        <f>IF(Ticket_Table[[#This Row],[resolution_hrs]]&lt;=4,"Fast",IF(Ticket_Table[[#This Row],[resolution_hrs]]&lt;=24,"Normal",IF(Ticket_Table[[#This Row],[resolution_hrs]]&lt;=48,"Slow","Very Slow")))</f>
        <v>Slow</v>
      </c>
      <c r="Q443" s="3">
        <f>YEAR(Ticket_Table[[#This Row],[raised_date]])</f>
        <v>2022</v>
      </c>
    </row>
    <row r="444" spans="1:17">
      <c r="A444" t="s">
        <v>920</v>
      </c>
      <c r="B444" t="s">
        <v>382</v>
      </c>
      <c r="C444" t="s">
        <v>95</v>
      </c>
      <c r="D444" t="s">
        <v>20</v>
      </c>
      <c r="E444" t="s">
        <v>69</v>
      </c>
      <c r="F444" t="s">
        <v>70</v>
      </c>
      <c r="G444" t="s">
        <v>23</v>
      </c>
      <c r="H444" s="1">
        <v>45006</v>
      </c>
      <c r="I444" s="2">
        <v>45006.1083333333</v>
      </c>
      <c r="J444">
        <v>2.6</v>
      </c>
      <c r="K444" t="s">
        <v>24</v>
      </c>
      <c r="L444">
        <v>0</v>
      </c>
      <c r="M444">
        <v>4</v>
      </c>
      <c r="N444" t="s">
        <v>126</v>
      </c>
      <c r="O444" s="3" t="str">
        <f>TEXT(Ticket_Table[[#This Row],[raised_date]],"YYYY-MM")</f>
        <v>2023-03</v>
      </c>
      <c r="P444" s="3" t="str">
        <f>IF(Ticket_Table[[#This Row],[resolution_hrs]]&lt;=4,"Fast",IF(Ticket_Table[[#This Row],[resolution_hrs]]&lt;=24,"Normal",IF(Ticket_Table[[#This Row],[resolution_hrs]]&lt;=48,"Slow","Very Slow")))</f>
        <v>Fast</v>
      </c>
      <c r="Q444" s="3">
        <f>YEAR(Ticket_Table[[#This Row],[raised_date]])</f>
        <v>2023</v>
      </c>
    </row>
    <row r="445" spans="1:17">
      <c r="A445" t="s">
        <v>921</v>
      </c>
      <c r="B445" t="s">
        <v>922</v>
      </c>
      <c r="C445" t="s">
        <v>50</v>
      </c>
      <c r="D445" t="s">
        <v>29</v>
      </c>
      <c r="E445" t="s">
        <v>21</v>
      </c>
      <c r="F445" t="s">
        <v>70</v>
      </c>
      <c r="G445" t="s">
        <v>46</v>
      </c>
      <c r="H445" s="1">
        <v>44309</v>
      </c>
      <c r="I445" s="2">
        <v>44310.6333333333</v>
      </c>
      <c r="J445">
        <v>39.2</v>
      </c>
      <c r="K445" t="s">
        <v>24</v>
      </c>
      <c r="L445">
        <v>1</v>
      </c>
      <c r="M445">
        <v>3</v>
      </c>
      <c r="N445" t="s">
        <v>269</v>
      </c>
      <c r="O445" s="3" t="str">
        <f>TEXT(Ticket_Table[[#This Row],[raised_date]],"YYYY-MM")</f>
        <v>2021-04</v>
      </c>
      <c r="P445" s="3" t="str">
        <f>IF(Ticket_Table[[#This Row],[resolution_hrs]]&lt;=4,"Fast",IF(Ticket_Table[[#This Row],[resolution_hrs]]&lt;=24,"Normal",IF(Ticket_Table[[#This Row],[resolution_hrs]]&lt;=48,"Slow","Very Slow")))</f>
        <v>Slow</v>
      </c>
      <c r="Q445" s="3">
        <f>YEAR(Ticket_Table[[#This Row],[raised_date]])</f>
        <v>2021</v>
      </c>
    </row>
    <row r="446" spans="1:17">
      <c r="A446" t="s">
        <v>923</v>
      </c>
      <c r="B446" t="s">
        <v>924</v>
      </c>
      <c r="C446" t="s">
        <v>201</v>
      </c>
      <c r="D446" t="s">
        <v>90</v>
      </c>
      <c r="E446" t="s">
        <v>69</v>
      </c>
      <c r="F446" t="s">
        <v>22</v>
      </c>
      <c r="G446" t="s">
        <v>31</v>
      </c>
      <c r="H446" s="1">
        <v>44212</v>
      </c>
      <c r="I446" s="2">
        <v>44214.0291666667</v>
      </c>
      <c r="J446">
        <v>48.7</v>
      </c>
      <c r="K446" t="s">
        <v>24</v>
      </c>
      <c r="L446">
        <v>2</v>
      </c>
      <c r="M446">
        <v>5</v>
      </c>
      <c r="N446" t="s">
        <v>415</v>
      </c>
      <c r="O446" s="3" t="str">
        <f>TEXT(Ticket_Table[[#This Row],[raised_date]],"YYYY-MM")</f>
        <v>2021-01</v>
      </c>
      <c r="P446" s="3" t="str">
        <f>IF(Ticket_Table[[#This Row],[resolution_hrs]]&lt;=4,"Fast",IF(Ticket_Table[[#This Row],[resolution_hrs]]&lt;=24,"Normal",IF(Ticket_Table[[#This Row],[resolution_hrs]]&lt;=48,"Slow","Very Slow")))</f>
        <v>Very Slow</v>
      </c>
      <c r="Q446" s="3">
        <f>YEAR(Ticket_Table[[#This Row],[raised_date]])</f>
        <v>2021</v>
      </c>
    </row>
    <row r="447" spans="1:17">
      <c r="A447" t="s">
        <v>925</v>
      </c>
      <c r="B447" t="s">
        <v>926</v>
      </c>
      <c r="C447" t="s">
        <v>201</v>
      </c>
      <c r="D447" t="s">
        <v>20</v>
      </c>
      <c r="E447" t="s">
        <v>51</v>
      </c>
      <c r="F447" t="s">
        <v>45</v>
      </c>
      <c r="G447" t="s">
        <v>74</v>
      </c>
      <c r="H447" s="1">
        <v>44615</v>
      </c>
      <c r="I447" s="2">
        <v>44615.1833333333</v>
      </c>
      <c r="J447">
        <v>4.4</v>
      </c>
      <c r="K447" t="s">
        <v>32</v>
      </c>
      <c r="L447">
        <v>0</v>
      </c>
      <c r="M447">
        <v>3</v>
      </c>
      <c r="N447" t="s">
        <v>141</v>
      </c>
      <c r="O447" s="3" t="str">
        <f>TEXT(Ticket_Table[[#This Row],[raised_date]],"YYYY-MM")</f>
        <v>2022-02</v>
      </c>
      <c r="P447" s="3" t="str">
        <f>IF(Ticket_Table[[#This Row],[resolution_hrs]]&lt;=4,"Fast",IF(Ticket_Table[[#This Row],[resolution_hrs]]&lt;=24,"Normal",IF(Ticket_Table[[#This Row],[resolution_hrs]]&lt;=48,"Slow","Very Slow")))</f>
        <v>Normal</v>
      </c>
      <c r="Q447" s="3">
        <f>YEAR(Ticket_Table[[#This Row],[raised_date]])</f>
        <v>2022</v>
      </c>
    </row>
    <row r="448" spans="1:17">
      <c r="A448" t="s">
        <v>927</v>
      </c>
      <c r="B448" t="s">
        <v>722</v>
      </c>
      <c r="C448" t="s">
        <v>213</v>
      </c>
      <c r="D448" t="s">
        <v>36</v>
      </c>
      <c r="E448" t="s">
        <v>51</v>
      </c>
      <c r="F448" t="s">
        <v>38</v>
      </c>
      <c r="G448" t="s">
        <v>31</v>
      </c>
      <c r="H448" s="1">
        <v>44814</v>
      </c>
      <c r="I448" s="2">
        <v>44814.1708333333</v>
      </c>
      <c r="J448">
        <v>4.1</v>
      </c>
      <c r="K448" t="s">
        <v>24</v>
      </c>
      <c r="L448">
        <v>0</v>
      </c>
      <c r="M448">
        <v>1</v>
      </c>
      <c r="N448" t="s">
        <v>607</v>
      </c>
      <c r="O448" s="3" t="str">
        <f>TEXT(Ticket_Table[[#This Row],[raised_date]],"YYYY-MM")</f>
        <v>2022-09</v>
      </c>
      <c r="P448" s="3" t="str">
        <f>IF(Ticket_Table[[#This Row],[resolution_hrs]]&lt;=4,"Fast",IF(Ticket_Table[[#This Row],[resolution_hrs]]&lt;=24,"Normal",IF(Ticket_Table[[#This Row],[resolution_hrs]]&lt;=48,"Slow","Very Slow")))</f>
        <v>Normal</v>
      </c>
      <c r="Q448" s="3">
        <f>YEAR(Ticket_Table[[#This Row],[raised_date]])</f>
        <v>2022</v>
      </c>
    </row>
    <row r="449" spans="1:17">
      <c r="A449" t="s">
        <v>928</v>
      </c>
      <c r="B449" t="s">
        <v>929</v>
      </c>
      <c r="C449" t="s">
        <v>287</v>
      </c>
      <c r="D449" t="s">
        <v>90</v>
      </c>
      <c r="E449" t="s">
        <v>44</v>
      </c>
      <c r="F449" t="s">
        <v>22</v>
      </c>
      <c r="G449" t="s">
        <v>23</v>
      </c>
      <c r="H449" s="1">
        <v>44629</v>
      </c>
      <c r="I449" s="2">
        <v>44631.325</v>
      </c>
      <c r="J449">
        <v>55.8</v>
      </c>
      <c r="K449" t="s">
        <v>24</v>
      </c>
      <c r="L449">
        <v>0</v>
      </c>
      <c r="M449">
        <v>4</v>
      </c>
      <c r="N449" t="s">
        <v>233</v>
      </c>
      <c r="O449" s="3" t="str">
        <f>TEXT(Ticket_Table[[#This Row],[raised_date]],"YYYY-MM")</f>
        <v>2022-03</v>
      </c>
      <c r="P449" s="3" t="str">
        <f>IF(Ticket_Table[[#This Row],[resolution_hrs]]&lt;=4,"Fast",IF(Ticket_Table[[#This Row],[resolution_hrs]]&lt;=24,"Normal",IF(Ticket_Table[[#This Row],[resolution_hrs]]&lt;=48,"Slow","Very Slow")))</f>
        <v>Very Slow</v>
      </c>
      <c r="Q449" s="3">
        <f>YEAR(Ticket_Table[[#This Row],[raised_date]])</f>
        <v>2022</v>
      </c>
    </row>
    <row r="450" spans="1:17">
      <c r="A450" t="s">
        <v>930</v>
      </c>
      <c r="B450" t="s">
        <v>931</v>
      </c>
      <c r="C450" t="s">
        <v>287</v>
      </c>
      <c r="D450" t="s">
        <v>29</v>
      </c>
      <c r="E450" t="s">
        <v>166</v>
      </c>
      <c r="F450" t="s">
        <v>22</v>
      </c>
      <c r="G450" t="s">
        <v>23</v>
      </c>
      <c r="H450" s="1">
        <v>44478</v>
      </c>
      <c r="I450" s="2">
        <v>44478.9083333333</v>
      </c>
      <c r="J450">
        <v>21.8</v>
      </c>
      <c r="K450" t="s">
        <v>24</v>
      </c>
      <c r="L450">
        <v>0</v>
      </c>
      <c r="M450">
        <v>4</v>
      </c>
      <c r="N450" t="s">
        <v>284</v>
      </c>
      <c r="O450" s="3" t="str">
        <f>TEXT(Ticket_Table[[#This Row],[raised_date]],"YYYY-MM")</f>
        <v>2021-10</v>
      </c>
      <c r="P450" s="3" t="str">
        <f>IF(Ticket_Table[[#This Row],[resolution_hrs]]&lt;=4,"Fast",IF(Ticket_Table[[#This Row],[resolution_hrs]]&lt;=24,"Normal",IF(Ticket_Table[[#This Row],[resolution_hrs]]&lt;=48,"Slow","Very Slow")))</f>
        <v>Normal</v>
      </c>
      <c r="Q450" s="3">
        <f>YEAR(Ticket_Table[[#This Row],[raised_date]])</f>
        <v>2021</v>
      </c>
    </row>
    <row r="451" spans="1:17">
      <c r="A451" t="s">
        <v>932</v>
      </c>
      <c r="B451" t="s">
        <v>895</v>
      </c>
      <c r="C451" t="s">
        <v>82</v>
      </c>
      <c r="D451" t="s">
        <v>29</v>
      </c>
      <c r="E451" t="s">
        <v>56</v>
      </c>
      <c r="F451" t="s">
        <v>22</v>
      </c>
      <c r="G451" t="s">
        <v>31</v>
      </c>
      <c r="H451" s="1">
        <v>44720</v>
      </c>
      <c r="I451" s="2">
        <v>44721.4583333333</v>
      </c>
      <c r="J451">
        <v>35</v>
      </c>
      <c r="K451" t="s">
        <v>24</v>
      </c>
      <c r="L451">
        <v>0</v>
      </c>
      <c r="M451">
        <v>5</v>
      </c>
      <c r="N451" t="s">
        <v>423</v>
      </c>
      <c r="O451" s="3" t="str">
        <f>TEXT(Ticket_Table[[#This Row],[raised_date]],"YYYY-MM")</f>
        <v>2022-06</v>
      </c>
      <c r="P451" s="3" t="str">
        <f>IF(Ticket_Table[[#This Row],[resolution_hrs]]&lt;=4,"Fast",IF(Ticket_Table[[#This Row],[resolution_hrs]]&lt;=24,"Normal",IF(Ticket_Table[[#This Row],[resolution_hrs]]&lt;=48,"Slow","Very Slow")))</f>
        <v>Slow</v>
      </c>
      <c r="Q451" s="3">
        <f>YEAR(Ticket_Table[[#This Row],[raised_date]])</f>
        <v>2022</v>
      </c>
    </row>
    <row r="452" spans="1:17">
      <c r="A452" t="s">
        <v>933</v>
      </c>
      <c r="B452" t="s">
        <v>334</v>
      </c>
      <c r="C452" t="s">
        <v>287</v>
      </c>
      <c r="D452" t="s">
        <v>43</v>
      </c>
      <c r="E452" t="s">
        <v>44</v>
      </c>
      <c r="F452" t="s">
        <v>22</v>
      </c>
      <c r="G452" t="s">
        <v>91</v>
      </c>
      <c r="H452" s="1">
        <v>44789</v>
      </c>
      <c r="I452" s="2">
        <v>44791.7375</v>
      </c>
      <c r="J452">
        <v>65.7</v>
      </c>
      <c r="K452" t="s">
        <v>24</v>
      </c>
      <c r="L452">
        <v>0</v>
      </c>
      <c r="M452">
        <v>3</v>
      </c>
      <c r="N452" t="s">
        <v>372</v>
      </c>
      <c r="O452" s="3" t="str">
        <f>TEXT(Ticket_Table[[#This Row],[raised_date]],"YYYY-MM")</f>
        <v>2022-08</v>
      </c>
      <c r="P452" s="3" t="str">
        <f>IF(Ticket_Table[[#This Row],[resolution_hrs]]&lt;=4,"Fast",IF(Ticket_Table[[#This Row],[resolution_hrs]]&lt;=24,"Normal",IF(Ticket_Table[[#This Row],[resolution_hrs]]&lt;=48,"Slow","Very Slow")))</f>
        <v>Very Slow</v>
      </c>
      <c r="Q452" s="3">
        <f>YEAR(Ticket_Table[[#This Row],[raised_date]])</f>
        <v>2022</v>
      </c>
    </row>
    <row r="453" spans="1:17">
      <c r="A453" t="s">
        <v>934</v>
      </c>
      <c r="B453" t="s">
        <v>670</v>
      </c>
      <c r="C453" t="s">
        <v>213</v>
      </c>
      <c r="D453" t="s">
        <v>20</v>
      </c>
      <c r="E453" t="s">
        <v>44</v>
      </c>
      <c r="F453" t="s">
        <v>22</v>
      </c>
      <c r="G453" t="s">
        <v>23</v>
      </c>
      <c r="H453" s="1">
        <v>44868</v>
      </c>
      <c r="I453" s="2">
        <v>44872.2458333333</v>
      </c>
      <c r="J453">
        <v>101.9</v>
      </c>
      <c r="K453" t="s">
        <v>32</v>
      </c>
      <c r="L453">
        <v>0</v>
      </c>
      <c r="M453">
        <v>1</v>
      </c>
      <c r="N453" t="s">
        <v>935</v>
      </c>
      <c r="O453" s="3" t="str">
        <f>TEXT(Ticket_Table[[#This Row],[raised_date]],"YYYY-MM")</f>
        <v>2022-11</v>
      </c>
      <c r="P453" s="3" t="str">
        <f>IF(Ticket_Table[[#This Row],[resolution_hrs]]&lt;=4,"Fast",IF(Ticket_Table[[#This Row],[resolution_hrs]]&lt;=24,"Normal",IF(Ticket_Table[[#This Row],[resolution_hrs]]&lt;=48,"Slow","Very Slow")))</f>
        <v>Very Slow</v>
      </c>
      <c r="Q453" s="3">
        <f>YEAR(Ticket_Table[[#This Row],[raised_date]])</f>
        <v>2022</v>
      </c>
    </row>
    <row r="454" spans="1:17">
      <c r="A454" t="s">
        <v>936</v>
      </c>
      <c r="B454" t="s">
        <v>937</v>
      </c>
      <c r="C454" t="s">
        <v>175</v>
      </c>
      <c r="D454" t="s">
        <v>36</v>
      </c>
      <c r="E454" t="s">
        <v>106</v>
      </c>
      <c r="F454" t="s">
        <v>70</v>
      </c>
      <c r="G454" t="s">
        <v>31</v>
      </c>
      <c r="H454" s="1">
        <v>44442</v>
      </c>
      <c r="I454" s="2">
        <v>44444.7291666667</v>
      </c>
      <c r="J454">
        <v>65.5</v>
      </c>
      <c r="K454" t="s">
        <v>32</v>
      </c>
      <c r="L454">
        <v>0</v>
      </c>
      <c r="M454">
        <v>2</v>
      </c>
      <c r="N454" t="s">
        <v>325</v>
      </c>
      <c r="O454" s="3" t="str">
        <f>TEXT(Ticket_Table[[#This Row],[raised_date]],"YYYY-MM")</f>
        <v>2021-09</v>
      </c>
      <c r="P454" s="3" t="str">
        <f>IF(Ticket_Table[[#This Row],[resolution_hrs]]&lt;=4,"Fast",IF(Ticket_Table[[#This Row],[resolution_hrs]]&lt;=24,"Normal",IF(Ticket_Table[[#This Row],[resolution_hrs]]&lt;=48,"Slow","Very Slow")))</f>
        <v>Very Slow</v>
      </c>
      <c r="Q454" s="3">
        <f>YEAR(Ticket_Table[[#This Row],[raised_date]])</f>
        <v>2021</v>
      </c>
    </row>
    <row r="455" spans="1:17">
      <c r="A455" t="s">
        <v>938</v>
      </c>
      <c r="B455" t="s">
        <v>368</v>
      </c>
      <c r="C455" t="s">
        <v>82</v>
      </c>
      <c r="D455" t="s">
        <v>90</v>
      </c>
      <c r="E455" t="s">
        <v>56</v>
      </c>
      <c r="F455" t="s">
        <v>22</v>
      </c>
      <c r="G455" t="s">
        <v>31</v>
      </c>
      <c r="H455" s="1">
        <v>44212</v>
      </c>
      <c r="I455" s="2">
        <v>44213.65</v>
      </c>
      <c r="J455">
        <v>39.6</v>
      </c>
      <c r="K455" t="s">
        <v>24</v>
      </c>
      <c r="L455">
        <v>0</v>
      </c>
      <c r="M455">
        <v>2</v>
      </c>
      <c r="N455" t="s">
        <v>298</v>
      </c>
      <c r="O455" s="3" t="str">
        <f>TEXT(Ticket_Table[[#This Row],[raised_date]],"YYYY-MM")</f>
        <v>2021-01</v>
      </c>
      <c r="P455" s="3" t="str">
        <f>IF(Ticket_Table[[#This Row],[resolution_hrs]]&lt;=4,"Fast",IF(Ticket_Table[[#This Row],[resolution_hrs]]&lt;=24,"Normal",IF(Ticket_Table[[#This Row],[resolution_hrs]]&lt;=48,"Slow","Very Slow")))</f>
        <v>Slow</v>
      </c>
      <c r="Q455" s="3">
        <f>YEAR(Ticket_Table[[#This Row],[raised_date]])</f>
        <v>2021</v>
      </c>
    </row>
    <row r="456" spans="1:17">
      <c r="A456" t="s">
        <v>939</v>
      </c>
      <c r="B456" t="s">
        <v>197</v>
      </c>
      <c r="C456" t="s">
        <v>213</v>
      </c>
      <c r="D456" t="s">
        <v>29</v>
      </c>
      <c r="E456" t="s">
        <v>166</v>
      </c>
      <c r="F456" t="s">
        <v>70</v>
      </c>
      <c r="G456" t="s">
        <v>31</v>
      </c>
      <c r="H456" s="1">
        <v>45215</v>
      </c>
      <c r="I456" s="2">
        <v>45215.4791666667</v>
      </c>
      <c r="J456">
        <v>11.5</v>
      </c>
      <c r="K456" t="s">
        <v>24</v>
      </c>
      <c r="L456">
        <v>2</v>
      </c>
      <c r="M456">
        <v>5</v>
      </c>
      <c r="N456" t="s">
        <v>708</v>
      </c>
      <c r="O456" s="3" t="str">
        <f>TEXT(Ticket_Table[[#This Row],[raised_date]],"YYYY-MM")</f>
        <v>2023-10</v>
      </c>
      <c r="P456" s="3" t="str">
        <f>IF(Ticket_Table[[#This Row],[resolution_hrs]]&lt;=4,"Fast",IF(Ticket_Table[[#This Row],[resolution_hrs]]&lt;=24,"Normal",IF(Ticket_Table[[#This Row],[resolution_hrs]]&lt;=48,"Slow","Very Slow")))</f>
        <v>Normal</v>
      </c>
      <c r="Q456" s="3">
        <f>YEAR(Ticket_Table[[#This Row],[raised_date]])</f>
        <v>2023</v>
      </c>
    </row>
    <row r="457" spans="1:17">
      <c r="A457" t="s">
        <v>940</v>
      </c>
      <c r="B457" t="s">
        <v>71</v>
      </c>
      <c r="C457" t="s">
        <v>117</v>
      </c>
      <c r="D457" t="s">
        <v>90</v>
      </c>
      <c r="E457" t="s">
        <v>30</v>
      </c>
      <c r="F457" t="s">
        <v>45</v>
      </c>
      <c r="G457" t="s">
        <v>91</v>
      </c>
      <c r="H457" s="1">
        <v>45078</v>
      </c>
      <c r="I457" s="2">
        <v>45078.2208333333</v>
      </c>
      <c r="J457">
        <v>5.3</v>
      </c>
      <c r="K457" t="s">
        <v>32</v>
      </c>
      <c r="L457">
        <v>0</v>
      </c>
      <c r="M457">
        <v>3</v>
      </c>
      <c r="N457" t="s">
        <v>571</v>
      </c>
      <c r="O457" s="3" t="str">
        <f>TEXT(Ticket_Table[[#This Row],[raised_date]],"YYYY-MM")</f>
        <v>2023-06</v>
      </c>
      <c r="P457" s="3" t="str">
        <f>IF(Ticket_Table[[#This Row],[resolution_hrs]]&lt;=4,"Fast",IF(Ticket_Table[[#This Row],[resolution_hrs]]&lt;=24,"Normal",IF(Ticket_Table[[#This Row],[resolution_hrs]]&lt;=48,"Slow","Very Slow")))</f>
        <v>Normal</v>
      </c>
      <c r="Q457" s="3">
        <f>YEAR(Ticket_Table[[#This Row],[raised_date]])</f>
        <v>2023</v>
      </c>
    </row>
    <row r="458" spans="1:17">
      <c r="A458" t="s">
        <v>941</v>
      </c>
      <c r="B458" t="s">
        <v>942</v>
      </c>
      <c r="C458" t="s">
        <v>95</v>
      </c>
      <c r="D458" t="s">
        <v>36</v>
      </c>
      <c r="E458" t="s">
        <v>56</v>
      </c>
      <c r="F458" t="s">
        <v>38</v>
      </c>
      <c r="G458" t="s">
        <v>23</v>
      </c>
      <c r="H458" s="1">
        <v>44556</v>
      </c>
      <c r="I458" s="2">
        <v>44556.5791666667</v>
      </c>
      <c r="J458">
        <v>13.9</v>
      </c>
      <c r="K458" t="s">
        <v>24</v>
      </c>
      <c r="L458">
        <v>0</v>
      </c>
      <c r="M458">
        <v>5</v>
      </c>
      <c r="N458" t="s">
        <v>871</v>
      </c>
      <c r="O458" s="3" t="str">
        <f>TEXT(Ticket_Table[[#This Row],[raised_date]],"YYYY-MM")</f>
        <v>2021-12</v>
      </c>
      <c r="P458" s="3" t="str">
        <f>IF(Ticket_Table[[#This Row],[resolution_hrs]]&lt;=4,"Fast",IF(Ticket_Table[[#This Row],[resolution_hrs]]&lt;=24,"Normal",IF(Ticket_Table[[#This Row],[resolution_hrs]]&lt;=48,"Slow","Very Slow")))</f>
        <v>Normal</v>
      </c>
      <c r="Q458" s="3">
        <f>YEAR(Ticket_Table[[#This Row],[raised_date]])</f>
        <v>2021</v>
      </c>
    </row>
    <row r="459" spans="1:17">
      <c r="A459" t="s">
        <v>943</v>
      </c>
      <c r="B459" t="s">
        <v>944</v>
      </c>
      <c r="C459" t="s">
        <v>140</v>
      </c>
      <c r="D459" t="s">
        <v>90</v>
      </c>
      <c r="E459" t="s">
        <v>106</v>
      </c>
      <c r="F459" t="s">
        <v>45</v>
      </c>
      <c r="G459" t="s">
        <v>31</v>
      </c>
      <c r="H459" s="1">
        <v>44461</v>
      </c>
      <c r="I459" s="2">
        <v>44461.1208333333</v>
      </c>
      <c r="J459">
        <v>2.9</v>
      </c>
      <c r="K459" t="s">
        <v>24</v>
      </c>
      <c r="L459">
        <v>1</v>
      </c>
      <c r="M459">
        <v>4</v>
      </c>
      <c r="N459" t="s">
        <v>335</v>
      </c>
      <c r="O459" s="3" t="str">
        <f>TEXT(Ticket_Table[[#This Row],[raised_date]],"YYYY-MM")</f>
        <v>2021-09</v>
      </c>
      <c r="P459" s="3" t="str">
        <f>IF(Ticket_Table[[#This Row],[resolution_hrs]]&lt;=4,"Fast",IF(Ticket_Table[[#This Row],[resolution_hrs]]&lt;=24,"Normal",IF(Ticket_Table[[#This Row],[resolution_hrs]]&lt;=48,"Slow","Very Slow")))</f>
        <v>Fast</v>
      </c>
      <c r="Q459" s="3">
        <f>YEAR(Ticket_Table[[#This Row],[raised_date]])</f>
        <v>2021</v>
      </c>
    </row>
    <row r="460" spans="1:17">
      <c r="A460" t="s">
        <v>945</v>
      </c>
      <c r="B460" t="s">
        <v>549</v>
      </c>
      <c r="C460" t="s">
        <v>261</v>
      </c>
      <c r="D460" t="s">
        <v>20</v>
      </c>
      <c r="E460" t="s">
        <v>37</v>
      </c>
      <c r="F460" t="s">
        <v>22</v>
      </c>
      <c r="G460" t="s">
        <v>31</v>
      </c>
      <c r="H460" s="1">
        <v>44975</v>
      </c>
      <c r="I460" s="2">
        <v>44976.3125</v>
      </c>
      <c r="J460">
        <v>31.5</v>
      </c>
      <c r="K460" t="s">
        <v>24</v>
      </c>
      <c r="L460">
        <v>0</v>
      </c>
      <c r="M460">
        <v>4</v>
      </c>
      <c r="N460" t="s">
        <v>487</v>
      </c>
      <c r="O460" s="3" t="str">
        <f>TEXT(Ticket_Table[[#This Row],[raised_date]],"YYYY-MM")</f>
        <v>2023-02</v>
      </c>
      <c r="P460" s="3" t="str">
        <f>IF(Ticket_Table[[#This Row],[resolution_hrs]]&lt;=4,"Fast",IF(Ticket_Table[[#This Row],[resolution_hrs]]&lt;=24,"Normal",IF(Ticket_Table[[#This Row],[resolution_hrs]]&lt;=48,"Slow","Very Slow")))</f>
        <v>Slow</v>
      </c>
      <c r="Q460" s="3">
        <f>YEAR(Ticket_Table[[#This Row],[raised_date]])</f>
        <v>2023</v>
      </c>
    </row>
    <row r="461" spans="1:17">
      <c r="A461" t="s">
        <v>946</v>
      </c>
      <c r="B461" t="s">
        <v>481</v>
      </c>
      <c r="C461" t="s">
        <v>133</v>
      </c>
      <c r="D461" t="s">
        <v>43</v>
      </c>
      <c r="E461" t="s">
        <v>44</v>
      </c>
      <c r="F461" t="s">
        <v>70</v>
      </c>
      <c r="G461" t="s">
        <v>23</v>
      </c>
      <c r="H461" s="1">
        <v>45287</v>
      </c>
      <c r="I461" s="2">
        <v>45288.0791666667</v>
      </c>
      <c r="J461">
        <v>25.9</v>
      </c>
      <c r="K461" t="s">
        <v>24</v>
      </c>
      <c r="L461">
        <v>0</v>
      </c>
      <c r="M461">
        <v>5</v>
      </c>
      <c r="N461" t="s">
        <v>947</v>
      </c>
      <c r="O461" s="3" t="str">
        <f>TEXT(Ticket_Table[[#This Row],[raised_date]],"YYYY-MM")</f>
        <v>2023-12</v>
      </c>
      <c r="P461" s="3" t="str">
        <f>IF(Ticket_Table[[#This Row],[resolution_hrs]]&lt;=4,"Fast",IF(Ticket_Table[[#This Row],[resolution_hrs]]&lt;=24,"Normal",IF(Ticket_Table[[#This Row],[resolution_hrs]]&lt;=48,"Slow","Very Slow")))</f>
        <v>Slow</v>
      </c>
      <c r="Q461" s="3">
        <f>YEAR(Ticket_Table[[#This Row],[raised_date]])</f>
        <v>2023</v>
      </c>
    </row>
    <row r="462" spans="1:17">
      <c r="A462" t="s">
        <v>948</v>
      </c>
      <c r="B462" t="s">
        <v>560</v>
      </c>
      <c r="C462" t="s">
        <v>140</v>
      </c>
      <c r="D462" t="s">
        <v>90</v>
      </c>
      <c r="E462" t="s">
        <v>69</v>
      </c>
      <c r="F462" t="s">
        <v>70</v>
      </c>
      <c r="G462" t="s">
        <v>23</v>
      </c>
      <c r="H462" s="1">
        <v>44668</v>
      </c>
      <c r="I462" s="2">
        <v>44670.9333333333</v>
      </c>
      <c r="J462">
        <v>70.4</v>
      </c>
      <c r="K462" t="s">
        <v>32</v>
      </c>
      <c r="L462">
        <v>1</v>
      </c>
      <c r="M462">
        <v>3</v>
      </c>
      <c r="N462" t="s">
        <v>178</v>
      </c>
      <c r="O462" s="3" t="str">
        <f>TEXT(Ticket_Table[[#This Row],[raised_date]],"YYYY-MM")</f>
        <v>2022-04</v>
      </c>
      <c r="P462" s="3" t="str">
        <f>IF(Ticket_Table[[#This Row],[resolution_hrs]]&lt;=4,"Fast",IF(Ticket_Table[[#This Row],[resolution_hrs]]&lt;=24,"Normal",IF(Ticket_Table[[#This Row],[resolution_hrs]]&lt;=48,"Slow","Very Slow")))</f>
        <v>Very Slow</v>
      </c>
      <c r="Q462" s="3">
        <f>YEAR(Ticket_Table[[#This Row],[raised_date]])</f>
        <v>2022</v>
      </c>
    </row>
    <row r="463" spans="1:17">
      <c r="A463" t="s">
        <v>949</v>
      </c>
      <c r="B463" t="s">
        <v>950</v>
      </c>
      <c r="C463" t="s">
        <v>42</v>
      </c>
      <c r="D463" t="s">
        <v>43</v>
      </c>
      <c r="E463" t="s">
        <v>44</v>
      </c>
      <c r="F463" t="s">
        <v>22</v>
      </c>
      <c r="G463" t="s">
        <v>23</v>
      </c>
      <c r="H463" s="1">
        <v>45221</v>
      </c>
      <c r="I463" s="2">
        <v>45224.9416666667</v>
      </c>
      <c r="J463">
        <v>94.6</v>
      </c>
      <c r="K463" t="s">
        <v>32</v>
      </c>
      <c r="L463">
        <v>0</v>
      </c>
      <c r="M463">
        <v>3</v>
      </c>
      <c r="N463" t="s">
        <v>479</v>
      </c>
      <c r="O463" s="3" t="str">
        <f>TEXT(Ticket_Table[[#This Row],[raised_date]],"YYYY-MM")</f>
        <v>2023-10</v>
      </c>
      <c r="P463" s="3" t="str">
        <f>IF(Ticket_Table[[#This Row],[resolution_hrs]]&lt;=4,"Fast",IF(Ticket_Table[[#This Row],[resolution_hrs]]&lt;=24,"Normal",IF(Ticket_Table[[#This Row],[resolution_hrs]]&lt;=48,"Slow","Very Slow")))</f>
        <v>Very Slow</v>
      </c>
      <c r="Q463" s="3">
        <f>YEAR(Ticket_Table[[#This Row],[raised_date]])</f>
        <v>2023</v>
      </c>
    </row>
    <row r="464" spans="1:17">
      <c r="A464" t="s">
        <v>951</v>
      </c>
      <c r="B464" t="s">
        <v>415</v>
      </c>
      <c r="C464" t="s">
        <v>261</v>
      </c>
      <c r="D464" t="s">
        <v>36</v>
      </c>
      <c r="E464" t="s">
        <v>21</v>
      </c>
      <c r="F464" t="s">
        <v>22</v>
      </c>
      <c r="G464" t="s">
        <v>31</v>
      </c>
      <c r="H464" s="1">
        <v>44922</v>
      </c>
      <c r="I464" s="2">
        <v>44922.4333333333</v>
      </c>
      <c r="J464">
        <v>10.4</v>
      </c>
      <c r="K464" t="s">
        <v>24</v>
      </c>
      <c r="L464">
        <v>0</v>
      </c>
      <c r="M464">
        <v>4</v>
      </c>
      <c r="N464" t="s">
        <v>367</v>
      </c>
      <c r="O464" s="3" t="str">
        <f>TEXT(Ticket_Table[[#This Row],[raised_date]],"YYYY-MM")</f>
        <v>2022-12</v>
      </c>
      <c r="P464" s="3" t="str">
        <f>IF(Ticket_Table[[#This Row],[resolution_hrs]]&lt;=4,"Fast",IF(Ticket_Table[[#This Row],[resolution_hrs]]&lt;=24,"Normal",IF(Ticket_Table[[#This Row],[resolution_hrs]]&lt;=48,"Slow","Very Slow")))</f>
        <v>Normal</v>
      </c>
      <c r="Q464" s="3">
        <f>YEAR(Ticket_Table[[#This Row],[raised_date]])</f>
        <v>2022</v>
      </c>
    </row>
    <row r="465" spans="1:17">
      <c r="A465" t="s">
        <v>952</v>
      </c>
      <c r="B465" t="s">
        <v>854</v>
      </c>
      <c r="C465" t="s">
        <v>102</v>
      </c>
      <c r="D465" t="s">
        <v>43</v>
      </c>
      <c r="E465" t="s">
        <v>106</v>
      </c>
      <c r="F465" t="s">
        <v>38</v>
      </c>
      <c r="G465" t="s">
        <v>31</v>
      </c>
      <c r="H465" s="1">
        <v>44344</v>
      </c>
      <c r="I465" s="2">
        <v>44345.1041666667</v>
      </c>
      <c r="J465">
        <v>26.5</v>
      </c>
      <c r="K465" t="s">
        <v>32</v>
      </c>
      <c r="L465">
        <v>0</v>
      </c>
      <c r="M465">
        <v>3</v>
      </c>
      <c r="N465" t="s">
        <v>880</v>
      </c>
      <c r="O465" s="3" t="str">
        <f>TEXT(Ticket_Table[[#This Row],[raised_date]],"YYYY-MM")</f>
        <v>2021-05</v>
      </c>
      <c r="P465" s="3" t="str">
        <f>IF(Ticket_Table[[#This Row],[resolution_hrs]]&lt;=4,"Fast",IF(Ticket_Table[[#This Row],[resolution_hrs]]&lt;=24,"Normal",IF(Ticket_Table[[#This Row],[resolution_hrs]]&lt;=48,"Slow","Very Slow")))</f>
        <v>Slow</v>
      </c>
      <c r="Q465" s="3">
        <f>YEAR(Ticket_Table[[#This Row],[raised_date]])</f>
        <v>2021</v>
      </c>
    </row>
    <row r="466" spans="1:17">
      <c r="A466" t="s">
        <v>953</v>
      </c>
      <c r="B466" t="s">
        <v>180</v>
      </c>
      <c r="C466" t="s">
        <v>261</v>
      </c>
      <c r="D466" t="s">
        <v>90</v>
      </c>
      <c r="E466" t="s">
        <v>44</v>
      </c>
      <c r="F466" t="s">
        <v>70</v>
      </c>
      <c r="G466" t="s">
        <v>23</v>
      </c>
      <c r="H466" s="1">
        <v>45010</v>
      </c>
      <c r="I466" s="2">
        <v>45011.3541666667</v>
      </c>
      <c r="J466">
        <v>32.5</v>
      </c>
      <c r="K466" t="s">
        <v>24</v>
      </c>
      <c r="L466">
        <v>0</v>
      </c>
      <c r="M466">
        <v>5</v>
      </c>
      <c r="N466" t="s">
        <v>312</v>
      </c>
      <c r="O466" s="3" t="str">
        <f>TEXT(Ticket_Table[[#This Row],[raised_date]],"YYYY-MM")</f>
        <v>2023-03</v>
      </c>
      <c r="P466" s="3" t="str">
        <f>IF(Ticket_Table[[#This Row],[resolution_hrs]]&lt;=4,"Fast",IF(Ticket_Table[[#This Row],[resolution_hrs]]&lt;=24,"Normal",IF(Ticket_Table[[#This Row],[resolution_hrs]]&lt;=48,"Slow","Very Slow")))</f>
        <v>Slow</v>
      </c>
      <c r="Q466" s="3">
        <f>YEAR(Ticket_Table[[#This Row],[raised_date]])</f>
        <v>2023</v>
      </c>
    </row>
    <row r="467" spans="1:17">
      <c r="A467" t="s">
        <v>954</v>
      </c>
      <c r="B467" t="s">
        <v>955</v>
      </c>
      <c r="C467" t="s">
        <v>102</v>
      </c>
      <c r="D467" t="s">
        <v>90</v>
      </c>
      <c r="E467" t="s">
        <v>44</v>
      </c>
      <c r="F467" t="s">
        <v>70</v>
      </c>
      <c r="G467" t="s">
        <v>23</v>
      </c>
      <c r="H467" s="1">
        <v>44283</v>
      </c>
      <c r="I467" s="2">
        <v>44285.9791666667</v>
      </c>
      <c r="J467">
        <v>71.5</v>
      </c>
      <c r="K467" t="s">
        <v>32</v>
      </c>
      <c r="L467">
        <v>0</v>
      </c>
      <c r="M467">
        <v>5</v>
      </c>
      <c r="N467" t="s">
        <v>956</v>
      </c>
      <c r="O467" s="3" t="str">
        <f>TEXT(Ticket_Table[[#This Row],[raised_date]],"YYYY-MM")</f>
        <v>2021-03</v>
      </c>
      <c r="P467" s="3" t="str">
        <f>IF(Ticket_Table[[#This Row],[resolution_hrs]]&lt;=4,"Fast",IF(Ticket_Table[[#This Row],[resolution_hrs]]&lt;=24,"Normal",IF(Ticket_Table[[#This Row],[resolution_hrs]]&lt;=48,"Slow","Very Slow")))</f>
        <v>Very Slow</v>
      </c>
      <c r="Q467" s="3">
        <f>YEAR(Ticket_Table[[#This Row],[raised_date]])</f>
        <v>2021</v>
      </c>
    </row>
    <row r="468" spans="1:17">
      <c r="A468" t="s">
        <v>957</v>
      </c>
      <c r="B468" t="s">
        <v>592</v>
      </c>
      <c r="C468" t="s">
        <v>19</v>
      </c>
      <c r="D468" t="s">
        <v>29</v>
      </c>
      <c r="E468" t="s">
        <v>56</v>
      </c>
      <c r="F468" t="s">
        <v>70</v>
      </c>
      <c r="G468" t="s">
        <v>74</v>
      </c>
      <c r="H468" s="1">
        <v>45090</v>
      </c>
      <c r="I468" s="2">
        <v>45092.4208333333</v>
      </c>
      <c r="J468">
        <v>58.1</v>
      </c>
      <c r="K468" t="s">
        <v>32</v>
      </c>
      <c r="L468">
        <v>1</v>
      </c>
      <c r="M468">
        <v>5</v>
      </c>
      <c r="N468" t="s">
        <v>221</v>
      </c>
      <c r="O468" s="3" t="str">
        <f>TEXT(Ticket_Table[[#This Row],[raised_date]],"YYYY-MM")</f>
        <v>2023-06</v>
      </c>
      <c r="P468" s="3" t="str">
        <f>IF(Ticket_Table[[#This Row],[resolution_hrs]]&lt;=4,"Fast",IF(Ticket_Table[[#This Row],[resolution_hrs]]&lt;=24,"Normal",IF(Ticket_Table[[#This Row],[resolution_hrs]]&lt;=48,"Slow","Very Slow")))</f>
        <v>Very Slow</v>
      </c>
      <c r="Q468" s="3">
        <f>YEAR(Ticket_Table[[#This Row],[raised_date]])</f>
        <v>2023</v>
      </c>
    </row>
    <row r="469" spans="1:17">
      <c r="A469" t="s">
        <v>958</v>
      </c>
      <c r="B469" t="s">
        <v>241</v>
      </c>
      <c r="C469" t="s">
        <v>50</v>
      </c>
      <c r="D469" t="s">
        <v>90</v>
      </c>
      <c r="E469" t="s">
        <v>56</v>
      </c>
      <c r="F469" t="s">
        <v>70</v>
      </c>
      <c r="G469" t="s">
        <v>74</v>
      </c>
      <c r="H469" s="1">
        <v>44235</v>
      </c>
      <c r="I469" s="2">
        <v>44235.8958333333</v>
      </c>
      <c r="J469">
        <v>21.5</v>
      </c>
      <c r="K469" t="s">
        <v>24</v>
      </c>
      <c r="L469">
        <v>0</v>
      </c>
      <c r="M469">
        <v>5</v>
      </c>
      <c r="N469" t="s">
        <v>959</v>
      </c>
      <c r="O469" s="3" t="str">
        <f>TEXT(Ticket_Table[[#This Row],[raised_date]],"YYYY-MM")</f>
        <v>2021-02</v>
      </c>
      <c r="P469" s="3" t="str">
        <f>IF(Ticket_Table[[#This Row],[resolution_hrs]]&lt;=4,"Fast",IF(Ticket_Table[[#This Row],[resolution_hrs]]&lt;=24,"Normal",IF(Ticket_Table[[#This Row],[resolution_hrs]]&lt;=48,"Slow","Very Slow")))</f>
        <v>Normal</v>
      </c>
      <c r="Q469" s="3">
        <f>YEAR(Ticket_Table[[#This Row],[raised_date]])</f>
        <v>2021</v>
      </c>
    </row>
    <row r="470" spans="1:17">
      <c r="A470" t="s">
        <v>960</v>
      </c>
      <c r="B470" t="s">
        <v>536</v>
      </c>
      <c r="C470" t="s">
        <v>68</v>
      </c>
      <c r="D470" t="s">
        <v>43</v>
      </c>
      <c r="E470" t="s">
        <v>69</v>
      </c>
      <c r="F470" t="s">
        <v>22</v>
      </c>
      <c r="G470" t="s">
        <v>23</v>
      </c>
      <c r="H470" s="1">
        <v>45138</v>
      </c>
      <c r="I470" s="2">
        <v>45141.6333333333</v>
      </c>
      <c r="J470">
        <v>87.2</v>
      </c>
      <c r="K470" t="s">
        <v>32</v>
      </c>
      <c r="L470">
        <v>1</v>
      </c>
      <c r="M470">
        <v>4</v>
      </c>
      <c r="N470" t="s">
        <v>637</v>
      </c>
      <c r="O470" s="3" t="str">
        <f>TEXT(Ticket_Table[[#This Row],[raised_date]],"YYYY-MM")</f>
        <v>2023-07</v>
      </c>
      <c r="P470" s="3" t="str">
        <f>IF(Ticket_Table[[#This Row],[resolution_hrs]]&lt;=4,"Fast",IF(Ticket_Table[[#This Row],[resolution_hrs]]&lt;=24,"Normal",IF(Ticket_Table[[#This Row],[resolution_hrs]]&lt;=48,"Slow","Very Slow")))</f>
        <v>Very Slow</v>
      </c>
      <c r="Q470" s="3">
        <f>YEAR(Ticket_Table[[#This Row],[raised_date]])</f>
        <v>2023</v>
      </c>
    </row>
    <row r="471" spans="1:17">
      <c r="A471" t="s">
        <v>961</v>
      </c>
      <c r="B471" t="s">
        <v>415</v>
      </c>
      <c r="C471" t="s">
        <v>28</v>
      </c>
      <c r="D471" t="s">
        <v>29</v>
      </c>
      <c r="E471" t="s">
        <v>83</v>
      </c>
      <c r="F471" t="s">
        <v>70</v>
      </c>
      <c r="G471" t="s">
        <v>23</v>
      </c>
      <c r="H471" s="1">
        <v>44356</v>
      </c>
      <c r="I471" s="2">
        <v>44358.9125</v>
      </c>
      <c r="J471">
        <v>69.9</v>
      </c>
      <c r="K471" t="s">
        <v>32</v>
      </c>
      <c r="L471">
        <v>1</v>
      </c>
      <c r="M471">
        <v>4</v>
      </c>
      <c r="N471" t="s">
        <v>273</v>
      </c>
      <c r="O471" s="3" t="str">
        <f>TEXT(Ticket_Table[[#This Row],[raised_date]],"YYYY-MM")</f>
        <v>2021-06</v>
      </c>
      <c r="P471" s="3" t="str">
        <f>IF(Ticket_Table[[#This Row],[resolution_hrs]]&lt;=4,"Fast",IF(Ticket_Table[[#This Row],[resolution_hrs]]&lt;=24,"Normal",IF(Ticket_Table[[#This Row],[resolution_hrs]]&lt;=48,"Slow","Very Slow")))</f>
        <v>Very Slow</v>
      </c>
      <c r="Q471" s="3">
        <f>YEAR(Ticket_Table[[#This Row],[raised_date]])</f>
        <v>2021</v>
      </c>
    </row>
    <row r="472" spans="1:17">
      <c r="A472" t="s">
        <v>962</v>
      </c>
      <c r="B472" t="s">
        <v>270</v>
      </c>
      <c r="C472" t="s">
        <v>133</v>
      </c>
      <c r="D472" t="s">
        <v>90</v>
      </c>
      <c r="E472" t="s">
        <v>21</v>
      </c>
      <c r="F472" t="s">
        <v>22</v>
      </c>
      <c r="G472" t="s">
        <v>31</v>
      </c>
      <c r="H472" s="1">
        <v>44838</v>
      </c>
      <c r="I472" s="2">
        <v>44839.9333333333</v>
      </c>
      <c r="J472">
        <v>46.4</v>
      </c>
      <c r="K472" t="s">
        <v>24</v>
      </c>
      <c r="L472">
        <v>0</v>
      </c>
      <c r="M472">
        <v>2</v>
      </c>
      <c r="N472" t="s">
        <v>504</v>
      </c>
      <c r="O472" s="3" t="str">
        <f>TEXT(Ticket_Table[[#This Row],[raised_date]],"YYYY-MM")</f>
        <v>2022-10</v>
      </c>
      <c r="P472" s="3" t="str">
        <f>IF(Ticket_Table[[#This Row],[resolution_hrs]]&lt;=4,"Fast",IF(Ticket_Table[[#This Row],[resolution_hrs]]&lt;=24,"Normal",IF(Ticket_Table[[#This Row],[resolution_hrs]]&lt;=48,"Slow","Very Slow")))</f>
        <v>Slow</v>
      </c>
      <c r="Q472" s="3">
        <f>YEAR(Ticket_Table[[#This Row],[raised_date]])</f>
        <v>2022</v>
      </c>
    </row>
    <row r="473" spans="1:17">
      <c r="A473" t="s">
        <v>963</v>
      </c>
      <c r="B473" t="s">
        <v>595</v>
      </c>
      <c r="C473" t="s">
        <v>50</v>
      </c>
      <c r="D473" t="s">
        <v>90</v>
      </c>
      <c r="E473" t="s">
        <v>69</v>
      </c>
      <c r="F473" t="s">
        <v>22</v>
      </c>
      <c r="G473" t="s">
        <v>23</v>
      </c>
      <c r="H473" s="1">
        <v>45076</v>
      </c>
      <c r="I473" s="2">
        <v>45080.0375</v>
      </c>
      <c r="J473">
        <v>96.9</v>
      </c>
      <c r="K473" t="s">
        <v>32</v>
      </c>
      <c r="L473">
        <v>0</v>
      </c>
      <c r="M473">
        <v>4</v>
      </c>
      <c r="N473" t="s">
        <v>899</v>
      </c>
      <c r="O473" s="3" t="str">
        <f>TEXT(Ticket_Table[[#This Row],[raised_date]],"YYYY-MM")</f>
        <v>2023-05</v>
      </c>
      <c r="P4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73" s="3">
        <f>YEAR(Ticket_Table[[#This Row],[raised_date]])</f>
        <v>2023</v>
      </c>
    </row>
    <row r="474" spans="1:17">
      <c r="A474" t="s">
        <v>964</v>
      </c>
      <c r="B474" t="s">
        <v>678</v>
      </c>
      <c r="C474" t="s">
        <v>64</v>
      </c>
      <c r="D474" t="s">
        <v>36</v>
      </c>
      <c r="E474" t="s">
        <v>37</v>
      </c>
      <c r="F474" t="s">
        <v>45</v>
      </c>
      <c r="G474" t="s">
        <v>31</v>
      </c>
      <c r="H474" s="1">
        <v>45025</v>
      </c>
      <c r="I474" s="2">
        <v>45025.0708333333</v>
      </c>
      <c r="J474">
        <v>1.7</v>
      </c>
      <c r="K474" t="s">
        <v>24</v>
      </c>
      <c r="L474">
        <v>1</v>
      </c>
      <c r="M474">
        <v>3</v>
      </c>
      <c r="N474" t="s">
        <v>576</v>
      </c>
      <c r="O474" s="3" t="str">
        <f>TEXT(Ticket_Table[[#This Row],[raised_date]],"YYYY-MM")</f>
        <v>2023-04</v>
      </c>
      <c r="P474" s="3" t="str">
        <f>IF(Ticket_Table[[#This Row],[resolution_hrs]]&lt;=4,"Fast",IF(Ticket_Table[[#This Row],[resolution_hrs]]&lt;=24,"Normal",IF(Ticket_Table[[#This Row],[resolution_hrs]]&lt;=48,"Slow","Very Slow")))</f>
        <v>Fast</v>
      </c>
      <c r="Q474" s="3">
        <f>YEAR(Ticket_Table[[#This Row],[raised_date]])</f>
        <v>2023</v>
      </c>
    </row>
    <row r="475" spans="1:17">
      <c r="A475" t="s">
        <v>965</v>
      </c>
      <c r="B475" t="s">
        <v>966</v>
      </c>
      <c r="C475" t="s">
        <v>78</v>
      </c>
      <c r="D475" t="s">
        <v>29</v>
      </c>
      <c r="E475" t="s">
        <v>21</v>
      </c>
      <c r="F475" t="s">
        <v>70</v>
      </c>
      <c r="G475" t="s">
        <v>46</v>
      </c>
      <c r="H475" s="1">
        <v>45052</v>
      </c>
      <c r="I475" s="2">
        <v>45053.7791666667</v>
      </c>
      <c r="J475">
        <v>42.7</v>
      </c>
      <c r="K475" t="s">
        <v>24</v>
      </c>
      <c r="L475">
        <v>0</v>
      </c>
      <c r="M475">
        <v>5</v>
      </c>
      <c r="N475" t="s">
        <v>937</v>
      </c>
      <c r="O475" s="3" t="str">
        <f>TEXT(Ticket_Table[[#This Row],[raised_date]],"YYYY-MM")</f>
        <v>2023-05</v>
      </c>
      <c r="P475" s="3" t="str">
        <f>IF(Ticket_Table[[#This Row],[resolution_hrs]]&lt;=4,"Fast",IF(Ticket_Table[[#This Row],[resolution_hrs]]&lt;=24,"Normal",IF(Ticket_Table[[#This Row],[resolution_hrs]]&lt;=48,"Slow","Very Slow")))</f>
        <v>Slow</v>
      </c>
      <c r="Q475" s="3">
        <f>YEAR(Ticket_Table[[#This Row],[raised_date]])</f>
        <v>2023</v>
      </c>
    </row>
    <row r="476" spans="1:17">
      <c r="A476" t="s">
        <v>967</v>
      </c>
      <c r="B476" t="s">
        <v>968</v>
      </c>
      <c r="C476" t="s">
        <v>140</v>
      </c>
      <c r="D476" t="s">
        <v>36</v>
      </c>
      <c r="E476" t="s">
        <v>56</v>
      </c>
      <c r="F476" t="s">
        <v>38</v>
      </c>
      <c r="G476" t="s">
        <v>91</v>
      </c>
      <c r="H476" s="1">
        <v>44789</v>
      </c>
      <c r="I476" s="2">
        <v>44789.1666666667</v>
      </c>
      <c r="J476">
        <v>4</v>
      </c>
      <c r="K476" t="s">
        <v>24</v>
      </c>
      <c r="L476">
        <v>0</v>
      </c>
      <c r="M476">
        <v>5</v>
      </c>
      <c r="N476" t="s">
        <v>353</v>
      </c>
      <c r="O476" s="3" t="str">
        <f>TEXT(Ticket_Table[[#This Row],[raised_date]],"YYYY-MM")</f>
        <v>2022-08</v>
      </c>
      <c r="P476" s="3" t="str">
        <f>IF(Ticket_Table[[#This Row],[resolution_hrs]]&lt;=4,"Fast",IF(Ticket_Table[[#This Row],[resolution_hrs]]&lt;=24,"Normal",IF(Ticket_Table[[#This Row],[resolution_hrs]]&lt;=48,"Slow","Very Slow")))</f>
        <v>Fast</v>
      </c>
      <c r="Q476" s="3">
        <f>YEAR(Ticket_Table[[#This Row],[raised_date]])</f>
        <v>2022</v>
      </c>
    </row>
    <row r="477" spans="1:17">
      <c r="A477" t="s">
        <v>969</v>
      </c>
      <c r="B477" t="s">
        <v>334</v>
      </c>
      <c r="C477" t="s">
        <v>287</v>
      </c>
      <c r="D477" t="s">
        <v>36</v>
      </c>
      <c r="E477" t="s">
        <v>44</v>
      </c>
      <c r="F477" t="s">
        <v>70</v>
      </c>
      <c r="G477" t="s">
        <v>23</v>
      </c>
      <c r="H477" s="1">
        <v>44432</v>
      </c>
      <c r="I477" s="2">
        <v>44432.6583333333</v>
      </c>
      <c r="J477">
        <v>15.8</v>
      </c>
      <c r="K477" t="s">
        <v>24</v>
      </c>
      <c r="L477">
        <v>0</v>
      </c>
      <c r="M477">
        <v>3</v>
      </c>
      <c r="N477" t="s">
        <v>970</v>
      </c>
      <c r="O477" s="3" t="str">
        <f>TEXT(Ticket_Table[[#This Row],[raised_date]],"YYYY-MM")</f>
        <v>2021-08</v>
      </c>
      <c r="P477" s="3" t="str">
        <f>IF(Ticket_Table[[#This Row],[resolution_hrs]]&lt;=4,"Fast",IF(Ticket_Table[[#This Row],[resolution_hrs]]&lt;=24,"Normal",IF(Ticket_Table[[#This Row],[resolution_hrs]]&lt;=48,"Slow","Very Slow")))</f>
        <v>Normal</v>
      </c>
      <c r="Q477" s="3">
        <f>YEAR(Ticket_Table[[#This Row],[raised_date]])</f>
        <v>2021</v>
      </c>
    </row>
    <row r="478" spans="1:17">
      <c r="A478" t="s">
        <v>971</v>
      </c>
      <c r="B478" t="s">
        <v>496</v>
      </c>
      <c r="C478" t="s">
        <v>175</v>
      </c>
      <c r="D478" t="s">
        <v>36</v>
      </c>
      <c r="E478" t="s">
        <v>30</v>
      </c>
      <c r="F478" t="s">
        <v>70</v>
      </c>
      <c r="G478" t="s">
        <v>23</v>
      </c>
      <c r="H478" s="1">
        <v>45026</v>
      </c>
      <c r="I478" s="2">
        <v>45027.4458333333</v>
      </c>
      <c r="J478">
        <v>34.7</v>
      </c>
      <c r="K478" t="s">
        <v>24</v>
      </c>
      <c r="L478">
        <v>0</v>
      </c>
      <c r="M478">
        <v>2</v>
      </c>
      <c r="N478" t="s">
        <v>530</v>
      </c>
      <c r="O478" s="3" t="str">
        <f>TEXT(Ticket_Table[[#This Row],[raised_date]],"YYYY-MM")</f>
        <v>2023-04</v>
      </c>
      <c r="P478" s="3" t="str">
        <f>IF(Ticket_Table[[#This Row],[resolution_hrs]]&lt;=4,"Fast",IF(Ticket_Table[[#This Row],[resolution_hrs]]&lt;=24,"Normal",IF(Ticket_Table[[#This Row],[resolution_hrs]]&lt;=48,"Slow","Very Slow")))</f>
        <v>Slow</v>
      </c>
      <c r="Q478" s="3">
        <f>YEAR(Ticket_Table[[#This Row],[raised_date]])</f>
        <v>2023</v>
      </c>
    </row>
    <row r="479" spans="1:17">
      <c r="A479" t="s">
        <v>972</v>
      </c>
      <c r="B479" t="s">
        <v>387</v>
      </c>
      <c r="C479" t="s">
        <v>78</v>
      </c>
      <c r="D479" t="s">
        <v>20</v>
      </c>
      <c r="E479" t="s">
        <v>44</v>
      </c>
      <c r="F479" t="s">
        <v>22</v>
      </c>
      <c r="G479" t="s">
        <v>23</v>
      </c>
      <c r="H479" s="1">
        <v>44239</v>
      </c>
      <c r="I479" s="2">
        <v>44242.9083333333</v>
      </c>
      <c r="J479">
        <v>93.8</v>
      </c>
      <c r="K479" t="s">
        <v>32</v>
      </c>
      <c r="L479">
        <v>0</v>
      </c>
      <c r="M479">
        <v>4</v>
      </c>
      <c r="N479" t="s">
        <v>383</v>
      </c>
      <c r="O479" s="3" t="str">
        <f>TEXT(Ticket_Table[[#This Row],[raised_date]],"YYYY-MM")</f>
        <v>2021-02</v>
      </c>
      <c r="P479" s="3" t="str">
        <f>IF(Ticket_Table[[#This Row],[resolution_hrs]]&lt;=4,"Fast",IF(Ticket_Table[[#This Row],[resolution_hrs]]&lt;=24,"Normal",IF(Ticket_Table[[#This Row],[resolution_hrs]]&lt;=48,"Slow","Very Slow")))</f>
        <v>Very Slow</v>
      </c>
      <c r="Q479" s="3">
        <f>YEAR(Ticket_Table[[#This Row],[raised_date]])</f>
        <v>2021</v>
      </c>
    </row>
    <row r="480" spans="1:17">
      <c r="A480" t="s">
        <v>973</v>
      </c>
      <c r="B480" t="s">
        <v>974</v>
      </c>
      <c r="C480" t="s">
        <v>82</v>
      </c>
      <c r="D480" t="s">
        <v>36</v>
      </c>
      <c r="E480" t="s">
        <v>166</v>
      </c>
      <c r="F480" t="s">
        <v>22</v>
      </c>
      <c r="G480" t="s">
        <v>23</v>
      </c>
      <c r="H480" s="1">
        <v>44862</v>
      </c>
      <c r="I480" s="2">
        <v>44866.4416666667</v>
      </c>
      <c r="J480">
        <v>106.6</v>
      </c>
      <c r="K480" t="s">
        <v>32</v>
      </c>
      <c r="L480">
        <v>0</v>
      </c>
      <c r="M480">
        <v>4</v>
      </c>
      <c r="N480" t="s">
        <v>455</v>
      </c>
      <c r="O480" s="3" t="str">
        <f>TEXT(Ticket_Table[[#This Row],[raised_date]],"YYYY-MM")</f>
        <v>2022-10</v>
      </c>
      <c r="P480" s="3" t="str">
        <f>IF(Ticket_Table[[#This Row],[resolution_hrs]]&lt;=4,"Fast",IF(Ticket_Table[[#This Row],[resolution_hrs]]&lt;=24,"Normal",IF(Ticket_Table[[#This Row],[resolution_hrs]]&lt;=48,"Slow","Very Slow")))</f>
        <v>Very Slow</v>
      </c>
      <c r="Q480" s="3">
        <f>YEAR(Ticket_Table[[#This Row],[raised_date]])</f>
        <v>2022</v>
      </c>
    </row>
    <row r="481" spans="1:17">
      <c r="A481" t="s">
        <v>975</v>
      </c>
      <c r="B481" t="s">
        <v>200</v>
      </c>
      <c r="C481" t="s">
        <v>261</v>
      </c>
      <c r="D481" t="s">
        <v>43</v>
      </c>
      <c r="E481" t="s">
        <v>69</v>
      </c>
      <c r="F481" t="s">
        <v>22</v>
      </c>
      <c r="G481" t="s">
        <v>46</v>
      </c>
      <c r="H481" s="1">
        <v>44548</v>
      </c>
      <c r="I481" s="2">
        <v>44548.3375</v>
      </c>
      <c r="J481">
        <v>8.1</v>
      </c>
      <c r="K481" t="s">
        <v>24</v>
      </c>
      <c r="L481">
        <v>0</v>
      </c>
      <c r="M481">
        <v>4</v>
      </c>
      <c r="N481" t="s">
        <v>129</v>
      </c>
      <c r="O481" s="3" t="str">
        <f>TEXT(Ticket_Table[[#This Row],[raised_date]],"YYYY-MM")</f>
        <v>2021-12</v>
      </c>
      <c r="P481" s="3" t="str">
        <f>IF(Ticket_Table[[#This Row],[resolution_hrs]]&lt;=4,"Fast",IF(Ticket_Table[[#This Row],[resolution_hrs]]&lt;=24,"Normal",IF(Ticket_Table[[#This Row],[resolution_hrs]]&lt;=48,"Slow","Very Slow")))</f>
        <v>Normal</v>
      </c>
      <c r="Q481" s="3">
        <f>YEAR(Ticket_Table[[#This Row],[raised_date]])</f>
        <v>2021</v>
      </c>
    </row>
    <row r="482" spans="1:17">
      <c r="A482" t="s">
        <v>976</v>
      </c>
      <c r="B482" t="s">
        <v>857</v>
      </c>
      <c r="C482" t="s">
        <v>95</v>
      </c>
      <c r="D482" t="s">
        <v>90</v>
      </c>
      <c r="E482" t="s">
        <v>21</v>
      </c>
      <c r="F482" t="s">
        <v>38</v>
      </c>
      <c r="G482" t="s">
        <v>46</v>
      </c>
      <c r="H482" s="1">
        <v>45139</v>
      </c>
      <c r="I482" s="2">
        <v>45140.4416666667</v>
      </c>
      <c r="J482">
        <v>34.6</v>
      </c>
      <c r="K482" t="s">
        <v>32</v>
      </c>
      <c r="L482">
        <v>0</v>
      </c>
      <c r="M482">
        <v>4</v>
      </c>
      <c r="N482" t="s">
        <v>489</v>
      </c>
      <c r="O482" s="3" t="str">
        <f>TEXT(Ticket_Table[[#This Row],[raised_date]],"YYYY-MM")</f>
        <v>2023-08</v>
      </c>
      <c r="P482" s="3" t="str">
        <f>IF(Ticket_Table[[#This Row],[resolution_hrs]]&lt;=4,"Fast",IF(Ticket_Table[[#This Row],[resolution_hrs]]&lt;=24,"Normal",IF(Ticket_Table[[#This Row],[resolution_hrs]]&lt;=48,"Slow","Very Slow")))</f>
        <v>Slow</v>
      </c>
      <c r="Q482" s="3">
        <f>YEAR(Ticket_Table[[#This Row],[raised_date]])</f>
        <v>2023</v>
      </c>
    </row>
    <row r="483" spans="1:17">
      <c r="A483" t="s">
        <v>977</v>
      </c>
      <c r="B483" t="s">
        <v>560</v>
      </c>
      <c r="C483" t="s">
        <v>140</v>
      </c>
      <c r="D483" t="s">
        <v>20</v>
      </c>
      <c r="E483" t="s">
        <v>30</v>
      </c>
      <c r="F483" t="s">
        <v>38</v>
      </c>
      <c r="G483" t="s">
        <v>31</v>
      </c>
      <c r="H483" s="1">
        <v>44938</v>
      </c>
      <c r="I483" s="2">
        <v>44939.1458333333</v>
      </c>
      <c r="J483">
        <v>27.5</v>
      </c>
      <c r="K483" t="s">
        <v>32</v>
      </c>
      <c r="L483">
        <v>0</v>
      </c>
      <c r="M483">
        <v>5</v>
      </c>
      <c r="N483" t="s">
        <v>926</v>
      </c>
      <c r="O483" s="3" t="str">
        <f>TEXT(Ticket_Table[[#This Row],[raised_date]],"YYYY-MM")</f>
        <v>2023-01</v>
      </c>
      <c r="P483" s="3" t="str">
        <f>IF(Ticket_Table[[#This Row],[resolution_hrs]]&lt;=4,"Fast",IF(Ticket_Table[[#This Row],[resolution_hrs]]&lt;=24,"Normal",IF(Ticket_Table[[#This Row],[resolution_hrs]]&lt;=48,"Slow","Very Slow")))</f>
        <v>Slow</v>
      </c>
      <c r="Q483" s="3">
        <f>YEAR(Ticket_Table[[#This Row],[raised_date]])</f>
        <v>2023</v>
      </c>
    </row>
    <row r="484" spans="1:17">
      <c r="A484" t="s">
        <v>978</v>
      </c>
      <c r="B484" t="s">
        <v>300</v>
      </c>
      <c r="C484" t="s">
        <v>78</v>
      </c>
      <c r="D484" t="s">
        <v>36</v>
      </c>
      <c r="E484" t="s">
        <v>166</v>
      </c>
      <c r="F484" t="s">
        <v>70</v>
      </c>
      <c r="G484" t="s">
        <v>23</v>
      </c>
      <c r="H484" s="1">
        <v>44377</v>
      </c>
      <c r="I484" s="2">
        <v>44377.3041666667</v>
      </c>
      <c r="J484">
        <v>7.3</v>
      </c>
      <c r="K484" t="s">
        <v>24</v>
      </c>
      <c r="L484">
        <v>2</v>
      </c>
      <c r="M484">
        <v>3</v>
      </c>
      <c r="N484" t="s">
        <v>18</v>
      </c>
      <c r="O484" s="3" t="str">
        <f>TEXT(Ticket_Table[[#This Row],[raised_date]],"YYYY-MM")</f>
        <v>2021-06</v>
      </c>
      <c r="P484" s="3" t="str">
        <f>IF(Ticket_Table[[#This Row],[resolution_hrs]]&lt;=4,"Fast",IF(Ticket_Table[[#This Row],[resolution_hrs]]&lt;=24,"Normal",IF(Ticket_Table[[#This Row],[resolution_hrs]]&lt;=48,"Slow","Very Slow")))</f>
        <v>Normal</v>
      </c>
      <c r="Q484" s="3">
        <f>YEAR(Ticket_Table[[#This Row],[raised_date]])</f>
        <v>2021</v>
      </c>
    </row>
    <row r="485" spans="1:17">
      <c r="A485" t="s">
        <v>979</v>
      </c>
      <c r="B485" t="s">
        <v>792</v>
      </c>
      <c r="C485" t="s">
        <v>82</v>
      </c>
      <c r="D485" t="s">
        <v>90</v>
      </c>
      <c r="E485" t="s">
        <v>37</v>
      </c>
      <c r="F485" t="s">
        <v>70</v>
      </c>
      <c r="G485" t="s">
        <v>91</v>
      </c>
      <c r="H485" s="1">
        <v>45091</v>
      </c>
      <c r="I485" s="2">
        <v>45092.2541666667</v>
      </c>
      <c r="J485">
        <v>30.1</v>
      </c>
      <c r="K485" t="s">
        <v>24</v>
      </c>
      <c r="L485">
        <v>0</v>
      </c>
      <c r="M485">
        <v>4</v>
      </c>
      <c r="N485" t="s">
        <v>293</v>
      </c>
      <c r="O485" s="3" t="str">
        <f>TEXT(Ticket_Table[[#This Row],[raised_date]],"YYYY-MM")</f>
        <v>2023-06</v>
      </c>
      <c r="P485" s="3" t="str">
        <f>IF(Ticket_Table[[#This Row],[resolution_hrs]]&lt;=4,"Fast",IF(Ticket_Table[[#This Row],[resolution_hrs]]&lt;=24,"Normal",IF(Ticket_Table[[#This Row],[resolution_hrs]]&lt;=48,"Slow","Very Slow")))</f>
        <v>Slow</v>
      </c>
      <c r="Q485" s="3">
        <f>YEAR(Ticket_Table[[#This Row],[raised_date]])</f>
        <v>2023</v>
      </c>
    </row>
    <row r="486" spans="1:17">
      <c r="A486" t="s">
        <v>980</v>
      </c>
      <c r="B486" t="s">
        <v>981</v>
      </c>
      <c r="C486" t="s">
        <v>60</v>
      </c>
      <c r="D486" t="s">
        <v>29</v>
      </c>
      <c r="E486" t="s">
        <v>44</v>
      </c>
      <c r="F486" t="s">
        <v>45</v>
      </c>
      <c r="G486" t="s">
        <v>23</v>
      </c>
      <c r="H486" s="1">
        <v>44413</v>
      </c>
      <c r="I486" s="2">
        <v>44413.2333333333</v>
      </c>
      <c r="J486">
        <v>5.6</v>
      </c>
      <c r="K486" t="s">
        <v>32</v>
      </c>
      <c r="L486">
        <v>0</v>
      </c>
      <c r="M486">
        <v>4</v>
      </c>
      <c r="N486" t="s">
        <v>385</v>
      </c>
      <c r="O486" s="3" t="str">
        <f>TEXT(Ticket_Table[[#This Row],[raised_date]],"YYYY-MM")</f>
        <v>2021-08</v>
      </c>
      <c r="P486" s="3" t="str">
        <f>IF(Ticket_Table[[#This Row],[resolution_hrs]]&lt;=4,"Fast",IF(Ticket_Table[[#This Row],[resolution_hrs]]&lt;=24,"Normal",IF(Ticket_Table[[#This Row],[resolution_hrs]]&lt;=48,"Slow","Very Slow")))</f>
        <v>Normal</v>
      </c>
      <c r="Q486" s="3">
        <f>YEAR(Ticket_Table[[#This Row],[raised_date]])</f>
        <v>2021</v>
      </c>
    </row>
    <row r="487" spans="1:17">
      <c r="A487" t="s">
        <v>982</v>
      </c>
      <c r="B487" t="s">
        <v>764</v>
      </c>
      <c r="C487" t="s">
        <v>175</v>
      </c>
      <c r="D487" t="s">
        <v>29</v>
      </c>
      <c r="E487" t="s">
        <v>83</v>
      </c>
      <c r="F487" t="s">
        <v>22</v>
      </c>
      <c r="G487" t="s">
        <v>91</v>
      </c>
      <c r="H487" s="1">
        <v>44695</v>
      </c>
      <c r="I487" s="2">
        <v>44696.8916666667</v>
      </c>
      <c r="J487">
        <v>45.4</v>
      </c>
      <c r="K487" t="s">
        <v>24</v>
      </c>
      <c r="L487">
        <v>0</v>
      </c>
      <c r="M487">
        <v>3</v>
      </c>
      <c r="N487" t="s">
        <v>620</v>
      </c>
      <c r="O487" s="3" t="str">
        <f>TEXT(Ticket_Table[[#This Row],[raised_date]],"YYYY-MM")</f>
        <v>2022-05</v>
      </c>
      <c r="P487" s="3" t="str">
        <f>IF(Ticket_Table[[#This Row],[resolution_hrs]]&lt;=4,"Fast",IF(Ticket_Table[[#This Row],[resolution_hrs]]&lt;=24,"Normal",IF(Ticket_Table[[#This Row],[resolution_hrs]]&lt;=48,"Slow","Very Slow")))</f>
        <v>Slow</v>
      </c>
      <c r="Q487" s="3">
        <f>YEAR(Ticket_Table[[#This Row],[raised_date]])</f>
        <v>2022</v>
      </c>
    </row>
    <row r="488" spans="1:17">
      <c r="A488" t="s">
        <v>983</v>
      </c>
      <c r="B488" t="s">
        <v>429</v>
      </c>
      <c r="C488" t="s">
        <v>213</v>
      </c>
      <c r="D488" t="s">
        <v>90</v>
      </c>
      <c r="E488" t="s">
        <v>106</v>
      </c>
      <c r="F488" t="s">
        <v>22</v>
      </c>
      <c r="G488" t="s">
        <v>46</v>
      </c>
      <c r="H488" s="1">
        <v>45089</v>
      </c>
      <c r="I488" s="2">
        <v>45091.5208333333</v>
      </c>
      <c r="J488">
        <v>60.5</v>
      </c>
      <c r="K488" t="s">
        <v>24</v>
      </c>
      <c r="L488">
        <v>0</v>
      </c>
      <c r="M488">
        <v>4</v>
      </c>
      <c r="N488" t="s">
        <v>466</v>
      </c>
      <c r="O488" s="3" t="str">
        <f>TEXT(Ticket_Table[[#This Row],[raised_date]],"YYYY-MM")</f>
        <v>2023-06</v>
      </c>
      <c r="P488" s="3" t="str">
        <f>IF(Ticket_Table[[#This Row],[resolution_hrs]]&lt;=4,"Fast",IF(Ticket_Table[[#This Row],[resolution_hrs]]&lt;=24,"Normal",IF(Ticket_Table[[#This Row],[resolution_hrs]]&lt;=48,"Slow","Very Slow")))</f>
        <v>Very Slow</v>
      </c>
      <c r="Q488" s="3">
        <f>YEAR(Ticket_Table[[#This Row],[raised_date]])</f>
        <v>2023</v>
      </c>
    </row>
    <row r="489" spans="1:17">
      <c r="A489" t="s">
        <v>984</v>
      </c>
      <c r="B489" t="s">
        <v>712</v>
      </c>
      <c r="C489" t="s">
        <v>261</v>
      </c>
      <c r="D489" t="s">
        <v>43</v>
      </c>
      <c r="E489" t="s">
        <v>166</v>
      </c>
      <c r="F489" t="s">
        <v>70</v>
      </c>
      <c r="G489" t="s">
        <v>46</v>
      </c>
      <c r="H489" s="1">
        <v>45017</v>
      </c>
      <c r="I489" s="2">
        <v>45019.1416666667</v>
      </c>
      <c r="J489">
        <v>51.4</v>
      </c>
      <c r="K489" t="s">
        <v>32</v>
      </c>
      <c r="L489">
        <v>0</v>
      </c>
      <c r="M489">
        <v>5</v>
      </c>
      <c r="N489" t="s">
        <v>985</v>
      </c>
      <c r="O489" s="3" t="str">
        <f>TEXT(Ticket_Table[[#This Row],[raised_date]],"YYYY-MM")</f>
        <v>2023-04</v>
      </c>
      <c r="P489" s="3" t="str">
        <f>IF(Ticket_Table[[#This Row],[resolution_hrs]]&lt;=4,"Fast",IF(Ticket_Table[[#This Row],[resolution_hrs]]&lt;=24,"Normal",IF(Ticket_Table[[#This Row],[resolution_hrs]]&lt;=48,"Slow","Very Slow")))</f>
        <v>Very Slow</v>
      </c>
      <c r="Q489" s="3">
        <f>YEAR(Ticket_Table[[#This Row],[raised_date]])</f>
        <v>2023</v>
      </c>
    </row>
    <row r="490" spans="1:17">
      <c r="A490" t="s">
        <v>986</v>
      </c>
      <c r="B490" t="s">
        <v>112</v>
      </c>
      <c r="C490" t="s">
        <v>78</v>
      </c>
      <c r="D490" t="s">
        <v>90</v>
      </c>
      <c r="E490" t="s">
        <v>44</v>
      </c>
      <c r="F490" t="s">
        <v>38</v>
      </c>
      <c r="G490" t="s">
        <v>23</v>
      </c>
      <c r="H490" s="1">
        <v>45270</v>
      </c>
      <c r="I490" s="2">
        <v>45271.1416666667</v>
      </c>
      <c r="J490">
        <v>27.4</v>
      </c>
      <c r="K490" t="s">
        <v>32</v>
      </c>
      <c r="L490">
        <v>2</v>
      </c>
      <c r="M490">
        <v>5</v>
      </c>
      <c r="N490" t="s">
        <v>65</v>
      </c>
      <c r="O490" s="3" t="str">
        <f>TEXT(Ticket_Table[[#This Row],[raised_date]],"YYYY-MM")</f>
        <v>2023-12</v>
      </c>
      <c r="P490" s="3" t="str">
        <f>IF(Ticket_Table[[#This Row],[resolution_hrs]]&lt;=4,"Fast",IF(Ticket_Table[[#This Row],[resolution_hrs]]&lt;=24,"Normal",IF(Ticket_Table[[#This Row],[resolution_hrs]]&lt;=48,"Slow","Very Slow")))</f>
        <v>Slow</v>
      </c>
      <c r="Q490" s="3">
        <f>YEAR(Ticket_Table[[#This Row],[raised_date]])</f>
        <v>2023</v>
      </c>
    </row>
    <row r="491" spans="1:17">
      <c r="A491" t="s">
        <v>987</v>
      </c>
      <c r="B491" t="s">
        <v>988</v>
      </c>
      <c r="C491" t="s">
        <v>68</v>
      </c>
      <c r="D491" t="s">
        <v>90</v>
      </c>
      <c r="E491" t="s">
        <v>44</v>
      </c>
      <c r="F491" t="s">
        <v>45</v>
      </c>
      <c r="G491" t="s">
        <v>31</v>
      </c>
      <c r="H491" s="1">
        <v>44358</v>
      </c>
      <c r="I491" s="2">
        <v>44358.0708333333</v>
      </c>
      <c r="J491">
        <v>1.7</v>
      </c>
      <c r="K491" t="s">
        <v>24</v>
      </c>
      <c r="L491">
        <v>0</v>
      </c>
      <c r="M491">
        <v>4</v>
      </c>
      <c r="N491" t="s">
        <v>833</v>
      </c>
      <c r="O491" s="3" t="str">
        <f>TEXT(Ticket_Table[[#This Row],[raised_date]],"YYYY-MM")</f>
        <v>2021-06</v>
      </c>
      <c r="P491" s="3" t="str">
        <f>IF(Ticket_Table[[#This Row],[resolution_hrs]]&lt;=4,"Fast",IF(Ticket_Table[[#This Row],[resolution_hrs]]&lt;=24,"Normal",IF(Ticket_Table[[#This Row],[resolution_hrs]]&lt;=48,"Slow","Very Slow")))</f>
        <v>Fast</v>
      </c>
      <c r="Q491" s="3">
        <f>YEAR(Ticket_Table[[#This Row],[raised_date]])</f>
        <v>2021</v>
      </c>
    </row>
    <row r="492" spans="1:17">
      <c r="A492" t="s">
        <v>989</v>
      </c>
      <c r="B492" t="s">
        <v>87</v>
      </c>
      <c r="C492" t="s">
        <v>261</v>
      </c>
      <c r="D492" t="s">
        <v>20</v>
      </c>
      <c r="E492" t="s">
        <v>21</v>
      </c>
      <c r="F492" t="s">
        <v>22</v>
      </c>
      <c r="G492" t="s">
        <v>23</v>
      </c>
      <c r="H492" s="1">
        <v>45007</v>
      </c>
      <c r="I492" s="2">
        <v>45007.8708333333</v>
      </c>
      <c r="J492">
        <v>20.9</v>
      </c>
      <c r="K492" t="s">
        <v>24</v>
      </c>
      <c r="L492">
        <v>3</v>
      </c>
      <c r="M492">
        <v>5</v>
      </c>
      <c r="N492" t="s">
        <v>541</v>
      </c>
      <c r="O492" s="3" t="str">
        <f>TEXT(Ticket_Table[[#This Row],[raised_date]],"YYYY-MM")</f>
        <v>2023-03</v>
      </c>
      <c r="P492" s="3" t="str">
        <f>IF(Ticket_Table[[#This Row],[resolution_hrs]]&lt;=4,"Fast",IF(Ticket_Table[[#This Row],[resolution_hrs]]&lt;=24,"Normal",IF(Ticket_Table[[#This Row],[resolution_hrs]]&lt;=48,"Slow","Very Slow")))</f>
        <v>Normal</v>
      </c>
      <c r="Q492" s="3">
        <f>YEAR(Ticket_Table[[#This Row],[raised_date]])</f>
        <v>2023</v>
      </c>
    </row>
    <row r="493" spans="1:17">
      <c r="A493" t="s">
        <v>990</v>
      </c>
      <c r="B493" t="s">
        <v>675</v>
      </c>
      <c r="C493" t="s">
        <v>213</v>
      </c>
      <c r="D493" t="s">
        <v>29</v>
      </c>
      <c r="E493" t="s">
        <v>21</v>
      </c>
      <c r="F493" t="s">
        <v>38</v>
      </c>
      <c r="G493" t="s">
        <v>46</v>
      </c>
      <c r="H493" s="1">
        <v>44832</v>
      </c>
      <c r="I493" s="2">
        <v>44832.6</v>
      </c>
      <c r="J493">
        <v>14.4</v>
      </c>
      <c r="K493" t="s">
        <v>24</v>
      </c>
      <c r="L493">
        <v>1</v>
      </c>
      <c r="M493">
        <v>2</v>
      </c>
      <c r="N493" t="s">
        <v>730</v>
      </c>
      <c r="O493" s="3" t="str">
        <f>TEXT(Ticket_Table[[#This Row],[raised_date]],"YYYY-MM")</f>
        <v>2022-09</v>
      </c>
      <c r="P493" s="3" t="str">
        <f>IF(Ticket_Table[[#This Row],[resolution_hrs]]&lt;=4,"Fast",IF(Ticket_Table[[#This Row],[resolution_hrs]]&lt;=24,"Normal",IF(Ticket_Table[[#This Row],[resolution_hrs]]&lt;=48,"Slow","Very Slow")))</f>
        <v>Normal</v>
      </c>
      <c r="Q493" s="3">
        <f>YEAR(Ticket_Table[[#This Row],[raised_date]])</f>
        <v>2022</v>
      </c>
    </row>
    <row r="494" spans="1:17">
      <c r="A494" t="s">
        <v>991</v>
      </c>
      <c r="B494" t="s">
        <v>352</v>
      </c>
      <c r="C494" t="s">
        <v>201</v>
      </c>
      <c r="D494" t="s">
        <v>29</v>
      </c>
      <c r="E494" t="s">
        <v>83</v>
      </c>
      <c r="F494" t="s">
        <v>38</v>
      </c>
      <c r="G494" t="s">
        <v>46</v>
      </c>
      <c r="H494" s="1">
        <v>44892</v>
      </c>
      <c r="I494" s="2">
        <v>44892.85</v>
      </c>
      <c r="J494">
        <v>20.4</v>
      </c>
      <c r="K494" t="s">
        <v>24</v>
      </c>
      <c r="L494">
        <v>0</v>
      </c>
      <c r="M494">
        <v>5</v>
      </c>
      <c r="N494" t="s">
        <v>344</v>
      </c>
      <c r="O494" s="3" t="str">
        <f>TEXT(Ticket_Table[[#This Row],[raised_date]],"YYYY-MM")</f>
        <v>2022-11</v>
      </c>
      <c r="P494" s="3" t="str">
        <f>IF(Ticket_Table[[#This Row],[resolution_hrs]]&lt;=4,"Fast",IF(Ticket_Table[[#This Row],[resolution_hrs]]&lt;=24,"Normal",IF(Ticket_Table[[#This Row],[resolution_hrs]]&lt;=48,"Slow","Very Slow")))</f>
        <v>Normal</v>
      </c>
      <c r="Q494" s="3">
        <f>YEAR(Ticket_Table[[#This Row],[raised_date]])</f>
        <v>2022</v>
      </c>
    </row>
    <row r="495" spans="1:17">
      <c r="A495" t="s">
        <v>992</v>
      </c>
      <c r="B495" t="s">
        <v>652</v>
      </c>
      <c r="C495" t="s">
        <v>213</v>
      </c>
      <c r="D495" t="s">
        <v>36</v>
      </c>
      <c r="E495" t="s">
        <v>166</v>
      </c>
      <c r="F495" t="s">
        <v>22</v>
      </c>
      <c r="G495" t="s">
        <v>23</v>
      </c>
      <c r="H495" s="1">
        <v>44650</v>
      </c>
      <c r="I495" s="2">
        <v>44650.2291666667</v>
      </c>
      <c r="J495">
        <v>5.5</v>
      </c>
      <c r="K495" t="s">
        <v>24</v>
      </c>
      <c r="L495">
        <v>0</v>
      </c>
      <c r="M495">
        <v>1</v>
      </c>
      <c r="N495" t="s">
        <v>707</v>
      </c>
      <c r="O495" s="3" t="str">
        <f>TEXT(Ticket_Table[[#This Row],[raised_date]],"YYYY-MM")</f>
        <v>2022-03</v>
      </c>
      <c r="P495" s="3" t="str">
        <f>IF(Ticket_Table[[#This Row],[resolution_hrs]]&lt;=4,"Fast",IF(Ticket_Table[[#This Row],[resolution_hrs]]&lt;=24,"Normal",IF(Ticket_Table[[#This Row],[resolution_hrs]]&lt;=48,"Slow","Very Slow")))</f>
        <v>Normal</v>
      </c>
      <c r="Q495" s="3">
        <f>YEAR(Ticket_Table[[#This Row],[raised_date]])</f>
        <v>2022</v>
      </c>
    </row>
    <row r="496" spans="1:17">
      <c r="A496" t="s">
        <v>993</v>
      </c>
      <c r="B496" t="s">
        <v>312</v>
      </c>
      <c r="C496" t="s">
        <v>287</v>
      </c>
      <c r="D496" t="s">
        <v>90</v>
      </c>
      <c r="E496" t="s">
        <v>56</v>
      </c>
      <c r="F496" t="s">
        <v>70</v>
      </c>
      <c r="G496" t="s">
        <v>23</v>
      </c>
      <c r="H496" s="1">
        <v>44879</v>
      </c>
      <c r="I496" s="2">
        <v>44881.4875</v>
      </c>
      <c r="J496">
        <v>59.7</v>
      </c>
      <c r="K496" t="s">
        <v>32</v>
      </c>
      <c r="L496">
        <v>1</v>
      </c>
      <c r="M496">
        <v>4</v>
      </c>
      <c r="N496" t="s">
        <v>493</v>
      </c>
      <c r="O496" s="3" t="str">
        <f>TEXT(Ticket_Table[[#This Row],[raised_date]],"YYYY-MM")</f>
        <v>2022-11</v>
      </c>
      <c r="P496" s="3" t="str">
        <f>IF(Ticket_Table[[#This Row],[resolution_hrs]]&lt;=4,"Fast",IF(Ticket_Table[[#This Row],[resolution_hrs]]&lt;=24,"Normal",IF(Ticket_Table[[#This Row],[resolution_hrs]]&lt;=48,"Slow","Very Slow")))</f>
        <v>Very Slow</v>
      </c>
      <c r="Q496" s="3">
        <f>YEAR(Ticket_Table[[#This Row],[raised_date]])</f>
        <v>2022</v>
      </c>
    </row>
    <row r="497" spans="1:17">
      <c r="A497" t="s">
        <v>994</v>
      </c>
      <c r="B497" t="s">
        <v>457</v>
      </c>
      <c r="C497" t="s">
        <v>102</v>
      </c>
      <c r="D497" t="s">
        <v>90</v>
      </c>
      <c r="E497" t="s">
        <v>21</v>
      </c>
      <c r="F497" t="s">
        <v>70</v>
      </c>
      <c r="G497" t="s">
        <v>23</v>
      </c>
      <c r="H497" s="1">
        <v>44541</v>
      </c>
      <c r="I497" s="2">
        <v>44543.5125</v>
      </c>
      <c r="J497">
        <v>60.3</v>
      </c>
      <c r="K497" t="s">
        <v>32</v>
      </c>
      <c r="L497">
        <v>0</v>
      </c>
      <c r="M497">
        <v>3</v>
      </c>
      <c r="N497" t="s">
        <v>495</v>
      </c>
      <c r="O497" s="3" t="str">
        <f>TEXT(Ticket_Table[[#This Row],[raised_date]],"YYYY-MM")</f>
        <v>2021-12</v>
      </c>
      <c r="P497" s="3" t="str">
        <f>IF(Ticket_Table[[#This Row],[resolution_hrs]]&lt;=4,"Fast",IF(Ticket_Table[[#This Row],[resolution_hrs]]&lt;=24,"Normal",IF(Ticket_Table[[#This Row],[resolution_hrs]]&lt;=48,"Slow","Very Slow")))</f>
        <v>Very Slow</v>
      </c>
      <c r="Q497" s="3">
        <f>YEAR(Ticket_Table[[#This Row],[raised_date]])</f>
        <v>2021</v>
      </c>
    </row>
    <row r="498" spans="1:17">
      <c r="A498" t="s">
        <v>995</v>
      </c>
      <c r="B498" t="s">
        <v>576</v>
      </c>
      <c r="C498" t="s">
        <v>133</v>
      </c>
      <c r="D498" t="s">
        <v>43</v>
      </c>
      <c r="E498" t="s">
        <v>106</v>
      </c>
      <c r="F498" t="s">
        <v>45</v>
      </c>
      <c r="G498" t="s">
        <v>31</v>
      </c>
      <c r="H498" s="1">
        <v>44353</v>
      </c>
      <c r="I498" s="2">
        <v>44353.1041666667</v>
      </c>
      <c r="J498">
        <v>2.5</v>
      </c>
      <c r="K498" t="s">
        <v>24</v>
      </c>
      <c r="L498">
        <v>0</v>
      </c>
      <c r="M498">
        <v>5</v>
      </c>
      <c r="N498" t="s">
        <v>956</v>
      </c>
      <c r="O498" s="3" t="str">
        <f>TEXT(Ticket_Table[[#This Row],[raised_date]],"YYYY-MM")</f>
        <v>2021-06</v>
      </c>
      <c r="P498" s="3" t="str">
        <f>IF(Ticket_Table[[#This Row],[resolution_hrs]]&lt;=4,"Fast",IF(Ticket_Table[[#This Row],[resolution_hrs]]&lt;=24,"Normal",IF(Ticket_Table[[#This Row],[resolution_hrs]]&lt;=48,"Slow","Very Slow")))</f>
        <v>Fast</v>
      </c>
      <c r="Q498" s="3">
        <f>YEAR(Ticket_Table[[#This Row],[raised_date]])</f>
        <v>2021</v>
      </c>
    </row>
    <row r="499" spans="1:17">
      <c r="A499" t="s">
        <v>996</v>
      </c>
      <c r="B499" t="s">
        <v>180</v>
      </c>
      <c r="C499" t="s">
        <v>42</v>
      </c>
      <c r="D499" t="s">
        <v>29</v>
      </c>
      <c r="E499" t="s">
        <v>44</v>
      </c>
      <c r="F499" t="s">
        <v>22</v>
      </c>
      <c r="G499" t="s">
        <v>23</v>
      </c>
      <c r="H499" s="1">
        <v>45242</v>
      </c>
      <c r="I499" s="2">
        <v>45244.5333333333</v>
      </c>
      <c r="J499">
        <v>60.8</v>
      </c>
      <c r="K499" t="s">
        <v>24</v>
      </c>
      <c r="L499">
        <v>0</v>
      </c>
      <c r="M499">
        <v>3</v>
      </c>
      <c r="N499" t="s">
        <v>600</v>
      </c>
      <c r="O499" s="3" t="str">
        <f>TEXT(Ticket_Table[[#This Row],[raised_date]],"YYYY-MM")</f>
        <v>2023-11</v>
      </c>
      <c r="P499" s="3" t="str">
        <f>IF(Ticket_Table[[#This Row],[resolution_hrs]]&lt;=4,"Fast",IF(Ticket_Table[[#This Row],[resolution_hrs]]&lt;=24,"Normal",IF(Ticket_Table[[#This Row],[resolution_hrs]]&lt;=48,"Slow","Very Slow")))</f>
        <v>Very Slow</v>
      </c>
      <c r="Q499" s="3">
        <f>YEAR(Ticket_Table[[#This Row],[raised_date]])</f>
        <v>2023</v>
      </c>
    </row>
    <row r="500" spans="1:17">
      <c r="A500" t="s">
        <v>997</v>
      </c>
      <c r="B500" t="s">
        <v>320</v>
      </c>
      <c r="C500" t="s">
        <v>50</v>
      </c>
      <c r="D500" t="s">
        <v>43</v>
      </c>
      <c r="E500" t="s">
        <v>44</v>
      </c>
      <c r="F500" t="s">
        <v>38</v>
      </c>
      <c r="G500" t="s">
        <v>31</v>
      </c>
      <c r="H500" s="1">
        <v>44430</v>
      </c>
      <c r="I500" s="2">
        <v>44430.7166666667</v>
      </c>
      <c r="J500">
        <v>17.2</v>
      </c>
      <c r="K500" t="s">
        <v>24</v>
      </c>
      <c r="L500">
        <v>0</v>
      </c>
      <c r="M500">
        <v>1</v>
      </c>
      <c r="N500" t="s">
        <v>454</v>
      </c>
      <c r="O500" s="3" t="str">
        <f>TEXT(Ticket_Table[[#This Row],[raised_date]],"YYYY-MM")</f>
        <v>2021-08</v>
      </c>
      <c r="P500" s="3" t="str">
        <f>IF(Ticket_Table[[#This Row],[resolution_hrs]]&lt;=4,"Fast",IF(Ticket_Table[[#This Row],[resolution_hrs]]&lt;=24,"Normal",IF(Ticket_Table[[#This Row],[resolution_hrs]]&lt;=48,"Slow","Very Slow")))</f>
        <v>Normal</v>
      </c>
      <c r="Q500" s="3">
        <f>YEAR(Ticket_Table[[#This Row],[raised_date]])</f>
        <v>2021</v>
      </c>
    </row>
    <row r="501" spans="1:17">
      <c r="A501" t="s">
        <v>998</v>
      </c>
      <c r="B501" t="s">
        <v>860</v>
      </c>
      <c r="C501" t="s">
        <v>42</v>
      </c>
      <c r="D501" t="s">
        <v>20</v>
      </c>
      <c r="E501" t="s">
        <v>37</v>
      </c>
      <c r="F501" t="s">
        <v>70</v>
      </c>
      <c r="G501" t="s">
        <v>23</v>
      </c>
      <c r="H501" s="1">
        <v>45283</v>
      </c>
      <c r="I501" s="2">
        <v>45283.1208333333</v>
      </c>
      <c r="J501">
        <v>2.9</v>
      </c>
      <c r="K501" t="s">
        <v>24</v>
      </c>
      <c r="L501">
        <v>1</v>
      </c>
      <c r="M501">
        <v>4</v>
      </c>
      <c r="N501" t="s">
        <v>149</v>
      </c>
      <c r="O501" s="3" t="str">
        <f>TEXT(Ticket_Table[[#This Row],[raised_date]],"YYYY-MM")</f>
        <v>2023-12</v>
      </c>
      <c r="P501" s="3" t="str">
        <f>IF(Ticket_Table[[#This Row],[resolution_hrs]]&lt;=4,"Fast",IF(Ticket_Table[[#This Row],[resolution_hrs]]&lt;=24,"Normal",IF(Ticket_Table[[#This Row],[resolution_hrs]]&lt;=48,"Slow","Very Slow")))</f>
        <v>Fast</v>
      </c>
      <c r="Q501" s="3">
        <f>YEAR(Ticket_Table[[#This Row],[raised_date]])</f>
        <v>2023</v>
      </c>
    </row>
    <row r="502" spans="1:17">
      <c r="A502" t="s">
        <v>999</v>
      </c>
      <c r="B502" t="s">
        <v>589</v>
      </c>
      <c r="C502" t="s">
        <v>64</v>
      </c>
      <c r="D502" t="s">
        <v>36</v>
      </c>
      <c r="E502" t="s">
        <v>37</v>
      </c>
      <c r="F502" t="s">
        <v>38</v>
      </c>
      <c r="G502" t="s">
        <v>23</v>
      </c>
      <c r="H502" s="1">
        <v>45241</v>
      </c>
      <c r="I502" s="2">
        <v>45241.0458333333</v>
      </c>
      <c r="J502">
        <v>1.1</v>
      </c>
      <c r="K502" t="s">
        <v>24</v>
      </c>
      <c r="L502">
        <v>0</v>
      </c>
      <c r="M502">
        <v>2</v>
      </c>
      <c r="N502" t="s">
        <v>501</v>
      </c>
      <c r="O502" s="3" t="str">
        <f>TEXT(Ticket_Table[[#This Row],[raised_date]],"YYYY-MM")</f>
        <v>2023-11</v>
      </c>
      <c r="P502" s="3" t="str">
        <f>IF(Ticket_Table[[#This Row],[resolution_hrs]]&lt;=4,"Fast",IF(Ticket_Table[[#This Row],[resolution_hrs]]&lt;=24,"Normal",IF(Ticket_Table[[#This Row],[resolution_hrs]]&lt;=48,"Slow","Very Slow")))</f>
        <v>Fast</v>
      </c>
      <c r="Q502" s="3">
        <f>YEAR(Ticket_Table[[#This Row],[raised_date]])</f>
        <v>2023</v>
      </c>
    </row>
    <row r="503" spans="1:17">
      <c r="A503" t="s">
        <v>1000</v>
      </c>
      <c r="B503" t="s">
        <v>84</v>
      </c>
      <c r="C503" t="s">
        <v>19</v>
      </c>
      <c r="D503" t="s">
        <v>43</v>
      </c>
      <c r="E503" t="s">
        <v>83</v>
      </c>
      <c r="F503" t="s">
        <v>70</v>
      </c>
      <c r="G503" t="s">
        <v>91</v>
      </c>
      <c r="H503" s="1">
        <v>44594</v>
      </c>
      <c r="I503" s="2">
        <v>44594.8208333333</v>
      </c>
      <c r="J503">
        <v>19.7</v>
      </c>
      <c r="K503" t="s">
        <v>24</v>
      </c>
      <c r="L503">
        <v>3</v>
      </c>
      <c r="M503">
        <v>3</v>
      </c>
      <c r="N503" t="s">
        <v>228</v>
      </c>
      <c r="O503" s="3" t="str">
        <f>TEXT(Ticket_Table[[#This Row],[raised_date]],"YYYY-MM")</f>
        <v>2022-02</v>
      </c>
      <c r="P503" s="3" t="str">
        <f>IF(Ticket_Table[[#This Row],[resolution_hrs]]&lt;=4,"Fast",IF(Ticket_Table[[#This Row],[resolution_hrs]]&lt;=24,"Normal",IF(Ticket_Table[[#This Row],[resolution_hrs]]&lt;=48,"Slow","Very Slow")))</f>
        <v>Normal</v>
      </c>
      <c r="Q503" s="3">
        <f>YEAR(Ticket_Table[[#This Row],[raised_date]])</f>
        <v>2022</v>
      </c>
    </row>
    <row r="504" spans="1:17">
      <c r="A504" t="s">
        <v>1001</v>
      </c>
      <c r="B504" t="s">
        <v>158</v>
      </c>
      <c r="C504" t="s">
        <v>60</v>
      </c>
      <c r="D504" t="s">
        <v>29</v>
      </c>
      <c r="E504" t="s">
        <v>166</v>
      </c>
      <c r="F504" t="s">
        <v>70</v>
      </c>
      <c r="G504" t="s">
        <v>23</v>
      </c>
      <c r="H504" s="1">
        <v>44912</v>
      </c>
      <c r="I504" s="2">
        <v>44914.8708333333</v>
      </c>
      <c r="J504">
        <v>68.9</v>
      </c>
      <c r="K504" t="s">
        <v>32</v>
      </c>
      <c r="L504">
        <v>0</v>
      </c>
      <c r="M504">
        <v>4</v>
      </c>
      <c r="N504" t="s">
        <v>735</v>
      </c>
      <c r="O504" s="3" t="str">
        <f>TEXT(Ticket_Table[[#This Row],[raised_date]],"YYYY-MM")</f>
        <v>2022-12</v>
      </c>
      <c r="P504" s="3" t="str">
        <f>IF(Ticket_Table[[#This Row],[resolution_hrs]]&lt;=4,"Fast",IF(Ticket_Table[[#This Row],[resolution_hrs]]&lt;=24,"Normal",IF(Ticket_Table[[#This Row],[resolution_hrs]]&lt;=48,"Slow","Very Slow")))</f>
        <v>Very Slow</v>
      </c>
      <c r="Q504" s="3">
        <f>YEAR(Ticket_Table[[#This Row],[raised_date]])</f>
        <v>2022</v>
      </c>
    </row>
    <row r="505" spans="1:17">
      <c r="A505" t="s">
        <v>1002</v>
      </c>
      <c r="B505" t="s">
        <v>640</v>
      </c>
      <c r="C505" t="s">
        <v>201</v>
      </c>
      <c r="D505" t="s">
        <v>20</v>
      </c>
      <c r="E505" t="s">
        <v>51</v>
      </c>
      <c r="F505" t="s">
        <v>38</v>
      </c>
      <c r="G505" t="s">
        <v>23</v>
      </c>
      <c r="H505" s="1">
        <v>44916</v>
      </c>
      <c r="I505" s="2">
        <v>44917.2583333333</v>
      </c>
      <c r="J505">
        <v>30.2</v>
      </c>
      <c r="K505" t="s">
        <v>32</v>
      </c>
      <c r="L505">
        <v>1</v>
      </c>
      <c r="M505">
        <v>3</v>
      </c>
      <c r="N505" t="s">
        <v>1003</v>
      </c>
      <c r="O505" s="3" t="str">
        <f>TEXT(Ticket_Table[[#This Row],[raised_date]],"YYYY-MM")</f>
        <v>2022-12</v>
      </c>
      <c r="P505" s="3" t="str">
        <f>IF(Ticket_Table[[#This Row],[resolution_hrs]]&lt;=4,"Fast",IF(Ticket_Table[[#This Row],[resolution_hrs]]&lt;=24,"Normal",IF(Ticket_Table[[#This Row],[resolution_hrs]]&lt;=48,"Slow","Very Slow")))</f>
        <v>Slow</v>
      </c>
      <c r="Q505" s="3">
        <f>YEAR(Ticket_Table[[#This Row],[raised_date]])</f>
        <v>2022</v>
      </c>
    </row>
    <row r="506" spans="1:17">
      <c r="A506" t="s">
        <v>1004</v>
      </c>
      <c r="B506" t="s">
        <v>828</v>
      </c>
      <c r="C506" t="s">
        <v>78</v>
      </c>
      <c r="D506" t="s">
        <v>90</v>
      </c>
      <c r="E506" t="s">
        <v>30</v>
      </c>
      <c r="F506" t="s">
        <v>38</v>
      </c>
      <c r="G506" t="s">
        <v>31</v>
      </c>
      <c r="H506" s="1">
        <v>44499</v>
      </c>
      <c r="I506" s="2">
        <v>44499.7291666667</v>
      </c>
      <c r="J506">
        <v>17.5</v>
      </c>
      <c r="K506" t="s">
        <v>24</v>
      </c>
      <c r="L506">
        <v>0</v>
      </c>
      <c r="M506">
        <v>3</v>
      </c>
      <c r="N506" t="s">
        <v>323</v>
      </c>
      <c r="O506" s="3" t="str">
        <f>TEXT(Ticket_Table[[#This Row],[raised_date]],"YYYY-MM")</f>
        <v>2021-10</v>
      </c>
      <c r="P506" s="3" t="str">
        <f>IF(Ticket_Table[[#This Row],[resolution_hrs]]&lt;=4,"Fast",IF(Ticket_Table[[#This Row],[resolution_hrs]]&lt;=24,"Normal",IF(Ticket_Table[[#This Row],[resolution_hrs]]&lt;=48,"Slow","Very Slow")))</f>
        <v>Normal</v>
      </c>
      <c r="Q506" s="3">
        <f>YEAR(Ticket_Table[[#This Row],[raised_date]])</f>
        <v>2021</v>
      </c>
    </row>
    <row r="507" spans="1:17">
      <c r="A507" t="s">
        <v>1005</v>
      </c>
      <c r="B507" t="s">
        <v>1006</v>
      </c>
      <c r="C507" t="s">
        <v>19</v>
      </c>
      <c r="D507" t="s">
        <v>20</v>
      </c>
      <c r="E507" t="s">
        <v>21</v>
      </c>
      <c r="F507" t="s">
        <v>38</v>
      </c>
      <c r="G507" t="s">
        <v>74</v>
      </c>
      <c r="H507" s="1">
        <v>44680</v>
      </c>
      <c r="I507" s="2">
        <v>44680.9958333333</v>
      </c>
      <c r="J507">
        <v>23.9</v>
      </c>
      <c r="K507" t="s">
        <v>24</v>
      </c>
      <c r="L507">
        <v>0</v>
      </c>
      <c r="M507">
        <v>3</v>
      </c>
      <c r="N507" t="s">
        <v>151</v>
      </c>
      <c r="O507" s="3" t="str">
        <f>TEXT(Ticket_Table[[#This Row],[raised_date]],"YYYY-MM")</f>
        <v>2022-04</v>
      </c>
      <c r="P507" s="3" t="str">
        <f>IF(Ticket_Table[[#This Row],[resolution_hrs]]&lt;=4,"Fast",IF(Ticket_Table[[#This Row],[resolution_hrs]]&lt;=24,"Normal",IF(Ticket_Table[[#This Row],[resolution_hrs]]&lt;=48,"Slow","Very Slow")))</f>
        <v>Normal</v>
      </c>
      <c r="Q507" s="3">
        <f>YEAR(Ticket_Table[[#This Row],[raised_date]])</f>
        <v>2022</v>
      </c>
    </row>
    <row r="508" spans="1:17">
      <c r="A508" t="s">
        <v>1007</v>
      </c>
      <c r="B508" t="s">
        <v>794</v>
      </c>
      <c r="C508" t="s">
        <v>60</v>
      </c>
      <c r="D508" t="s">
        <v>43</v>
      </c>
      <c r="E508" t="s">
        <v>166</v>
      </c>
      <c r="F508" t="s">
        <v>22</v>
      </c>
      <c r="G508" t="s">
        <v>23</v>
      </c>
      <c r="H508" s="1">
        <v>44407</v>
      </c>
      <c r="I508" s="2">
        <v>44411.0208333333</v>
      </c>
      <c r="J508">
        <v>96.5</v>
      </c>
      <c r="K508" t="s">
        <v>32</v>
      </c>
      <c r="L508">
        <v>2</v>
      </c>
      <c r="M508">
        <v>2</v>
      </c>
      <c r="N508" t="s">
        <v>668</v>
      </c>
      <c r="O508" s="3" t="str">
        <f>TEXT(Ticket_Table[[#This Row],[raised_date]],"YYYY-MM")</f>
        <v>2021-07</v>
      </c>
      <c r="P508" s="3" t="str">
        <f>IF(Ticket_Table[[#This Row],[resolution_hrs]]&lt;=4,"Fast",IF(Ticket_Table[[#This Row],[resolution_hrs]]&lt;=24,"Normal",IF(Ticket_Table[[#This Row],[resolution_hrs]]&lt;=48,"Slow","Very Slow")))</f>
        <v>Very Slow</v>
      </c>
      <c r="Q508" s="3">
        <f>YEAR(Ticket_Table[[#This Row],[raised_date]])</f>
        <v>2021</v>
      </c>
    </row>
    <row r="509" spans="1:17">
      <c r="A509" t="s">
        <v>1008</v>
      </c>
      <c r="B509" t="s">
        <v>630</v>
      </c>
      <c r="C509" t="s">
        <v>175</v>
      </c>
      <c r="D509" t="s">
        <v>29</v>
      </c>
      <c r="E509" t="s">
        <v>44</v>
      </c>
      <c r="F509" t="s">
        <v>38</v>
      </c>
      <c r="G509" t="s">
        <v>74</v>
      </c>
      <c r="H509" s="1">
        <v>44496</v>
      </c>
      <c r="I509" s="2">
        <v>44496.65</v>
      </c>
      <c r="J509">
        <v>15.6</v>
      </c>
      <c r="K509" t="s">
        <v>24</v>
      </c>
      <c r="L509">
        <v>1</v>
      </c>
      <c r="M509">
        <v>4</v>
      </c>
      <c r="N509" t="s">
        <v>439</v>
      </c>
      <c r="O509" s="3" t="str">
        <f>TEXT(Ticket_Table[[#This Row],[raised_date]],"YYYY-MM")</f>
        <v>2021-10</v>
      </c>
      <c r="P509" s="3" t="str">
        <f>IF(Ticket_Table[[#This Row],[resolution_hrs]]&lt;=4,"Fast",IF(Ticket_Table[[#This Row],[resolution_hrs]]&lt;=24,"Normal",IF(Ticket_Table[[#This Row],[resolution_hrs]]&lt;=48,"Slow","Very Slow")))</f>
        <v>Normal</v>
      </c>
      <c r="Q509" s="3">
        <f>YEAR(Ticket_Table[[#This Row],[raised_date]])</f>
        <v>2021</v>
      </c>
    </row>
    <row r="510" spans="1:17">
      <c r="A510" t="s">
        <v>1009</v>
      </c>
      <c r="B510" t="s">
        <v>204</v>
      </c>
      <c r="C510" t="s">
        <v>82</v>
      </c>
      <c r="D510" t="s">
        <v>43</v>
      </c>
      <c r="E510" t="s">
        <v>69</v>
      </c>
      <c r="F510" t="s">
        <v>22</v>
      </c>
      <c r="G510" t="s">
        <v>46</v>
      </c>
      <c r="H510" s="1">
        <v>44721</v>
      </c>
      <c r="I510" s="2">
        <v>44723.2333333333</v>
      </c>
      <c r="J510">
        <v>53.6</v>
      </c>
      <c r="K510" t="s">
        <v>24</v>
      </c>
      <c r="L510">
        <v>0</v>
      </c>
      <c r="M510">
        <v>4</v>
      </c>
      <c r="N510" t="s">
        <v>370</v>
      </c>
      <c r="O510" s="3" t="str">
        <f>TEXT(Ticket_Table[[#This Row],[raised_date]],"YYYY-MM")</f>
        <v>2022-06</v>
      </c>
      <c r="P510" s="3" t="str">
        <f>IF(Ticket_Table[[#This Row],[resolution_hrs]]&lt;=4,"Fast",IF(Ticket_Table[[#This Row],[resolution_hrs]]&lt;=24,"Normal",IF(Ticket_Table[[#This Row],[resolution_hrs]]&lt;=48,"Slow","Very Slow")))</f>
        <v>Very Slow</v>
      </c>
      <c r="Q510" s="3">
        <f>YEAR(Ticket_Table[[#This Row],[raised_date]])</f>
        <v>2022</v>
      </c>
    </row>
    <row r="511" spans="1:17">
      <c r="A511" t="s">
        <v>1010</v>
      </c>
      <c r="B511" t="s">
        <v>481</v>
      </c>
      <c r="C511" t="s">
        <v>175</v>
      </c>
      <c r="D511" t="s">
        <v>90</v>
      </c>
      <c r="E511" t="s">
        <v>37</v>
      </c>
      <c r="F511" t="s">
        <v>70</v>
      </c>
      <c r="G511" t="s">
        <v>74</v>
      </c>
      <c r="H511" s="1">
        <v>44601</v>
      </c>
      <c r="I511" s="2">
        <v>44603.075</v>
      </c>
      <c r="J511">
        <v>49.8</v>
      </c>
      <c r="K511" t="s">
        <v>32</v>
      </c>
      <c r="L511">
        <v>0</v>
      </c>
      <c r="M511">
        <v>4</v>
      </c>
      <c r="N511" t="s">
        <v>1011</v>
      </c>
      <c r="O511" s="3" t="str">
        <f>TEXT(Ticket_Table[[#This Row],[raised_date]],"YYYY-MM")</f>
        <v>2022-02</v>
      </c>
      <c r="P511" s="3" t="str">
        <f>IF(Ticket_Table[[#This Row],[resolution_hrs]]&lt;=4,"Fast",IF(Ticket_Table[[#This Row],[resolution_hrs]]&lt;=24,"Normal",IF(Ticket_Table[[#This Row],[resolution_hrs]]&lt;=48,"Slow","Very Slow")))</f>
        <v>Very Slow</v>
      </c>
      <c r="Q511" s="3">
        <f>YEAR(Ticket_Table[[#This Row],[raised_date]])</f>
        <v>2022</v>
      </c>
    </row>
    <row r="512" spans="1:17">
      <c r="A512" t="s">
        <v>1012</v>
      </c>
      <c r="B512" t="s">
        <v>251</v>
      </c>
      <c r="C512" t="s">
        <v>50</v>
      </c>
      <c r="D512" t="s">
        <v>90</v>
      </c>
      <c r="E512" t="s">
        <v>30</v>
      </c>
      <c r="F512" t="s">
        <v>70</v>
      </c>
      <c r="G512" t="s">
        <v>74</v>
      </c>
      <c r="H512" s="1">
        <v>44552</v>
      </c>
      <c r="I512" s="2">
        <v>44552.7666666667</v>
      </c>
      <c r="J512">
        <v>18.4</v>
      </c>
      <c r="K512" t="s">
        <v>24</v>
      </c>
      <c r="L512">
        <v>0</v>
      </c>
      <c r="M512">
        <v>2</v>
      </c>
      <c r="N512" t="s">
        <v>1013</v>
      </c>
      <c r="O512" s="3" t="str">
        <f>TEXT(Ticket_Table[[#This Row],[raised_date]],"YYYY-MM")</f>
        <v>2021-12</v>
      </c>
      <c r="P512" s="3" t="str">
        <f>IF(Ticket_Table[[#This Row],[resolution_hrs]]&lt;=4,"Fast",IF(Ticket_Table[[#This Row],[resolution_hrs]]&lt;=24,"Normal",IF(Ticket_Table[[#This Row],[resolution_hrs]]&lt;=48,"Slow","Very Slow")))</f>
        <v>Normal</v>
      </c>
      <c r="Q512" s="3">
        <f>YEAR(Ticket_Table[[#This Row],[raised_date]])</f>
        <v>2021</v>
      </c>
    </row>
    <row r="513" spans="1:17">
      <c r="A513" t="s">
        <v>1014</v>
      </c>
      <c r="B513" t="s">
        <v>77</v>
      </c>
      <c r="C513" t="s">
        <v>117</v>
      </c>
      <c r="D513" t="s">
        <v>29</v>
      </c>
      <c r="E513" t="s">
        <v>21</v>
      </c>
      <c r="F513" t="s">
        <v>70</v>
      </c>
      <c r="G513" t="s">
        <v>23</v>
      </c>
      <c r="H513" s="1">
        <v>44510</v>
      </c>
      <c r="I513" s="2">
        <v>44510.3958333333</v>
      </c>
      <c r="J513">
        <v>9.5</v>
      </c>
      <c r="K513" t="s">
        <v>24</v>
      </c>
      <c r="L513">
        <v>1</v>
      </c>
      <c r="M513">
        <v>4</v>
      </c>
      <c r="N513" t="s">
        <v>391</v>
      </c>
      <c r="O513" s="3" t="str">
        <f>TEXT(Ticket_Table[[#This Row],[raised_date]],"YYYY-MM")</f>
        <v>2021-11</v>
      </c>
      <c r="P513" s="3" t="str">
        <f>IF(Ticket_Table[[#This Row],[resolution_hrs]]&lt;=4,"Fast",IF(Ticket_Table[[#This Row],[resolution_hrs]]&lt;=24,"Normal",IF(Ticket_Table[[#This Row],[resolution_hrs]]&lt;=48,"Slow","Very Slow")))</f>
        <v>Normal</v>
      </c>
      <c r="Q513" s="3">
        <f>YEAR(Ticket_Table[[#This Row],[raised_date]])</f>
        <v>2021</v>
      </c>
    </row>
    <row r="514" spans="1:17">
      <c r="A514" t="s">
        <v>1015</v>
      </c>
      <c r="B514" t="s">
        <v>1016</v>
      </c>
      <c r="C514" t="s">
        <v>201</v>
      </c>
      <c r="D514" t="s">
        <v>36</v>
      </c>
      <c r="E514" t="s">
        <v>56</v>
      </c>
      <c r="F514" t="s">
        <v>70</v>
      </c>
      <c r="G514" t="s">
        <v>31</v>
      </c>
      <c r="H514" s="1">
        <v>44351</v>
      </c>
      <c r="I514" s="2">
        <v>44351.8625</v>
      </c>
      <c r="J514">
        <v>20.7</v>
      </c>
      <c r="K514" t="s">
        <v>24</v>
      </c>
      <c r="L514">
        <v>0</v>
      </c>
      <c r="M514">
        <v>4</v>
      </c>
      <c r="N514" t="s">
        <v>449</v>
      </c>
      <c r="O514" s="3" t="str">
        <f>TEXT(Ticket_Table[[#This Row],[raised_date]],"YYYY-MM")</f>
        <v>2021-06</v>
      </c>
      <c r="P514" s="3" t="str">
        <f>IF(Ticket_Table[[#This Row],[resolution_hrs]]&lt;=4,"Fast",IF(Ticket_Table[[#This Row],[resolution_hrs]]&lt;=24,"Normal",IF(Ticket_Table[[#This Row],[resolution_hrs]]&lt;=48,"Slow","Very Slow")))</f>
        <v>Normal</v>
      </c>
      <c r="Q514" s="3">
        <f>YEAR(Ticket_Table[[#This Row],[raised_date]])</f>
        <v>2021</v>
      </c>
    </row>
    <row r="515" spans="1:17">
      <c r="A515" t="s">
        <v>1017</v>
      </c>
      <c r="B515" t="s">
        <v>811</v>
      </c>
      <c r="C515" t="s">
        <v>78</v>
      </c>
      <c r="D515" t="s">
        <v>20</v>
      </c>
      <c r="E515" t="s">
        <v>56</v>
      </c>
      <c r="F515" t="s">
        <v>45</v>
      </c>
      <c r="G515" t="s">
        <v>23</v>
      </c>
      <c r="H515" s="1">
        <v>44559</v>
      </c>
      <c r="I515" s="2">
        <v>44559.25</v>
      </c>
      <c r="J515">
        <v>6</v>
      </c>
      <c r="K515" t="s">
        <v>32</v>
      </c>
      <c r="L515">
        <v>1</v>
      </c>
      <c r="M515">
        <v>3</v>
      </c>
      <c r="N515" t="s">
        <v>96</v>
      </c>
      <c r="O515" s="3" t="str">
        <f>TEXT(Ticket_Table[[#This Row],[raised_date]],"YYYY-MM")</f>
        <v>2021-12</v>
      </c>
      <c r="P515" s="3" t="str">
        <f>IF(Ticket_Table[[#This Row],[resolution_hrs]]&lt;=4,"Fast",IF(Ticket_Table[[#This Row],[resolution_hrs]]&lt;=24,"Normal",IF(Ticket_Table[[#This Row],[resolution_hrs]]&lt;=48,"Slow","Very Slow")))</f>
        <v>Normal</v>
      </c>
      <c r="Q515" s="3">
        <f>YEAR(Ticket_Table[[#This Row],[raised_date]])</f>
        <v>2021</v>
      </c>
    </row>
    <row r="516" spans="1:17">
      <c r="A516" t="s">
        <v>1018</v>
      </c>
      <c r="B516" t="s">
        <v>476</v>
      </c>
      <c r="C516" t="s">
        <v>78</v>
      </c>
      <c r="D516" t="s">
        <v>20</v>
      </c>
      <c r="E516" t="s">
        <v>37</v>
      </c>
      <c r="F516" t="s">
        <v>22</v>
      </c>
      <c r="G516" t="s">
        <v>23</v>
      </c>
      <c r="H516" s="1">
        <v>45208</v>
      </c>
      <c r="I516" s="2">
        <v>45208.3375</v>
      </c>
      <c r="J516">
        <v>8.1</v>
      </c>
      <c r="K516" t="s">
        <v>24</v>
      </c>
      <c r="L516">
        <v>0</v>
      </c>
      <c r="M516">
        <v>3</v>
      </c>
      <c r="N516" t="s">
        <v>1019</v>
      </c>
      <c r="O516" s="3" t="str">
        <f>TEXT(Ticket_Table[[#This Row],[raised_date]],"YYYY-MM")</f>
        <v>2023-10</v>
      </c>
      <c r="P516" s="3" t="str">
        <f>IF(Ticket_Table[[#This Row],[resolution_hrs]]&lt;=4,"Fast",IF(Ticket_Table[[#This Row],[resolution_hrs]]&lt;=24,"Normal",IF(Ticket_Table[[#This Row],[resolution_hrs]]&lt;=48,"Slow","Very Slow")))</f>
        <v>Normal</v>
      </c>
      <c r="Q516" s="3">
        <f>YEAR(Ticket_Table[[#This Row],[raised_date]])</f>
        <v>2023</v>
      </c>
    </row>
    <row r="517" spans="1:17">
      <c r="A517" t="s">
        <v>1020</v>
      </c>
      <c r="B517" t="s">
        <v>764</v>
      </c>
      <c r="C517" t="s">
        <v>117</v>
      </c>
      <c r="D517" t="s">
        <v>90</v>
      </c>
      <c r="E517" t="s">
        <v>166</v>
      </c>
      <c r="F517" t="s">
        <v>38</v>
      </c>
      <c r="G517" t="s">
        <v>23</v>
      </c>
      <c r="H517" s="1">
        <v>45147</v>
      </c>
      <c r="I517" s="2">
        <v>45148.1291666667</v>
      </c>
      <c r="J517">
        <v>27.1</v>
      </c>
      <c r="K517" t="s">
        <v>32</v>
      </c>
      <c r="L517">
        <v>0</v>
      </c>
      <c r="M517">
        <v>3</v>
      </c>
      <c r="N517" t="s">
        <v>280</v>
      </c>
      <c r="O517" s="3" t="str">
        <f>TEXT(Ticket_Table[[#This Row],[raised_date]],"YYYY-MM")</f>
        <v>2023-08</v>
      </c>
      <c r="P517" s="3" t="str">
        <f>IF(Ticket_Table[[#This Row],[resolution_hrs]]&lt;=4,"Fast",IF(Ticket_Table[[#This Row],[resolution_hrs]]&lt;=24,"Normal",IF(Ticket_Table[[#This Row],[resolution_hrs]]&lt;=48,"Slow","Very Slow")))</f>
        <v>Slow</v>
      </c>
      <c r="Q517" s="3">
        <f>YEAR(Ticket_Table[[#This Row],[raised_date]])</f>
        <v>2023</v>
      </c>
    </row>
    <row r="518" spans="1:17">
      <c r="A518" t="s">
        <v>1021</v>
      </c>
      <c r="B518" t="s">
        <v>970</v>
      </c>
      <c r="C518" t="s">
        <v>287</v>
      </c>
      <c r="D518" t="s">
        <v>43</v>
      </c>
      <c r="E518" t="s">
        <v>21</v>
      </c>
      <c r="F518" t="s">
        <v>70</v>
      </c>
      <c r="G518" t="s">
        <v>31</v>
      </c>
      <c r="H518" s="1">
        <v>45116</v>
      </c>
      <c r="I518" s="2">
        <v>45117.7625</v>
      </c>
      <c r="J518">
        <v>42.3</v>
      </c>
      <c r="K518" t="s">
        <v>24</v>
      </c>
      <c r="L518">
        <v>1</v>
      </c>
      <c r="M518">
        <v>2</v>
      </c>
      <c r="N518" t="s">
        <v>1022</v>
      </c>
      <c r="O518" s="3" t="str">
        <f>TEXT(Ticket_Table[[#This Row],[raised_date]],"YYYY-MM")</f>
        <v>2023-07</v>
      </c>
      <c r="P518" s="3" t="str">
        <f>IF(Ticket_Table[[#This Row],[resolution_hrs]]&lt;=4,"Fast",IF(Ticket_Table[[#This Row],[resolution_hrs]]&lt;=24,"Normal",IF(Ticket_Table[[#This Row],[resolution_hrs]]&lt;=48,"Slow","Very Slow")))</f>
        <v>Slow</v>
      </c>
      <c r="Q518" s="3">
        <f>YEAR(Ticket_Table[[#This Row],[raised_date]])</f>
        <v>2023</v>
      </c>
    </row>
    <row r="519" spans="1:17">
      <c r="A519" t="s">
        <v>1023</v>
      </c>
      <c r="B519" t="s">
        <v>98</v>
      </c>
      <c r="C519" t="s">
        <v>175</v>
      </c>
      <c r="D519" t="s">
        <v>43</v>
      </c>
      <c r="E519" t="s">
        <v>30</v>
      </c>
      <c r="F519" t="s">
        <v>22</v>
      </c>
      <c r="G519" t="s">
        <v>31</v>
      </c>
      <c r="H519" s="1">
        <v>44858</v>
      </c>
      <c r="I519" s="2">
        <v>44860.5625</v>
      </c>
      <c r="J519">
        <v>61.5</v>
      </c>
      <c r="K519" t="s">
        <v>24</v>
      </c>
      <c r="L519">
        <v>0</v>
      </c>
      <c r="M519">
        <v>3</v>
      </c>
      <c r="N519" t="s">
        <v>1011</v>
      </c>
      <c r="O519" s="3" t="str">
        <f>TEXT(Ticket_Table[[#This Row],[raised_date]],"YYYY-MM")</f>
        <v>2022-10</v>
      </c>
      <c r="P519" s="3" t="str">
        <f>IF(Ticket_Table[[#This Row],[resolution_hrs]]&lt;=4,"Fast",IF(Ticket_Table[[#This Row],[resolution_hrs]]&lt;=24,"Normal",IF(Ticket_Table[[#This Row],[resolution_hrs]]&lt;=48,"Slow","Very Slow")))</f>
        <v>Very Slow</v>
      </c>
      <c r="Q519" s="3">
        <f>YEAR(Ticket_Table[[#This Row],[raised_date]])</f>
        <v>2022</v>
      </c>
    </row>
    <row r="520" spans="1:17">
      <c r="A520" t="s">
        <v>1024</v>
      </c>
      <c r="B520" t="s">
        <v>1025</v>
      </c>
      <c r="C520" t="s">
        <v>19</v>
      </c>
      <c r="D520" t="s">
        <v>36</v>
      </c>
      <c r="E520" t="s">
        <v>44</v>
      </c>
      <c r="F520" t="s">
        <v>22</v>
      </c>
      <c r="G520" t="s">
        <v>31</v>
      </c>
      <c r="H520" s="1">
        <v>44844</v>
      </c>
      <c r="I520" s="2">
        <v>44847.9125</v>
      </c>
      <c r="J520">
        <v>93.9</v>
      </c>
      <c r="K520" t="s">
        <v>32</v>
      </c>
      <c r="L520">
        <v>0</v>
      </c>
      <c r="M520">
        <v>1</v>
      </c>
      <c r="N520" t="s">
        <v>685</v>
      </c>
      <c r="O520" s="3" t="str">
        <f>TEXT(Ticket_Table[[#This Row],[raised_date]],"YYYY-MM")</f>
        <v>2022-10</v>
      </c>
      <c r="P520" s="3" t="str">
        <f>IF(Ticket_Table[[#This Row],[resolution_hrs]]&lt;=4,"Fast",IF(Ticket_Table[[#This Row],[resolution_hrs]]&lt;=24,"Normal",IF(Ticket_Table[[#This Row],[resolution_hrs]]&lt;=48,"Slow","Very Slow")))</f>
        <v>Very Slow</v>
      </c>
      <c r="Q520" s="3">
        <f>YEAR(Ticket_Table[[#This Row],[raised_date]])</f>
        <v>2022</v>
      </c>
    </row>
    <row r="521" spans="1:17">
      <c r="A521" t="s">
        <v>1026</v>
      </c>
      <c r="B521" t="s">
        <v>562</v>
      </c>
      <c r="C521" t="s">
        <v>213</v>
      </c>
      <c r="D521" t="s">
        <v>43</v>
      </c>
      <c r="E521" t="s">
        <v>166</v>
      </c>
      <c r="F521" t="s">
        <v>45</v>
      </c>
      <c r="G521" t="s">
        <v>31</v>
      </c>
      <c r="H521" s="1">
        <v>44506</v>
      </c>
      <c r="I521" s="2">
        <v>44506.1708333333</v>
      </c>
      <c r="J521">
        <v>4.1</v>
      </c>
      <c r="K521" t="s">
        <v>32</v>
      </c>
      <c r="L521">
        <v>1</v>
      </c>
      <c r="M521">
        <v>4</v>
      </c>
      <c r="N521" t="s">
        <v>169</v>
      </c>
      <c r="O521" s="3" t="str">
        <f>TEXT(Ticket_Table[[#This Row],[raised_date]],"YYYY-MM")</f>
        <v>2021-11</v>
      </c>
      <c r="P521" s="3" t="str">
        <f>IF(Ticket_Table[[#This Row],[resolution_hrs]]&lt;=4,"Fast",IF(Ticket_Table[[#This Row],[resolution_hrs]]&lt;=24,"Normal",IF(Ticket_Table[[#This Row],[resolution_hrs]]&lt;=48,"Slow","Very Slow")))</f>
        <v>Normal</v>
      </c>
      <c r="Q521" s="3">
        <f>YEAR(Ticket_Table[[#This Row],[raised_date]])</f>
        <v>2021</v>
      </c>
    </row>
    <row r="522" spans="1:17">
      <c r="A522" t="s">
        <v>1027</v>
      </c>
      <c r="B522" t="s">
        <v>337</v>
      </c>
      <c r="C522" t="s">
        <v>175</v>
      </c>
      <c r="D522" t="s">
        <v>20</v>
      </c>
      <c r="E522" t="s">
        <v>37</v>
      </c>
      <c r="F522" t="s">
        <v>38</v>
      </c>
      <c r="G522" t="s">
        <v>46</v>
      </c>
      <c r="H522" s="1">
        <v>45097</v>
      </c>
      <c r="I522" s="2">
        <v>45097.7375</v>
      </c>
      <c r="J522">
        <v>17.7</v>
      </c>
      <c r="K522" t="s">
        <v>24</v>
      </c>
      <c r="L522">
        <v>1</v>
      </c>
      <c r="M522">
        <v>4</v>
      </c>
      <c r="N522" t="s">
        <v>241</v>
      </c>
      <c r="O522" s="3" t="str">
        <f>TEXT(Ticket_Table[[#This Row],[raised_date]],"YYYY-MM")</f>
        <v>2023-06</v>
      </c>
      <c r="P522" s="3" t="str">
        <f>IF(Ticket_Table[[#This Row],[resolution_hrs]]&lt;=4,"Fast",IF(Ticket_Table[[#This Row],[resolution_hrs]]&lt;=24,"Normal",IF(Ticket_Table[[#This Row],[resolution_hrs]]&lt;=48,"Slow","Very Slow")))</f>
        <v>Normal</v>
      </c>
      <c r="Q522" s="3">
        <f>YEAR(Ticket_Table[[#This Row],[raised_date]])</f>
        <v>2023</v>
      </c>
    </row>
    <row r="523" spans="1:17">
      <c r="A523" t="s">
        <v>1028</v>
      </c>
      <c r="B523" t="s">
        <v>431</v>
      </c>
      <c r="C523" t="s">
        <v>19</v>
      </c>
      <c r="D523" t="s">
        <v>43</v>
      </c>
      <c r="E523" t="s">
        <v>83</v>
      </c>
      <c r="F523" t="s">
        <v>45</v>
      </c>
      <c r="G523" t="s">
        <v>23</v>
      </c>
      <c r="H523" s="1">
        <v>44336</v>
      </c>
      <c r="I523" s="2">
        <v>44336.1875</v>
      </c>
      <c r="J523">
        <v>4.5</v>
      </c>
      <c r="K523" t="s">
        <v>32</v>
      </c>
      <c r="L523">
        <v>0</v>
      </c>
      <c r="M523">
        <v>5</v>
      </c>
      <c r="N523" t="s">
        <v>89</v>
      </c>
      <c r="O523" s="3" t="str">
        <f>TEXT(Ticket_Table[[#This Row],[raised_date]],"YYYY-MM")</f>
        <v>2021-05</v>
      </c>
      <c r="P523" s="3" t="str">
        <f>IF(Ticket_Table[[#This Row],[resolution_hrs]]&lt;=4,"Fast",IF(Ticket_Table[[#This Row],[resolution_hrs]]&lt;=24,"Normal",IF(Ticket_Table[[#This Row],[resolution_hrs]]&lt;=48,"Slow","Very Slow")))</f>
        <v>Normal</v>
      </c>
      <c r="Q523" s="3">
        <f>YEAR(Ticket_Table[[#This Row],[raised_date]])</f>
        <v>2021</v>
      </c>
    </row>
    <row r="524" spans="1:17">
      <c r="A524" t="s">
        <v>1029</v>
      </c>
      <c r="B524" t="s">
        <v>259</v>
      </c>
      <c r="C524" t="s">
        <v>201</v>
      </c>
      <c r="D524" t="s">
        <v>36</v>
      </c>
      <c r="E524" t="s">
        <v>51</v>
      </c>
      <c r="F524" t="s">
        <v>45</v>
      </c>
      <c r="G524" t="s">
        <v>23</v>
      </c>
      <c r="H524" s="1">
        <v>45157</v>
      </c>
      <c r="I524" s="2">
        <v>45157.0666666667</v>
      </c>
      <c r="J524">
        <v>1.6</v>
      </c>
      <c r="K524" t="s">
        <v>24</v>
      </c>
      <c r="L524">
        <v>2</v>
      </c>
      <c r="M524">
        <v>4</v>
      </c>
      <c r="N524" t="s">
        <v>581</v>
      </c>
      <c r="O524" s="3" t="str">
        <f>TEXT(Ticket_Table[[#This Row],[raised_date]],"YYYY-MM")</f>
        <v>2023-08</v>
      </c>
      <c r="P524" s="3" t="str">
        <f>IF(Ticket_Table[[#This Row],[resolution_hrs]]&lt;=4,"Fast",IF(Ticket_Table[[#This Row],[resolution_hrs]]&lt;=24,"Normal",IF(Ticket_Table[[#This Row],[resolution_hrs]]&lt;=48,"Slow","Very Slow")))</f>
        <v>Fast</v>
      </c>
      <c r="Q524" s="3">
        <f>YEAR(Ticket_Table[[#This Row],[raised_date]])</f>
        <v>2023</v>
      </c>
    </row>
    <row r="525" spans="1:17">
      <c r="A525" t="s">
        <v>1030</v>
      </c>
      <c r="B525" t="s">
        <v>52</v>
      </c>
      <c r="C525" t="s">
        <v>82</v>
      </c>
      <c r="D525" t="s">
        <v>20</v>
      </c>
      <c r="E525" t="s">
        <v>166</v>
      </c>
      <c r="F525" t="s">
        <v>22</v>
      </c>
      <c r="G525" t="s">
        <v>23</v>
      </c>
      <c r="H525" s="1">
        <v>45102</v>
      </c>
      <c r="I525" s="2">
        <v>45104.325</v>
      </c>
      <c r="J525">
        <v>55.8</v>
      </c>
      <c r="K525" t="s">
        <v>24</v>
      </c>
      <c r="L525">
        <v>0</v>
      </c>
      <c r="M525">
        <v>4</v>
      </c>
      <c r="N525" t="s">
        <v>981</v>
      </c>
      <c r="O525" s="3" t="str">
        <f>TEXT(Ticket_Table[[#This Row],[raised_date]],"YYYY-MM")</f>
        <v>2023-06</v>
      </c>
      <c r="P525" s="3" t="str">
        <f>IF(Ticket_Table[[#This Row],[resolution_hrs]]&lt;=4,"Fast",IF(Ticket_Table[[#This Row],[resolution_hrs]]&lt;=24,"Normal",IF(Ticket_Table[[#This Row],[resolution_hrs]]&lt;=48,"Slow","Very Slow")))</f>
        <v>Very Slow</v>
      </c>
      <c r="Q525" s="3">
        <f>YEAR(Ticket_Table[[#This Row],[raised_date]])</f>
        <v>2023</v>
      </c>
    </row>
    <row r="526" spans="1:17">
      <c r="A526" t="s">
        <v>1031</v>
      </c>
      <c r="B526" t="s">
        <v>804</v>
      </c>
      <c r="C526" t="s">
        <v>78</v>
      </c>
      <c r="D526" t="s">
        <v>43</v>
      </c>
      <c r="E526" t="s">
        <v>106</v>
      </c>
      <c r="F526" t="s">
        <v>70</v>
      </c>
      <c r="G526" t="s">
        <v>23</v>
      </c>
      <c r="H526" s="1">
        <v>44817</v>
      </c>
      <c r="I526" s="2">
        <v>44818.7416666667</v>
      </c>
      <c r="J526">
        <v>41.8</v>
      </c>
      <c r="K526" t="s">
        <v>24</v>
      </c>
      <c r="L526">
        <v>3</v>
      </c>
      <c r="M526">
        <v>3</v>
      </c>
      <c r="N526" t="s">
        <v>470</v>
      </c>
      <c r="O526" s="3" t="str">
        <f>TEXT(Ticket_Table[[#This Row],[raised_date]],"YYYY-MM")</f>
        <v>2022-09</v>
      </c>
      <c r="P526" s="3" t="str">
        <f>IF(Ticket_Table[[#This Row],[resolution_hrs]]&lt;=4,"Fast",IF(Ticket_Table[[#This Row],[resolution_hrs]]&lt;=24,"Normal",IF(Ticket_Table[[#This Row],[resolution_hrs]]&lt;=48,"Slow","Very Slow")))</f>
        <v>Slow</v>
      </c>
      <c r="Q526" s="3">
        <f>YEAR(Ticket_Table[[#This Row],[raised_date]])</f>
        <v>2022</v>
      </c>
    </row>
    <row r="527" spans="1:17">
      <c r="A527" t="s">
        <v>1032</v>
      </c>
      <c r="B527" t="s">
        <v>253</v>
      </c>
      <c r="C527" t="s">
        <v>213</v>
      </c>
      <c r="D527" t="s">
        <v>20</v>
      </c>
      <c r="E527" t="s">
        <v>21</v>
      </c>
      <c r="F527" t="s">
        <v>38</v>
      </c>
      <c r="G527" t="s">
        <v>74</v>
      </c>
      <c r="H527" s="1">
        <v>44759</v>
      </c>
      <c r="I527" s="2">
        <v>44760.275</v>
      </c>
      <c r="J527">
        <v>30.6</v>
      </c>
      <c r="K527" t="s">
        <v>32</v>
      </c>
      <c r="L527">
        <v>1</v>
      </c>
      <c r="M527">
        <v>2</v>
      </c>
      <c r="N527" t="s">
        <v>71</v>
      </c>
      <c r="O527" s="3" t="str">
        <f>TEXT(Ticket_Table[[#This Row],[raised_date]],"YYYY-MM")</f>
        <v>2022-07</v>
      </c>
      <c r="P527" s="3" t="str">
        <f>IF(Ticket_Table[[#This Row],[resolution_hrs]]&lt;=4,"Fast",IF(Ticket_Table[[#This Row],[resolution_hrs]]&lt;=24,"Normal",IF(Ticket_Table[[#This Row],[resolution_hrs]]&lt;=48,"Slow","Very Slow")))</f>
        <v>Slow</v>
      </c>
      <c r="Q527" s="3">
        <f>YEAR(Ticket_Table[[#This Row],[raised_date]])</f>
        <v>2022</v>
      </c>
    </row>
    <row r="528" spans="1:17">
      <c r="A528" t="s">
        <v>1033</v>
      </c>
      <c r="B528" t="s">
        <v>906</v>
      </c>
      <c r="C528" t="s">
        <v>42</v>
      </c>
      <c r="D528" t="s">
        <v>90</v>
      </c>
      <c r="E528" t="s">
        <v>56</v>
      </c>
      <c r="F528" t="s">
        <v>70</v>
      </c>
      <c r="G528" t="s">
        <v>46</v>
      </c>
      <c r="H528" s="1">
        <v>44312</v>
      </c>
      <c r="I528" s="2">
        <v>44312.525</v>
      </c>
      <c r="J528">
        <v>12.6</v>
      </c>
      <c r="K528" t="s">
        <v>24</v>
      </c>
      <c r="L528">
        <v>0</v>
      </c>
      <c r="M528">
        <v>4</v>
      </c>
      <c r="N528" t="s">
        <v>919</v>
      </c>
      <c r="O528" s="3" t="str">
        <f>TEXT(Ticket_Table[[#This Row],[raised_date]],"YYYY-MM")</f>
        <v>2021-04</v>
      </c>
      <c r="P528" s="3" t="str">
        <f>IF(Ticket_Table[[#This Row],[resolution_hrs]]&lt;=4,"Fast",IF(Ticket_Table[[#This Row],[resolution_hrs]]&lt;=24,"Normal",IF(Ticket_Table[[#This Row],[resolution_hrs]]&lt;=48,"Slow","Very Slow")))</f>
        <v>Normal</v>
      </c>
      <c r="Q528" s="3">
        <f>YEAR(Ticket_Table[[#This Row],[raised_date]])</f>
        <v>2021</v>
      </c>
    </row>
    <row r="529" spans="1:17">
      <c r="A529" t="s">
        <v>1034</v>
      </c>
      <c r="B529" t="s">
        <v>315</v>
      </c>
      <c r="C529" t="s">
        <v>42</v>
      </c>
      <c r="D529" t="s">
        <v>90</v>
      </c>
      <c r="E529" t="s">
        <v>106</v>
      </c>
      <c r="F529" t="s">
        <v>70</v>
      </c>
      <c r="G529" t="s">
        <v>31</v>
      </c>
      <c r="H529" s="1">
        <v>44917</v>
      </c>
      <c r="I529" s="2">
        <v>44917.2166666667</v>
      </c>
      <c r="J529">
        <v>5.2</v>
      </c>
      <c r="K529" t="s">
        <v>24</v>
      </c>
      <c r="L529">
        <v>0</v>
      </c>
      <c r="M529">
        <v>4</v>
      </c>
      <c r="N529" t="s">
        <v>792</v>
      </c>
      <c r="O529" s="3" t="str">
        <f>TEXT(Ticket_Table[[#This Row],[raised_date]],"YYYY-MM")</f>
        <v>2022-12</v>
      </c>
      <c r="P529" s="3" t="str">
        <f>IF(Ticket_Table[[#This Row],[resolution_hrs]]&lt;=4,"Fast",IF(Ticket_Table[[#This Row],[resolution_hrs]]&lt;=24,"Normal",IF(Ticket_Table[[#This Row],[resolution_hrs]]&lt;=48,"Slow","Very Slow")))</f>
        <v>Normal</v>
      </c>
      <c r="Q529" s="3">
        <f>YEAR(Ticket_Table[[#This Row],[raised_date]])</f>
        <v>2022</v>
      </c>
    </row>
    <row r="530" spans="1:17">
      <c r="A530" t="s">
        <v>1035</v>
      </c>
      <c r="B530" t="s">
        <v>323</v>
      </c>
      <c r="C530" t="s">
        <v>42</v>
      </c>
      <c r="D530" t="s">
        <v>90</v>
      </c>
      <c r="E530" t="s">
        <v>166</v>
      </c>
      <c r="F530" t="s">
        <v>70</v>
      </c>
      <c r="G530" t="s">
        <v>23</v>
      </c>
      <c r="H530" s="1">
        <v>45236</v>
      </c>
      <c r="I530" s="2">
        <v>45236.9875</v>
      </c>
      <c r="J530">
        <v>23.7</v>
      </c>
      <c r="K530" t="s">
        <v>24</v>
      </c>
      <c r="L530">
        <v>0</v>
      </c>
      <c r="M530">
        <v>4</v>
      </c>
      <c r="N530" t="s">
        <v>676</v>
      </c>
      <c r="O530" s="3" t="str">
        <f>TEXT(Ticket_Table[[#This Row],[raised_date]],"YYYY-MM")</f>
        <v>2023-11</v>
      </c>
      <c r="P530" s="3" t="str">
        <f>IF(Ticket_Table[[#This Row],[resolution_hrs]]&lt;=4,"Fast",IF(Ticket_Table[[#This Row],[resolution_hrs]]&lt;=24,"Normal",IF(Ticket_Table[[#This Row],[resolution_hrs]]&lt;=48,"Slow","Very Slow")))</f>
        <v>Normal</v>
      </c>
      <c r="Q530" s="3">
        <f>YEAR(Ticket_Table[[#This Row],[raised_date]])</f>
        <v>2023</v>
      </c>
    </row>
    <row r="531" spans="1:17">
      <c r="A531" t="s">
        <v>1036</v>
      </c>
      <c r="B531" t="s">
        <v>137</v>
      </c>
      <c r="C531" t="s">
        <v>60</v>
      </c>
      <c r="D531" t="s">
        <v>43</v>
      </c>
      <c r="E531" t="s">
        <v>166</v>
      </c>
      <c r="F531" t="s">
        <v>70</v>
      </c>
      <c r="G531" t="s">
        <v>23</v>
      </c>
      <c r="H531" s="1">
        <v>44348</v>
      </c>
      <c r="I531" s="2">
        <v>44350.6416666667</v>
      </c>
      <c r="J531">
        <v>63.4</v>
      </c>
      <c r="K531" t="s">
        <v>32</v>
      </c>
      <c r="L531">
        <v>0</v>
      </c>
      <c r="M531">
        <v>5</v>
      </c>
      <c r="N531" t="s">
        <v>1037</v>
      </c>
      <c r="O531" s="3" t="str">
        <f>TEXT(Ticket_Table[[#This Row],[raised_date]],"YYYY-MM")</f>
        <v>2021-06</v>
      </c>
      <c r="P531" s="3" t="str">
        <f>IF(Ticket_Table[[#This Row],[resolution_hrs]]&lt;=4,"Fast",IF(Ticket_Table[[#This Row],[resolution_hrs]]&lt;=24,"Normal",IF(Ticket_Table[[#This Row],[resolution_hrs]]&lt;=48,"Slow","Very Slow")))</f>
        <v>Very Slow</v>
      </c>
      <c r="Q531" s="3">
        <f>YEAR(Ticket_Table[[#This Row],[raised_date]])</f>
        <v>2021</v>
      </c>
    </row>
    <row r="532" spans="1:17">
      <c r="A532" t="s">
        <v>1038</v>
      </c>
      <c r="B532" t="s">
        <v>1039</v>
      </c>
      <c r="C532" t="s">
        <v>78</v>
      </c>
      <c r="D532" t="s">
        <v>36</v>
      </c>
      <c r="E532" t="s">
        <v>106</v>
      </c>
      <c r="F532" t="s">
        <v>70</v>
      </c>
      <c r="G532" t="s">
        <v>23</v>
      </c>
      <c r="H532" s="1">
        <v>44832</v>
      </c>
      <c r="I532" s="2">
        <v>44832.4416666667</v>
      </c>
      <c r="J532">
        <v>10.6</v>
      </c>
      <c r="K532" t="s">
        <v>24</v>
      </c>
      <c r="L532">
        <v>0</v>
      </c>
      <c r="M532">
        <v>3</v>
      </c>
      <c r="N532" t="s">
        <v>167</v>
      </c>
      <c r="O532" s="3" t="str">
        <f>TEXT(Ticket_Table[[#This Row],[raised_date]],"YYYY-MM")</f>
        <v>2022-09</v>
      </c>
      <c r="P532" s="3" t="str">
        <f>IF(Ticket_Table[[#This Row],[resolution_hrs]]&lt;=4,"Fast",IF(Ticket_Table[[#This Row],[resolution_hrs]]&lt;=24,"Normal",IF(Ticket_Table[[#This Row],[resolution_hrs]]&lt;=48,"Slow","Very Slow")))</f>
        <v>Normal</v>
      </c>
      <c r="Q532" s="3">
        <f>YEAR(Ticket_Table[[#This Row],[raised_date]])</f>
        <v>2022</v>
      </c>
    </row>
    <row r="533" spans="1:17">
      <c r="A533" t="s">
        <v>1040</v>
      </c>
      <c r="B533" t="s">
        <v>1041</v>
      </c>
      <c r="C533" t="s">
        <v>82</v>
      </c>
      <c r="D533" t="s">
        <v>20</v>
      </c>
      <c r="E533" t="s">
        <v>83</v>
      </c>
      <c r="F533" t="s">
        <v>22</v>
      </c>
      <c r="G533" t="s">
        <v>23</v>
      </c>
      <c r="H533" s="1">
        <v>45142</v>
      </c>
      <c r="I533" s="2">
        <v>45142.7708333333</v>
      </c>
      <c r="J533">
        <v>18.5</v>
      </c>
      <c r="K533" t="s">
        <v>24</v>
      </c>
      <c r="L533">
        <v>0</v>
      </c>
      <c r="M533">
        <v>3</v>
      </c>
      <c r="N533" t="s">
        <v>218</v>
      </c>
      <c r="O533" s="3" t="str">
        <f>TEXT(Ticket_Table[[#This Row],[raised_date]],"YYYY-MM")</f>
        <v>2023-08</v>
      </c>
      <c r="P533" s="3" t="str">
        <f>IF(Ticket_Table[[#This Row],[resolution_hrs]]&lt;=4,"Fast",IF(Ticket_Table[[#This Row],[resolution_hrs]]&lt;=24,"Normal",IF(Ticket_Table[[#This Row],[resolution_hrs]]&lt;=48,"Slow","Very Slow")))</f>
        <v>Normal</v>
      </c>
      <c r="Q533" s="3">
        <f>YEAR(Ticket_Table[[#This Row],[raised_date]])</f>
        <v>2023</v>
      </c>
    </row>
    <row r="534" spans="1:17">
      <c r="A534" t="s">
        <v>1042</v>
      </c>
      <c r="B534" t="s">
        <v>675</v>
      </c>
      <c r="C534" t="s">
        <v>140</v>
      </c>
      <c r="D534" t="s">
        <v>29</v>
      </c>
      <c r="E534" t="s">
        <v>106</v>
      </c>
      <c r="F534" t="s">
        <v>70</v>
      </c>
      <c r="G534" t="s">
        <v>23</v>
      </c>
      <c r="H534" s="1">
        <v>45122</v>
      </c>
      <c r="I534" s="2">
        <v>45122.85</v>
      </c>
      <c r="J534">
        <v>20.4</v>
      </c>
      <c r="K534" t="s">
        <v>24</v>
      </c>
      <c r="L534">
        <v>0</v>
      </c>
      <c r="M534">
        <v>4</v>
      </c>
      <c r="N534" t="s">
        <v>817</v>
      </c>
      <c r="O534" s="3" t="str">
        <f>TEXT(Ticket_Table[[#This Row],[raised_date]],"YYYY-MM")</f>
        <v>2023-07</v>
      </c>
      <c r="P534" s="3" t="str">
        <f>IF(Ticket_Table[[#This Row],[resolution_hrs]]&lt;=4,"Fast",IF(Ticket_Table[[#This Row],[resolution_hrs]]&lt;=24,"Normal",IF(Ticket_Table[[#This Row],[resolution_hrs]]&lt;=48,"Slow","Very Slow")))</f>
        <v>Normal</v>
      </c>
      <c r="Q534" s="3">
        <f>YEAR(Ticket_Table[[#This Row],[raised_date]])</f>
        <v>2023</v>
      </c>
    </row>
    <row r="535" spans="1:17">
      <c r="A535" t="s">
        <v>1043</v>
      </c>
      <c r="B535" t="s">
        <v>610</v>
      </c>
      <c r="C535" t="s">
        <v>19</v>
      </c>
      <c r="D535" t="s">
        <v>90</v>
      </c>
      <c r="E535" t="s">
        <v>44</v>
      </c>
      <c r="F535" t="s">
        <v>70</v>
      </c>
      <c r="G535" t="s">
        <v>23</v>
      </c>
      <c r="H535" s="1">
        <v>44274</v>
      </c>
      <c r="I535" s="2">
        <v>44275.2833333333</v>
      </c>
      <c r="J535">
        <v>30.8</v>
      </c>
      <c r="K535" t="s">
        <v>24</v>
      </c>
      <c r="L535">
        <v>1</v>
      </c>
      <c r="M535">
        <v>4</v>
      </c>
      <c r="N535" t="s">
        <v>485</v>
      </c>
      <c r="O535" s="3" t="str">
        <f>TEXT(Ticket_Table[[#This Row],[raised_date]],"YYYY-MM")</f>
        <v>2021-03</v>
      </c>
      <c r="P535" s="3" t="str">
        <f>IF(Ticket_Table[[#This Row],[resolution_hrs]]&lt;=4,"Fast",IF(Ticket_Table[[#This Row],[resolution_hrs]]&lt;=24,"Normal",IF(Ticket_Table[[#This Row],[resolution_hrs]]&lt;=48,"Slow","Very Slow")))</f>
        <v>Slow</v>
      </c>
      <c r="Q535" s="3">
        <f>YEAR(Ticket_Table[[#This Row],[raised_date]])</f>
        <v>2021</v>
      </c>
    </row>
    <row r="536" spans="1:17">
      <c r="A536" t="s">
        <v>1044</v>
      </c>
      <c r="B536" t="s">
        <v>532</v>
      </c>
      <c r="C536" t="s">
        <v>19</v>
      </c>
      <c r="D536" t="s">
        <v>90</v>
      </c>
      <c r="E536" t="s">
        <v>30</v>
      </c>
      <c r="F536" t="s">
        <v>70</v>
      </c>
      <c r="G536" t="s">
        <v>74</v>
      </c>
      <c r="H536" s="1">
        <v>44313</v>
      </c>
      <c r="I536" s="2">
        <v>44315.7416666667</v>
      </c>
      <c r="J536">
        <v>65.8</v>
      </c>
      <c r="K536" t="s">
        <v>32</v>
      </c>
      <c r="L536">
        <v>0</v>
      </c>
      <c r="M536">
        <v>3</v>
      </c>
      <c r="N536" t="s">
        <v>152</v>
      </c>
      <c r="O536" s="3" t="str">
        <f>TEXT(Ticket_Table[[#This Row],[raised_date]],"YYYY-MM")</f>
        <v>2021-04</v>
      </c>
      <c r="P536" s="3" t="str">
        <f>IF(Ticket_Table[[#This Row],[resolution_hrs]]&lt;=4,"Fast",IF(Ticket_Table[[#This Row],[resolution_hrs]]&lt;=24,"Normal",IF(Ticket_Table[[#This Row],[resolution_hrs]]&lt;=48,"Slow","Very Slow")))</f>
        <v>Very Slow</v>
      </c>
      <c r="Q536" s="3">
        <f>YEAR(Ticket_Table[[#This Row],[raised_date]])</f>
        <v>2021</v>
      </c>
    </row>
    <row r="537" spans="1:17">
      <c r="A537" t="s">
        <v>1045</v>
      </c>
      <c r="B537" t="s">
        <v>363</v>
      </c>
      <c r="C537" t="s">
        <v>140</v>
      </c>
      <c r="D537" t="s">
        <v>29</v>
      </c>
      <c r="E537" t="s">
        <v>106</v>
      </c>
      <c r="F537" t="s">
        <v>22</v>
      </c>
      <c r="G537" t="s">
        <v>46</v>
      </c>
      <c r="H537" s="1">
        <v>44952</v>
      </c>
      <c r="I537" s="2">
        <v>44953.6291666667</v>
      </c>
      <c r="J537">
        <v>39.1</v>
      </c>
      <c r="K537" t="s">
        <v>24</v>
      </c>
      <c r="L537">
        <v>0</v>
      </c>
      <c r="M537">
        <v>4</v>
      </c>
      <c r="N537" t="s">
        <v>720</v>
      </c>
      <c r="O537" s="3" t="str">
        <f>TEXT(Ticket_Table[[#This Row],[raised_date]],"YYYY-MM")</f>
        <v>2023-01</v>
      </c>
      <c r="P537" s="3" t="str">
        <f>IF(Ticket_Table[[#This Row],[resolution_hrs]]&lt;=4,"Fast",IF(Ticket_Table[[#This Row],[resolution_hrs]]&lt;=24,"Normal",IF(Ticket_Table[[#This Row],[resolution_hrs]]&lt;=48,"Slow","Very Slow")))</f>
        <v>Slow</v>
      </c>
      <c r="Q537" s="3">
        <f>YEAR(Ticket_Table[[#This Row],[raised_date]])</f>
        <v>2023</v>
      </c>
    </row>
    <row r="538" spans="1:17">
      <c r="A538" t="s">
        <v>1046</v>
      </c>
      <c r="B538" t="s">
        <v>678</v>
      </c>
      <c r="C538" t="s">
        <v>117</v>
      </c>
      <c r="D538" t="s">
        <v>29</v>
      </c>
      <c r="E538" t="s">
        <v>106</v>
      </c>
      <c r="F538" t="s">
        <v>38</v>
      </c>
      <c r="G538" t="s">
        <v>23</v>
      </c>
      <c r="H538" s="1">
        <v>44784</v>
      </c>
      <c r="I538" s="2">
        <v>44784.4625</v>
      </c>
      <c r="J538">
        <v>11.1</v>
      </c>
      <c r="K538" t="s">
        <v>24</v>
      </c>
      <c r="L538">
        <v>0</v>
      </c>
      <c r="M538">
        <v>3</v>
      </c>
      <c r="N538" t="s">
        <v>314</v>
      </c>
      <c r="O538" s="3" t="str">
        <f>TEXT(Ticket_Table[[#This Row],[raised_date]],"YYYY-MM")</f>
        <v>2022-08</v>
      </c>
      <c r="P538" s="3" t="str">
        <f>IF(Ticket_Table[[#This Row],[resolution_hrs]]&lt;=4,"Fast",IF(Ticket_Table[[#This Row],[resolution_hrs]]&lt;=24,"Normal",IF(Ticket_Table[[#This Row],[resolution_hrs]]&lt;=48,"Slow","Very Slow")))</f>
        <v>Normal</v>
      </c>
      <c r="Q538" s="3">
        <f>YEAR(Ticket_Table[[#This Row],[raised_date]])</f>
        <v>2022</v>
      </c>
    </row>
    <row r="539" spans="1:17">
      <c r="A539" t="s">
        <v>1047</v>
      </c>
      <c r="B539" t="s">
        <v>212</v>
      </c>
      <c r="C539" t="s">
        <v>28</v>
      </c>
      <c r="D539" t="s">
        <v>43</v>
      </c>
      <c r="E539" t="s">
        <v>21</v>
      </c>
      <c r="F539" t="s">
        <v>22</v>
      </c>
      <c r="G539" t="s">
        <v>31</v>
      </c>
      <c r="H539" s="1">
        <v>44354</v>
      </c>
      <c r="I539" s="2">
        <v>44356.4041666667</v>
      </c>
      <c r="J539">
        <v>57.7</v>
      </c>
      <c r="K539" t="s">
        <v>24</v>
      </c>
      <c r="L539">
        <v>1</v>
      </c>
      <c r="M539">
        <v>4</v>
      </c>
      <c r="N539" t="s">
        <v>922</v>
      </c>
      <c r="O539" s="3" t="str">
        <f>TEXT(Ticket_Table[[#This Row],[raised_date]],"YYYY-MM")</f>
        <v>2021-06</v>
      </c>
      <c r="P539" s="3" t="str">
        <f>IF(Ticket_Table[[#This Row],[resolution_hrs]]&lt;=4,"Fast",IF(Ticket_Table[[#This Row],[resolution_hrs]]&lt;=24,"Normal",IF(Ticket_Table[[#This Row],[resolution_hrs]]&lt;=48,"Slow","Very Slow")))</f>
        <v>Very Slow</v>
      </c>
      <c r="Q539" s="3">
        <f>YEAR(Ticket_Table[[#This Row],[raised_date]])</f>
        <v>2021</v>
      </c>
    </row>
    <row r="540" spans="1:17">
      <c r="A540" t="s">
        <v>1048</v>
      </c>
      <c r="B540" t="s">
        <v>1019</v>
      </c>
      <c r="C540" t="s">
        <v>133</v>
      </c>
      <c r="D540" t="s">
        <v>20</v>
      </c>
      <c r="E540" t="s">
        <v>30</v>
      </c>
      <c r="F540" t="s">
        <v>70</v>
      </c>
      <c r="G540" t="s">
        <v>74</v>
      </c>
      <c r="H540" s="1">
        <v>44381</v>
      </c>
      <c r="I540" s="2">
        <v>44383.8125</v>
      </c>
      <c r="J540">
        <v>67.5</v>
      </c>
      <c r="K540" t="s">
        <v>32</v>
      </c>
      <c r="L540">
        <v>0</v>
      </c>
      <c r="M540">
        <v>3</v>
      </c>
      <c r="N540" t="s">
        <v>549</v>
      </c>
      <c r="O540" s="3" t="str">
        <f>TEXT(Ticket_Table[[#This Row],[raised_date]],"YYYY-MM")</f>
        <v>2021-07</v>
      </c>
      <c r="P540" s="3" t="str">
        <f>IF(Ticket_Table[[#This Row],[resolution_hrs]]&lt;=4,"Fast",IF(Ticket_Table[[#This Row],[resolution_hrs]]&lt;=24,"Normal",IF(Ticket_Table[[#This Row],[resolution_hrs]]&lt;=48,"Slow","Very Slow")))</f>
        <v>Very Slow</v>
      </c>
      <c r="Q540" s="3">
        <f>YEAR(Ticket_Table[[#This Row],[raised_date]])</f>
        <v>2021</v>
      </c>
    </row>
    <row r="541" spans="1:17">
      <c r="A541" t="s">
        <v>1049</v>
      </c>
      <c r="B541" t="s">
        <v>1050</v>
      </c>
      <c r="C541" t="s">
        <v>60</v>
      </c>
      <c r="D541" t="s">
        <v>90</v>
      </c>
      <c r="E541" t="s">
        <v>51</v>
      </c>
      <c r="F541" t="s">
        <v>38</v>
      </c>
      <c r="G541" t="s">
        <v>23</v>
      </c>
      <c r="H541" s="1">
        <v>45235</v>
      </c>
      <c r="I541" s="2">
        <v>45235.7916666667</v>
      </c>
      <c r="J541">
        <v>19</v>
      </c>
      <c r="K541" t="s">
        <v>24</v>
      </c>
      <c r="L541">
        <v>1</v>
      </c>
      <c r="M541">
        <v>4</v>
      </c>
      <c r="N541" t="s">
        <v>1051</v>
      </c>
      <c r="O541" s="3" t="str">
        <f>TEXT(Ticket_Table[[#This Row],[raised_date]],"YYYY-MM")</f>
        <v>2023-11</v>
      </c>
      <c r="P541" s="3" t="str">
        <f>IF(Ticket_Table[[#This Row],[resolution_hrs]]&lt;=4,"Fast",IF(Ticket_Table[[#This Row],[resolution_hrs]]&lt;=24,"Normal",IF(Ticket_Table[[#This Row],[resolution_hrs]]&lt;=48,"Slow","Very Slow")))</f>
        <v>Normal</v>
      </c>
      <c r="Q541" s="3">
        <f>YEAR(Ticket_Table[[#This Row],[raised_date]])</f>
        <v>2023</v>
      </c>
    </row>
    <row r="542" spans="1:17">
      <c r="A542" t="s">
        <v>1052</v>
      </c>
      <c r="B542" t="s">
        <v>600</v>
      </c>
      <c r="C542" t="s">
        <v>28</v>
      </c>
      <c r="D542" t="s">
        <v>36</v>
      </c>
      <c r="E542" t="s">
        <v>106</v>
      </c>
      <c r="F542" t="s">
        <v>70</v>
      </c>
      <c r="G542" t="s">
        <v>31</v>
      </c>
      <c r="H542" s="1">
        <v>44984</v>
      </c>
      <c r="I542" s="2">
        <v>44986.3083333333</v>
      </c>
      <c r="J542">
        <v>55.4</v>
      </c>
      <c r="K542" t="s">
        <v>32</v>
      </c>
      <c r="L542">
        <v>0</v>
      </c>
      <c r="M542">
        <v>4</v>
      </c>
      <c r="N542" t="s">
        <v>804</v>
      </c>
      <c r="O542" s="3" t="str">
        <f>TEXT(Ticket_Table[[#This Row],[raised_date]],"YYYY-MM")</f>
        <v>2023-02</v>
      </c>
      <c r="P542" s="3" t="str">
        <f>IF(Ticket_Table[[#This Row],[resolution_hrs]]&lt;=4,"Fast",IF(Ticket_Table[[#This Row],[resolution_hrs]]&lt;=24,"Normal",IF(Ticket_Table[[#This Row],[resolution_hrs]]&lt;=48,"Slow","Very Slow")))</f>
        <v>Very Slow</v>
      </c>
      <c r="Q542" s="3">
        <f>YEAR(Ticket_Table[[#This Row],[raised_date]])</f>
        <v>2023</v>
      </c>
    </row>
    <row r="543" spans="1:17">
      <c r="A543" t="s">
        <v>1053</v>
      </c>
      <c r="B543" t="s">
        <v>300</v>
      </c>
      <c r="C543" t="s">
        <v>19</v>
      </c>
      <c r="D543" t="s">
        <v>43</v>
      </c>
      <c r="E543" t="s">
        <v>106</v>
      </c>
      <c r="F543" t="s">
        <v>22</v>
      </c>
      <c r="G543" t="s">
        <v>31</v>
      </c>
      <c r="H543" s="1">
        <v>45144</v>
      </c>
      <c r="I543" s="2">
        <v>45144.8583333333</v>
      </c>
      <c r="J543">
        <v>20.6</v>
      </c>
      <c r="K543" t="s">
        <v>24</v>
      </c>
      <c r="L543">
        <v>0</v>
      </c>
      <c r="M543">
        <v>5</v>
      </c>
      <c r="N543" t="s">
        <v>73</v>
      </c>
      <c r="O543" s="3" t="str">
        <f>TEXT(Ticket_Table[[#This Row],[raised_date]],"YYYY-MM")</f>
        <v>2023-08</v>
      </c>
      <c r="P543" s="3" t="str">
        <f>IF(Ticket_Table[[#This Row],[resolution_hrs]]&lt;=4,"Fast",IF(Ticket_Table[[#This Row],[resolution_hrs]]&lt;=24,"Normal",IF(Ticket_Table[[#This Row],[resolution_hrs]]&lt;=48,"Slow","Very Slow")))</f>
        <v>Normal</v>
      </c>
      <c r="Q543" s="3">
        <f>YEAR(Ticket_Table[[#This Row],[raised_date]])</f>
        <v>2023</v>
      </c>
    </row>
    <row r="544" spans="1:17">
      <c r="A544" t="s">
        <v>1054</v>
      </c>
      <c r="B544" t="s">
        <v>581</v>
      </c>
      <c r="C544" t="s">
        <v>82</v>
      </c>
      <c r="D544" t="s">
        <v>43</v>
      </c>
      <c r="E544" t="s">
        <v>44</v>
      </c>
      <c r="F544" t="s">
        <v>38</v>
      </c>
      <c r="G544" t="s">
        <v>46</v>
      </c>
      <c r="H544" s="1">
        <v>44281</v>
      </c>
      <c r="I544" s="2">
        <v>44281.1791666667</v>
      </c>
      <c r="J544">
        <v>4.3</v>
      </c>
      <c r="K544" t="s">
        <v>24</v>
      </c>
      <c r="L544">
        <v>0</v>
      </c>
      <c r="M544">
        <v>5</v>
      </c>
      <c r="N544" t="s">
        <v>183</v>
      </c>
      <c r="O544" s="3" t="str">
        <f>TEXT(Ticket_Table[[#This Row],[raised_date]],"YYYY-MM")</f>
        <v>2021-03</v>
      </c>
      <c r="P544" s="3" t="str">
        <f>IF(Ticket_Table[[#This Row],[resolution_hrs]]&lt;=4,"Fast",IF(Ticket_Table[[#This Row],[resolution_hrs]]&lt;=24,"Normal",IF(Ticket_Table[[#This Row],[resolution_hrs]]&lt;=48,"Slow","Very Slow")))</f>
        <v>Normal</v>
      </c>
      <c r="Q544" s="3">
        <f>YEAR(Ticket_Table[[#This Row],[raised_date]])</f>
        <v>2021</v>
      </c>
    </row>
    <row r="545" spans="1:17">
      <c r="A545" t="s">
        <v>1055</v>
      </c>
      <c r="B545" t="s">
        <v>824</v>
      </c>
      <c r="C545" t="s">
        <v>261</v>
      </c>
      <c r="D545" t="s">
        <v>36</v>
      </c>
      <c r="E545" t="s">
        <v>56</v>
      </c>
      <c r="F545" t="s">
        <v>70</v>
      </c>
      <c r="G545" t="s">
        <v>31</v>
      </c>
      <c r="H545" s="1">
        <v>45118</v>
      </c>
      <c r="I545" s="2">
        <v>45120.2666666667</v>
      </c>
      <c r="J545">
        <v>54.4</v>
      </c>
      <c r="K545" t="s">
        <v>32</v>
      </c>
      <c r="L545">
        <v>0</v>
      </c>
      <c r="M545">
        <v>4</v>
      </c>
      <c r="N545" t="s">
        <v>426</v>
      </c>
      <c r="O545" s="3" t="str">
        <f>TEXT(Ticket_Table[[#This Row],[raised_date]],"YYYY-MM")</f>
        <v>2023-07</v>
      </c>
      <c r="P545" s="3" t="str">
        <f>IF(Ticket_Table[[#This Row],[resolution_hrs]]&lt;=4,"Fast",IF(Ticket_Table[[#This Row],[resolution_hrs]]&lt;=24,"Normal",IF(Ticket_Table[[#This Row],[resolution_hrs]]&lt;=48,"Slow","Very Slow")))</f>
        <v>Very Slow</v>
      </c>
      <c r="Q545" s="3">
        <f>YEAR(Ticket_Table[[#This Row],[raised_date]])</f>
        <v>2023</v>
      </c>
    </row>
    <row r="546" spans="1:17">
      <c r="A546" t="s">
        <v>1056</v>
      </c>
      <c r="B546" t="s">
        <v>96</v>
      </c>
      <c r="C546" t="s">
        <v>42</v>
      </c>
      <c r="D546" t="s">
        <v>36</v>
      </c>
      <c r="E546" t="s">
        <v>44</v>
      </c>
      <c r="F546" t="s">
        <v>38</v>
      </c>
      <c r="G546" t="s">
        <v>91</v>
      </c>
      <c r="H546" s="1">
        <v>44582</v>
      </c>
      <c r="I546" s="2">
        <v>44582.8333333333</v>
      </c>
      <c r="J546">
        <v>20</v>
      </c>
      <c r="K546" t="s">
        <v>24</v>
      </c>
      <c r="L546">
        <v>0</v>
      </c>
      <c r="M546">
        <v>4</v>
      </c>
      <c r="N546" t="s">
        <v>259</v>
      </c>
      <c r="O546" s="3" t="str">
        <f>TEXT(Ticket_Table[[#This Row],[raised_date]],"YYYY-MM")</f>
        <v>2022-01</v>
      </c>
      <c r="P546" s="3" t="str">
        <f>IF(Ticket_Table[[#This Row],[resolution_hrs]]&lt;=4,"Fast",IF(Ticket_Table[[#This Row],[resolution_hrs]]&lt;=24,"Normal",IF(Ticket_Table[[#This Row],[resolution_hrs]]&lt;=48,"Slow","Very Slow")))</f>
        <v>Normal</v>
      </c>
      <c r="Q546" s="3">
        <f>YEAR(Ticket_Table[[#This Row],[raised_date]])</f>
        <v>2022</v>
      </c>
    </row>
    <row r="547" spans="1:17">
      <c r="A547" t="s">
        <v>1057</v>
      </c>
      <c r="B547" t="s">
        <v>272</v>
      </c>
      <c r="C547" t="s">
        <v>42</v>
      </c>
      <c r="D547" t="s">
        <v>36</v>
      </c>
      <c r="E547" t="s">
        <v>106</v>
      </c>
      <c r="F547" t="s">
        <v>38</v>
      </c>
      <c r="G547" t="s">
        <v>31</v>
      </c>
      <c r="H547" s="1">
        <v>44855</v>
      </c>
      <c r="I547" s="2">
        <v>44856.3125</v>
      </c>
      <c r="J547">
        <v>31.5</v>
      </c>
      <c r="K547" t="s">
        <v>32</v>
      </c>
      <c r="L547">
        <v>0</v>
      </c>
      <c r="M547">
        <v>4</v>
      </c>
      <c r="N547" t="s">
        <v>1058</v>
      </c>
      <c r="O547" s="3" t="str">
        <f>TEXT(Ticket_Table[[#This Row],[raised_date]],"YYYY-MM")</f>
        <v>2022-10</v>
      </c>
      <c r="P547" s="3" t="str">
        <f>IF(Ticket_Table[[#This Row],[resolution_hrs]]&lt;=4,"Fast",IF(Ticket_Table[[#This Row],[resolution_hrs]]&lt;=24,"Normal",IF(Ticket_Table[[#This Row],[resolution_hrs]]&lt;=48,"Slow","Very Slow")))</f>
        <v>Slow</v>
      </c>
      <c r="Q547" s="3">
        <f>YEAR(Ticket_Table[[#This Row],[raised_date]])</f>
        <v>2022</v>
      </c>
    </row>
    <row r="548" spans="1:17">
      <c r="A548" t="s">
        <v>1059</v>
      </c>
      <c r="B548" t="s">
        <v>401</v>
      </c>
      <c r="C548" t="s">
        <v>78</v>
      </c>
      <c r="D548" t="s">
        <v>29</v>
      </c>
      <c r="E548" t="s">
        <v>21</v>
      </c>
      <c r="F548" t="s">
        <v>70</v>
      </c>
      <c r="G548" t="s">
        <v>31</v>
      </c>
      <c r="H548" s="1">
        <v>45171</v>
      </c>
      <c r="I548" s="2">
        <v>45173.4875</v>
      </c>
      <c r="J548">
        <v>59.7</v>
      </c>
      <c r="K548" t="s">
        <v>32</v>
      </c>
      <c r="L548">
        <v>0</v>
      </c>
      <c r="M548">
        <v>1</v>
      </c>
      <c r="N548" t="s">
        <v>696</v>
      </c>
      <c r="O548" s="3" t="str">
        <f>TEXT(Ticket_Table[[#This Row],[raised_date]],"YYYY-MM")</f>
        <v>2023-09</v>
      </c>
      <c r="P548" s="3" t="str">
        <f>IF(Ticket_Table[[#This Row],[resolution_hrs]]&lt;=4,"Fast",IF(Ticket_Table[[#This Row],[resolution_hrs]]&lt;=24,"Normal",IF(Ticket_Table[[#This Row],[resolution_hrs]]&lt;=48,"Slow","Very Slow")))</f>
        <v>Very Slow</v>
      </c>
      <c r="Q548" s="3">
        <f>YEAR(Ticket_Table[[#This Row],[raised_date]])</f>
        <v>2023</v>
      </c>
    </row>
    <row r="549" spans="1:17">
      <c r="A549" t="s">
        <v>1060</v>
      </c>
      <c r="B549" t="s">
        <v>347</v>
      </c>
      <c r="C549" t="s">
        <v>261</v>
      </c>
      <c r="D549" t="s">
        <v>90</v>
      </c>
      <c r="E549" t="s">
        <v>44</v>
      </c>
      <c r="F549" t="s">
        <v>70</v>
      </c>
      <c r="G549" t="s">
        <v>31</v>
      </c>
      <c r="H549" s="1">
        <v>45223</v>
      </c>
      <c r="I549" s="2">
        <v>45225.0666666667</v>
      </c>
      <c r="J549">
        <v>49.6</v>
      </c>
      <c r="K549" t="s">
        <v>32</v>
      </c>
      <c r="L549">
        <v>1</v>
      </c>
      <c r="M549">
        <v>3</v>
      </c>
      <c r="N549" t="s">
        <v>1061</v>
      </c>
      <c r="O549" s="3" t="str">
        <f>TEXT(Ticket_Table[[#This Row],[raised_date]],"YYYY-MM")</f>
        <v>2023-10</v>
      </c>
      <c r="P549" s="3" t="str">
        <f>IF(Ticket_Table[[#This Row],[resolution_hrs]]&lt;=4,"Fast",IF(Ticket_Table[[#This Row],[resolution_hrs]]&lt;=24,"Normal",IF(Ticket_Table[[#This Row],[resolution_hrs]]&lt;=48,"Slow","Very Slow")))</f>
        <v>Very Slow</v>
      </c>
      <c r="Q549" s="3">
        <f>YEAR(Ticket_Table[[#This Row],[raised_date]])</f>
        <v>2023</v>
      </c>
    </row>
    <row r="550" spans="1:17">
      <c r="A550" t="s">
        <v>1062</v>
      </c>
      <c r="B550" t="s">
        <v>1063</v>
      </c>
      <c r="C550" t="s">
        <v>28</v>
      </c>
      <c r="D550" t="s">
        <v>29</v>
      </c>
      <c r="E550" t="s">
        <v>21</v>
      </c>
      <c r="F550" t="s">
        <v>22</v>
      </c>
      <c r="G550" t="s">
        <v>46</v>
      </c>
      <c r="H550" s="1">
        <v>44505</v>
      </c>
      <c r="I550" s="2">
        <v>44506.3833333333</v>
      </c>
      <c r="J550">
        <v>33.2</v>
      </c>
      <c r="K550" t="s">
        <v>24</v>
      </c>
      <c r="L550">
        <v>0</v>
      </c>
      <c r="M550">
        <v>2</v>
      </c>
      <c r="N550" t="s">
        <v>1064</v>
      </c>
      <c r="O550" s="3" t="str">
        <f>TEXT(Ticket_Table[[#This Row],[raised_date]],"YYYY-MM")</f>
        <v>2021-11</v>
      </c>
      <c r="P550" s="3" t="str">
        <f>IF(Ticket_Table[[#This Row],[resolution_hrs]]&lt;=4,"Fast",IF(Ticket_Table[[#This Row],[resolution_hrs]]&lt;=24,"Normal",IF(Ticket_Table[[#This Row],[resolution_hrs]]&lt;=48,"Slow","Very Slow")))</f>
        <v>Slow</v>
      </c>
      <c r="Q550" s="3">
        <f>YEAR(Ticket_Table[[#This Row],[raised_date]])</f>
        <v>2021</v>
      </c>
    </row>
    <row r="551" spans="1:17">
      <c r="A551" t="s">
        <v>1065</v>
      </c>
      <c r="B551" t="s">
        <v>578</v>
      </c>
      <c r="C551" t="s">
        <v>78</v>
      </c>
      <c r="D551" t="s">
        <v>90</v>
      </c>
      <c r="E551" t="s">
        <v>30</v>
      </c>
      <c r="F551" t="s">
        <v>22</v>
      </c>
      <c r="G551" t="s">
        <v>23</v>
      </c>
      <c r="H551" s="1">
        <v>44323</v>
      </c>
      <c r="I551" s="2">
        <v>44326.0958333333</v>
      </c>
      <c r="J551">
        <v>74.3</v>
      </c>
      <c r="K551" t="s">
        <v>32</v>
      </c>
      <c r="L551">
        <v>0</v>
      </c>
      <c r="M551">
        <v>4</v>
      </c>
      <c r="N551" t="s">
        <v>487</v>
      </c>
      <c r="O551" s="3" t="str">
        <f>TEXT(Ticket_Table[[#This Row],[raised_date]],"YYYY-MM")</f>
        <v>2021-05</v>
      </c>
      <c r="P551" s="3" t="str">
        <f>IF(Ticket_Table[[#This Row],[resolution_hrs]]&lt;=4,"Fast",IF(Ticket_Table[[#This Row],[resolution_hrs]]&lt;=24,"Normal",IF(Ticket_Table[[#This Row],[resolution_hrs]]&lt;=48,"Slow","Very Slow")))</f>
        <v>Very Slow</v>
      </c>
      <c r="Q551" s="3">
        <f>YEAR(Ticket_Table[[#This Row],[raised_date]])</f>
        <v>2021</v>
      </c>
    </row>
    <row r="552" spans="1:17">
      <c r="A552" t="s">
        <v>1066</v>
      </c>
      <c r="B552" t="s">
        <v>1067</v>
      </c>
      <c r="C552" t="s">
        <v>287</v>
      </c>
      <c r="D552" t="s">
        <v>29</v>
      </c>
      <c r="E552" t="s">
        <v>21</v>
      </c>
      <c r="F552" t="s">
        <v>70</v>
      </c>
      <c r="G552" t="s">
        <v>23</v>
      </c>
      <c r="H552" s="1">
        <v>45119</v>
      </c>
      <c r="I552" s="2">
        <v>45121.0791666667</v>
      </c>
      <c r="J552">
        <v>49.9</v>
      </c>
      <c r="K552" t="s">
        <v>32</v>
      </c>
      <c r="L552">
        <v>3</v>
      </c>
      <c r="M552">
        <v>4</v>
      </c>
      <c r="N552" t="s">
        <v>931</v>
      </c>
      <c r="O552" s="3" t="str">
        <f>TEXT(Ticket_Table[[#This Row],[raised_date]],"YYYY-MM")</f>
        <v>2023-07</v>
      </c>
      <c r="P552" s="3" t="str">
        <f>IF(Ticket_Table[[#This Row],[resolution_hrs]]&lt;=4,"Fast",IF(Ticket_Table[[#This Row],[resolution_hrs]]&lt;=24,"Normal",IF(Ticket_Table[[#This Row],[resolution_hrs]]&lt;=48,"Slow","Very Slow")))</f>
        <v>Very Slow</v>
      </c>
      <c r="Q552" s="3">
        <f>YEAR(Ticket_Table[[#This Row],[raised_date]])</f>
        <v>2023</v>
      </c>
    </row>
    <row r="553" spans="1:17">
      <c r="A553" t="s">
        <v>1068</v>
      </c>
      <c r="B553" t="s">
        <v>640</v>
      </c>
      <c r="C553" t="s">
        <v>60</v>
      </c>
      <c r="D553" t="s">
        <v>20</v>
      </c>
      <c r="E553" t="s">
        <v>83</v>
      </c>
      <c r="F553" t="s">
        <v>70</v>
      </c>
      <c r="G553" t="s">
        <v>23</v>
      </c>
      <c r="H553" s="1">
        <v>44408</v>
      </c>
      <c r="I553" s="2">
        <v>44408.325</v>
      </c>
      <c r="J553">
        <v>7.8</v>
      </c>
      <c r="K553" t="s">
        <v>24</v>
      </c>
      <c r="L553">
        <v>0</v>
      </c>
      <c r="M553">
        <v>2</v>
      </c>
      <c r="N553" t="s">
        <v>77</v>
      </c>
      <c r="O553" s="3" t="str">
        <f>TEXT(Ticket_Table[[#This Row],[raised_date]],"YYYY-MM")</f>
        <v>2021-07</v>
      </c>
      <c r="P553" s="3" t="str">
        <f>IF(Ticket_Table[[#This Row],[resolution_hrs]]&lt;=4,"Fast",IF(Ticket_Table[[#This Row],[resolution_hrs]]&lt;=24,"Normal",IF(Ticket_Table[[#This Row],[resolution_hrs]]&lt;=48,"Slow","Very Slow")))</f>
        <v>Normal</v>
      </c>
      <c r="Q553" s="3">
        <f>YEAR(Ticket_Table[[#This Row],[raised_date]])</f>
        <v>2021</v>
      </c>
    </row>
    <row r="554" spans="1:17">
      <c r="A554" t="s">
        <v>1069</v>
      </c>
      <c r="B554" t="s">
        <v>145</v>
      </c>
      <c r="C554" t="s">
        <v>28</v>
      </c>
      <c r="D554" t="s">
        <v>90</v>
      </c>
      <c r="E554" t="s">
        <v>69</v>
      </c>
      <c r="F554" t="s">
        <v>70</v>
      </c>
      <c r="G554" t="s">
        <v>23</v>
      </c>
      <c r="H554" s="1">
        <v>44900</v>
      </c>
      <c r="I554" s="2">
        <v>44901.7583333333</v>
      </c>
      <c r="J554">
        <v>42.2</v>
      </c>
      <c r="K554" t="s">
        <v>24</v>
      </c>
      <c r="L554">
        <v>0</v>
      </c>
      <c r="M554">
        <v>4</v>
      </c>
      <c r="N554" t="s">
        <v>145</v>
      </c>
      <c r="O554" s="3" t="str">
        <f>TEXT(Ticket_Table[[#This Row],[raised_date]],"YYYY-MM")</f>
        <v>2022-12</v>
      </c>
      <c r="P554" s="3" t="str">
        <f>IF(Ticket_Table[[#This Row],[resolution_hrs]]&lt;=4,"Fast",IF(Ticket_Table[[#This Row],[resolution_hrs]]&lt;=24,"Normal",IF(Ticket_Table[[#This Row],[resolution_hrs]]&lt;=48,"Slow","Very Slow")))</f>
        <v>Slow</v>
      </c>
      <c r="Q554" s="3">
        <f>YEAR(Ticket_Table[[#This Row],[raised_date]])</f>
        <v>2022</v>
      </c>
    </row>
    <row r="555" spans="1:17">
      <c r="A555" t="s">
        <v>1070</v>
      </c>
      <c r="B555" t="s">
        <v>710</v>
      </c>
      <c r="C555" t="s">
        <v>133</v>
      </c>
      <c r="D555" t="s">
        <v>43</v>
      </c>
      <c r="E555" t="s">
        <v>30</v>
      </c>
      <c r="F555" t="s">
        <v>22</v>
      </c>
      <c r="G555" t="s">
        <v>31</v>
      </c>
      <c r="H555" s="1">
        <v>44369</v>
      </c>
      <c r="I555" s="2">
        <v>44372.7125</v>
      </c>
      <c r="J555">
        <v>89.1</v>
      </c>
      <c r="K555" t="s">
        <v>32</v>
      </c>
      <c r="L555">
        <v>3</v>
      </c>
      <c r="M555">
        <v>4</v>
      </c>
      <c r="N555" t="s">
        <v>871</v>
      </c>
      <c r="O555" s="3" t="str">
        <f>TEXT(Ticket_Table[[#This Row],[raised_date]],"YYYY-MM")</f>
        <v>2021-06</v>
      </c>
      <c r="P555" s="3" t="str">
        <f>IF(Ticket_Table[[#This Row],[resolution_hrs]]&lt;=4,"Fast",IF(Ticket_Table[[#This Row],[resolution_hrs]]&lt;=24,"Normal",IF(Ticket_Table[[#This Row],[resolution_hrs]]&lt;=48,"Slow","Very Slow")))</f>
        <v>Very Slow</v>
      </c>
      <c r="Q555" s="3">
        <f>YEAR(Ticket_Table[[#This Row],[raised_date]])</f>
        <v>2021</v>
      </c>
    </row>
    <row r="556" spans="1:17">
      <c r="A556" t="s">
        <v>1071</v>
      </c>
      <c r="B556" t="s">
        <v>906</v>
      </c>
      <c r="C556" t="s">
        <v>201</v>
      </c>
      <c r="D556" t="s">
        <v>90</v>
      </c>
      <c r="E556" t="s">
        <v>69</v>
      </c>
      <c r="F556" t="s">
        <v>22</v>
      </c>
      <c r="G556" t="s">
        <v>91</v>
      </c>
      <c r="H556" s="1">
        <v>45230</v>
      </c>
      <c r="I556" s="2">
        <v>45230.1</v>
      </c>
      <c r="J556">
        <v>2.4</v>
      </c>
      <c r="K556" t="s">
        <v>24</v>
      </c>
      <c r="L556">
        <v>3</v>
      </c>
      <c r="M556">
        <v>4</v>
      </c>
      <c r="N556" t="s">
        <v>145</v>
      </c>
      <c r="O556" s="3" t="str">
        <f>TEXT(Ticket_Table[[#This Row],[raised_date]],"YYYY-MM")</f>
        <v>2023-10</v>
      </c>
      <c r="P556" s="3" t="str">
        <f>IF(Ticket_Table[[#This Row],[resolution_hrs]]&lt;=4,"Fast",IF(Ticket_Table[[#This Row],[resolution_hrs]]&lt;=24,"Normal",IF(Ticket_Table[[#This Row],[resolution_hrs]]&lt;=48,"Slow","Very Slow")))</f>
        <v>Fast</v>
      </c>
      <c r="Q556" s="3">
        <f>YEAR(Ticket_Table[[#This Row],[raised_date]])</f>
        <v>2023</v>
      </c>
    </row>
    <row r="557" spans="1:17">
      <c r="A557" t="s">
        <v>1072</v>
      </c>
      <c r="B557" t="s">
        <v>223</v>
      </c>
      <c r="C557" t="s">
        <v>201</v>
      </c>
      <c r="D557" t="s">
        <v>90</v>
      </c>
      <c r="E557" t="s">
        <v>106</v>
      </c>
      <c r="F557" t="s">
        <v>70</v>
      </c>
      <c r="G557" t="s">
        <v>23</v>
      </c>
      <c r="H557" s="1">
        <v>44550</v>
      </c>
      <c r="I557" s="2">
        <v>44551.575</v>
      </c>
      <c r="J557">
        <v>37.8</v>
      </c>
      <c r="K557" t="s">
        <v>24</v>
      </c>
      <c r="L557">
        <v>0</v>
      </c>
      <c r="M557">
        <v>4</v>
      </c>
      <c r="N557" t="s">
        <v>77</v>
      </c>
      <c r="O557" s="3" t="str">
        <f>TEXT(Ticket_Table[[#This Row],[raised_date]],"YYYY-MM")</f>
        <v>2021-12</v>
      </c>
      <c r="P557" s="3" t="str">
        <f>IF(Ticket_Table[[#This Row],[resolution_hrs]]&lt;=4,"Fast",IF(Ticket_Table[[#This Row],[resolution_hrs]]&lt;=24,"Normal",IF(Ticket_Table[[#This Row],[resolution_hrs]]&lt;=48,"Slow","Very Slow")))</f>
        <v>Slow</v>
      </c>
      <c r="Q557" s="3">
        <f>YEAR(Ticket_Table[[#This Row],[raised_date]])</f>
        <v>2021</v>
      </c>
    </row>
    <row r="558" spans="1:17">
      <c r="A558" t="s">
        <v>1073</v>
      </c>
      <c r="B558" t="s">
        <v>154</v>
      </c>
      <c r="C558" t="s">
        <v>19</v>
      </c>
      <c r="D558" t="s">
        <v>90</v>
      </c>
      <c r="E558" t="s">
        <v>106</v>
      </c>
      <c r="F558" t="s">
        <v>22</v>
      </c>
      <c r="G558" t="s">
        <v>46</v>
      </c>
      <c r="H558" s="1">
        <v>44277</v>
      </c>
      <c r="I558" s="2">
        <v>44278.7041666667</v>
      </c>
      <c r="J558">
        <v>40.9</v>
      </c>
      <c r="K558" t="s">
        <v>24</v>
      </c>
      <c r="L558">
        <v>0</v>
      </c>
      <c r="M558">
        <v>3</v>
      </c>
      <c r="N558" t="s">
        <v>584</v>
      </c>
      <c r="O558" s="3" t="str">
        <f>TEXT(Ticket_Table[[#This Row],[raised_date]],"YYYY-MM")</f>
        <v>2021-03</v>
      </c>
      <c r="P558" s="3" t="str">
        <f>IF(Ticket_Table[[#This Row],[resolution_hrs]]&lt;=4,"Fast",IF(Ticket_Table[[#This Row],[resolution_hrs]]&lt;=24,"Normal",IF(Ticket_Table[[#This Row],[resolution_hrs]]&lt;=48,"Slow","Very Slow")))</f>
        <v>Slow</v>
      </c>
      <c r="Q558" s="3">
        <f>YEAR(Ticket_Table[[#This Row],[raised_date]])</f>
        <v>2021</v>
      </c>
    </row>
    <row r="559" spans="1:17">
      <c r="A559" t="s">
        <v>1074</v>
      </c>
      <c r="B559" t="s">
        <v>264</v>
      </c>
      <c r="C559" t="s">
        <v>28</v>
      </c>
      <c r="D559" t="s">
        <v>20</v>
      </c>
      <c r="E559" t="s">
        <v>83</v>
      </c>
      <c r="F559" t="s">
        <v>38</v>
      </c>
      <c r="G559" t="s">
        <v>23</v>
      </c>
      <c r="H559" s="1">
        <v>44704</v>
      </c>
      <c r="I559" s="2">
        <v>44704.75</v>
      </c>
      <c r="J559">
        <v>18</v>
      </c>
      <c r="K559" t="s">
        <v>24</v>
      </c>
      <c r="L559">
        <v>0</v>
      </c>
      <c r="M559">
        <v>2</v>
      </c>
      <c r="N559" t="s">
        <v>315</v>
      </c>
      <c r="O559" s="3" t="str">
        <f>TEXT(Ticket_Table[[#This Row],[raised_date]],"YYYY-MM")</f>
        <v>2022-05</v>
      </c>
      <c r="P559" s="3" t="str">
        <f>IF(Ticket_Table[[#This Row],[resolution_hrs]]&lt;=4,"Fast",IF(Ticket_Table[[#This Row],[resolution_hrs]]&lt;=24,"Normal",IF(Ticket_Table[[#This Row],[resolution_hrs]]&lt;=48,"Slow","Very Slow")))</f>
        <v>Normal</v>
      </c>
      <c r="Q559" s="3">
        <f>YEAR(Ticket_Table[[#This Row],[raised_date]])</f>
        <v>2022</v>
      </c>
    </row>
    <row r="560" spans="1:17">
      <c r="A560" t="s">
        <v>1075</v>
      </c>
      <c r="B560" t="s">
        <v>432</v>
      </c>
      <c r="C560" t="s">
        <v>64</v>
      </c>
      <c r="D560" t="s">
        <v>29</v>
      </c>
      <c r="E560" t="s">
        <v>166</v>
      </c>
      <c r="F560" t="s">
        <v>22</v>
      </c>
      <c r="G560" t="s">
        <v>46</v>
      </c>
      <c r="H560" s="1">
        <v>45093</v>
      </c>
      <c r="I560" s="2">
        <v>45094.5583333333</v>
      </c>
      <c r="J560">
        <v>37.4</v>
      </c>
      <c r="K560" t="s">
        <v>24</v>
      </c>
      <c r="L560">
        <v>1</v>
      </c>
      <c r="M560">
        <v>5</v>
      </c>
      <c r="N560" t="s">
        <v>383</v>
      </c>
      <c r="O560" s="3" t="str">
        <f>TEXT(Ticket_Table[[#This Row],[raised_date]],"YYYY-MM")</f>
        <v>2023-06</v>
      </c>
      <c r="P560" s="3" t="str">
        <f>IF(Ticket_Table[[#This Row],[resolution_hrs]]&lt;=4,"Fast",IF(Ticket_Table[[#This Row],[resolution_hrs]]&lt;=24,"Normal",IF(Ticket_Table[[#This Row],[resolution_hrs]]&lt;=48,"Slow","Very Slow")))</f>
        <v>Slow</v>
      </c>
      <c r="Q560" s="3">
        <f>YEAR(Ticket_Table[[#This Row],[raised_date]])</f>
        <v>2023</v>
      </c>
    </row>
    <row r="561" spans="1:17">
      <c r="A561" t="s">
        <v>1076</v>
      </c>
      <c r="B561" t="s">
        <v>844</v>
      </c>
      <c r="C561" t="s">
        <v>117</v>
      </c>
      <c r="D561" t="s">
        <v>43</v>
      </c>
      <c r="E561" t="s">
        <v>69</v>
      </c>
      <c r="F561" t="s">
        <v>70</v>
      </c>
      <c r="G561" t="s">
        <v>23</v>
      </c>
      <c r="H561" s="1">
        <v>45096</v>
      </c>
      <c r="I561" s="2">
        <v>45098.7375</v>
      </c>
      <c r="J561">
        <v>65.7</v>
      </c>
      <c r="K561" t="s">
        <v>32</v>
      </c>
      <c r="L561">
        <v>2</v>
      </c>
      <c r="M561">
        <v>3</v>
      </c>
      <c r="N561" t="s">
        <v>579</v>
      </c>
      <c r="O561" s="3" t="str">
        <f>TEXT(Ticket_Table[[#This Row],[raised_date]],"YYYY-MM")</f>
        <v>2023-06</v>
      </c>
      <c r="P561" s="3" t="str">
        <f>IF(Ticket_Table[[#This Row],[resolution_hrs]]&lt;=4,"Fast",IF(Ticket_Table[[#This Row],[resolution_hrs]]&lt;=24,"Normal",IF(Ticket_Table[[#This Row],[resolution_hrs]]&lt;=48,"Slow","Very Slow")))</f>
        <v>Very Slow</v>
      </c>
      <c r="Q561" s="3">
        <f>YEAR(Ticket_Table[[#This Row],[raised_date]])</f>
        <v>2023</v>
      </c>
    </row>
    <row r="562" spans="1:17">
      <c r="A562" t="s">
        <v>1077</v>
      </c>
      <c r="B562" t="s">
        <v>833</v>
      </c>
      <c r="C562" t="s">
        <v>82</v>
      </c>
      <c r="D562" t="s">
        <v>29</v>
      </c>
      <c r="E562" t="s">
        <v>44</v>
      </c>
      <c r="F562" t="s">
        <v>45</v>
      </c>
      <c r="G562" t="s">
        <v>74</v>
      </c>
      <c r="H562" s="1">
        <v>45270</v>
      </c>
      <c r="I562" s="2">
        <v>45270.0625</v>
      </c>
      <c r="J562">
        <v>1.5</v>
      </c>
      <c r="K562" t="s">
        <v>24</v>
      </c>
      <c r="L562">
        <v>0</v>
      </c>
      <c r="M562">
        <v>4</v>
      </c>
      <c r="N562" t="s">
        <v>1078</v>
      </c>
      <c r="O562" s="3" t="str">
        <f>TEXT(Ticket_Table[[#This Row],[raised_date]],"YYYY-MM")</f>
        <v>2023-12</v>
      </c>
      <c r="P562" s="3" t="str">
        <f>IF(Ticket_Table[[#This Row],[resolution_hrs]]&lt;=4,"Fast",IF(Ticket_Table[[#This Row],[resolution_hrs]]&lt;=24,"Normal",IF(Ticket_Table[[#This Row],[resolution_hrs]]&lt;=48,"Slow","Very Slow")))</f>
        <v>Fast</v>
      </c>
      <c r="Q562" s="3">
        <f>YEAR(Ticket_Table[[#This Row],[raised_date]])</f>
        <v>2023</v>
      </c>
    </row>
    <row r="563" spans="1:17">
      <c r="A563" t="s">
        <v>1079</v>
      </c>
      <c r="B563" t="s">
        <v>1022</v>
      </c>
      <c r="C563" t="s">
        <v>95</v>
      </c>
      <c r="D563" t="s">
        <v>29</v>
      </c>
      <c r="E563" t="s">
        <v>83</v>
      </c>
      <c r="F563" t="s">
        <v>22</v>
      </c>
      <c r="G563" t="s">
        <v>23</v>
      </c>
      <c r="H563" s="1">
        <v>45267</v>
      </c>
      <c r="I563" s="2">
        <v>45267.7291666667</v>
      </c>
      <c r="J563">
        <v>17.5</v>
      </c>
      <c r="K563" t="s">
        <v>24</v>
      </c>
      <c r="L563">
        <v>1</v>
      </c>
      <c r="M563">
        <v>4</v>
      </c>
      <c r="N563" t="s">
        <v>1080</v>
      </c>
      <c r="O563" s="3" t="str">
        <f>TEXT(Ticket_Table[[#This Row],[raised_date]],"YYYY-MM")</f>
        <v>2023-12</v>
      </c>
      <c r="P563" s="3" t="str">
        <f>IF(Ticket_Table[[#This Row],[resolution_hrs]]&lt;=4,"Fast",IF(Ticket_Table[[#This Row],[resolution_hrs]]&lt;=24,"Normal",IF(Ticket_Table[[#This Row],[resolution_hrs]]&lt;=48,"Slow","Very Slow")))</f>
        <v>Normal</v>
      </c>
      <c r="Q563" s="3">
        <f>YEAR(Ticket_Table[[#This Row],[raised_date]])</f>
        <v>2023</v>
      </c>
    </row>
    <row r="564" spans="1:17">
      <c r="A564" t="s">
        <v>1081</v>
      </c>
      <c r="B564" t="s">
        <v>1064</v>
      </c>
      <c r="C564" t="s">
        <v>55</v>
      </c>
      <c r="D564" t="s">
        <v>36</v>
      </c>
      <c r="E564" t="s">
        <v>30</v>
      </c>
      <c r="F564" t="s">
        <v>70</v>
      </c>
      <c r="G564" t="s">
        <v>23</v>
      </c>
      <c r="H564" s="1">
        <v>44522</v>
      </c>
      <c r="I564" s="2">
        <v>44522.6958333333</v>
      </c>
      <c r="J564">
        <v>16.7</v>
      </c>
      <c r="K564" t="s">
        <v>24</v>
      </c>
      <c r="L564">
        <v>0</v>
      </c>
      <c r="M564">
        <v>5</v>
      </c>
      <c r="N564" t="s">
        <v>118</v>
      </c>
      <c r="O564" s="3" t="str">
        <f>TEXT(Ticket_Table[[#This Row],[raised_date]],"YYYY-MM")</f>
        <v>2021-11</v>
      </c>
      <c r="P564" s="3" t="str">
        <f>IF(Ticket_Table[[#This Row],[resolution_hrs]]&lt;=4,"Fast",IF(Ticket_Table[[#This Row],[resolution_hrs]]&lt;=24,"Normal",IF(Ticket_Table[[#This Row],[resolution_hrs]]&lt;=48,"Slow","Very Slow")))</f>
        <v>Normal</v>
      </c>
      <c r="Q564" s="3">
        <f>YEAR(Ticket_Table[[#This Row],[raised_date]])</f>
        <v>2021</v>
      </c>
    </row>
    <row r="565" spans="1:17">
      <c r="A565" t="s">
        <v>1082</v>
      </c>
      <c r="B565" t="s">
        <v>372</v>
      </c>
      <c r="C565" t="s">
        <v>60</v>
      </c>
      <c r="D565" t="s">
        <v>20</v>
      </c>
      <c r="E565" t="s">
        <v>51</v>
      </c>
      <c r="F565" t="s">
        <v>22</v>
      </c>
      <c r="G565" t="s">
        <v>74</v>
      </c>
      <c r="H565" s="1">
        <v>44942</v>
      </c>
      <c r="I565" s="2">
        <v>44942.8833333333</v>
      </c>
      <c r="J565">
        <v>21.2</v>
      </c>
      <c r="K565" t="s">
        <v>24</v>
      </c>
      <c r="L565">
        <v>0</v>
      </c>
      <c r="M565">
        <v>4</v>
      </c>
      <c r="N565" t="s">
        <v>439</v>
      </c>
      <c r="O565" s="3" t="str">
        <f>TEXT(Ticket_Table[[#This Row],[raised_date]],"YYYY-MM")</f>
        <v>2023-01</v>
      </c>
      <c r="P565" s="3" t="str">
        <f>IF(Ticket_Table[[#This Row],[resolution_hrs]]&lt;=4,"Fast",IF(Ticket_Table[[#This Row],[resolution_hrs]]&lt;=24,"Normal",IF(Ticket_Table[[#This Row],[resolution_hrs]]&lt;=48,"Slow","Very Slow")))</f>
        <v>Normal</v>
      </c>
      <c r="Q565" s="3">
        <f>YEAR(Ticket_Table[[#This Row],[raised_date]])</f>
        <v>2023</v>
      </c>
    </row>
    <row r="566" spans="1:17">
      <c r="A566" t="s">
        <v>1083</v>
      </c>
      <c r="B566" t="s">
        <v>701</v>
      </c>
      <c r="C566" t="s">
        <v>140</v>
      </c>
      <c r="D566" t="s">
        <v>36</v>
      </c>
      <c r="E566" t="s">
        <v>44</v>
      </c>
      <c r="F566" t="s">
        <v>70</v>
      </c>
      <c r="G566" t="s">
        <v>46</v>
      </c>
      <c r="H566" s="1">
        <v>44960</v>
      </c>
      <c r="I566" s="2">
        <v>44962.6958333333</v>
      </c>
      <c r="J566">
        <v>64.7</v>
      </c>
      <c r="K566" t="s">
        <v>32</v>
      </c>
      <c r="L566">
        <v>1</v>
      </c>
      <c r="M566">
        <v>4</v>
      </c>
      <c r="N566" t="s">
        <v>496</v>
      </c>
      <c r="O566" s="3" t="str">
        <f>TEXT(Ticket_Table[[#This Row],[raised_date]],"YYYY-MM")</f>
        <v>2023-02</v>
      </c>
      <c r="P566" s="3" t="str">
        <f>IF(Ticket_Table[[#This Row],[resolution_hrs]]&lt;=4,"Fast",IF(Ticket_Table[[#This Row],[resolution_hrs]]&lt;=24,"Normal",IF(Ticket_Table[[#This Row],[resolution_hrs]]&lt;=48,"Slow","Very Slow")))</f>
        <v>Very Slow</v>
      </c>
      <c r="Q566" s="3">
        <f>YEAR(Ticket_Table[[#This Row],[raised_date]])</f>
        <v>2023</v>
      </c>
    </row>
    <row r="567" spans="1:17">
      <c r="A567" t="s">
        <v>1084</v>
      </c>
      <c r="B567" t="s">
        <v>730</v>
      </c>
      <c r="C567" t="s">
        <v>28</v>
      </c>
      <c r="D567" t="s">
        <v>20</v>
      </c>
      <c r="E567" t="s">
        <v>21</v>
      </c>
      <c r="F567" t="s">
        <v>70</v>
      </c>
      <c r="G567" t="s">
        <v>23</v>
      </c>
      <c r="H567" s="1">
        <v>44776</v>
      </c>
      <c r="I567" s="2">
        <v>44777.8583333333</v>
      </c>
      <c r="J567">
        <v>44.6</v>
      </c>
      <c r="K567" t="s">
        <v>24</v>
      </c>
      <c r="L567">
        <v>0</v>
      </c>
      <c r="M567">
        <v>3</v>
      </c>
      <c r="N567" t="s">
        <v>687</v>
      </c>
      <c r="O567" s="3" t="str">
        <f>TEXT(Ticket_Table[[#This Row],[raised_date]],"YYYY-MM")</f>
        <v>2022-08</v>
      </c>
      <c r="P567" s="3" t="str">
        <f>IF(Ticket_Table[[#This Row],[resolution_hrs]]&lt;=4,"Fast",IF(Ticket_Table[[#This Row],[resolution_hrs]]&lt;=24,"Normal",IF(Ticket_Table[[#This Row],[resolution_hrs]]&lt;=48,"Slow","Very Slow")))</f>
        <v>Slow</v>
      </c>
      <c r="Q567" s="3">
        <f>YEAR(Ticket_Table[[#This Row],[raised_date]])</f>
        <v>2022</v>
      </c>
    </row>
    <row r="568" spans="1:17">
      <c r="A568" t="s">
        <v>1085</v>
      </c>
      <c r="B568" t="s">
        <v>350</v>
      </c>
      <c r="C568" t="s">
        <v>78</v>
      </c>
      <c r="D568" t="s">
        <v>29</v>
      </c>
      <c r="E568" t="s">
        <v>106</v>
      </c>
      <c r="F568" t="s">
        <v>70</v>
      </c>
      <c r="G568" t="s">
        <v>23</v>
      </c>
      <c r="H568" s="1">
        <v>44990</v>
      </c>
      <c r="I568" s="2">
        <v>44992.5</v>
      </c>
      <c r="J568">
        <v>60</v>
      </c>
      <c r="K568" t="s">
        <v>32</v>
      </c>
      <c r="L568">
        <v>0</v>
      </c>
      <c r="M568">
        <v>5</v>
      </c>
      <c r="N568" t="s">
        <v>658</v>
      </c>
      <c r="O568" s="3" t="str">
        <f>TEXT(Ticket_Table[[#This Row],[raised_date]],"YYYY-MM")</f>
        <v>2023-03</v>
      </c>
      <c r="P568" s="3" t="str">
        <f>IF(Ticket_Table[[#This Row],[resolution_hrs]]&lt;=4,"Fast",IF(Ticket_Table[[#This Row],[resolution_hrs]]&lt;=24,"Normal",IF(Ticket_Table[[#This Row],[resolution_hrs]]&lt;=48,"Slow","Very Slow")))</f>
        <v>Very Slow</v>
      </c>
      <c r="Q568" s="3">
        <f>YEAR(Ticket_Table[[#This Row],[raised_date]])</f>
        <v>2023</v>
      </c>
    </row>
    <row r="569" spans="1:17">
      <c r="A569" t="s">
        <v>1086</v>
      </c>
      <c r="B569" t="s">
        <v>592</v>
      </c>
      <c r="C569" t="s">
        <v>19</v>
      </c>
      <c r="D569" t="s">
        <v>29</v>
      </c>
      <c r="E569" t="s">
        <v>30</v>
      </c>
      <c r="F569" t="s">
        <v>70</v>
      </c>
      <c r="G569" t="s">
        <v>31</v>
      </c>
      <c r="H569" s="1">
        <v>45034</v>
      </c>
      <c r="I569" s="2">
        <v>45035.5958333333</v>
      </c>
      <c r="J569">
        <v>38.3</v>
      </c>
      <c r="K569" t="s">
        <v>24</v>
      </c>
      <c r="L569">
        <v>3</v>
      </c>
      <c r="M569">
        <v>4</v>
      </c>
      <c r="N569" t="s">
        <v>315</v>
      </c>
      <c r="O569" s="3" t="str">
        <f>TEXT(Ticket_Table[[#This Row],[raised_date]],"YYYY-MM")</f>
        <v>2023-04</v>
      </c>
      <c r="P569" s="3" t="str">
        <f>IF(Ticket_Table[[#This Row],[resolution_hrs]]&lt;=4,"Fast",IF(Ticket_Table[[#This Row],[resolution_hrs]]&lt;=24,"Normal",IF(Ticket_Table[[#This Row],[resolution_hrs]]&lt;=48,"Slow","Very Slow")))</f>
        <v>Slow</v>
      </c>
      <c r="Q569" s="3">
        <f>YEAR(Ticket_Table[[#This Row],[raised_date]])</f>
        <v>2023</v>
      </c>
    </row>
    <row r="570" spans="1:17">
      <c r="A570" t="s">
        <v>1087</v>
      </c>
      <c r="B570" t="s">
        <v>434</v>
      </c>
      <c r="C570" t="s">
        <v>95</v>
      </c>
      <c r="D570" t="s">
        <v>20</v>
      </c>
      <c r="E570" t="s">
        <v>83</v>
      </c>
      <c r="F570" t="s">
        <v>38</v>
      </c>
      <c r="G570" t="s">
        <v>23</v>
      </c>
      <c r="H570" s="1">
        <v>44889</v>
      </c>
      <c r="I570" s="2">
        <v>44889.8166666667</v>
      </c>
      <c r="J570">
        <v>19.6</v>
      </c>
      <c r="K570" t="s">
        <v>24</v>
      </c>
      <c r="L570">
        <v>0</v>
      </c>
      <c r="M570">
        <v>1</v>
      </c>
      <c r="N570" t="s">
        <v>917</v>
      </c>
      <c r="O570" s="3" t="str">
        <f>TEXT(Ticket_Table[[#This Row],[raised_date]],"YYYY-MM")</f>
        <v>2022-11</v>
      </c>
      <c r="P570" s="3" t="str">
        <f>IF(Ticket_Table[[#This Row],[resolution_hrs]]&lt;=4,"Fast",IF(Ticket_Table[[#This Row],[resolution_hrs]]&lt;=24,"Normal",IF(Ticket_Table[[#This Row],[resolution_hrs]]&lt;=48,"Slow","Very Slow")))</f>
        <v>Normal</v>
      </c>
      <c r="Q570" s="3">
        <f>YEAR(Ticket_Table[[#This Row],[raised_date]])</f>
        <v>2022</v>
      </c>
    </row>
    <row r="571" spans="1:17">
      <c r="A571" t="s">
        <v>1088</v>
      </c>
      <c r="B571" t="s">
        <v>800</v>
      </c>
      <c r="C571" t="s">
        <v>175</v>
      </c>
      <c r="D571" t="s">
        <v>29</v>
      </c>
      <c r="E571" t="s">
        <v>69</v>
      </c>
      <c r="F571" t="s">
        <v>22</v>
      </c>
      <c r="G571" t="s">
        <v>23</v>
      </c>
      <c r="H571" s="1">
        <v>44304</v>
      </c>
      <c r="I571" s="2">
        <v>44306.5</v>
      </c>
      <c r="J571">
        <v>60</v>
      </c>
      <c r="K571" t="s">
        <v>24</v>
      </c>
      <c r="L571">
        <v>0</v>
      </c>
      <c r="M571">
        <v>4</v>
      </c>
      <c r="N571" t="s">
        <v>950</v>
      </c>
      <c r="O571" s="3" t="str">
        <f>TEXT(Ticket_Table[[#This Row],[raised_date]],"YYYY-MM")</f>
        <v>2021-04</v>
      </c>
      <c r="P571" s="3" t="str">
        <f>IF(Ticket_Table[[#This Row],[resolution_hrs]]&lt;=4,"Fast",IF(Ticket_Table[[#This Row],[resolution_hrs]]&lt;=24,"Normal",IF(Ticket_Table[[#This Row],[resolution_hrs]]&lt;=48,"Slow","Very Slow")))</f>
        <v>Very Slow</v>
      </c>
      <c r="Q571" s="3">
        <f>YEAR(Ticket_Table[[#This Row],[raised_date]])</f>
        <v>2021</v>
      </c>
    </row>
    <row r="572" spans="1:17">
      <c r="A572" t="s">
        <v>1089</v>
      </c>
      <c r="B572" t="s">
        <v>696</v>
      </c>
      <c r="C572" t="s">
        <v>133</v>
      </c>
      <c r="D572" t="s">
        <v>29</v>
      </c>
      <c r="E572" t="s">
        <v>69</v>
      </c>
      <c r="F572" t="s">
        <v>22</v>
      </c>
      <c r="G572" t="s">
        <v>23</v>
      </c>
      <c r="H572" s="1">
        <v>44882</v>
      </c>
      <c r="I572" s="2">
        <v>44885.4125</v>
      </c>
      <c r="J572">
        <v>81.9</v>
      </c>
      <c r="K572" t="s">
        <v>32</v>
      </c>
      <c r="L572">
        <v>1</v>
      </c>
      <c r="M572">
        <v>3</v>
      </c>
      <c r="N572" t="s">
        <v>478</v>
      </c>
      <c r="O572" s="3" t="str">
        <f>TEXT(Ticket_Table[[#This Row],[raised_date]],"YYYY-MM")</f>
        <v>2022-11</v>
      </c>
      <c r="P572" s="3" t="str">
        <f>IF(Ticket_Table[[#This Row],[resolution_hrs]]&lt;=4,"Fast",IF(Ticket_Table[[#This Row],[resolution_hrs]]&lt;=24,"Normal",IF(Ticket_Table[[#This Row],[resolution_hrs]]&lt;=48,"Slow","Very Slow")))</f>
        <v>Very Slow</v>
      </c>
      <c r="Q572" s="3">
        <f>YEAR(Ticket_Table[[#This Row],[raised_date]])</f>
        <v>2022</v>
      </c>
    </row>
    <row r="573" spans="1:17">
      <c r="A573" t="s">
        <v>1090</v>
      </c>
      <c r="B573" t="s">
        <v>1091</v>
      </c>
      <c r="C573" t="s">
        <v>140</v>
      </c>
      <c r="D573" t="s">
        <v>43</v>
      </c>
      <c r="E573" t="s">
        <v>37</v>
      </c>
      <c r="F573" t="s">
        <v>38</v>
      </c>
      <c r="G573" t="s">
        <v>74</v>
      </c>
      <c r="H573" s="1">
        <v>44331</v>
      </c>
      <c r="I573" s="2">
        <v>44331.2083333333</v>
      </c>
      <c r="J573">
        <v>5</v>
      </c>
      <c r="K573" t="s">
        <v>24</v>
      </c>
      <c r="L573">
        <v>2</v>
      </c>
      <c r="M573">
        <v>1</v>
      </c>
      <c r="N573" t="s">
        <v>207</v>
      </c>
      <c r="O573" s="3" t="str">
        <f>TEXT(Ticket_Table[[#This Row],[raised_date]],"YYYY-MM")</f>
        <v>2021-05</v>
      </c>
      <c r="P573" s="3" t="str">
        <f>IF(Ticket_Table[[#This Row],[resolution_hrs]]&lt;=4,"Fast",IF(Ticket_Table[[#This Row],[resolution_hrs]]&lt;=24,"Normal",IF(Ticket_Table[[#This Row],[resolution_hrs]]&lt;=48,"Slow","Very Slow")))</f>
        <v>Normal</v>
      </c>
      <c r="Q573" s="3">
        <f>YEAR(Ticket_Table[[#This Row],[raised_date]])</f>
        <v>2021</v>
      </c>
    </row>
    <row r="574" spans="1:17">
      <c r="A574" t="s">
        <v>1092</v>
      </c>
      <c r="B574" t="s">
        <v>1093</v>
      </c>
      <c r="C574" t="s">
        <v>50</v>
      </c>
      <c r="D574" t="s">
        <v>36</v>
      </c>
      <c r="E574" t="s">
        <v>106</v>
      </c>
      <c r="F574" t="s">
        <v>70</v>
      </c>
      <c r="G574" t="s">
        <v>31</v>
      </c>
      <c r="H574" s="1">
        <v>44872</v>
      </c>
      <c r="I574" s="2">
        <v>44873.4041666667</v>
      </c>
      <c r="J574">
        <v>33.7</v>
      </c>
      <c r="K574" t="s">
        <v>24</v>
      </c>
      <c r="L574">
        <v>1</v>
      </c>
      <c r="M574">
        <v>4</v>
      </c>
      <c r="N574" t="s">
        <v>538</v>
      </c>
      <c r="O574" s="3" t="str">
        <f>TEXT(Ticket_Table[[#This Row],[raised_date]],"YYYY-MM")</f>
        <v>2022-11</v>
      </c>
      <c r="P574" s="3" t="str">
        <f>IF(Ticket_Table[[#This Row],[resolution_hrs]]&lt;=4,"Fast",IF(Ticket_Table[[#This Row],[resolution_hrs]]&lt;=24,"Normal",IF(Ticket_Table[[#This Row],[resolution_hrs]]&lt;=48,"Slow","Very Slow")))</f>
        <v>Slow</v>
      </c>
      <c r="Q574" s="3">
        <f>YEAR(Ticket_Table[[#This Row],[raised_date]])</f>
        <v>2022</v>
      </c>
    </row>
    <row r="575" spans="1:17">
      <c r="A575" t="s">
        <v>1094</v>
      </c>
      <c r="B575" t="s">
        <v>567</v>
      </c>
      <c r="C575" t="s">
        <v>175</v>
      </c>
      <c r="D575" t="s">
        <v>36</v>
      </c>
      <c r="E575" t="s">
        <v>44</v>
      </c>
      <c r="F575" t="s">
        <v>38</v>
      </c>
      <c r="G575" t="s">
        <v>74</v>
      </c>
      <c r="H575" s="1">
        <v>44390</v>
      </c>
      <c r="I575" s="2">
        <v>44390.1541666667</v>
      </c>
      <c r="J575">
        <v>3.7</v>
      </c>
      <c r="K575" t="s">
        <v>24</v>
      </c>
      <c r="L575">
        <v>0</v>
      </c>
      <c r="M575">
        <v>4</v>
      </c>
      <c r="N575" t="s">
        <v>589</v>
      </c>
      <c r="O575" s="3" t="str">
        <f>TEXT(Ticket_Table[[#This Row],[raised_date]],"YYYY-MM")</f>
        <v>2021-07</v>
      </c>
      <c r="P575" s="3" t="str">
        <f>IF(Ticket_Table[[#This Row],[resolution_hrs]]&lt;=4,"Fast",IF(Ticket_Table[[#This Row],[resolution_hrs]]&lt;=24,"Normal",IF(Ticket_Table[[#This Row],[resolution_hrs]]&lt;=48,"Slow","Very Slow")))</f>
        <v>Fast</v>
      </c>
      <c r="Q575" s="3">
        <f>YEAR(Ticket_Table[[#This Row],[raised_date]])</f>
        <v>2021</v>
      </c>
    </row>
    <row r="576" spans="1:17">
      <c r="A576" t="s">
        <v>1095</v>
      </c>
      <c r="B576" t="s">
        <v>586</v>
      </c>
      <c r="C576" t="s">
        <v>42</v>
      </c>
      <c r="D576" t="s">
        <v>36</v>
      </c>
      <c r="E576" t="s">
        <v>21</v>
      </c>
      <c r="F576" t="s">
        <v>70</v>
      </c>
      <c r="G576" t="s">
        <v>31</v>
      </c>
      <c r="H576" s="1">
        <v>44988</v>
      </c>
      <c r="I576" s="2">
        <v>44990.4625</v>
      </c>
      <c r="J576">
        <v>59.1</v>
      </c>
      <c r="K576" t="s">
        <v>32</v>
      </c>
      <c r="L576">
        <v>0</v>
      </c>
      <c r="M576">
        <v>4</v>
      </c>
      <c r="N576" t="s">
        <v>315</v>
      </c>
      <c r="O576" s="3" t="str">
        <f>TEXT(Ticket_Table[[#This Row],[raised_date]],"YYYY-MM")</f>
        <v>2023-03</v>
      </c>
      <c r="P576" s="3" t="str">
        <f>IF(Ticket_Table[[#This Row],[resolution_hrs]]&lt;=4,"Fast",IF(Ticket_Table[[#This Row],[resolution_hrs]]&lt;=24,"Normal",IF(Ticket_Table[[#This Row],[resolution_hrs]]&lt;=48,"Slow","Very Slow")))</f>
        <v>Very Slow</v>
      </c>
      <c r="Q576" s="3">
        <f>YEAR(Ticket_Table[[#This Row],[raised_date]])</f>
        <v>2023</v>
      </c>
    </row>
    <row r="577" spans="1:17">
      <c r="A577" t="s">
        <v>1096</v>
      </c>
      <c r="B577" t="s">
        <v>123</v>
      </c>
      <c r="C577" t="s">
        <v>117</v>
      </c>
      <c r="D577" t="s">
        <v>90</v>
      </c>
      <c r="E577" t="s">
        <v>21</v>
      </c>
      <c r="F577" t="s">
        <v>38</v>
      </c>
      <c r="G577" t="s">
        <v>23</v>
      </c>
      <c r="H577" s="1">
        <v>44778</v>
      </c>
      <c r="I577" s="2">
        <v>44779.3875</v>
      </c>
      <c r="J577">
        <v>33.3</v>
      </c>
      <c r="K577" t="s">
        <v>32</v>
      </c>
      <c r="L577">
        <v>0</v>
      </c>
      <c r="M577">
        <v>4</v>
      </c>
      <c r="N577" t="s">
        <v>163</v>
      </c>
      <c r="O577" s="3" t="str">
        <f>TEXT(Ticket_Table[[#This Row],[raised_date]],"YYYY-MM")</f>
        <v>2022-08</v>
      </c>
      <c r="P577" s="3" t="str">
        <f>IF(Ticket_Table[[#This Row],[resolution_hrs]]&lt;=4,"Fast",IF(Ticket_Table[[#This Row],[resolution_hrs]]&lt;=24,"Normal",IF(Ticket_Table[[#This Row],[resolution_hrs]]&lt;=48,"Slow","Very Slow")))</f>
        <v>Slow</v>
      </c>
      <c r="Q577" s="3">
        <f>YEAR(Ticket_Table[[#This Row],[raised_date]])</f>
        <v>2022</v>
      </c>
    </row>
    <row r="578" spans="1:17">
      <c r="A578" t="s">
        <v>1097</v>
      </c>
      <c r="B578" t="s">
        <v>240</v>
      </c>
      <c r="C578" t="s">
        <v>64</v>
      </c>
      <c r="D578" t="s">
        <v>43</v>
      </c>
      <c r="E578" t="s">
        <v>106</v>
      </c>
      <c r="F578" t="s">
        <v>70</v>
      </c>
      <c r="G578" t="s">
        <v>23</v>
      </c>
      <c r="H578" s="1">
        <v>44713</v>
      </c>
      <c r="I578" s="2">
        <v>44714.4583333333</v>
      </c>
      <c r="J578">
        <v>35</v>
      </c>
      <c r="K578" t="s">
        <v>24</v>
      </c>
      <c r="L578">
        <v>0</v>
      </c>
      <c r="M578">
        <v>4</v>
      </c>
      <c r="N578" t="s">
        <v>163</v>
      </c>
      <c r="O578" s="3" t="str">
        <f>TEXT(Ticket_Table[[#This Row],[raised_date]],"YYYY-MM")</f>
        <v>2022-06</v>
      </c>
      <c r="P578" s="3" t="str">
        <f>IF(Ticket_Table[[#This Row],[resolution_hrs]]&lt;=4,"Fast",IF(Ticket_Table[[#This Row],[resolution_hrs]]&lt;=24,"Normal",IF(Ticket_Table[[#This Row],[resolution_hrs]]&lt;=48,"Slow","Very Slow")))</f>
        <v>Slow</v>
      </c>
      <c r="Q578" s="3">
        <f>YEAR(Ticket_Table[[#This Row],[raised_date]])</f>
        <v>2022</v>
      </c>
    </row>
    <row r="579" spans="1:17">
      <c r="A579" t="s">
        <v>1098</v>
      </c>
      <c r="B579" t="s">
        <v>98</v>
      </c>
      <c r="C579" t="s">
        <v>201</v>
      </c>
      <c r="D579" t="s">
        <v>36</v>
      </c>
      <c r="E579" t="s">
        <v>37</v>
      </c>
      <c r="F579" t="s">
        <v>38</v>
      </c>
      <c r="G579" t="s">
        <v>31</v>
      </c>
      <c r="H579" s="1">
        <v>44504</v>
      </c>
      <c r="I579" s="2">
        <v>44504.4958333333</v>
      </c>
      <c r="J579">
        <v>11.9</v>
      </c>
      <c r="K579" t="s">
        <v>24</v>
      </c>
      <c r="L579">
        <v>2</v>
      </c>
      <c r="M579">
        <v>4</v>
      </c>
      <c r="N579" t="s">
        <v>176</v>
      </c>
      <c r="O579" s="3" t="str">
        <f>TEXT(Ticket_Table[[#This Row],[raised_date]],"YYYY-MM")</f>
        <v>2021-11</v>
      </c>
      <c r="P579" s="3" t="str">
        <f>IF(Ticket_Table[[#This Row],[resolution_hrs]]&lt;=4,"Fast",IF(Ticket_Table[[#This Row],[resolution_hrs]]&lt;=24,"Normal",IF(Ticket_Table[[#This Row],[resolution_hrs]]&lt;=48,"Slow","Very Slow")))</f>
        <v>Normal</v>
      </c>
      <c r="Q579" s="3">
        <f>YEAR(Ticket_Table[[#This Row],[raised_date]])</f>
        <v>2021</v>
      </c>
    </row>
    <row r="580" spans="1:17">
      <c r="A580" t="s">
        <v>1099</v>
      </c>
      <c r="B580" t="s">
        <v>824</v>
      </c>
      <c r="C580" t="s">
        <v>19</v>
      </c>
      <c r="D580" t="s">
        <v>36</v>
      </c>
      <c r="E580" t="s">
        <v>37</v>
      </c>
      <c r="F580" t="s">
        <v>45</v>
      </c>
      <c r="G580" t="s">
        <v>31</v>
      </c>
      <c r="H580" s="1">
        <v>44879</v>
      </c>
      <c r="I580" s="2">
        <v>44879.1166666667</v>
      </c>
      <c r="J580">
        <v>2.8</v>
      </c>
      <c r="K580" t="s">
        <v>24</v>
      </c>
      <c r="L580">
        <v>1</v>
      </c>
      <c r="M580">
        <v>3</v>
      </c>
      <c r="N580" t="s">
        <v>1100</v>
      </c>
      <c r="O580" s="3" t="str">
        <f>TEXT(Ticket_Table[[#This Row],[raised_date]],"YYYY-MM")</f>
        <v>2022-11</v>
      </c>
      <c r="P580" s="3" t="str">
        <f>IF(Ticket_Table[[#This Row],[resolution_hrs]]&lt;=4,"Fast",IF(Ticket_Table[[#This Row],[resolution_hrs]]&lt;=24,"Normal",IF(Ticket_Table[[#This Row],[resolution_hrs]]&lt;=48,"Slow","Very Slow")))</f>
        <v>Fast</v>
      </c>
      <c r="Q580" s="3">
        <f>YEAR(Ticket_Table[[#This Row],[raised_date]])</f>
        <v>2022</v>
      </c>
    </row>
    <row r="581" spans="1:17">
      <c r="A581" t="s">
        <v>1101</v>
      </c>
      <c r="B581" t="s">
        <v>112</v>
      </c>
      <c r="C581" t="s">
        <v>287</v>
      </c>
      <c r="D581" t="s">
        <v>43</v>
      </c>
      <c r="E581" t="s">
        <v>44</v>
      </c>
      <c r="F581" t="s">
        <v>70</v>
      </c>
      <c r="G581" t="s">
        <v>31</v>
      </c>
      <c r="H581" s="1">
        <v>44363</v>
      </c>
      <c r="I581" s="2">
        <v>44365.4583333333</v>
      </c>
      <c r="J581">
        <v>59</v>
      </c>
      <c r="K581" t="s">
        <v>32</v>
      </c>
      <c r="L581">
        <v>0</v>
      </c>
      <c r="M581">
        <v>3</v>
      </c>
      <c r="N581" t="s">
        <v>296</v>
      </c>
      <c r="O581" s="3" t="str">
        <f>TEXT(Ticket_Table[[#This Row],[raised_date]],"YYYY-MM")</f>
        <v>2021-06</v>
      </c>
      <c r="P581" s="3" t="str">
        <f>IF(Ticket_Table[[#This Row],[resolution_hrs]]&lt;=4,"Fast",IF(Ticket_Table[[#This Row],[resolution_hrs]]&lt;=24,"Normal",IF(Ticket_Table[[#This Row],[resolution_hrs]]&lt;=48,"Slow","Very Slow")))</f>
        <v>Very Slow</v>
      </c>
      <c r="Q581" s="3">
        <f>YEAR(Ticket_Table[[#This Row],[raised_date]])</f>
        <v>2021</v>
      </c>
    </row>
    <row r="582" spans="1:17">
      <c r="A582" t="s">
        <v>1102</v>
      </c>
      <c r="B582" t="s">
        <v>906</v>
      </c>
      <c r="C582" t="s">
        <v>42</v>
      </c>
      <c r="D582" t="s">
        <v>29</v>
      </c>
      <c r="E582" t="s">
        <v>37</v>
      </c>
      <c r="F582" t="s">
        <v>22</v>
      </c>
      <c r="G582" t="s">
        <v>23</v>
      </c>
      <c r="H582" s="1">
        <v>44486</v>
      </c>
      <c r="I582" s="2">
        <v>44490.0083333333</v>
      </c>
      <c r="J582">
        <v>96.2</v>
      </c>
      <c r="K582" t="s">
        <v>32</v>
      </c>
      <c r="L582">
        <v>0</v>
      </c>
      <c r="M582">
        <v>1</v>
      </c>
      <c r="N582" t="s">
        <v>378</v>
      </c>
      <c r="O582" s="3" t="str">
        <f>TEXT(Ticket_Table[[#This Row],[raised_date]],"YYYY-MM")</f>
        <v>2021-10</v>
      </c>
      <c r="P582" s="3" t="str">
        <f>IF(Ticket_Table[[#This Row],[resolution_hrs]]&lt;=4,"Fast",IF(Ticket_Table[[#This Row],[resolution_hrs]]&lt;=24,"Normal",IF(Ticket_Table[[#This Row],[resolution_hrs]]&lt;=48,"Slow","Very Slow")))</f>
        <v>Very Slow</v>
      </c>
      <c r="Q582" s="3">
        <f>YEAR(Ticket_Table[[#This Row],[raised_date]])</f>
        <v>2021</v>
      </c>
    </row>
    <row r="583" spans="1:17">
      <c r="A583" t="s">
        <v>1103</v>
      </c>
      <c r="B583" t="s">
        <v>269</v>
      </c>
      <c r="C583" t="s">
        <v>78</v>
      </c>
      <c r="D583" t="s">
        <v>36</v>
      </c>
      <c r="E583" t="s">
        <v>83</v>
      </c>
      <c r="F583" t="s">
        <v>22</v>
      </c>
      <c r="G583" t="s">
        <v>46</v>
      </c>
      <c r="H583" s="1">
        <v>44913</v>
      </c>
      <c r="I583" s="2">
        <v>44915.7041666667</v>
      </c>
      <c r="J583">
        <v>64.9</v>
      </c>
      <c r="K583" t="s">
        <v>24</v>
      </c>
      <c r="L583">
        <v>2</v>
      </c>
      <c r="M583">
        <v>3</v>
      </c>
      <c r="N583" t="s">
        <v>246</v>
      </c>
      <c r="O583" s="3" t="str">
        <f>TEXT(Ticket_Table[[#This Row],[raised_date]],"YYYY-MM")</f>
        <v>2022-12</v>
      </c>
      <c r="P583" s="3" t="str">
        <f>IF(Ticket_Table[[#This Row],[resolution_hrs]]&lt;=4,"Fast",IF(Ticket_Table[[#This Row],[resolution_hrs]]&lt;=24,"Normal",IF(Ticket_Table[[#This Row],[resolution_hrs]]&lt;=48,"Slow","Very Slow")))</f>
        <v>Very Slow</v>
      </c>
      <c r="Q583" s="3">
        <f>YEAR(Ticket_Table[[#This Row],[raised_date]])</f>
        <v>2022</v>
      </c>
    </row>
    <row r="584" spans="1:17">
      <c r="A584" t="s">
        <v>1104</v>
      </c>
      <c r="B584" t="s">
        <v>749</v>
      </c>
      <c r="C584" t="s">
        <v>213</v>
      </c>
      <c r="D584" t="s">
        <v>29</v>
      </c>
      <c r="E584" t="s">
        <v>37</v>
      </c>
      <c r="F584" t="s">
        <v>22</v>
      </c>
      <c r="G584" t="s">
        <v>31</v>
      </c>
      <c r="H584" s="1">
        <v>44832</v>
      </c>
      <c r="I584" s="2">
        <v>44835.4458333333</v>
      </c>
      <c r="J584">
        <v>82.7</v>
      </c>
      <c r="K584" t="s">
        <v>32</v>
      </c>
      <c r="L584">
        <v>1</v>
      </c>
      <c r="M584">
        <v>5</v>
      </c>
      <c r="N584" t="s">
        <v>491</v>
      </c>
      <c r="O584" s="3" t="str">
        <f>TEXT(Ticket_Table[[#This Row],[raised_date]],"YYYY-MM")</f>
        <v>2022-09</v>
      </c>
      <c r="P584" s="3" t="str">
        <f>IF(Ticket_Table[[#This Row],[resolution_hrs]]&lt;=4,"Fast",IF(Ticket_Table[[#This Row],[resolution_hrs]]&lt;=24,"Normal",IF(Ticket_Table[[#This Row],[resolution_hrs]]&lt;=48,"Slow","Very Slow")))</f>
        <v>Very Slow</v>
      </c>
      <c r="Q584" s="3">
        <f>YEAR(Ticket_Table[[#This Row],[raised_date]])</f>
        <v>2022</v>
      </c>
    </row>
    <row r="585" spans="1:17">
      <c r="A585" t="s">
        <v>1105</v>
      </c>
      <c r="B585" t="s">
        <v>1051</v>
      </c>
      <c r="C585" t="s">
        <v>42</v>
      </c>
      <c r="D585" t="s">
        <v>36</v>
      </c>
      <c r="E585" t="s">
        <v>69</v>
      </c>
      <c r="F585" t="s">
        <v>22</v>
      </c>
      <c r="G585" t="s">
        <v>74</v>
      </c>
      <c r="H585" s="1">
        <v>44999</v>
      </c>
      <c r="I585" s="2">
        <v>45000.5666666667</v>
      </c>
      <c r="J585">
        <v>37.6</v>
      </c>
      <c r="K585" t="s">
        <v>24</v>
      </c>
      <c r="L585">
        <v>0</v>
      </c>
      <c r="M585">
        <v>5</v>
      </c>
      <c r="N585" t="s">
        <v>457</v>
      </c>
      <c r="O585" s="3" t="str">
        <f>TEXT(Ticket_Table[[#This Row],[raised_date]],"YYYY-MM")</f>
        <v>2023-03</v>
      </c>
      <c r="P585" s="3" t="str">
        <f>IF(Ticket_Table[[#This Row],[resolution_hrs]]&lt;=4,"Fast",IF(Ticket_Table[[#This Row],[resolution_hrs]]&lt;=24,"Normal",IF(Ticket_Table[[#This Row],[resolution_hrs]]&lt;=48,"Slow","Very Slow")))</f>
        <v>Slow</v>
      </c>
      <c r="Q585" s="3">
        <f>YEAR(Ticket_Table[[#This Row],[raised_date]])</f>
        <v>2023</v>
      </c>
    </row>
    <row r="586" spans="1:17">
      <c r="A586" t="s">
        <v>1106</v>
      </c>
      <c r="B586" t="s">
        <v>1107</v>
      </c>
      <c r="C586" t="s">
        <v>55</v>
      </c>
      <c r="D586" t="s">
        <v>20</v>
      </c>
      <c r="E586" t="s">
        <v>56</v>
      </c>
      <c r="F586" t="s">
        <v>70</v>
      </c>
      <c r="G586" t="s">
        <v>31</v>
      </c>
      <c r="H586" s="1">
        <v>44461</v>
      </c>
      <c r="I586" s="2">
        <v>44463.1416666667</v>
      </c>
      <c r="J586">
        <v>51.4</v>
      </c>
      <c r="K586" t="s">
        <v>32</v>
      </c>
      <c r="L586">
        <v>0</v>
      </c>
      <c r="M586">
        <v>3</v>
      </c>
      <c r="N586" t="s">
        <v>368</v>
      </c>
      <c r="O586" s="3" t="str">
        <f>TEXT(Ticket_Table[[#This Row],[raised_date]],"YYYY-MM")</f>
        <v>2021-09</v>
      </c>
      <c r="P586" s="3" t="str">
        <f>IF(Ticket_Table[[#This Row],[resolution_hrs]]&lt;=4,"Fast",IF(Ticket_Table[[#This Row],[resolution_hrs]]&lt;=24,"Normal",IF(Ticket_Table[[#This Row],[resolution_hrs]]&lt;=48,"Slow","Very Slow")))</f>
        <v>Very Slow</v>
      </c>
      <c r="Q586" s="3">
        <f>YEAR(Ticket_Table[[#This Row],[raised_date]])</f>
        <v>2021</v>
      </c>
    </row>
    <row r="587" spans="1:17">
      <c r="A587" t="s">
        <v>1108</v>
      </c>
      <c r="B587" t="s">
        <v>594</v>
      </c>
      <c r="C587" t="s">
        <v>50</v>
      </c>
      <c r="D587" t="s">
        <v>90</v>
      </c>
      <c r="E587" t="s">
        <v>166</v>
      </c>
      <c r="F587" t="s">
        <v>70</v>
      </c>
      <c r="G587" t="s">
        <v>31</v>
      </c>
      <c r="H587" s="1">
        <v>44370</v>
      </c>
      <c r="I587" s="2">
        <v>44370.125</v>
      </c>
      <c r="J587">
        <v>3</v>
      </c>
      <c r="K587" t="s">
        <v>24</v>
      </c>
      <c r="L587">
        <v>0</v>
      </c>
      <c r="M587">
        <v>4</v>
      </c>
      <c r="N587" t="s">
        <v>75</v>
      </c>
      <c r="O587" s="3" t="str">
        <f>TEXT(Ticket_Table[[#This Row],[raised_date]],"YYYY-MM")</f>
        <v>2021-06</v>
      </c>
      <c r="P587" s="3" t="str">
        <f>IF(Ticket_Table[[#This Row],[resolution_hrs]]&lt;=4,"Fast",IF(Ticket_Table[[#This Row],[resolution_hrs]]&lt;=24,"Normal",IF(Ticket_Table[[#This Row],[resolution_hrs]]&lt;=48,"Slow","Very Slow")))</f>
        <v>Fast</v>
      </c>
      <c r="Q587" s="3">
        <f>YEAR(Ticket_Table[[#This Row],[raised_date]])</f>
        <v>2021</v>
      </c>
    </row>
    <row r="588" spans="1:17">
      <c r="A588" t="s">
        <v>1109</v>
      </c>
      <c r="B588" t="s">
        <v>146</v>
      </c>
      <c r="C588" t="s">
        <v>201</v>
      </c>
      <c r="D588" t="s">
        <v>36</v>
      </c>
      <c r="E588" t="s">
        <v>69</v>
      </c>
      <c r="F588" t="s">
        <v>70</v>
      </c>
      <c r="G588" t="s">
        <v>31</v>
      </c>
      <c r="H588" s="1">
        <v>44831</v>
      </c>
      <c r="I588" s="2">
        <v>44833.45</v>
      </c>
      <c r="J588">
        <v>58.8</v>
      </c>
      <c r="K588" t="s">
        <v>32</v>
      </c>
      <c r="L588">
        <v>1</v>
      </c>
      <c r="M588">
        <v>5</v>
      </c>
      <c r="N588" t="s">
        <v>343</v>
      </c>
      <c r="O588" s="3" t="str">
        <f>TEXT(Ticket_Table[[#This Row],[raised_date]],"YYYY-MM")</f>
        <v>2022-09</v>
      </c>
      <c r="P588" s="3" t="str">
        <f>IF(Ticket_Table[[#This Row],[resolution_hrs]]&lt;=4,"Fast",IF(Ticket_Table[[#This Row],[resolution_hrs]]&lt;=24,"Normal",IF(Ticket_Table[[#This Row],[resolution_hrs]]&lt;=48,"Slow","Very Slow")))</f>
        <v>Very Slow</v>
      </c>
      <c r="Q588" s="3">
        <f>YEAR(Ticket_Table[[#This Row],[raised_date]])</f>
        <v>2022</v>
      </c>
    </row>
    <row r="589" spans="1:17">
      <c r="A589" t="s">
        <v>1110</v>
      </c>
      <c r="B589" t="s">
        <v>592</v>
      </c>
      <c r="C589" t="s">
        <v>50</v>
      </c>
      <c r="D589" t="s">
        <v>20</v>
      </c>
      <c r="E589" t="s">
        <v>69</v>
      </c>
      <c r="F589" t="s">
        <v>70</v>
      </c>
      <c r="G589" t="s">
        <v>31</v>
      </c>
      <c r="H589" s="1">
        <v>44968</v>
      </c>
      <c r="I589" s="2">
        <v>44968.7</v>
      </c>
      <c r="J589">
        <v>16.8</v>
      </c>
      <c r="K589" t="s">
        <v>24</v>
      </c>
      <c r="L589">
        <v>0</v>
      </c>
      <c r="M589">
        <v>3</v>
      </c>
      <c r="N589" t="s">
        <v>403</v>
      </c>
      <c r="O589" s="3" t="str">
        <f>TEXT(Ticket_Table[[#This Row],[raised_date]],"YYYY-MM")</f>
        <v>2023-02</v>
      </c>
      <c r="P589" s="3" t="str">
        <f>IF(Ticket_Table[[#This Row],[resolution_hrs]]&lt;=4,"Fast",IF(Ticket_Table[[#This Row],[resolution_hrs]]&lt;=24,"Normal",IF(Ticket_Table[[#This Row],[resolution_hrs]]&lt;=48,"Slow","Very Slow")))</f>
        <v>Normal</v>
      </c>
      <c r="Q589" s="3">
        <f>YEAR(Ticket_Table[[#This Row],[raised_date]])</f>
        <v>2023</v>
      </c>
    </row>
    <row r="590" spans="1:17">
      <c r="A590" t="s">
        <v>1111</v>
      </c>
      <c r="B590" t="s">
        <v>1112</v>
      </c>
      <c r="C590" t="s">
        <v>68</v>
      </c>
      <c r="D590" t="s">
        <v>43</v>
      </c>
      <c r="E590" t="s">
        <v>51</v>
      </c>
      <c r="F590" t="s">
        <v>70</v>
      </c>
      <c r="G590" t="s">
        <v>74</v>
      </c>
      <c r="H590" s="1">
        <v>44869</v>
      </c>
      <c r="I590" s="2">
        <v>44871.575</v>
      </c>
      <c r="J590">
        <v>61.8</v>
      </c>
      <c r="K590" t="s">
        <v>32</v>
      </c>
      <c r="L590">
        <v>0</v>
      </c>
      <c r="M590">
        <v>4</v>
      </c>
      <c r="N590" t="s">
        <v>970</v>
      </c>
      <c r="O590" s="3" t="str">
        <f>TEXT(Ticket_Table[[#This Row],[raised_date]],"YYYY-MM")</f>
        <v>2022-11</v>
      </c>
      <c r="P590" s="3" t="str">
        <f>IF(Ticket_Table[[#This Row],[resolution_hrs]]&lt;=4,"Fast",IF(Ticket_Table[[#This Row],[resolution_hrs]]&lt;=24,"Normal",IF(Ticket_Table[[#This Row],[resolution_hrs]]&lt;=48,"Slow","Very Slow")))</f>
        <v>Very Slow</v>
      </c>
      <c r="Q590" s="3">
        <f>YEAR(Ticket_Table[[#This Row],[raised_date]])</f>
        <v>2022</v>
      </c>
    </row>
    <row r="591" spans="1:17">
      <c r="A591" t="s">
        <v>1113</v>
      </c>
      <c r="B591" t="s">
        <v>853</v>
      </c>
      <c r="C591" t="s">
        <v>213</v>
      </c>
      <c r="D591" t="s">
        <v>20</v>
      </c>
      <c r="E591" t="s">
        <v>51</v>
      </c>
      <c r="F591" t="s">
        <v>22</v>
      </c>
      <c r="G591" t="s">
        <v>23</v>
      </c>
      <c r="H591" s="1">
        <v>44458</v>
      </c>
      <c r="I591" s="2">
        <v>44458.675</v>
      </c>
      <c r="J591">
        <v>16.2</v>
      </c>
      <c r="K591" t="s">
        <v>24</v>
      </c>
      <c r="L591">
        <v>0</v>
      </c>
      <c r="M591">
        <v>1</v>
      </c>
      <c r="N591" t="s">
        <v>981</v>
      </c>
      <c r="O591" s="3" t="str">
        <f>TEXT(Ticket_Table[[#This Row],[raised_date]],"YYYY-MM")</f>
        <v>2021-09</v>
      </c>
      <c r="P591" s="3" t="str">
        <f>IF(Ticket_Table[[#This Row],[resolution_hrs]]&lt;=4,"Fast",IF(Ticket_Table[[#This Row],[resolution_hrs]]&lt;=24,"Normal",IF(Ticket_Table[[#This Row],[resolution_hrs]]&lt;=48,"Slow","Very Slow")))</f>
        <v>Normal</v>
      </c>
      <c r="Q591" s="3">
        <f>YEAR(Ticket_Table[[#This Row],[raised_date]])</f>
        <v>2021</v>
      </c>
    </row>
    <row r="592" spans="1:17">
      <c r="A592" t="s">
        <v>1114</v>
      </c>
      <c r="B592" t="s">
        <v>355</v>
      </c>
      <c r="C592" t="s">
        <v>28</v>
      </c>
      <c r="D592" t="s">
        <v>43</v>
      </c>
      <c r="E592" t="s">
        <v>106</v>
      </c>
      <c r="F592" t="s">
        <v>22</v>
      </c>
      <c r="G592" t="s">
        <v>46</v>
      </c>
      <c r="H592" s="1">
        <v>45275</v>
      </c>
      <c r="I592" s="2">
        <v>45276.05</v>
      </c>
      <c r="J592">
        <v>25.2</v>
      </c>
      <c r="K592" t="s">
        <v>24</v>
      </c>
      <c r="L592">
        <v>0</v>
      </c>
      <c r="M592">
        <v>4</v>
      </c>
      <c r="N592" t="s">
        <v>656</v>
      </c>
      <c r="O592" s="3" t="str">
        <f>TEXT(Ticket_Table[[#This Row],[raised_date]],"YYYY-MM")</f>
        <v>2023-12</v>
      </c>
      <c r="P592" s="3" t="str">
        <f>IF(Ticket_Table[[#This Row],[resolution_hrs]]&lt;=4,"Fast",IF(Ticket_Table[[#This Row],[resolution_hrs]]&lt;=24,"Normal",IF(Ticket_Table[[#This Row],[resolution_hrs]]&lt;=48,"Slow","Very Slow")))</f>
        <v>Slow</v>
      </c>
      <c r="Q592" s="3">
        <f>YEAR(Ticket_Table[[#This Row],[raised_date]])</f>
        <v>2023</v>
      </c>
    </row>
    <row r="593" spans="1:17">
      <c r="A593" t="s">
        <v>1115</v>
      </c>
      <c r="B593" t="s">
        <v>880</v>
      </c>
      <c r="C593" t="s">
        <v>42</v>
      </c>
      <c r="D593" t="s">
        <v>36</v>
      </c>
      <c r="E593" t="s">
        <v>51</v>
      </c>
      <c r="F593" t="s">
        <v>22</v>
      </c>
      <c r="G593" t="s">
        <v>74</v>
      </c>
      <c r="H593" s="1">
        <v>44388</v>
      </c>
      <c r="I593" s="2">
        <v>44388.6</v>
      </c>
      <c r="J593">
        <v>14.4</v>
      </c>
      <c r="K593" t="s">
        <v>24</v>
      </c>
      <c r="L593">
        <v>0</v>
      </c>
      <c r="M593">
        <v>5</v>
      </c>
      <c r="N593" t="s">
        <v>218</v>
      </c>
      <c r="O593" s="3" t="str">
        <f>TEXT(Ticket_Table[[#This Row],[raised_date]],"YYYY-MM")</f>
        <v>2021-07</v>
      </c>
      <c r="P593" s="3" t="str">
        <f>IF(Ticket_Table[[#This Row],[resolution_hrs]]&lt;=4,"Fast",IF(Ticket_Table[[#This Row],[resolution_hrs]]&lt;=24,"Normal",IF(Ticket_Table[[#This Row],[resolution_hrs]]&lt;=48,"Slow","Very Slow")))</f>
        <v>Normal</v>
      </c>
      <c r="Q593" s="3">
        <f>YEAR(Ticket_Table[[#This Row],[raised_date]])</f>
        <v>2021</v>
      </c>
    </row>
    <row r="594" spans="1:17">
      <c r="A594" t="s">
        <v>1116</v>
      </c>
      <c r="B594" t="s">
        <v>223</v>
      </c>
      <c r="C594" t="s">
        <v>175</v>
      </c>
      <c r="D594" t="s">
        <v>43</v>
      </c>
      <c r="E594" t="s">
        <v>106</v>
      </c>
      <c r="F594" t="s">
        <v>70</v>
      </c>
      <c r="G594" t="s">
        <v>23</v>
      </c>
      <c r="H594" s="1">
        <v>45064</v>
      </c>
      <c r="I594" s="2">
        <v>45064.425</v>
      </c>
      <c r="J594">
        <v>10.2</v>
      </c>
      <c r="K594" t="s">
        <v>24</v>
      </c>
      <c r="L594">
        <v>2</v>
      </c>
      <c r="M594">
        <v>5</v>
      </c>
      <c r="N594" t="s">
        <v>880</v>
      </c>
      <c r="O594" s="3" t="str">
        <f>TEXT(Ticket_Table[[#This Row],[raised_date]],"YYYY-MM")</f>
        <v>2023-05</v>
      </c>
      <c r="P594" s="3" t="str">
        <f>IF(Ticket_Table[[#This Row],[resolution_hrs]]&lt;=4,"Fast",IF(Ticket_Table[[#This Row],[resolution_hrs]]&lt;=24,"Normal",IF(Ticket_Table[[#This Row],[resolution_hrs]]&lt;=48,"Slow","Very Slow")))</f>
        <v>Normal</v>
      </c>
      <c r="Q594" s="3">
        <f>YEAR(Ticket_Table[[#This Row],[raised_date]])</f>
        <v>2023</v>
      </c>
    </row>
    <row r="595" spans="1:17">
      <c r="A595" t="s">
        <v>1117</v>
      </c>
      <c r="B595" t="s">
        <v>873</v>
      </c>
      <c r="C595" t="s">
        <v>64</v>
      </c>
      <c r="D595" t="s">
        <v>20</v>
      </c>
      <c r="E595" t="s">
        <v>69</v>
      </c>
      <c r="F595" t="s">
        <v>22</v>
      </c>
      <c r="G595" t="s">
        <v>74</v>
      </c>
      <c r="H595" s="1">
        <v>45238</v>
      </c>
      <c r="I595" s="2">
        <v>45238.3916666667</v>
      </c>
      <c r="J595">
        <v>9.4</v>
      </c>
      <c r="K595" t="s">
        <v>24</v>
      </c>
      <c r="L595">
        <v>2</v>
      </c>
      <c r="M595">
        <v>4</v>
      </c>
      <c r="N595" t="s">
        <v>833</v>
      </c>
      <c r="O595" s="3" t="str">
        <f>TEXT(Ticket_Table[[#This Row],[raised_date]],"YYYY-MM")</f>
        <v>2023-11</v>
      </c>
      <c r="P595" s="3" t="str">
        <f>IF(Ticket_Table[[#This Row],[resolution_hrs]]&lt;=4,"Fast",IF(Ticket_Table[[#This Row],[resolution_hrs]]&lt;=24,"Normal",IF(Ticket_Table[[#This Row],[resolution_hrs]]&lt;=48,"Slow","Very Slow")))</f>
        <v>Normal</v>
      </c>
      <c r="Q595" s="3">
        <f>YEAR(Ticket_Table[[#This Row],[raised_date]])</f>
        <v>2023</v>
      </c>
    </row>
    <row r="596" spans="1:17">
      <c r="A596" t="s">
        <v>1118</v>
      </c>
      <c r="B596" t="s">
        <v>412</v>
      </c>
      <c r="C596" t="s">
        <v>201</v>
      </c>
      <c r="D596" t="s">
        <v>90</v>
      </c>
      <c r="E596" t="s">
        <v>166</v>
      </c>
      <c r="F596" t="s">
        <v>22</v>
      </c>
      <c r="G596" t="s">
        <v>31</v>
      </c>
      <c r="H596" s="1">
        <v>44938</v>
      </c>
      <c r="I596" s="2">
        <v>44941.1208333333</v>
      </c>
      <c r="J596">
        <v>74.9</v>
      </c>
      <c r="K596" t="s">
        <v>32</v>
      </c>
      <c r="L596">
        <v>1</v>
      </c>
      <c r="M596">
        <v>4</v>
      </c>
      <c r="N596" t="s">
        <v>929</v>
      </c>
      <c r="O596" s="3" t="str">
        <f>TEXT(Ticket_Table[[#This Row],[raised_date]],"YYYY-MM")</f>
        <v>2023-01</v>
      </c>
      <c r="P596" s="3" t="str">
        <f>IF(Ticket_Table[[#This Row],[resolution_hrs]]&lt;=4,"Fast",IF(Ticket_Table[[#This Row],[resolution_hrs]]&lt;=24,"Normal",IF(Ticket_Table[[#This Row],[resolution_hrs]]&lt;=48,"Slow","Very Slow")))</f>
        <v>Very Slow</v>
      </c>
      <c r="Q596" s="3">
        <f>YEAR(Ticket_Table[[#This Row],[raised_date]])</f>
        <v>2023</v>
      </c>
    </row>
    <row r="597" spans="1:17">
      <c r="A597" t="s">
        <v>1119</v>
      </c>
      <c r="B597" t="s">
        <v>284</v>
      </c>
      <c r="C597" t="s">
        <v>117</v>
      </c>
      <c r="D597" t="s">
        <v>29</v>
      </c>
      <c r="E597" t="s">
        <v>44</v>
      </c>
      <c r="F597" t="s">
        <v>70</v>
      </c>
      <c r="G597" t="s">
        <v>91</v>
      </c>
      <c r="H597" s="1">
        <v>44234</v>
      </c>
      <c r="I597" s="2">
        <v>44236.3625</v>
      </c>
      <c r="J597">
        <v>56.7</v>
      </c>
      <c r="K597" t="s">
        <v>32</v>
      </c>
      <c r="L597">
        <v>2</v>
      </c>
      <c r="M597">
        <v>4</v>
      </c>
      <c r="N597" t="s">
        <v>300</v>
      </c>
      <c r="O597" s="3" t="str">
        <f>TEXT(Ticket_Table[[#This Row],[raised_date]],"YYYY-MM")</f>
        <v>2021-02</v>
      </c>
      <c r="P597" s="3" t="str">
        <f>IF(Ticket_Table[[#This Row],[resolution_hrs]]&lt;=4,"Fast",IF(Ticket_Table[[#This Row],[resolution_hrs]]&lt;=24,"Normal",IF(Ticket_Table[[#This Row],[resolution_hrs]]&lt;=48,"Slow","Very Slow")))</f>
        <v>Very Slow</v>
      </c>
      <c r="Q597" s="3">
        <f>YEAR(Ticket_Table[[#This Row],[raised_date]])</f>
        <v>2021</v>
      </c>
    </row>
    <row r="598" spans="1:17">
      <c r="A598" t="s">
        <v>1120</v>
      </c>
      <c r="B598" t="s">
        <v>460</v>
      </c>
      <c r="C598" t="s">
        <v>42</v>
      </c>
      <c r="D598" t="s">
        <v>29</v>
      </c>
      <c r="E598" t="s">
        <v>44</v>
      </c>
      <c r="F598" t="s">
        <v>38</v>
      </c>
      <c r="G598" t="s">
        <v>23</v>
      </c>
      <c r="H598" s="1">
        <v>44939</v>
      </c>
      <c r="I598" s="2">
        <v>44939.1541666667</v>
      </c>
      <c r="J598">
        <v>3.7</v>
      </c>
      <c r="K598" t="s">
        <v>24</v>
      </c>
      <c r="L598">
        <v>0</v>
      </c>
      <c r="M598">
        <v>2</v>
      </c>
      <c r="N598" t="s">
        <v>567</v>
      </c>
      <c r="O598" s="3" t="str">
        <f>TEXT(Ticket_Table[[#This Row],[raised_date]],"YYYY-MM")</f>
        <v>2023-01</v>
      </c>
      <c r="P598" s="3" t="str">
        <f>IF(Ticket_Table[[#This Row],[resolution_hrs]]&lt;=4,"Fast",IF(Ticket_Table[[#This Row],[resolution_hrs]]&lt;=24,"Normal",IF(Ticket_Table[[#This Row],[resolution_hrs]]&lt;=48,"Slow","Very Slow")))</f>
        <v>Fast</v>
      </c>
      <c r="Q598" s="3">
        <f>YEAR(Ticket_Table[[#This Row],[raised_date]])</f>
        <v>2023</v>
      </c>
    </row>
    <row r="599" spans="1:17">
      <c r="A599" t="s">
        <v>1121</v>
      </c>
      <c r="B599" t="s">
        <v>966</v>
      </c>
      <c r="C599" t="s">
        <v>82</v>
      </c>
      <c r="D599" t="s">
        <v>90</v>
      </c>
      <c r="E599" t="s">
        <v>56</v>
      </c>
      <c r="F599" t="s">
        <v>22</v>
      </c>
      <c r="G599" t="s">
        <v>46</v>
      </c>
      <c r="H599" s="1">
        <v>44829</v>
      </c>
      <c r="I599" s="2">
        <v>44832.4958333333</v>
      </c>
      <c r="J599">
        <v>83.9</v>
      </c>
      <c r="K599" t="s">
        <v>32</v>
      </c>
      <c r="L599">
        <v>0</v>
      </c>
      <c r="M599">
        <v>3</v>
      </c>
      <c r="N599" t="s">
        <v>653</v>
      </c>
      <c r="O599" s="3" t="str">
        <f>TEXT(Ticket_Table[[#This Row],[raised_date]],"YYYY-MM")</f>
        <v>2022-09</v>
      </c>
      <c r="P599" s="3" t="str">
        <f>IF(Ticket_Table[[#This Row],[resolution_hrs]]&lt;=4,"Fast",IF(Ticket_Table[[#This Row],[resolution_hrs]]&lt;=24,"Normal",IF(Ticket_Table[[#This Row],[resolution_hrs]]&lt;=48,"Slow","Very Slow")))</f>
        <v>Very Slow</v>
      </c>
      <c r="Q599" s="3">
        <f>YEAR(Ticket_Table[[#This Row],[raised_date]])</f>
        <v>2022</v>
      </c>
    </row>
    <row r="600" spans="1:17">
      <c r="A600" t="s">
        <v>1122</v>
      </c>
      <c r="B600" t="s">
        <v>1123</v>
      </c>
      <c r="C600" t="s">
        <v>117</v>
      </c>
      <c r="D600" t="s">
        <v>29</v>
      </c>
      <c r="E600" t="s">
        <v>30</v>
      </c>
      <c r="F600" t="s">
        <v>70</v>
      </c>
      <c r="G600" t="s">
        <v>31</v>
      </c>
      <c r="H600" s="1">
        <v>44566</v>
      </c>
      <c r="I600" s="2">
        <v>44568.2833333333</v>
      </c>
      <c r="J600">
        <v>54.8</v>
      </c>
      <c r="K600" t="s">
        <v>32</v>
      </c>
      <c r="L600">
        <v>1</v>
      </c>
      <c r="M600">
        <v>5</v>
      </c>
      <c r="N600" t="s">
        <v>233</v>
      </c>
      <c r="O600" s="3" t="str">
        <f>TEXT(Ticket_Table[[#This Row],[raised_date]],"YYYY-MM")</f>
        <v>2022-01</v>
      </c>
      <c r="P600" s="3" t="str">
        <f>IF(Ticket_Table[[#This Row],[resolution_hrs]]&lt;=4,"Fast",IF(Ticket_Table[[#This Row],[resolution_hrs]]&lt;=24,"Normal",IF(Ticket_Table[[#This Row],[resolution_hrs]]&lt;=48,"Slow","Very Slow")))</f>
        <v>Very Slow</v>
      </c>
      <c r="Q600" s="3">
        <f>YEAR(Ticket_Table[[#This Row],[raised_date]])</f>
        <v>2022</v>
      </c>
    </row>
    <row r="601" spans="1:17">
      <c r="A601" t="s">
        <v>1124</v>
      </c>
      <c r="B601" t="s">
        <v>295</v>
      </c>
      <c r="C601" t="s">
        <v>261</v>
      </c>
      <c r="D601" t="s">
        <v>36</v>
      </c>
      <c r="E601" t="s">
        <v>44</v>
      </c>
      <c r="F601" t="s">
        <v>38</v>
      </c>
      <c r="G601" t="s">
        <v>31</v>
      </c>
      <c r="H601" s="1">
        <v>44635</v>
      </c>
      <c r="I601" s="2">
        <v>44635.1041666667</v>
      </c>
      <c r="J601">
        <v>2.5</v>
      </c>
      <c r="K601" t="s">
        <v>24</v>
      </c>
      <c r="L601">
        <v>0</v>
      </c>
      <c r="M601">
        <v>3</v>
      </c>
      <c r="N601" t="s">
        <v>308</v>
      </c>
      <c r="O601" s="3" t="str">
        <f>TEXT(Ticket_Table[[#This Row],[raised_date]],"YYYY-MM")</f>
        <v>2022-03</v>
      </c>
      <c r="P601" s="3" t="str">
        <f>IF(Ticket_Table[[#This Row],[resolution_hrs]]&lt;=4,"Fast",IF(Ticket_Table[[#This Row],[resolution_hrs]]&lt;=24,"Normal",IF(Ticket_Table[[#This Row],[resolution_hrs]]&lt;=48,"Slow","Very Slow")))</f>
        <v>Fast</v>
      </c>
      <c r="Q601" s="3">
        <f>YEAR(Ticket_Table[[#This Row],[raised_date]])</f>
        <v>2022</v>
      </c>
    </row>
    <row r="602" spans="1:17">
      <c r="A602" t="s">
        <v>1125</v>
      </c>
      <c r="B602" t="s">
        <v>92</v>
      </c>
      <c r="C602" t="s">
        <v>28</v>
      </c>
      <c r="D602" t="s">
        <v>36</v>
      </c>
      <c r="E602" t="s">
        <v>30</v>
      </c>
      <c r="F602" t="s">
        <v>38</v>
      </c>
      <c r="G602" t="s">
        <v>31</v>
      </c>
      <c r="H602" s="1">
        <v>44896</v>
      </c>
      <c r="I602" s="2">
        <v>44896.2</v>
      </c>
      <c r="J602">
        <v>4.8</v>
      </c>
      <c r="K602" t="s">
        <v>24</v>
      </c>
      <c r="L602">
        <v>0</v>
      </c>
      <c r="M602">
        <v>3</v>
      </c>
      <c r="N602" t="s">
        <v>152</v>
      </c>
      <c r="O602" s="3" t="str">
        <f>TEXT(Ticket_Table[[#This Row],[raised_date]],"YYYY-MM")</f>
        <v>2022-12</v>
      </c>
      <c r="P602" s="3" t="str">
        <f>IF(Ticket_Table[[#This Row],[resolution_hrs]]&lt;=4,"Fast",IF(Ticket_Table[[#This Row],[resolution_hrs]]&lt;=24,"Normal",IF(Ticket_Table[[#This Row],[resolution_hrs]]&lt;=48,"Slow","Very Slow")))</f>
        <v>Normal</v>
      </c>
      <c r="Q602" s="3">
        <f>YEAR(Ticket_Table[[#This Row],[raised_date]])</f>
        <v>2022</v>
      </c>
    </row>
    <row r="603" spans="1:17">
      <c r="A603" t="s">
        <v>1126</v>
      </c>
      <c r="B603" t="s">
        <v>382</v>
      </c>
      <c r="C603" t="s">
        <v>42</v>
      </c>
      <c r="D603" t="s">
        <v>20</v>
      </c>
      <c r="E603" t="s">
        <v>37</v>
      </c>
      <c r="F603" t="s">
        <v>45</v>
      </c>
      <c r="G603" t="s">
        <v>23</v>
      </c>
      <c r="H603" s="1">
        <v>45192</v>
      </c>
      <c r="I603" s="2">
        <v>45192.2083333333</v>
      </c>
      <c r="J603">
        <v>5</v>
      </c>
      <c r="K603" t="s">
        <v>32</v>
      </c>
      <c r="L603">
        <v>0</v>
      </c>
      <c r="M603">
        <v>4</v>
      </c>
      <c r="N603" t="s">
        <v>871</v>
      </c>
      <c r="O603" s="3" t="str">
        <f>TEXT(Ticket_Table[[#This Row],[raised_date]],"YYYY-MM")</f>
        <v>2023-09</v>
      </c>
      <c r="P603" s="3" t="str">
        <f>IF(Ticket_Table[[#This Row],[resolution_hrs]]&lt;=4,"Fast",IF(Ticket_Table[[#This Row],[resolution_hrs]]&lt;=24,"Normal",IF(Ticket_Table[[#This Row],[resolution_hrs]]&lt;=48,"Slow","Very Slow")))</f>
        <v>Normal</v>
      </c>
      <c r="Q603" s="3">
        <f>YEAR(Ticket_Table[[#This Row],[raised_date]])</f>
        <v>2023</v>
      </c>
    </row>
    <row r="604" spans="1:17">
      <c r="A604" t="s">
        <v>1127</v>
      </c>
      <c r="B604" t="s">
        <v>931</v>
      </c>
      <c r="C604" t="s">
        <v>102</v>
      </c>
      <c r="D604" t="s">
        <v>20</v>
      </c>
      <c r="E604" t="s">
        <v>21</v>
      </c>
      <c r="F604" t="s">
        <v>22</v>
      </c>
      <c r="G604" t="s">
        <v>31</v>
      </c>
      <c r="H604" s="1">
        <v>44590</v>
      </c>
      <c r="I604" s="2">
        <v>44592.3291666667</v>
      </c>
      <c r="J604">
        <v>55.9</v>
      </c>
      <c r="K604" t="s">
        <v>24</v>
      </c>
      <c r="L604">
        <v>0</v>
      </c>
      <c r="M604">
        <v>5</v>
      </c>
      <c r="N604" t="s">
        <v>637</v>
      </c>
      <c r="O604" s="3" t="str">
        <f>TEXT(Ticket_Table[[#This Row],[raised_date]],"YYYY-MM")</f>
        <v>2022-01</v>
      </c>
      <c r="P604" s="3" t="str">
        <f>IF(Ticket_Table[[#This Row],[resolution_hrs]]&lt;=4,"Fast",IF(Ticket_Table[[#This Row],[resolution_hrs]]&lt;=24,"Normal",IF(Ticket_Table[[#This Row],[resolution_hrs]]&lt;=48,"Slow","Very Slow")))</f>
        <v>Very Slow</v>
      </c>
      <c r="Q604" s="3">
        <f>YEAR(Ticket_Table[[#This Row],[raised_date]])</f>
        <v>2022</v>
      </c>
    </row>
    <row r="605" spans="1:17">
      <c r="A605" t="s">
        <v>1128</v>
      </c>
      <c r="B605" t="s">
        <v>1129</v>
      </c>
      <c r="C605" t="s">
        <v>261</v>
      </c>
      <c r="D605" t="s">
        <v>43</v>
      </c>
      <c r="E605" t="s">
        <v>69</v>
      </c>
      <c r="F605" t="s">
        <v>22</v>
      </c>
      <c r="G605" t="s">
        <v>46</v>
      </c>
      <c r="H605" s="1">
        <v>44660</v>
      </c>
      <c r="I605" s="2">
        <v>44660.3041666667</v>
      </c>
      <c r="J605">
        <v>7.3</v>
      </c>
      <c r="K605" t="s">
        <v>24</v>
      </c>
      <c r="L605">
        <v>0</v>
      </c>
      <c r="M605">
        <v>4</v>
      </c>
      <c r="N605" t="s">
        <v>340</v>
      </c>
      <c r="O605" s="3" t="str">
        <f>TEXT(Ticket_Table[[#This Row],[raised_date]],"YYYY-MM")</f>
        <v>2022-04</v>
      </c>
      <c r="P605" s="3" t="str">
        <f>IF(Ticket_Table[[#This Row],[resolution_hrs]]&lt;=4,"Fast",IF(Ticket_Table[[#This Row],[resolution_hrs]]&lt;=24,"Normal",IF(Ticket_Table[[#This Row],[resolution_hrs]]&lt;=48,"Slow","Very Slow")))</f>
        <v>Normal</v>
      </c>
      <c r="Q605" s="3">
        <f>YEAR(Ticket_Table[[#This Row],[raised_date]])</f>
        <v>2022</v>
      </c>
    </row>
    <row r="606" spans="1:17">
      <c r="A606" t="s">
        <v>1130</v>
      </c>
      <c r="B606" t="s">
        <v>479</v>
      </c>
      <c r="C606" t="s">
        <v>175</v>
      </c>
      <c r="D606" t="s">
        <v>20</v>
      </c>
      <c r="E606" t="s">
        <v>166</v>
      </c>
      <c r="F606" t="s">
        <v>38</v>
      </c>
      <c r="G606" t="s">
        <v>31</v>
      </c>
      <c r="H606" s="1">
        <v>44478</v>
      </c>
      <c r="I606" s="2">
        <v>44478.2166666667</v>
      </c>
      <c r="J606">
        <v>5.2</v>
      </c>
      <c r="K606" t="s">
        <v>24</v>
      </c>
      <c r="L606">
        <v>0</v>
      </c>
      <c r="M606">
        <v>4</v>
      </c>
      <c r="N606" t="s">
        <v>431</v>
      </c>
      <c r="O606" s="3" t="str">
        <f>TEXT(Ticket_Table[[#This Row],[raised_date]],"YYYY-MM")</f>
        <v>2021-10</v>
      </c>
      <c r="P606" s="3" t="str">
        <f>IF(Ticket_Table[[#This Row],[resolution_hrs]]&lt;=4,"Fast",IF(Ticket_Table[[#This Row],[resolution_hrs]]&lt;=24,"Normal",IF(Ticket_Table[[#This Row],[resolution_hrs]]&lt;=48,"Slow","Very Slow")))</f>
        <v>Normal</v>
      </c>
      <c r="Q606" s="3">
        <f>YEAR(Ticket_Table[[#This Row],[raised_date]])</f>
        <v>2021</v>
      </c>
    </row>
    <row r="607" spans="1:17">
      <c r="A607" t="s">
        <v>1131</v>
      </c>
      <c r="B607" t="s">
        <v>708</v>
      </c>
      <c r="C607" t="s">
        <v>78</v>
      </c>
      <c r="D607" t="s">
        <v>36</v>
      </c>
      <c r="E607" t="s">
        <v>106</v>
      </c>
      <c r="F607" t="s">
        <v>70</v>
      </c>
      <c r="G607" t="s">
        <v>31</v>
      </c>
      <c r="H607" s="1">
        <v>44514</v>
      </c>
      <c r="I607" s="2">
        <v>44514.7916666667</v>
      </c>
      <c r="J607">
        <v>19</v>
      </c>
      <c r="K607" t="s">
        <v>24</v>
      </c>
      <c r="L607">
        <v>0</v>
      </c>
      <c r="M607">
        <v>4</v>
      </c>
      <c r="N607" t="s">
        <v>664</v>
      </c>
      <c r="O607" s="3" t="str">
        <f>TEXT(Ticket_Table[[#This Row],[raised_date]],"YYYY-MM")</f>
        <v>2021-11</v>
      </c>
      <c r="P607" s="3" t="str">
        <f>IF(Ticket_Table[[#This Row],[resolution_hrs]]&lt;=4,"Fast",IF(Ticket_Table[[#This Row],[resolution_hrs]]&lt;=24,"Normal",IF(Ticket_Table[[#This Row],[resolution_hrs]]&lt;=48,"Slow","Very Slow")))</f>
        <v>Normal</v>
      </c>
      <c r="Q607" s="3">
        <f>YEAR(Ticket_Table[[#This Row],[raised_date]])</f>
        <v>2021</v>
      </c>
    </row>
    <row r="608" spans="1:17">
      <c r="A608" t="s">
        <v>1132</v>
      </c>
      <c r="B608" t="s">
        <v>749</v>
      </c>
      <c r="C608" t="s">
        <v>55</v>
      </c>
      <c r="D608" t="s">
        <v>20</v>
      </c>
      <c r="E608" t="s">
        <v>30</v>
      </c>
      <c r="F608" t="s">
        <v>70</v>
      </c>
      <c r="G608" t="s">
        <v>31</v>
      </c>
      <c r="H608" s="1">
        <v>44355</v>
      </c>
      <c r="I608" s="2">
        <v>44355.2375</v>
      </c>
      <c r="J608">
        <v>5.7</v>
      </c>
      <c r="K608" t="s">
        <v>24</v>
      </c>
      <c r="L608">
        <v>0</v>
      </c>
      <c r="M608">
        <v>4</v>
      </c>
      <c r="N608" t="s">
        <v>300</v>
      </c>
      <c r="O608" s="3" t="str">
        <f>TEXT(Ticket_Table[[#This Row],[raised_date]],"YYYY-MM")</f>
        <v>2021-06</v>
      </c>
      <c r="P608" s="3" t="str">
        <f>IF(Ticket_Table[[#This Row],[resolution_hrs]]&lt;=4,"Fast",IF(Ticket_Table[[#This Row],[resolution_hrs]]&lt;=24,"Normal",IF(Ticket_Table[[#This Row],[resolution_hrs]]&lt;=48,"Slow","Very Slow")))</f>
        <v>Normal</v>
      </c>
      <c r="Q608" s="3">
        <f>YEAR(Ticket_Table[[#This Row],[raised_date]])</f>
        <v>2021</v>
      </c>
    </row>
    <row r="609" spans="1:17">
      <c r="A609" t="s">
        <v>1133</v>
      </c>
      <c r="B609" t="s">
        <v>195</v>
      </c>
      <c r="C609" t="s">
        <v>175</v>
      </c>
      <c r="D609" t="s">
        <v>29</v>
      </c>
      <c r="E609" t="s">
        <v>56</v>
      </c>
      <c r="F609" t="s">
        <v>38</v>
      </c>
      <c r="G609" t="s">
        <v>23</v>
      </c>
      <c r="H609" s="1">
        <v>44802</v>
      </c>
      <c r="I609" s="2">
        <v>44803.0166666667</v>
      </c>
      <c r="J609">
        <v>24.4</v>
      </c>
      <c r="K609" t="s">
        <v>32</v>
      </c>
      <c r="L609">
        <v>1</v>
      </c>
      <c r="M609">
        <v>4</v>
      </c>
      <c r="N609" t="s">
        <v>564</v>
      </c>
      <c r="O609" s="3" t="str">
        <f>TEXT(Ticket_Table[[#This Row],[raised_date]],"YYYY-MM")</f>
        <v>2022-08</v>
      </c>
      <c r="P609" s="3" t="str">
        <f>IF(Ticket_Table[[#This Row],[resolution_hrs]]&lt;=4,"Fast",IF(Ticket_Table[[#This Row],[resolution_hrs]]&lt;=24,"Normal",IF(Ticket_Table[[#This Row],[resolution_hrs]]&lt;=48,"Slow","Very Slow")))</f>
        <v>Slow</v>
      </c>
      <c r="Q609" s="3">
        <f>YEAR(Ticket_Table[[#This Row],[raised_date]])</f>
        <v>2022</v>
      </c>
    </row>
    <row r="610" spans="1:17">
      <c r="A610" t="s">
        <v>1134</v>
      </c>
      <c r="B610" t="s">
        <v>527</v>
      </c>
      <c r="C610" t="s">
        <v>261</v>
      </c>
      <c r="D610" t="s">
        <v>43</v>
      </c>
      <c r="E610" t="s">
        <v>44</v>
      </c>
      <c r="F610" t="s">
        <v>38</v>
      </c>
      <c r="G610" t="s">
        <v>31</v>
      </c>
      <c r="H610" s="1">
        <v>44404</v>
      </c>
      <c r="I610" s="2">
        <v>44405.1416666667</v>
      </c>
      <c r="J610">
        <v>27.4</v>
      </c>
      <c r="K610" t="s">
        <v>32</v>
      </c>
      <c r="L610">
        <v>0</v>
      </c>
      <c r="M610">
        <v>5</v>
      </c>
      <c r="N610" t="s">
        <v>272</v>
      </c>
      <c r="O610" s="3" t="str">
        <f>TEXT(Ticket_Table[[#This Row],[raised_date]],"YYYY-MM")</f>
        <v>2021-07</v>
      </c>
      <c r="P610" s="3" t="str">
        <f>IF(Ticket_Table[[#This Row],[resolution_hrs]]&lt;=4,"Fast",IF(Ticket_Table[[#This Row],[resolution_hrs]]&lt;=24,"Normal",IF(Ticket_Table[[#This Row],[resolution_hrs]]&lt;=48,"Slow","Very Slow")))</f>
        <v>Slow</v>
      </c>
      <c r="Q610" s="3">
        <f>YEAR(Ticket_Table[[#This Row],[raised_date]])</f>
        <v>2021</v>
      </c>
    </row>
    <row r="611" spans="1:17">
      <c r="A611" t="s">
        <v>1135</v>
      </c>
      <c r="B611" t="s">
        <v>447</v>
      </c>
      <c r="C611" t="s">
        <v>50</v>
      </c>
      <c r="D611" t="s">
        <v>43</v>
      </c>
      <c r="E611" t="s">
        <v>83</v>
      </c>
      <c r="F611" t="s">
        <v>45</v>
      </c>
      <c r="G611" t="s">
        <v>23</v>
      </c>
      <c r="H611" s="1">
        <v>45236</v>
      </c>
      <c r="I611" s="2">
        <v>45236.2041666667</v>
      </c>
      <c r="J611">
        <v>4.9</v>
      </c>
      <c r="K611" t="s">
        <v>32</v>
      </c>
      <c r="L611">
        <v>0</v>
      </c>
      <c r="M611">
        <v>4</v>
      </c>
      <c r="N611" t="s">
        <v>1136</v>
      </c>
      <c r="O611" s="3" t="str">
        <f>TEXT(Ticket_Table[[#This Row],[raised_date]],"YYYY-MM")</f>
        <v>2023-11</v>
      </c>
      <c r="P611" s="3" t="str">
        <f>IF(Ticket_Table[[#This Row],[resolution_hrs]]&lt;=4,"Fast",IF(Ticket_Table[[#This Row],[resolution_hrs]]&lt;=24,"Normal",IF(Ticket_Table[[#This Row],[resolution_hrs]]&lt;=48,"Slow","Very Slow")))</f>
        <v>Normal</v>
      </c>
      <c r="Q611" s="3">
        <f>YEAR(Ticket_Table[[#This Row],[raised_date]])</f>
        <v>2023</v>
      </c>
    </row>
    <row r="612" spans="1:17">
      <c r="A612" t="s">
        <v>1137</v>
      </c>
      <c r="B612" t="s">
        <v>172</v>
      </c>
      <c r="C612" t="s">
        <v>19</v>
      </c>
      <c r="D612" t="s">
        <v>36</v>
      </c>
      <c r="E612" t="s">
        <v>44</v>
      </c>
      <c r="F612" t="s">
        <v>45</v>
      </c>
      <c r="G612" t="s">
        <v>23</v>
      </c>
      <c r="H612" s="1">
        <v>45275</v>
      </c>
      <c r="I612" s="2">
        <v>45275.2333333333</v>
      </c>
      <c r="J612">
        <v>5.6</v>
      </c>
      <c r="K612" t="s">
        <v>32</v>
      </c>
      <c r="L612">
        <v>0</v>
      </c>
      <c r="M612">
        <v>4</v>
      </c>
      <c r="N612" t="s">
        <v>1107</v>
      </c>
      <c r="O612" s="3" t="str">
        <f>TEXT(Ticket_Table[[#This Row],[raised_date]],"YYYY-MM")</f>
        <v>2023-12</v>
      </c>
      <c r="P612" s="3" t="str">
        <f>IF(Ticket_Table[[#This Row],[resolution_hrs]]&lt;=4,"Fast",IF(Ticket_Table[[#This Row],[resolution_hrs]]&lt;=24,"Normal",IF(Ticket_Table[[#This Row],[resolution_hrs]]&lt;=48,"Slow","Very Slow")))</f>
        <v>Normal</v>
      </c>
      <c r="Q612" s="3">
        <f>YEAR(Ticket_Table[[#This Row],[raised_date]])</f>
        <v>2023</v>
      </c>
    </row>
    <row r="613" spans="1:17">
      <c r="A613" t="s">
        <v>1138</v>
      </c>
      <c r="B613" t="s">
        <v>664</v>
      </c>
      <c r="C613" t="s">
        <v>55</v>
      </c>
      <c r="D613" t="s">
        <v>20</v>
      </c>
      <c r="E613" t="s">
        <v>51</v>
      </c>
      <c r="F613" t="s">
        <v>38</v>
      </c>
      <c r="G613" t="s">
        <v>31</v>
      </c>
      <c r="H613" s="1">
        <v>44274</v>
      </c>
      <c r="I613" s="2">
        <v>44274.3416666667</v>
      </c>
      <c r="J613">
        <v>8.2</v>
      </c>
      <c r="K613" t="s">
        <v>24</v>
      </c>
      <c r="L613">
        <v>1</v>
      </c>
      <c r="M613">
        <v>5</v>
      </c>
      <c r="N613" t="s">
        <v>298</v>
      </c>
      <c r="O613" s="3" t="str">
        <f>TEXT(Ticket_Table[[#This Row],[raised_date]],"YYYY-MM")</f>
        <v>2021-03</v>
      </c>
      <c r="P613" s="3" t="str">
        <f>IF(Ticket_Table[[#This Row],[resolution_hrs]]&lt;=4,"Fast",IF(Ticket_Table[[#This Row],[resolution_hrs]]&lt;=24,"Normal",IF(Ticket_Table[[#This Row],[resolution_hrs]]&lt;=48,"Slow","Very Slow")))</f>
        <v>Normal</v>
      </c>
      <c r="Q613" s="3">
        <f>YEAR(Ticket_Table[[#This Row],[raised_date]])</f>
        <v>2021</v>
      </c>
    </row>
    <row r="614" spans="1:17">
      <c r="A614" t="s">
        <v>1139</v>
      </c>
      <c r="B614" t="s">
        <v>546</v>
      </c>
      <c r="C614" t="s">
        <v>287</v>
      </c>
      <c r="D614" t="s">
        <v>29</v>
      </c>
      <c r="E614" t="s">
        <v>69</v>
      </c>
      <c r="F614" t="s">
        <v>22</v>
      </c>
      <c r="G614" t="s">
        <v>74</v>
      </c>
      <c r="H614" s="1">
        <v>44886</v>
      </c>
      <c r="I614" s="2">
        <v>44890.0583333333</v>
      </c>
      <c r="J614">
        <v>97.4</v>
      </c>
      <c r="K614" t="s">
        <v>32</v>
      </c>
      <c r="L614">
        <v>0</v>
      </c>
      <c r="M614">
        <v>4</v>
      </c>
      <c r="N614" t="s">
        <v>329</v>
      </c>
      <c r="O614" s="3" t="str">
        <f>TEXT(Ticket_Table[[#This Row],[raised_date]],"YYYY-MM")</f>
        <v>2022-11</v>
      </c>
      <c r="P614" s="3" t="str">
        <f>IF(Ticket_Table[[#This Row],[resolution_hrs]]&lt;=4,"Fast",IF(Ticket_Table[[#This Row],[resolution_hrs]]&lt;=24,"Normal",IF(Ticket_Table[[#This Row],[resolution_hrs]]&lt;=48,"Slow","Very Slow")))</f>
        <v>Very Slow</v>
      </c>
      <c r="Q614" s="3">
        <f>YEAR(Ticket_Table[[#This Row],[raised_date]])</f>
        <v>2022</v>
      </c>
    </row>
    <row r="615" spans="1:17">
      <c r="A615" t="s">
        <v>1140</v>
      </c>
      <c r="B615" t="s">
        <v>942</v>
      </c>
      <c r="C615" t="s">
        <v>95</v>
      </c>
      <c r="D615" t="s">
        <v>20</v>
      </c>
      <c r="E615" t="s">
        <v>51</v>
      </c>
      <c r="F615" t="s">
        <v>38</v>
      </c>
      <c r="G615" t="s">
        <v>23</v>
      </c>
      <c r="H615" s="1">
        <v>44465</v>
      </c>
      <c r="I615" s="2">
        <v>44465.3125</v>
      </c>
      <c r="J615">
        <v>7.5</v>
      </c>
      <c r="K615" t="s">
        <v>24</v>
      </c>
      <c r="L615">
        <v>0</v>
      </c>
      <c r="M615">
        <v>3</v>
      </c>
      <c r="N615" t="s">
        <v>652</v>
      </c>
      <c r="O615" s="3" t="str">
        <f>TEXT(Ticket_Table[[#This Row],[raised_date]],"YYYY-MM")</f>
        <v>2021-09</v>
      </c>
      <c r="P615" s="3" t="str">
        <f>IF(Ticket_Table[[#This Row],[resolution_hrs]]&lt;=4,"Fast",IF(Ticket_Table[[#This Row],[resolution_hrs]]&lt;=24,"Normal",IF(Ticket_Table[[#This Row],[resolution_hrs]]&lt;=48,"Slow","Very Slow")))</f>
        <v>Normal</v>
      </c>
      <c r="Q615" s="3">
        <f>YEAR(Ticket_Table[[#This Row],[raised_date]])</f>
        <v>2021</v>
      </c>
    </row>
    <row r="616" spans="1:17">
      <c r="A616" t="s">
        <v>1141</v>
      </c>
      <c r="B616" t="s">
        <v>256</v>
      </c>
      <c r="C616" t="s">
        <v>55</v>
      </c>
      <c r="D616" t="s">
        <v>90</v>
      </c>
      <c r="E616" t="s">
        <v>44</v>
      </c>
      <c r="F616" t="s">
        <v>22</v>
      </c>
      <c r="G616" t="s">
        <v>31</v>
      </c>
      <c r="H616" s="1">
        <v>44968</v>
      </c>
      <c r="I616" s="2">
        <v>44969.6083333333</v>
      </c>
      <c r="J616">
        <v>38.6</v>
      </c>
      <c r="K616" t="s">
        <v>24</v>
      </c>
      <c r="L616">
        <v>2</v>
      </c>
      <c r="M616">
        <v>3</v>
      </c>
      <c r="N616" t="s">
        <v>1039</v>
      </c>
      <c r="O616" s="3" t="str">
        <f>TEXT(Ticket_Table[[#This Row],[raised_date]],"YYYY-MM")</f>
        <v>2023-02</v>
      </c>
      <c r="P616" s="3" t="str">
        <f>IF(Ticket_Table[[#This Row],[resolution_hrs]]&lt;=4,"Fast",IF(Ticket_Table[[#This Row],[resolution_hrs]]&lt;=24,"Normal",IF(Ticket_Table[[#This Row],[resolution_hrs]]&lt;=48,"Slow","Very Slow")))</f>
        <v>Slow</v>
      </c>
      <c r="Q616" s="3">
        <f>YEAR(Ticket_Table[[#This Row],[raised_date]])</f>
        <v>2023</v>
      </c>
    </row>
    <row r="617" spans="1:17">
      <c r="A617" t="s">
        <v>1142</v>
      </c>
      <c r="B617" t="s">
        <v>129</v>
      </c>
      <c r="C617" t="s">
        <v>133</v>
      </c>
      <c r="D617" t="s">
        <v>20</v>
      </c>
      <c r="E617" t="s">
        <v>83</v>
      </c>
      <c r="F617" t="s">
        <v>22</v>
      </c>
      <c r="G617" t="s">
        <v>31</v>
      </c>
      <c r="H617" s="1">
        <v>44512</v>
      </c>
      <c r="I617" s="2">
        <v>44512.4458333333</v>
      </c>
      <c r="J617">
        <v>10.7</v>
      </c>
      <c r="K617" t="s">
        <v>24</v>
      </c>
      <c r="L617">
        <v>0</v>
      </c>
      <c r="M617">
        <v>5</v>
      </c>
      <c r="N617" t="s">
        <v>1143</v>
      </c>
      <c r="O617" s="3" t="str">
        <f>TEXT(Ticket_Table[[#This Row],[raised_date]],"YYYY-MM")</f>
        <v>2021-11</v>
      </c>
      <c r="P617" s="3" t="str">
        <f>IF(Ticket_Table[[#This Row],[resolution_hrs]]&lt;=4,"Fast",IF(Ticket_Table[[#This Row],[resolution_hrs]]&lt;=24,"Normal",IF(Ticket_Table[[#This Row],[resolution_hrs]]&lt;=48,"Slow","Very Slow")))</f>
        <v>Normal</v>
      </c>
      <c r="Q617" s="3">
        <f>YEAR(Ticket_Table[[#This Row],[raised_date]])</f>
        <v>2021</v>
      </c>
    </row>
    <row r="618" spans="1:17">
      <c r="A618" t="s">
        <v>1144</v>
      </c>
      <c r="B618" t="s">
        <v>243</v>
      </c>
      <c r="C618" t="s">
        <v>102</v>
      </c>
      <c r="D618" t="s">
        <v>36</v>
      </c>
      <c r="E618" t="s">
        <v>51</v>
      </c>
      <c r="F618" t="s">
        <v>38</v>
      </c>
      <c r="G618" t="s">
        <v>31</v>
      </c>
      <c r="H618" s="1">
        <v>44529</v>
      </c>
      <c r="I618" s="2">
        <v>44530.275</v>
      </c>
      <c r="J618">
        <v>30.6</v>
      </c>
      <c r="K618" t="s">
        <v>32</v>
      </c>
      <c r="L618">
        <v>0</v>
      </c>
      <c r="M618">
        <v>4</v>
      </c>
      <c r="N618" t="s">
        <v>701</v>
      </c>
      <c r="O618" s="3" t="str">
        <f>TEXT(Ticket_Table[[#This Row],[raised_date]],"YYYY-MM")</f>
        <v>2021-11</v>
      </c>
      <c r="P618" s="3" t="str">
        <f>IF(Ticket_Table[[#This Row],[resolution_hrs]]&lt;=4,"Fast",IF(Ticket_Table[[#This Row],[resolution_hrs]]&lt;=24,"Normal",IF(Ticket_Table[[#This Row],[resolution_hrs]]&lt;=48,"Slow","Very Slow")))</f>
        <v>Slow</v>
      </c>
      <c r="Q618" s="3">
        <f>YEAR(Ticket_Table[[#This Row],[raised_date]])</f>
        <v>2021</v>
      </c>
    </row>
    <row r="619" spans="1:17">
      <c r="A619" t="s">
        <v>1145</v>
      </c>
      <c r="B619" t="s">
        <v>126</v>
      </c>
      <c r="C619" t="s">
        <v>102</v>
      </c>
      <c r="D619" t="s">
        <v>20</v>
      </c>
      <c r="E619" t="s">
        <v>166</v>
      </c>
      <c r="F619" t="s">
        <v>22</v>
      </c>
      <c r="G619" t="s">
        <v>46</v>
      </c>
      <c r="H619" s="1">
        <v>44567</v>
      </c>
      <c r="I619" s="2">
        <v>44571.2416666667</v>
      </c>
      <c r="J619">
        <v>101.8</v>
      </c>
      <c r="K619" t="s">
        <v>32</v>
      </c>
      <c r="L619">
        <v>0</v>
      </c>
      <c r="M619">
        <v>4</v>
      </c>
      <c r="N619" t="s">
        <v>49</v>
      </c>
      <c r="O619" s="3" t="str">
        <f>TEXT(Ticket_Table[[#This Row],[raised_date]],"YYYY-MM")</f>
        <v>2022-01</v>
      </c>
      <c r="P619" s="3" t="str">
        <f>IF(Ticket_Table[[#This Row],[resolution_hrs]]&lt;=4,"Fast",IF(Ticket_Table[[#This Row],[resolution_hrs]]&lt;=24,"Normal",IF(Ticket_Table[[#This Row],[resolution_hrs]]&lt;=48,"Slow","Very Slow")))</f>
        <v>Very Slow</v>
      </c>
      <c r="Q619" s="3">
        <f>YEAR(Ticket_Table[[#This Row],[raised_date]])</f>
        <v>2022</v>
      </c>
    </row>
    <row r="620" spans="1:17">
      <c r="A620" t="s">
        <v>1146</v>
      </c>
      <c r="B620" t="s">
        <v>132</v>
      </c>
      <c r="C620" t="s">
        <v>213</v>
      </c>
      <c r="D620" t="s">
        <v>43</v>
      </c>
      <c r="E620" t="s">
        <v>51</v>
      </c>
      <c r="F620" t="s">
        <v>22</v>
      </c>
      <c r="G620" t="s">
        <v>31</v>
      </c>
      <c r="H620" s="1">
        <v>44536</v>
      </c>
      <c r="I620" s="2">
        <v>44540.2708333333</v>
      </c>
      <c r="J620">
        <v>102.5</v>
      </c>
      <c r="K620" t="s">
        <v>32</v>
      </c>
      <c r="L620">
        <v>0</v>
      </c>
      <c r="M620">
        <v>3</v>
      </c>
      <c r="N620" t="s">
        <v>698</v>
      </c>
      <c r="O620" s="3" t="str">
        <f>TEXT(Ticket_Table[[#This Row],[raised_date]],"YYYY-MM")</f>
        <v>2021-12</v>
      </c>
      <c r="P620" s="3" t="str">
        <f>IF(Ticket_Table[[#This Row],[resolution_hrs]]&lt;=4,"Fast",IF(Ticket_Table[[#This Row],[resolution_hrs]]&lt;=24,"Normal",IF(Ticket_Table[[#This Row],[resolution_hrs]]&lt;=48,"Slow","Very Slow")))</f>
        <v>Very Slow</v>
      </c>
      <c r="Q620" s="3">
        <f>YEAR(Ticket_Table[[#This Row],[raised_date]])</f>
        <v>2021</v>
      </c>
    </row>
    <row r="621" spans="1:17">
      <c r="A621" t="s">
        <v>1147</v>
      </c>
      <c r="B621" t="s">
        <v>479</v>
      </c>
      <c r="C621" t="s">
        <v>42</v>
      </c>
      <c r="D621" t="s">
        <v>29</v>
      </c>
      <c r="E621" t="s">
        <v>83</v>
      </c>
      <c r="F621" t="s">
        <v>22</v>
      </c>
      <c r="G621" t="s">
        <v>46</v>
      </c>
      <c r="H621" s="1">
        <v>45093</v>
      </c>
      <c r="I621" s="2">
        <v>45094.5916666667</v>
      </c>
      <c r="J621">
        <v>38.2</v>
      </c>
      <c r="K621" t="s">
        <v>24</v>
      </c>
      <c r="L621">
        <v>3</v>
      </c>
      <c r="M621">
        <v>4</v>
      </c>
      <c r="N621" t="s">
        <v>804</v>
      </c>
      <c r="O621" s="3" t="str">
        <f>TEXT(Ticket_Table[[#This Row],[raised_date]],"YYYY-MM")</f>
        <v>2023-06</v>
      </c>
      <c r="P621" s="3" t="str">
        <f>IF(Ticket_Table[[#This Row],[resolution_hrs]]&lt;=4,"Fast",IF(Ticket_Table[[#This Row],[resolution_hrs]]&lt;=24,"Normal",IF(Ticket_Table[[#This Row],[resolution_hrs]]&lt;=48,"Slow","Very Slow")))</f>
        <v>Slow</v>
      </c>
      <c r="Q621" s="3">
        <f>YEAR(Ticket_Table[[#This Row],[raised_date]])</f>
        <v>2023</v>
      </c>
    </row>
    <row r="622" spans="1:17">
      <c r="A622" t="s">
        <v>1148</v>
      </c>
      <c r="B622" t="s">
        <v>546</v>
      </c>
      <c r="C622" t="s">
        <v>55</v>
      </c>
      <c r="D622" t="s">
        <v>36</v>
      </c>
      <c r="E622" t="s">
        <v>51</v>
      </c>
      <c r="F622" t="s">
        <v>38</v>
      </c>
      <c r="G622" t="s">
        <v>31</v>
      </c>
      <c r="H622" s="1">
        <v>44286</v>
      </c>
      <c r="I622" s="2">
        <v>44286.275</v>
      </c>
      <c r="J622">
        <v>6.6</v>
      </c>
      <c r="K622" t="s">
        <v>24</v>
      </c>
      <c r="L622">
        <v>0</v>
      </c>
      <c r="M622">
        <v>4</v>
      </c>
      <c r="N622" t="s">
        <v>493</v>
      </c>
      <c r="O622" s="3" t="str">
        <f>TEXT(Ticket_Table[[#This Row],[raised_date]],"YYYY-MM")</f>
        <v>2021-03</v>
      </c>
      <c r="P622" s="3" t="str">
        <f>IF(Ticket_Table[[#This Row],[resolution_hrs]]&lt;=4,"Fast",IF(Ticket_Table[[#This Row],[resolution_hrs]]&lt;=24,"Normal",IF(Ticket_Table[[#This Row],[resolution_hrs]]&lt;=48,"Slow","Very Slow")))</f>
        <v>Normal</v>
      </c>
      <c r="Q622" s="3">
        <f>YEAR(Ticket_Table[[#This Row],[raised_date]])</f>
        <v>2021</v>
      </c>
    </row>
    <row r="623" spans="1:17">
      <c r="A623" t="s">
        <v>1149</v>
      </c>
      <c r="B623" t="s">
        <v>79</v>
      </c>
      <c r="C623" t="s">
        <v>201</v>
      </c>
      <c r="D623" t="s">
        <v>90</v>
      </c>
      <c r="E623" t="s">
        <v>30</v>
      </c>
      <c r="F623" t="s">
        <v>70</v>
      </c>
      <c r="G623" t="s">
        <v>46</v>
      </c>
      <c r="H623" s="1">
        <v>45038</v>
      </c>
      <c r="I623" s="2">
        <v>45039.5208333333</v>
      </c>
      <c r="J623">
        <v>36.5</v>
      </c>
      <c r="K623" t="s">
        <v>24</v>
      </c>
      <c r="L623">
        <v>0</v>
      </c>
      <c r="M623">
        <v>4</v>
      </c>
      <c r="N623" t="s">
        <v>802</v>
      </c>
      <c r="O623" s="3" t="str">
        <f>TEXT(Ticket_Table[[#This Row],[raised_date]],"YYYY-MM")</f>
        <v>2023-04</v>
      </c>
      <c r="P623" s="3" t="str">
        <f>IF(Ticket_Table[[#This Row],[resolution_hrs]]&lt;=4,"Fast",IF(Ticket_Table[[#This Row],[resolution_hrs]]&lt;=24,"Normal",IF(Ticket_Table[[#This Row],[resolution_hrs]]&lt;=48,"Slow","Very Slow")))</f>
        <v>Slow</v>
      </c>
      <c r="Q623" s="3">
        <f>YEAR(Ticket_Table[[#This Row],[raised_date]])</f>
        <v>2023</v>
      </c>
    </row>
    <row r="624" spans="1:17">
      <c r="A624" t="s">
        <v>1150</v>
      </c>
      <c r="B624" t="s">
        <v>959</v>
      </c>
      <c r="C624" t="s">
        <v>201</v>
      </c>
      <c r="D624" t="s">
        <v>29</v>
      </c>
      <c r="E624" t="s">
        <v>37</v>
      </c>
      <c r="F624" t="s">
        <v>38</v>
      </c>
      <c r="G624" t="s">
        <v>31</v>
      </c>
      <c r="H624" s="1">
        <v>44943</v>
      </c>
      <c r="I624" s="2">
        <v>44944.1041666667</v>
      </c>
      <c r="J624">
        <v>26.5</v>
      </c>
      <c r="K624" t="s">
        <v>32</v>
      </c>
      <c r="L624">
        <v>0</v>
      </c>
      <c r="M624">
        <v>3</v>
      </c>
      <c r="N624" t="s">
        <v>289</v>
      </c>
      <c r="O624" s="3" t="str">
        <f>TEXT(Ticket_Table[[#This Row],[raised_date]],"YYYY-MM")</f>
        <v>2023-01</v>
      </c>
      <c r="P624" s="3" t="str">
        <f>IF(Ticket_Table[[#This Row],[resolution_hrs]]&lt;=4,"Fast",IF(Ticket_Table[[#This Row],[resolution_hrs]]&lt;=24,"Normal",IF(Ticket_Table[[#This Row],[resolution_hrs]]&lt;=48,"Slow","Very Slow")))</f>
        <v>Slow</v>
      </c>
      <c r="Q624" s="3">
        <f>YEAR(Ticket_Table[[#This Row],[raised_date]])</f>
        <v>2023</v>
      </c>
    </row>
    <row r="625" spans="1:17">
      <c r="A625" t="s">
        <v>1151</v>
      </c>
      <c r="B625" t="s">
        <v>47</v>
      </c>
      <c r="C625" t="s">
        <v>42</v>
      </c>
      <c r="D625" t="s">
        <v>29</v>
      </c>
      <c r="E625" t="s">
        <v>106</v>
      </c>
      <c r="F625" t="s">
        <v>22</v>
      </c>
      <c r="G625" t="s">
        <v>23</v>
      </c>
      <c r="H625" s="1">
        <v>44683</v>
      </c>
      <c r="I625" s="2">
        <v>44684.1208333333</v>
      </c>
      <c r="J625">
        <v>26.9</v>
      </c>
      <c r="K625" t="s">
        <v>24</v>
      </c>
      <c r="L625">
        <v>0</v>
      </c>
      <c r="M625">
        <v>2</v>
      </c>
      <c r="N625" t="s">
        <v>158</v>
      </c>
      <c r="O625" s="3" t="str">
        <f>TEXT(Ticket_Table[[#This Row],[raised_date]],"YYYY-MM")</f>
        <v>2022-05</v>
      </c>
      <c r="P625" s="3" t="str">
        <f>IF(Ticket_Table[[#This Row],[resolution_hrs]]&lt;=4,"Fast",IF(Ticket_Table[[#This Row],[resolution_hrs]]&lt;=24,"Normal",IF(Ticket_Table[[#This Row],[resolution_hrs]]&lt;=48,"Slow","Very Slow")))</f>
        <v>Slow</v>
      </c>
      <c r="Q625" s="3">
        <f>YEAR(Ticket_Table[[#This Row],[raised_date]])</f>
        <v>2022</v>
      </c>
    </row>
    <row r="626" spans="1:17">
      <c r="A626" t="s">
        <v>1152</v>
      </c>
      <c r="B626" t="s">
        <v>207</v>
      </c>
      <c r="C626" t="s">
        <v>287</v>
      </c>
      <c r="D626" t="s">
        <v>43</v>
      </c>
      <c r="E626" t="s">
        <v>44</v>
      </c>
      <c r="F626" t="s">
        <v>38</v>
      </c>
      <c r="G626" t="s">
        <v>91</v>
      </c>
      <c r="H626" s="1">
        <v>45106</v>
      </c>
      <c r="I626" s="2">
        <v>45106.875</v>
      </c>
      <c r="J626">
        <v>21</v>
      </c>
      <c r="K626" t="s">
        <v>24</v>
      </c>
      <c r="L626">
        <v>0</v>
      </c>
      <c r="M626">
        <v>5</v>
      </c>
      <c r="N626" t="s">
        <v>368</v>
      </c>
      <c r="O626" s="3" t="str">
        <f>TEXT(Ticket_Table[[#This Row],[raised_date]],"YYYY-MM")</f>
        <v>2023-06</v>
      </c>
      <c r="P626" s="3" t="str">
        <f>IF(Ticket_Table[[#This Row],[resolution_hrs]]&lt;=4,"Fast",IF(Ticket_Table[[#This Row],[resolution_hrs]]&lt;=24,"Normal",IF(Ticket_Table[[#This Row],[resolution_hrs]]&lt;=48,"Slow","Very Slow")))</f>
        <v>Normal</v>
      </c>
      <c r="Q626" s="3">
        <f>YEAR(Ticket_Table[[#This Row],[raised_date]])</f>
        <v>2023</v>
      </c>
    </row>
    <row r="627" spans="1:17">
      <c r="A627" t="s">
        <v>1153</v>
      </c>
      <c r="B627" t="s">
        <v>1154</v>
      </c>
      <c r="C627" t="s">
        <v>55</v>
      </c>
      <c r="D627" t="s">
        <v>43</v>
      </c>
      <c r="E627" t="s">
        <v>30</v>
      </c>
      <c r="F627" t="s">
        <v>38</v>
      </c>
      <c r="G627" t="s">
        <v>23</v>
      </c>
      <c r="H627" s="1">
        <v>44780</v>
      </c>
      <c r="I627" s="2">
        <v>44780.1875</v>
      </c>
      <c r="J627">
        <v>4.5</v>
      </c>
      <c r="K627" t="s">
        <v>24</v>
      </c>
      <c r="L627">
        <v>0</v>
      </c>
      <c r="M627">
        <v>5</v>
      </c>
      <c r="N627" t="s">
        <v>180</v>
      </c>
      <c r="O627" s="3" t="str">
        <f>TEXT(Ticket_Table[[#This Row],[raised_date]],"YYYY-MM")</f>
        <v>2022-08</v>
      </c>
      <c r="P627" s="3" t="str">
        <f>IF(Ticket_Table[[#This Row],[resolution_hrs]]&lt;=4,"Fast",IF(Ticket_Table[[#This Row],[resolution_hrs]]&lt;=24,"Normal",IF(Ticket_Table[[#This Row],[resolution_hrs]]&lt;=48,"Slow","Very Slow")))</f>
        <v>Normal</v>
      </c>
      <c r="Q627" s="3">
        <f>YEAR(Ticket_Table[[#This Row],[raised_date]])</f>
        <v>2022</v>
      </c>
    </row>
    <row r="628" spans="1:17">
      <c r="A628" t="s">
        <v>1155</v>
      </c>
      <c r="B628" t="s">
        <v>1156</v>
      </c>
      <c r="C628" t="s">
        <v>261</v>
      </c>
      <c r="D628" t="s">
        <v>43</v>
      </c>
      <c r="E628" t="s">
        <v>106</v>
      </c>
      <c r="F628" t="s">
        <v>70</v>
      </c>
      <c r="G628" t="s">
        <v>23</v>
      </c>
      <c r="H628" s="1">
        <v>45116</v>
      </c>
      <c r="I628" s="2">
        <v>45117.75</v>
      </c>
      <c r="J628">
        <v>42</v>
      </c>
      <c r="K628" t="s">
        <v>24</v>
      </c>
      <c r="L628">
        <v>0</v>
      </c>
      <c r="M628">
        <v>4</v>
      </c>
      <c r="N628" t="s">
        <v>685</v>
      </c>
      <c r="O628" s="3" t="str">
        <f>TEXT(Ticket_Table[[#This Row],[raised_date]],"YYYY-MM")</f>
        <v>2023-07</v>
      </c>
      <c r="P628" s="3" t="str">
        <f>IF(Ticket_Table[[#This Row],[resolution_hrs]]&lt;=4,"Fast",IF(Ticket_Table[[#This Row],[resolution_hrs]]&lt;=24,"Normal",IF(Ticket_Table[[#This Row],[resolution_hrs]]&lt;=48,"Slow","Very Slow")))</f>
        <v>Slow</v>
      </c>
      <c r="Q628" s="3">
        <f>YEAR(Ticket_Table[[#This Row],[raised_date]])</f>
        <v>2023</v>
      </c>
    </row>
    <row r="629" spans="1:17">
      <c r="A629" t="s">
        <v>1157</v>
      </c>
      <c r="B629" t="s">
        <v>305</v>
      </c>
      <c r="C629" t="s">
        <v>28</v>
      </c>
      <c r="D629" t="s">
        <v>36</v>
      </c>
      <c r="E629" t="s">
        <v>37</v>
      </c>
      <c r="F629" t="s">
        <v>70</v>
      </c>
      <c r="G629" t="s">
        <v>23</v>
      </c>
      <c r="H629" s="1">
        <v>44676</v>
      </c>
      <c r="I629" s="2">
        <v>44676.0833333333</v>
      </c>
      <c r="J629">
        <v>2</v>
      </c>
      <c r="K629" t="s">
        <v>24</v>
      </c>
      <c r="L629">
        <v>0</v>
      </c>
      <c r="M629">
        <v>4</v>
      </c>
      <c r="N629" t="s">
        <v>160</v>
      </c>
      <c r="O629" s="3" t="str">
        <f>TEXT(Ticket_Table[[#This Row],[raised_date]],"YYYY-MM")</f>
        <v>2022-04</v>
      </c>
      <c r="P629" s="3" t="str">
        <f>IF(Ticket_Table[[#This Row],[resolution_hrs]]&lt;=4,"Fast",IF(Ticket_Table[[#This Row],[resolution_hrs]]&lt;=24,"Normal",IF(Ticket_Table[[#This Row],[resolution_hrs]]&lt;=48,"Slow","Very Slow")))</f>
        <v>Fast</v>
      </c>
      <c r="Q629" s="3">
        <f>YEAR(Ticket_Table[[#This Row],[raised_date]])</f>
        <v>2022</v>
      </c>
    </row>
    <row r="630" spans="1:17">
      <c r="A630" t="s">
        <v>1158</v>
      </c>
      <c r="B630" t="s">
        <v>233</v>
      </c>
      <c r="C630" t="s">
        <v>102</v>
      </c>
      <c r="D630" t="s">
        <v>20</v>
      </c>
      <c r="E630" t="s">
        <v>30</v>
      </c>
      <c r="F630" t="s">
        <v>22</v>
      </c>
      <c r="G630" t="s">
        <v>31</v>
      </c>
      <c r="H630" s="1">
        <v>45290</v>
      </c>
      <c r="I630" s="2">
        <v>45291.0083333333</v>
      </c>
      <c r="J630">
        <v>24.2</v>
      </c>
      <c r="K630" t="s">
        <v>24</v>
      </c>
      <c r="L630">
        <v>1</v>
      </c>
      <c r="M630">
        <v>4</v>
      </c>
      <c r="N630" t="s">
        <v>1025</v>
      </c>
      <c r="O630" s="3" t="str">
        <f>TEXT(Ticket_Table[[#This Row],[raised_date]],"YYYY-MM")</f>
        <v>2023-12</v>
      </c>
      <c r="P630" s="3" t="str">
        <f>IF(Ticket_Table[[#This Row],[resolution_hrs]]&lt;=4,"Fast",IF(Ticket_Table[[#This Row],[resolution_hrs]]&lt;=24,"Normal",IF(Ticket_Table[[#This Row],[resolution_hrs]]&lt;=48,"Slow","Very Slow")))</f>
        <v>Slow</v>
      </c>
      <c r="Q630" s="3">
        <f>YEAR(Ticket_Table[[#This Row],[raised_date]])</f>
        <v>2023</v>
      </c>
    </row>
    <row r="631" spans="1:17">
      <c r="A631" t="s">
        <v>1159</v>
      </c>
      <c r="B631" t="s">
        <v>510</v>
      </c>
      <c r="C631" t="s">
        <v>117</v>
      </c>
      <c r="D631" t="s">
        <v>29</v>
      </c>
      <c r="E631" t="s">
        <v>56</v>
      </c>
      <c r="F631" t="s">
        <v>45</v>
      </c>
      <c r="G631" t="s">
        <v>23</v>
      </c>
      <c r="H631" s="1">
        <v>44686</v>
      </c>
      <c r="I631" s="2">
        <v>44686.0833333333</v>
      </c>
      <c r="J631">
        <v>2</v>
      </c>
      <c r="K631" t="s">
        <v>24</v>
      </c>
      <c r="L631">
        <v>0</v>
      </c>
      <c r="M631">
        <v>5</v>
      </c>
      <c r="N631" t="s">
        <v>811</v>
      </c>
      <c r="O631" s="3" t="str">
        <f>TEXT(Ticket_Table[[#This Row],[raised_date]],"YYYY-MM")</f>
        <v>2022-05</v>
      </c>
      <c r="P631" s="3" t="str">
        <f>IF(Ticket_Table[[#This Row],[resolution_hrs]]&lt;=4,"Fast",IF(Ticket_Table[[#This Row],[resolution_hrs]]&lt;=24,"Normal",IF(Ticket_Table[[#This Row],[resolution_hrs]]&lt;=48,"Slow","Very Slow")))</f>
        <v>Fast</v>
      </c>
      <c r="Q631" s="3">
        <f>YEAR(Ticket_Table[[#This Row],[raised_date]])</f>
        <v>2022</v>
      </c>
    </row>
    <row r="632" spans="1:17">
      <c r="A632" t="s">
        <v>1160</v>
      </c>
      <c r="B632" t="s">
        <v>562</v>
      </c>
      <c r="C632" t="s">
        <v>102</v>
      </c>
      <c r="D632" t="s">
        <v>20</v>
      </c>
      <c r="E632" t="s">
        <v>30</v>
      </c>
      <c r="F632" t="s">
        <v>70</v>
      </c>
      <c r="G632" t="s">
        <v>74</v>
      </c>
      <c r="H632" s="1">
        <v>44830</v>
      </c>
      <c r="I632" s="2">
        <v>44830.875</v>
      </c>
      <c r="J632">
        <v>21</v>
      </c>
      <c r="K632" t="s">
        <v>24</v>
      </c>
      <c r="L632">
        <v>0</v>
      </c>
      <c r="M632">
        <v>4</v>
      </c>
      <c r="N632" t="s">
        <v>509</v>
      </c>
      <c r="O632" s="3" t="str">
        <f>TEXT(Ticket_Table[[#This Row],[raised_date]],"YYYY-MM")</f>
        <v>2022-09</v>
      </c>
      <c r="P632" s="3" t="str">
        <f>IF(Ticket_Table[[#This Row],[resolution_hrs]]&lt;=4,"Fast",IF(Ticket_Table[[#This Row],[resolution_hrs]]&lt;=24,"Normal",IF(Ticket_Table[[#This Row],[resolution_hrs]]&lt;=48,"Slow","Very Slow")))</f>
        <v>Normal</v>
      </c>
      <c r="Q632" s="3">
        <f>YEAR(Ticket_Table[[#This Row],[raised_date]])</f>
        <v>2022</v>
      </c>
    </row>
    <row r="633" spans="1:17">
      <c r="A633" t="s">
        <v>1161</v>
      </c>
      <c r="B633" t="s">
        <v>668</v>
      </c>
      <c r="C633" t="s">
        <v>68</v>
      </c>
      <c r="D633" t="s">
        <v>20</v>
      </c>
      <c r="E633" t="s">
        <v>166</v>
      </c>
      <c r="F633" t="s">
        <v>45</v>
      </c>
      <c r="G633" t="s">
        <v>23</v>
      </c>
      <c r="H633" s="1">
        <v>45157</v>
      </c>
      <c r="I633" s="2">
        <v>45157.2291666667</v>
      </c>
      <c r="J633">
        <v>5.5</v>
      </c>
      <c r="K633" t="s">
        <v>32</v>
      </c>
      <c r="L633">
        <v>0</v>
      </c>
      <c r="M633">
        <v>5</v>
      </c>
      <c r="N633" t="s">
        <v>353</v>
      </c>
      <c r="O633" s="3" t="str">
        <f>TEXT(Ticket_Table[[#This Row],[raised_date]],"YYYY-MM")</f>
        <v>2023-08</v>
      </c>
      <c r="P633" s="3" t="str">
        <f>IF(Ticket_Table[[#This Row],[resolution_hrs]]&lt;=4,"Fast",IF(Ticket_Table[[#This Row],[resolution_hrs]]&lt;=24,"Normal",IF(Ticket_Table[[#This Row],[resolution_hrs]]&lt;=48,"Slow","Very Slow")))</f>
        <v>Normal</v>
      </c>
      <c r="Q633" s="3">
        <f>YEAR(Ticket_Table[[#This Row],[raised_date]])</f>
        <v>2023</v>
      </c>
    </row>
    <row r="634" spans="1:17">
      <c r="A634" t="s">
        <v>1162</v>
      </c>
      <c r="B634" t="s">
        <v>438</v>
      </c>
      <c r="C634" t="s">
        <v>55</v>
      </c>
      <c r="D634" t="s">
        <v>43</v>
      </c>
      <c r="E634" t="s">
        <v>83</v>
      </c>
      <c r="F634" t="s">
        <v>70</v>
      </c>
      <c r="G634" t="s">
        <v>31</v>
      </c>
      <c r="H634" s="1">
        <v>44594</v>
      </c>
      <c r="I634" s="2">
        <v>44595.6291666667</v>
      </c>
      <c r="J634">
        <v>39.1</v>
      </c>
      <c r="K634" t="s">
        <v>24</v>
      </c>
      <c r="L634">
        <v>1</v>
      </c>
      <c r="M634">
        <v>3</v>
      </c>
      <c r="N634" t="s">
        <v>744</v>
      </c>
      <c r="O634" s="3" t="str">
        <f>TEXT(Ticket_Table[[#This Row],[raised_date]],"YYYY-MM")</f>
        <v>2022-02</v>
      </c>
      <c r="P634" s="3" t="str">
        <f>IF(Ticket_Table[[#This Row],[resolution_hrs]]&lt;=4,"Fast",IF(Ticket_Table[[#This Row],[resolution_hrs]]&lt;=24,"Normal",IF(Ticket_Table[[#This Row],[resolution_hrs]]&lt;=48,"Slow","Very Slow")))</f>
        <v>Slow</v>
      </c>
      <c r="Q634" s="3">
        <f>YEAR(Ticket_Table[[#This Row],[raised_date]])</f>
        <v>2022</v>
      </c>
    </row>
    <row r="635" spans="1:17">
      <c r="A635" t="s">
        <v>1163</v>
      </c>
      <c r="B635" t="s">
        <v>1136</v>
      </c>
      <c r="C635" t="s">
        <v>19</v>
      </c>
      <c r="D635" t="s">
        <v>20</v>
      </c>
      <c r="E635" t="s">
        <v>44</v>
      </c>
      <c r="F635" t="s">
        <v>38</v>
      </c>
      <c r="G635" t="s">
        <v>46</v>
      </c>
      <c r="H635" s="1">
        <v>44950</v>
      </c>
      <c r="I635" s="2">
        <v>44951.4625</v>
      </c>
      <c r="J635">
        <v>35.1</v>
      </c>
      <c r="K635" t="s">
        <v>32</v>
      </c>
      <c r="L635">
        <v>0</v>
      </c>
      <c r="M635">
        <v>4</v>
      </c>
      <c r="N635" t="s">
        <v>1164</v>
      </c>
      <c r="O635" s="3" t="str">
        <f>TEXT(Ticket_Table[[#This Row],[raised_date]],"YYYY-MM")</f>
        <v>2023-01</v>
      </c>
      <c r="P635" s="3" t="str">
        <f>IF(Ticket_Table[[#This Row],[resolution_hrs]]&lt;=4,"Fast",IF(Ticket_Table[[#This Row],[resolution_hrs]]&lt;=24,"Normal",IF(Ticket_Table[[#This Row],[resolution_hrs]]&lt;=48,"Slow","Very Slow")))</f>
        <v>Slow</v>
      </c>
      <c r="Q635" s="3">
        <f>YEAR(Ticket_Table[[#This Row],[raised_date]])</f>
        <v>2023</v>
      </c>
    </row>
    <row r="636" spans="1:17">
      <c r="A636" t="s">
        <v>1165</v>
      </c>
      <c r="B636" t="s">
        <v>318</v>
      </c>
      <c r="C636" t="s">
        <v>78</v>
      </c>
      <c r="D636" t="s">
        <v>29</v>
      </c>
      <c r="E636" t="s">
        <v>69</v>
      </c>
      <c r="F636" t="s">
        <v>38</v>
      </c>
      <c r="G636" t="s">
        <v>46</v>
      </c>
      <c r="H636" s="1">
        <v>45099</v>
      </c>
      <c r="I636" s="2">
        <v>45099.1875</v>
      </c>
      <c r="J636">
        <v>4.5</v>
      </c>
      <c r="K636" t="s">
        <v>24</v>
      </c>
      <c r="L636">
        <v>0</v>
      </c>
      <c r="M636">
        <v>4</v>
      </c>
      <c r="N636" t="s">
        <v>189</v>
      </c>
      <c r="O636" s="3" t="str">
        <f>TEXT(Ticket_Table[[#This Row],[raised_date]],"YYYY-MM")</f>
        <v>2023-06</v>
      </c>
      <c r="P636" s="3" t="str">
        <f>IF(Ticket_Table[[#This Row],[resolution_hrs]]&lt;=4,"Fast",IF(Ticket_Table[[#This Row],[resolution_hrs]]&lt;=24,"Normal",IF(Ticket_Table[[#This Row],[resolution_hrs]]&lt;=48,"Slow","Very Slow")))</f>
        <v>Normal</v>
      </c>
      <c r="Q636" s="3">
        <f>YEAR(Ticket_Table[[#This Row],[raised_date]])</f>
        <v>2023</v>
      </c>
    </row>
    <row r="637" spans="1:17">
      <c r="A637" t="s">
        <v>1166</v>
      </c>
      <c r="B637" t="s">
        <v>787</v>
      </c>
      <c r="C637" t="s">
        <v>42</v>
      </c>
      <c r="D637" t="s">
        <v>29</v>
      </c>
      <c r="E637" t="s">
        <v>106</v>
      </c>
      <c r="F637" t="s">
        <v>38</v>
      </c>
      <c r="G637" t="s">
        <v>23</v>
      </c>
      <c r="H637" s="1">
        <v>45142</v>
      </c>
      <c r="I637" s="2">
        <v>45142.3541666667</v>
      </c>
      <c r="J637">
        <v>8.5</v>
      </c>
      <c r="K637" t="s">
        <v>24</v>
      </c>
      <c r="L637">
        <v>0</v>
      </c>
      <c r="M637">
        <v>3</v>
      </c>
      <c r="N637" t="s">
        <v>343</v>
      </c>
      <c r="O637" s="3" t="str">
        <f>TEXT(Ticket_Table[[#This Row],[raised_date]],"YYYY-MM")</f>
        <v>2023-08</v>
      </c>
      <c r="P637" s="3" t="str">
        <f>IF(Ticket_Table[[#This Row],[resolution_hrs]]&lt;=4,"Fast",IF(Ticket_Table[[#This Row],[resolution_hrs]]&lt;=24,"Normal",IF(Ticket_Table[[#This Row],[resolution_hrs]]&lt;=48,"Slow","Very Slow")))</f>
        <v>Normal</v>
      </c>
      <c r="Q637" s="3">
        <f>YEAR(Ticket_Table[[#This Row],[raised_date]])</f>
        <v>2023</v>
      </c>
    </row>
    <row r="638" spans="1:17">
      <c r="A638" t="s">
        <v>1167</v>
      </c>
      <c r="B638" t="s">
        <v>675</v>
      </c>
      <c r="C638" t="s">
        <v>60</v>
      </c>
      <c r="D638" t="s">
        <v>90</v>
      </c>
      <c r="E638" t="s">
        <v>51</v>
      </c>
      <c r="F638" t="s">
        <v>45</v>
      </c>
      <c r="G638" t="s">
        <v>31</v>
      </c>
      <c r="H638" s="1">
        <v>44774</v>
      </c>
      <c r="I638" s="2">
        <v>44774.1458333333</v>
      </c>
      <c r="J638">
        <v>3.5</v>
      </c>
      <c r="K638" t="s">
        <v>24</v>
      </c>
      <c r="L638">
        <v>0</v>
      </c>
      <c r="M638">
        <v>4</v>
      </c>
      <c r="N638" t="s">
        <v>471</v>
      </c>
      <c r="O638" s="3" t="str">
        <f>TEXT(Ticket_Table[[#This Row],[raised_date]],"YYYY-MM")</f>
        <v>2022-08</v>
      </c>
      <c r="P638" s="3" t="str">
        <f>IF(Ticket_Table[[#This Row],[resolution_hrs]]&lt;=4,"Fast",IF(Ticket_Table[[#This Row],[resolution_hrs]]&lt;=24,"Normal",IF(Ticket_Table[[#This Row],[resolution_hrs]]&lt;=48,"Slow","Very Slow")))</f>
        <v>Fast</v>
      </c>
      <c r="Q638" s="3">
        <f>YEAR(Ticket_Table[[#This Row],[raised_date]])</f>
        <v>2022</v>
      </c>
    </row>
    <row r="639" spans="1:17">
      <c r="A639" t="s">
        <v>1168</v>
      </c>
      <c r="B639" t="s">
        <v>449</v>
      </c>
      <c r="C639" t="s">
        <v>261</v>
      </c>
      <c r="D639" t="s">
        <v>36</v>
      </c>
      <c r="E639" t="s">
        <v>44</v>
      </c>
      <c r="F639" t="s">
        <v>70</v>
      </c>
      <c r="G639" t="s">
        <v>46</v>
      </c>
      <c r="H639" s="1">
        <v>44979</v>
      </c>
      <c r="I639" s="2">
        <v>44981.1375</v>
      </c>
      <c r="J639">
        <v>51.3</v>
      </c>
      <c r="K639" t="s">
        <v>32</v>
      </c>
      <c r="L639">
        <v>0</v>
      </c>
      <c r="M639">
        <v>4</v>
      </c>
      <c r="N639" t="s">
        <v>126</v>
      </c>
      <c r="O639" s="3" t="str">
        <f>TEXT(Ticket_Table[[#This Row],[raised_date]],"YYYY-MM")</f>
        <v>2023-02</v>
      </c>
      <c r="P639" s="3" t="str">
        <f>IF(Ticket_Table[[#This Row],[resolution_hrs]]&lt;=4,"Fast",IF(Ticket_Table[[#This Row],[resolution_hrs]]&lt;=24,"Normal",IF(Ticket_Table[[#This Row],[resolution_hrs]]&lt;=48,"Slow","Very Slow")))</f>
        <v>Very Slow</v>
      </c>
      <c r="Q639" s="3">
        <f>YEAR(Ticket_Table[[#This Row],[raised_date]])</f>
        <v>2023</v>
      </c>
    </row>
    <row r="640" spans="1:17">
      <c r="A640" t="s">
        <v>1169</v>
      </c>
      <c r="B640" t="s">
        <v>794</v>
      </c>
      <c r="C640" t="s">
        <v>140</v>
      </c>
      <c r="D640" t="s">
        <v>20</v>
      </c>
      <c r="E640" t="s">
        <v>69</v>
      </c>
      <c r="F640" t="s">
        <v>22</v>
      </c>
      <c r="G640" t="s">
        <v>31</v>
      </c>
      <c r="H640" s="1">
        <v>45226</v>
      </c>
      <c r="I640" s="2">
        <v>45227.675</v>
      </c>
      <c r="J640">
        <v>40.2</v>
      </c>
      <c r="K640" t="s">
        <v>24</v>
      </c>
      <c r="L640">
        <v>0</v>
      </c>
      <c r="M640">
        <v>4</v>
      </c>
      <c r="N640" t="s">
        <v>703</v>
      </c>
      <c r="O640" s="3" t="str">
        <f>TEXT(Ticket_Table[[#This Row],[raised_date]],"YYYY-MM")</f>
        <v>2023-10</v>
      </c>
      <c r="P640" s="3" t="str">
        <f>IF(Ticket_Table[[#This Row],[resolution_hrs]]&lt;=4,"Fast",IF(Ticket_Table[[#This Row],[resolution_hrs]]&lt;=24,"Normal",IF(Ticket_Table[[#This Row],[resolution_hrs]]&lt;=48,"Slow","Very Slow")))</f>
        <v>Slow</v>
      </c>
      <c r="Q640" s="3">
        <f>YEAR(Ticket_Table[[#This Row],[raised_date]])</f>
        <v>2023</v>
      </c>
    </row>
    <row r="641" spans="1:17">
      <c r="A641" t="s">
        <v>1170</v>
      </c>
      <c r="B641" t="s">
        <v>664</v>
      </c>
      <c r="C641" t="s">
        <v>140</v>
      </c>
      <c r="D641" t="s">
        <v>36</v>
      </c>
      <c r="E641" t="s">
        <v>37</v>
      </c>
      <c r="F641" t="s">
        <v>38</v>
      </c>
      <c r="G641" t="s">
        <v>31</v>
      </c>
      <c r="H641" s="1">
        <v>45277</v>
      </c>
      <c r="I641" s="2">
        <v>45277.9</v>
      </c>
      <c r="J641">
        <v>21.6</v>
      </c>
      <c r="K641" t="s">
        <v>24</v>
      </c>
      <c r="L641">
        <v>0</v>
      </c>
      <c r="M641">
        <v>4</v>
      </c>
      <c r="N641" t="s">
        <v>262</v>
      </c>
      <c r="O641" s="3" t="str">
        <f>TEXT(Ticket_Table[[#This Row],[raised_date]],"YYYY-MM")</f>
        <v>2023-12</v>
      </c>
      <c r="P641" s="3" t="str">
        <f>IF(Ticket_Table[[#This Row],[resolution_hrs]]&lt;=4,"Fast",IF(Ticket_Table[[#This Row],[resolution_hrs]]&lt;=24,"Normal",IF(Ticket_Table[[#This Row],[resolution_hrs]]&lt;=48,"Slow","Very Slow")))</f>
        <v>Normal</v>
      </c>
      <c r="Q641" s="3">
        <f>YEAR(Ticket_Table[[#This Row],[raised_date]])</f>
        <v>2023</v>
      </c>
    </row>
    <row r="642" spans="1:17">
      <c r="A642" t="s">
        <v>1171</v>
      </c>
      <c r="B642" t="s">
        <v>138</v>
      </c>
      <c r="C642" t="s">
        <v>140</v>
      </c>
      <c r="D642" t="s">
        <v>36</v>
      </c>
      <c r="E642" t="s">
        <v>30</v>
      </c>
      <c r="F642" t="s">
        <v>38</v>
      </c>
      <c r="G642" t="s">
        <v>46</v>
      </c>
      <c r="H642" s="1">
        <v>45054</v>
      </c>
      <c r="I642" s="2">
        <v>45054.6833333333</v>
      </c>
      <c r="J642">
        <v>16.4</v>
      </c>
      <c r="K642" t="s">
        <v>24</v>
      </c>
      <c r="L642">
        <v>1</v>
      </c>
      <c r="M642">
        <v>2</v>
      </c>
      <c r="N642" t="s">
        <v>884</v>
      </c>
      <c r="O642" s="3" t="str">
        <f>TEXT(Ticket_Table[[#This Row],[raised_date]],"YYYY-MM")</f>
        <v>2023-05</v>
      </c>
      <c r="P642" s="3" t="str">
        <f>IF(Ticket_Table[[#This Row],[resolution_hrs]]&lt;=4,"Fast",IF(Ticket_Table[[#This Row],[resolution_hrs]]&lt;=24,"Normal",IF(Ticket_Table[[#This Row],[resolution_hrs]]&lt;=48,"Slow","Very Slow")))</f>
        <v>Normal</v>
      </c>
      <c r="Q642" s="3">
        <f>YEAR(Ticket_Table[[#This Row],[raised_date]])</f>
        <v>2023</v>
      </c>
    </row>
    <row r="643" spans="1:17">
      <c r="A643" t="s">
        <v>1172</v>
      </c>
      <c r="B643" t="s">
        <v>127</v>
      </c>
      <c r="C643" t="s">
        <v>78</v>
      </c>
      <c r="D643" t="s">
        <v>36</v>
      </c>
      <c r="E643" t="s">
        <v>69</v>
      </c>
      <c r="F643" t="s">
        <v>70</v>
      </c>
      <c r="G643" t="s">
        <v>23</v>
      </c>
      <c r="H643" s="1">
        <v>44528</v>
      </c>
      <c r="I643" s="2">
        <v>44530.875</v>
      </c>
      <c r="J643">
        <v>69</v>
      </c>
      <c r="K643" t="s">
        <v>32</v>
      </c>
      <c r="L643">
        <v>0</v>
      </c>
      <c r="M643">
        <v>4</v>
      </c>
      <c r="N643" t="s">
        <v>485</v>
      </c>
      <c r="O643" s="3" t="str">
        <f>TEXT(Ticket_Table[[#This Row],[raised_date]],"YYYY-MM")</f>
        <v>2021-11</v>
      </c>
      <c r="P643" s="3" t="str">
        <f>IF(Ticket_Table[[#This Row],[resolution_hrs]]&lt;=4,"Fast",IF(Ticket_Table[[#This Row],[resolution_hrs]]&lt;=24,"Normal",IF(Ticket_Table[[#This Row],[resolution_hrs]]&lt;=48,"Slow","Very Slow")))</f>
        <v>Very Slow</v>
      </c>
      <c r="Q643" s="3">
        <f>YEAR(Ticket_Table[[#This Row],[raised_date]])</f>
        <v>2021</v>
      </c>
    </row>
    <row r="644" spans="1:17">
      <c r="A644" t="s">
        <v>1173</v>
      </c>
      <c r="B644" t="s">
        <v>764</v>
      </c>
      <c r="C644" t="s">
        <v>78</v>
      </c>
      <c r="D644" t="s">
        <v>36</v>
      </c>
      <c r="E644" t="s">
        <v>56</v>
      </c>
      <c r="F644" t="s">
        <v>22</v>
      </c>
      <c r="G644" t="s">
        <v>31</v>
      </c>
      <c r="H644" s="1">
        <v>44605</v>
      </c>
      <c r="I644" s="2">
        <v>44605.85</v>
      </c>
      <c r="J644">
        <v>20.4</v>
      </c>
      <c r="K644" t="s">
        <v>24</v>
      </c>
      <c r="L644">
        <v>0</v>
      </c>
      <c r="M644">
        <v>2</v>
      </c>
      <c r="N644" t="s">
        <v>552</v>
      </c>
      <c r="O644" s="3" t="str">
        <f>TEXT(Ticket_Table[[#This Row],[raised_date]],"YYYY-MM")</f>
        <v>2022-02</v>
      </c>
      <c r="P644" s="3" t="str">
        <f>IF(Ticket_Table[[#This Row],[resolution_hrs]]&lt;=4,"Fast",IF(Ticket_Table[[#This Row],[resolution_hrs]]&lt;=24,"Normal",IF(Ticket_Table[[#This Row],[resolution_hrs]]&lt;=48,"Slow","Very Slow")))</f>
        <v>Normal</v>
      </c>
      <c r="Q644" s="3">
        <f>YEAR(Ticket_Table[[#This Row],[raised_date]])</f>
        <v>2022</v>
      </c>
    </row>
    <row r="645" spans="1:17">
      <c r="A645" t="s">
        <v>1174</v>
      </c>
      <c r="B645" t="s">
        <v>751</v>
      </c>
      <c r="C645" t="s">
        <v>117</v>
      </c>
      <c r="D645" t="s">
        <v>29</v>
      </c>
      <c r="E645" t="s">
        <v>44</v>
      </c>
      <c r="F645" t="s">
        <v>70</v>
      </c>
      <c r="G645" t="s">
        <v>91</v>
      </c>
      <c r="H645" s="1">
        <v>44480</v>
      </c>
      <c r="I645" s="2">
        <v>44481.0916666667</v>
      </c>
      <c r="J645">
        <v>26.2</v>
      </c>
      <c r="K645" t="s">
        <v>24</v>
      </c>
      <c r="L645">
        <v>0</v>
      </c>
      <c r="M645">
        <v>5</v>
      </c>
      <c r="N645" t="s">
        <v>518</v>
      </c>
      <c r="O645" s="3" t="str">
        <f>TEXT(Ticket_Table[[#This Row],[raised_date]],"YYYY-MM")</f>
        <v>2021-10</v>
      </c>
      <c r="P645" s="3" t="str">
        <f>IF(Ticket_Table[[#This Row],[resolution_hrs]]&lt;=4,"Fast",IF(Ticket_Table[[#This Row],[resolution_hrs]]&lt;=24,"Normal",IF(Ticket_Table[[#This Row],[resolution_hrs]]&lt;=48,"Slow","Very Slow")))</f>
        <v>Slow</v>
      </c>
      <c r="Q645" s="3">
        <f>YEAR(Ticket_Table[[#This Row],[raised_date]])</f>
        <v>2021</v>
      </c>
    </row>
    <row r="646" spans="1:17">
      <c r="A646" t="s">
        <v>1175</v>
      </c>
      <c r="B646" t="s">
        <v>776</v>
      </c>
      <c r="C646" t="s">
        <v>42</v>
      </c>
      <c r="D646" t="s">
        <v>20</v>
      </c>
      <c r="E646" t="s">
        <v>44</v>
      </c>
      <c r="F646" t="s">
        <v>70</v>
      </c>
      <c r="G646" t="s">
        <v>31</v>
      </c>
      <c r="H646" s="1">
        <v>44709</v>
      </c>
      <c r="I646" s="2">
        <v>44710.1666666667</v>
      </c>
      <c r="J646">
        <v>28</v>
      </c>
      <c r="K646" t="s">
        <v>24</v>
      </c>
      <c r="L646">
        <v>0</v>
      </c>
      <c r="M646">
        <v>3</v>
      </c>
      <c r="N646" t="s">
        <v>740</v>
      </c>
      <c r="O646" s="3" t="str">
        <f>TEXT(Ticket_Table[[#This Row],[raised_date]],"YYYY-MM")</f>
        <v>2022-05</v>
      </c>
      <c r="P646" s="3" t="str">
        <f>IF(Ticket_Table[[#This Row],[resolution_hrs]]&lt;=4,"Fast",IF(Ticket_Table[[#This Row],[resolution_hrs]]&lt;=24,"Normal",IF(Ticket_Table[[#This Row],[resolution_hrs]]&lt;=48,"Slow","Very Slow")))</f>
        <v>Slow</v>
      </c>
      <c r="Q646" s="3">
        <f>YEAR(Ticket_Table[[#This Row],[raised_date]])</f>
        <v>2022</v>
      </c>
    </row>
    <row r="647" spans="1:17">
      <c r="A647" t="s">
        <v>1176</v>
      </c>
      <c r="B647" t="s">
        <v>608</v>
      </c>
      <c r="C647" t="s">
        <v>201</v>
      </c>
      <c r="D647" t="s">
        <v>90</v>
      </c>
      <c r="E647" t="s">
        <v>44</v>
      </c>
      <c r="F647" t="s">
        <v>70</v>
      </c>
      <c r="G647" t="s">
        <v>23</v>
      </c>
      <c r="H647" s="1">
        <v>44303</v>
      </c>
      <c r="I647" s="2">
        <v>44303.675</v>
      </c>
      <c r="J647">
        <v>16.2</v>
      </c>
      <c r="K647" t="s">
        <v>24</v>
      </c>
      <c r="L647">
        <v>0</v>
      </c>
      <c r="M647">
        <v>4</v>
      </c>
      <c r="N647" t="s">
        <v>185</v>
      </c>
      <c r="O647" s="3" t="str">
        <f>TEXT(Ticket_Table[[#This Row],[raised_date]],"YYYY-MM")</f>
        <v>2021-04</v>
      </c>
      <c r="P647" s="3" t="str">
        <f>IF(Ticket_Table[[#This Row],[resolution_hrs]]&lt;=4,"Fast",IF(Ticket_Table[[#This Row],[resolution_hrs]]&lt;=24,"Normal",IF(Ticket_Table[[#This Row],[resolution_hrs]]&lt;=48,"Slow","Very Slow")))</f>
        <v>Normal</v>
      </c>
      <c r="Q647" s="3">
        <f>YEAR(Ticket_Table[[#This Row],[raised_date]])</f>
        <v>2021</v>
      </c>
    </row>
    <row r="648" spans="1:17">
      <c r="A648" t="s">
        <v>1177</v>
      </c>
      <c r="B648" t="s">
        <v>169</v>
      </c>
      <c r="C648" t="s">
        <v>133</v>
      </c>
      <c r="D648" t="s">
        <v>36</v>
      </c>
      <c r="E648" t="s">
        <v>83</v>
      </c>
      <c r="F648" t="s">
        <v>70</v>
      </c>
      <c r="G648" t="s">
        <v>46</v>
      </c>
      <c r="H648" s="1">
        <v>45181</v>
      </c>
      <c r="I648" s="2">
        <v>45181.7166666667</v>
      </c>
      <c r="J648">
        <v>17.2</v>
      </c>
      <c r="K648" t="s">
        <v>24</v>
      </c>
      <c r="L648">
        <v>0</v>
      </c>
      <c r="M648">
        <v>4</v>
      </c>
      <c r="N648" t="s">
        <v>538</v>
      </c>
      <c r="O648" s="3" t="str">
        <f>TEXT(Ticket_Table[[#This Row],[raised_date]],"YYYY-MM")</f>
        <v>2023-09</v>
      </c>
      <c r="P648" s="3" t="str">
        <f>IF(Ticket_Table[[#This Row],[resolution_hrs]]&lt;=4,"Fast",IF(Ticket_Table[[#This Row],[resolution_hrs]]&lt;=24,"Normal",IF(Ticket_Table[[#This Row],[resolution_hrs]]&lt;=48,"Slow","Very Slow")))</f>
        <v>Normal</v>
      </c>
      <c r="Q648" s="3">
        <f>YEAR(Ticket_Table[[#This Row],[raised_date]])</f>
        <v>2023</v>
      </c>
    </row>
    <row r="649" spans="1:17">
      <c r="A649" t="s">
        <v>1178</v>
      </c>
      <c r="B649" t="s">
        <v>33</v>
      </c>
      <c r="C649" t="s">
        <v>140</v>
      </c>
      <c r="D649" t="s">
        <v>90</v>
      </c>
      <c r="E649" t="s">
        <v>37</v>
      </c>
      <c r="F649" t="s">
        <v>38</v>
      </c>
      <c r="G649" t="s">
        <v>23</v>
      </c>
      <c r="H649" s="1">
        <v>44957</v>
      </c>
      <c r="I649" s="2">
        <v>44957.2041666667</v>
      </c>
      <c r="J649">
        <v>4.9</v>
      </c>
      <c r="K649" t="s">
        <v>24</v>
      </c>
      <c r="L649">
        <v>0</v>
      </c>
      <c r="M649">
        <v>2</v>
      </c>
      <c r="N649" t="s">
        <v>248</v>
      </c>
      <c r="O649" s="3" t="str">
        <f>TEXT(Ticket_Table[[#This Row],[raised_date]],"YYYY-MM")</f>
        <v>2023-01</v>
      </c>
      <c r="P649" s="3" t="str">
        <f>IF(Ticket_Table[[#This Row],[resolution_hrs]]&lt;=4,"Fast",IF(Ticket_Table[[#This Row],[resolution_hrs]]&lt;=24,"Normal",IF(Ticket_Table[[#This Row],[resolution_hrs]]&lt;=48,"Slow","Very Slow")))</f>
        <v>Normal</v>
      </c>
      <c r="Q649" s="3">
        <f>YEAR(Ticket_Table[[#This Row],[raised_date]])</f>
        <v>2023</v>
      </c>
    </row>
    <row r="650" spans="1:17">
      <c r="A650" t="s">
        <v>1179</v>
      </c>
      <c r="B650" t="s">
        <v>1180</v>
      </c>
      <c r="C650" t="s">
        <v>287</v>
      </c>
      <c r="D650" t="s">
        <v>29</v>
      </c>
      <c r="E650" t="s">
        <v>83</v>
      </c>
      <c r="F650" t="s">
        <v>22</v>
      </c>
      <c r="G650" t="s">
        <v>23</v>
      </c>
      <c r="H650" s="1">
        <v>44407</v>
      </c>
      <c r="I650" s="2">
        <v>44411.4333333333</v>
      </c>
      <c r="J650">
        <v>106.4</v>
      </c>
      <c r="K650" t="s">
        <v>32</v>
      </c>
      <c r="L650">
        <v>0</v>
      </c>
      <c r="M650">
        <v>4</v>
      </c>
      <c r="N650" t="s">
        <v>487</v>
      </c>
      <c r="O650" s="3" t="str">
        <f>TEXT(Ticket_Table[[#This Row],[raised_date]],"YYYY-MM")</f>
        <v>2021-07</v>
      </c>
      <c r="P650" s="3" t="str">
        <f>IF(Ticket_Table[[#This Row],[resolution_hrs]]&lt;=4,"Fast",IF(Ticket_Table[[#This Row],[resolution_hrs]]&lt;=24,"Normal",IF(Ticket_Table[[#This Row],[resolution_hrs]]&lt;=48,"Slow","Very Slow")))</f>
        <v>Very Slow</v>
      </c>
      <c r="Q650" s="3">
        <f>YEAR(Ticket_Table[[#This Row],[raised_date]])</f>
        <v>2021</v>
      </c>
    </row>
    <row r="651" spans="1:17">
      <c r="A651" t="s">
        <v>1181</v>
      </c>
      <c r="B651" t="s">
        <v>614</v>
      </c>
      <c r="C651" t="s">
        <v>68</v>
      </c>
      <c r="D651" t="s">
        <v>29</v>
      </c>
      <c r="E651" t="s">
        <v>44</v>
      </c>
      <c r="F651" t="s">
        <v>70</v>
      </c>
      <c r="G651" t="s">
        <v>23</v>
      </c>
      <c r="H651" s="1">
        <v>45253</v>
      </c>
      <c r="I651" s="2">
        <v>45253.4083333333</v>
      </c>
      <c r="J651">
        <v>9.8</v>
      </c>
      <c r="K651" t="s">
        <v>24</v>
      </c>
      <c r="L651">
        <v>0</v>
      </c>
      <c r="M651">
        <v>5</v>
      </c>
      <c r="N651" t="s">
        <v>579</v>
      </c>
      <c r="O651" s="3" t="str">
        <f>TEXT(Ticket_Table[[#This Row],[raised_date]],"YYYY-MM")</f>
        <v>2023-11</v>
      </c>
      <c r="P651" s="3" t="str">
        <f>IF(Ticket_Table[[#This Row],[resolution_hrs]]&lt;=4,"Fast",IF(Ticket_Table[[#This Row],[resolution_hrs]]&lt;=24,"Normal",IF(Ticket_Table[[#This Row],[resolution_hrs]]&lt;=48,"Slow","Very Slow")))</f>
        <v>Normal</v>
      </c>
      <c r="Q651" s="3">
        <f>YEAR(Ticket_Table[[#This Row],[raised_date]])</f>
        <v>2023</v>
      </c>
    </row>
    <row r="652" spans="1:17">
      <c r="A652" t="s">
        <v>1182</v>
      </c>
      <c r="B652" t="s">
        <v>950</v>
      </c>
      <c r="C652" t="s">
        <v>201</v>
      </c>
      <c r="D652" t="s">
        <v>43</v>
      </c>
      <c r="E652" t="s">
        <v>56</v>
      </c>
      <c r="F652" t="s">
        <v>22</v>
      </c>
      <c r="G652" t="s">
        <v>23</v>
      </c>
      <c r="H652" s="1">
        <v>44452</v>
      </c>
      <c r="I652" s="2">
        <v>44452.5333333333</v>
      </c>
      <c r="J652">
        <v>12.8</v>
      </c>
      <c r="K652" t="s">
        <v>24</v>
      </c>
      <c r="L652">
        <v>1</v>
      </c>
      <c r="M652">
        <v>3</v>
      </c>
      <c r="N652" t="s">
        <v>439</v>
      </c>
      <c r="O652" s="3" t="str">
        <f>TEXT(Ticket_Table[[#This Row],[raised_date]],"YYYY-MM")</f>
        <v>2021-09</v>
      </c>
      <c r="P652" s="3" t="str">
        <f>IF(Ticket_Table[[#This Row],[resolution_hrs]]&lt;=4,"Fast",IF(Ticket_Table[[#This Row],[resolution_hrs]]&lt;=24,"Normal",IF(Ticket_Table[[#This Row],[resolution_hrs]]&lt;=48,"Slow","Very Slow")))</f>
        <v>Normal</v>
      </c>
      <c r="Q652" s="3">
        <f>YEAR(Ticket_Table[[#This Row],[raised_date]])</f>
        <v>2021</v>
      </c>
    </row>
    <row r="653" spans="1:17">
      <c r="A653" t="s">
        <v>1183</v>
      </c>
      <c r="B653" t="s">
        <v>1041</v>
      </c>
      <c r="C653" t="s">
        <v>117</v>
      </c>
      <c r="D653" t="s">
        <v>36</v>
      </c>
      <c r="E653" t="s">
        <v>51</v>
      </c>
      <c r="F653" t="s">
        <v>22</v>
      </c>
      <c r="G653" t="s">
        <v>46</v>
      </c>
      <c r="H653" s="1">
        <v>44780</v>
      </c>
      <c r="I653" s="2">
        <v>44780.6458333333</v>
      </c>
      <c r="J653">
        <v>15.5</v>
      </c>
      <c r="K653" t="s">
        <v>24</v>
      </c>
      <c r="L653">
        <v>0</v>
      </c>
      <c r="M653">
        <v>3</v>
      </c>
      <c r="N653" t="s">
        <v>588</v>
      </c>
      <c r="O653" s="3" t="str">
        <f>TEXT(Ticket_Table[[#This Row],[raised_date]],"YYYY-MM")</f>
        <v>2022-08</v>
      </c>
      <c r="P653" s="3" t="str">
        <f>IF(Ticket_Table[[#This Row],[resolution_hrs]]&lt;=4,"Fast",IF(Ticket_Table[[#This Row],[resolution_hrs]]&lt;=24,"Normal",IF(Ticket_Table[[#This Row],[resolution_hrs]]&lt;=48,"Slow","Very Slow")))</f>
        <v>Normal</v>
      </c>
      <c r="Q653" s="3">
        <f>YEAR(Ticket_Table[[#This Row],[raised_date]])</f>
        <v>2022</v>
      </c>
    </row>
    <row r="654" spans="1:17">
      <c r="A654" t="s">
        <v>1184</v>
      </c>
      <c r="B654" t="s">
        <v>515</v>
      </c>
      <c r="C654" t="s">
        <v>19</v>
      </c>
      <c r="D654" t="s">
        <v>43</v>
      </c>
      <c r="E654" t="s">
        <v>56</v>
      </c>
      <c r="F654" t="s">
        <v>38</v>
      </c>
      <c r="G654" t="s">
        <v>23</v>
      </c>
      <c r="H654" s="1">
        <v>44368</v>
      </c>
      <c r="I654" s="2">
        <v>44369.1541666667</v>
      </c>
      <c r="J654">
        <v>27.7</v>
      </c>
      <c r="K654" t="s">
        <v>32</v>
      </c>
      <c r="L654">
        <v>1</v>
      </c>
      <c r="M654">
        <v>4</v>
      </c>
      <c r="N654" t="s">
        <v>515</v>
      </c>
      <c r="O654" s="3" t="str">
        <f>TEXT(Ticket_Table[[#This Row],[raised_date]],"YYYY-MM")</f>
        <v>2021-06</v>
      </c>
      <c r="P654" s="3" t="str">
        <f>IF(Ticket_Table[[#This Row],[resolution_hrs]]&lt;=4,"Fast",IF(Ticket_Table[[#This Row],[resolution_hrs]]&lt;=24,"Normal",IF(Ticket_Table[[#This Row],[resolution_hrs]]&lt;=48,"Slow","Very Slow")))</f>
        <v>Slow</v>
      </c>
      <c r="Q654" s="3">
        <f>YEAR(Ticket_Table[[#This Row],[raised_date]])</f>
        <v>2021</v>
      </c>
    </row>
    <row r="655" spans="1:17">
      <c r="A655" t="s">
        <v>1185</v>
      </c>
      <c r="B655" t="s">
        <v>105</v>
      </c>
      <c r="C655" t="s">
        <v>140</v>
      </c>
      <c r="D655" t="s">
        <v>90</v>
      </c>
      <c r="E655" t="s">
        <v>106</v>
      </c>
      <c r="F655" t="s">
        <v>45</v>
      </c>
      <c r="G655" t="s">
        <v>74</v>
      </c>
      <c r="H655" s="1">
        <v>44525</v>
      </c>
      <c r="I655" s="2">
        <v>44525.1875</v>
      </c>
      <c r="J655">
        <v>4.5</v>
      </c>
      <c r="K655" t="s">
        <v>32</v>
      </c>
      <c r="L655">
        <v>3</v>
      </c>
      <c r="M655">
        <v>3</v>
      </c>
      <c r="N655" t="s">
        <v>359</v>
      </c>
      <c r="O655" s="3" t="str">
        <f>TEXT(Ticket_Table[[#This Row],[raised_date]],"YYYY-MM")</f>
        <v>2021-11</v>
      </c>
      <c r="P655" s="3" t="str">
        <f>IF(Ticket_Table[[#This Row],[resolution_hrs]]&lt;=4,"Fast",IF(Ticket_Table[[#This Row],[resolution_hrs]]&lt;=24,"Normal",IF(Ticket_Table[[#This Row],[resolution_hrs]]&lt;=48,"Slow","Very Slow")))</f>
        <v>Normal</v>
      </c>
      <c r="Q655" s="3">
        <f>YEAR(Ticket_Table[[#This Row],[raised_date]])</f>
        <v>2021</v>
      </c>
    </row>
    <row r="656" spans="1:17">
      <c r="A656" t="s">
        <v>1186</v>
      </c>
      <c r="B656" t="s">
        <v>772</v>
      </c>
      <c r="C656" t="s">
        <v>95</v>
      </c>
      <c r="D656" t="s">
        <v>20</v>
      </c>
      <c r="E656" t="s">
        <v>37</v>
      </c>
      <c r="F656" t="s">
        <v>70</v>
      </c>
      <c r="G656" t="s">
        <v>74</v>
      </c>
      <c r="H656" s="1">
        <v>44755</v>
      </c>
      <c r="I656" s="2">
        <v>44756.6916666667</v>
      </c>
      <c r="J656">
        <v>40.6</v>
      </c>
      <c r="K656" t="s">
        <v>24</v>
      </c>
      <c r="L656">
        <v>0</v>
      </c>
      <c r="M656">
        <v>5</v>
      </c>
      <c r="N656" t="s">
        <v>286</v>
      </c>
      <c r="O656" s="3" t="str">
        <f>TEXT(Ticket_Table[[#This Row],[raised_date]],"YYYY-MM")</f>
        <v>2022-07</v>
      </c>
      <c r="P656" s="3" t="str">
        <f>IF(Ticket_Table[[#This Row],[resolution_hrs]]&lt;=4,"Fast",IF(Ticket_Table[[#This Row],[resolution_hrs]]&lt;=24,"Normal",IF(Ticket_Table[[#This Row],[resolution_hrs]]&lt;=48,"Slow","Very Slow")))</f>
        <v>Slow</v>
      </c>
      <c r="Q656" s="3">
        <f>YEAR(Ticket_Table[[#This Row],[raised_date]])</f>
        <v>2022</v>
      </c>
    </row>
    <row r="657" spans="1:17">
      <c r="A657" t="s">
        <v>1187</v>
      </c>
      <c r="B657" t="s">
        <v>185</v>
      </c>
      <c r="C657" t="s">
        <v>50</v>
      </c>
      <c r="D657" t="s">
        <v>43</v>
      </c>
      <c r="E657" t="s">
        <v>30</v>
      </c>
      <c r="F657" t="s">
        <v>38</v>
      </c>
      <c r="G657" t="s">
        <v>31</v>
      </c>
      <c r="H657" s="1">
        <v>45117</v>
      </c>
      <c r="I657" s="2">
        <v>45117.1</v>
      </c>
      <c r="J657">
        <v>2.4</v>
      </c>
      <c r="K657" t="s">
        <v>24</v>
      </c>
      <c r="L657">
        <v>2</v>
      </c>
      <c r="M657">
        <v>3</v>
      </c>
      <c r="N657" t="s">
        <v>899</v>
      </c>
      <c r="O657" s="3" t="str">
        <f>TEXT(Ticket_Table[[#This Row],[raised_date]],"YYYY-MM")</f>
        <v>2023-07</v>
      </c>
      <c r="P657" s="3" t="str">
        <f>IF(Ticket_Table[[#This Row],[resolution_hrs]]&lt;=4,"Fast",IF(Ticket_Table[[#This Row],[resolution_hrs]]&lt;=24,"Normal",IF(Ticket_Table[[#This Row],[resolution_hrs]]&lt;=48,"Slow","Very Slow")))</f>
        <v>Fast</v>
      </c>
      <c r="Q657" s="3">
        <f>YEAR(Ticket_Table[[#This Row],[raised_date]])</f>
        <v>2023</v>
      </c>
    </row>
    <row r="658" spans="1:17">
      <c r="A658" t="s">
        <v>1188</v>
      </c>
      <c r="B658" t="s">
        <v>466</v>
      </c>
      <c r="C658" t="s">
        <v>28</v>
      </c>
      <c r="D658" t="s">
        <v>29</v>
      </c>
      <c r="E658" t="s">
        <v>44</v>
      </c>
      <c r="F658" t="s">
        <v>38</v>
      </c>
      <c r="G658" t="s">
        <v>46</v>
      </c>
      <c r="H658" s="1">
        <v>45248</v>
      </c>
      <c r="I658" s="2">
        <v>45248.5208333333</v>
      </c>
      <c r="J658">
        <v>12.5</v>
      </c>
      <c r="K658" t="s">
        <v>24</v>
      </c>
      <c r="L658">
        <v>0</v>
      </c>
      <c r="M658">
        <v>4</v>
      </c>
      <c r="N658" t="s">
        <v>307</v>
      </c>
      <c r="O658" s="3" t="str">
        <f>TEXT(Ticket_Table[[#This Row],[raised_date]],"YYYY-MM")</f>
        <v>2023-11</v>
      </c>
      <c r="P658" s="3" t="str">
        <f>IF(Ticket_Table[[#This Row],[resolution_hrs]]&lt;=4,"Fast",IF(Ticket_Table[[#This Row],[resolution_hrs]]&lt;=24,"Normal",IF(Ticket_Table[[#This Row],[resolution_hrs]]&lt;=48,"Slow","Very Slow")))</f>
        <v>Normal</v>
      </c>
      <c r="Q658" s="3">
        <f>YEAR(Ticket_Table[[#This Row],[raised_date]])</f>
        <v>2023</v>
      </c>
    </row>
    <row r="659" spans="1:17">
      <c r="A659" t="s">
        <v>1189</v>
      </c>
      <c r="B659" t="s">
        <v>646</v>
      </c>
      <c r="C659" t="s">
        <v>201</v>
      </c>
      <c r="D659" t="s">
        <v>36</v>
      </c>
      <c r="E659" t="s">
        <v>69</v>
      </c>
      <c r="F659" t="s">
        <v>38</v>
      </c>
      <c r="G659" t="s">
        <v>23</v>
      </c>
      <c r="H659" s="1">
        <v>44498</v>
      </c>
      <c r="I659" s="2">
        <v>44498.2125</v>
      </c>
      <c r="J659">
        <v>5.1</v>
      </c>
      <c r="K659" t="s">
        <v>24</v>
      </c>
      <c r="L659">
        <v>0</v>
      </c>
      <c r="M659">
        <v>3</v>
      </c>
      <c r="N659" t="s">
        <v>149</v>
      </c>
      <c r="O659" s="3" t="str">
        <f>TEXT(Ticket_Table[[#This Row],[raised_date]],"YYYY-MM")</f>
        <v>2021-10</v>
      </c>
      <c r="P659" s="3" t="str">
        <f>IF(Ticket_Table[[#This Row],[resolution_hrs]]&lt;=4,"Fast",IF(Ticket_Table[[#This Row],[resolution_hrs]]&lt;=24,"Normal",IF(Ticket_Table[[#This Row],[resolution_hrs]]&lt;=48,"Slow","Very Slow")))</f>
        <v>Normal</v>
      </c>
      <c r="Q659" s="3">
        <f>YEAR(Ticket_Table[[#This Row],[raised_date]])</f>
        <v>2021</v>
      </c>
    </row>
    <row r="660" spans="1:17">
      <c r="A660" t="s">
        <v>1190</v>
      </c>
      <c r="B660" t="s">
        <v>73</v>
      </c>
      <c r="C660" t="s">
        <v>78</v>
      </c>
      <c r="D660" t="s">
        <v>90</v>
      </c>
      <c r="E660" t="s">
        <v>51</v>
      </c>
      <c r="F660" t="s">
        <v>22</v>
      </c>
      <c r="G660" t="s">
        <v>46</v>
      </c>
      <c r="H660" s="1">
        <v>45092</v>
      </c>
      <c r="I660" s="2">
        <v>45093.3041666667</v>
      </c>
      <c r="J660">
        <v>31.3</v>
      </c>
      <c r="K660" t="s">
        <v>24</v>
      </c>
      <c r="L660">
        <v>0</v>
      </c>
      <c r="M660">
        <v>3</v>
      </c>
      <c r="N660" t="s">
        <v>1191</v>
      </c>
      <c r="O660" s="3" t="str">
        <f>TEXT(Ticket_Table[[#This Row],[raised_date]],"YYYY-MM")</f>
        <v>2023-06</v>
      </c>
      <c r="P660" s="3" t="str">
        <f>IF(Ticket_Table[[#This Row],[resolution_hrs]]&lt;=4,"Fast",IF(Ticket_Table[[#This Row],[resolution_hrs]]&lt;=24,"Normal",IF(Ticket_Table[[#This Row],[resolution_hrs]]&lt;=48,"Slow","Very Slow")))</f>
        <v>Slow</v>
      </c>
      <c r="Q660" s="3">
        <f>YEAR(Ticket_Table[[#This Row],[raised_date]])</f>
        <v>2023</v>
      </c>
    </row>
    <row r="661" spans="1:17">
      <c r="A661" t="s">
        <v>1192</v>
      </c>
      <c r="B661" t="s">
        <v>698</v>
      </c>
      <c r="C661" t="s">
        <v>68</v>
      </c>
      <c r="D661" t="s">
        <v>29</v>
      </c>
      <c r="E661" t="s">
        <v>30</v>
      </c>
      <c r="F661" t="s">
        <v>45</v>
      </c>
      <c r="G661" t="s">
        <v>23</v>
      </c>
      <c r="H661" s="1">
        <v>44384</v>
      </c>
      <c r="I661" s="2">
        <v>44384.1666666667</v>
      </c>
      <c r="J661">
        <v>4</v>
      </c>
      <c r="K661" t="s">
        <v>24</v>
      </c>
      <c r="L661">
        <v>0</v>
      </c>
      <c r="M661">
        <v>3</v>
      </c>
      <c r="N661" t="s">
        <v>662</v>
      </c>
      <c r="O661" s="3" t="str">
        <f>TEXT(Ticket_Table[[#This Row],[raised_date]],"YYYY-MM")</f>
        <v>2021-07</v>
      </c>
      <c r="P661" s="3" t="str">
        <f>IF(Ticket_Table[[#This Row],[resolution_hrs]]&lt;=4,"Fast",IF(Ticket_Table[[#This Row],[resolution_hrs]]&lt;=24,"Normal",IF(Ticket_Table[[#This Row],[resolution_hrs]]&lt;=48,"Slow","Very Slow")))</f>
        <v>Fast</v>
      </c>
      <c r="Q661" s="3">
        <f>YEAR(Ticket_Table[[#This Row],[raised_date]])</f>
        <v>2021</v>
      </c>
    </row>
    <row r="662" spans="1:17">
      <c r="A662" t="s">
        <v>1193</v>
      </c>
      <c r="B662" t="s">
        <v>329</v>
      </c>
      <c r="C662" t="s">
        <v>95</v>
      </c>
      <c r="D662" t="s">
        <v>20</v>
      </c>
      <c r="E662" t="s">
        <v>21</v>
      </c>
      <c r="F662" t="s">
        <v>70</v>
      </c>
      <c r="G662" t="s">
        <v>23</v>
      </c>
      <c r="H662" s="1">
        <v>44651</v>
      </c>
      <c r="I662" s="2">
        <v>44651.9666666667</v>
      </c>
      <c r="J662">
        <v>23.2</v>
      </c>
      <c r="K662" t="s">
        <v>24</v>
      </c>
      <c r="L662">
        <v>0</v>
      </c>
      <c r="M662">
        <v>4</v>
      </c>
      <c r="N662" t="s">
        <v>744</v>
      </c>
      <c r="O662" s="3" t="str">
        <f>TEXT(Ticket_Table[[#This Row],[raised_date]],"YYYY-MM")</f>
        <v>2022-03</v>
      </c>
      <c r="P662" s="3" t="str">
        <f>IF(Ticket_Table[[#This Row],[resolution_hrs]]&lt;=4,"Fast",IF(Ticket_Table[[#This Row],[resolution_hrs]]&lt;=24,"Normal",IF(Ticket_Table[[#This Row],[resolution_hrs]]&lt;=48,"Slow","Very Slow")))</f>
        <v>Normal</v>
      </c>
      <c r="Q662" s="3">
        <f>YEAR(Ticket_Table[[#This Row],[raised_date]])</f>
        <v>2022</v>
      </c>
    </row>
    <row r="663" spans="1:17">
      <c r="A663" t="s">
        <v>1194</v>
      </c>
      <c r="B663" t="s">
        <v>1022</v>
      </c>
      <c r="C663" t="s">
        <v>213</v>
      </c>
      <c r="D663" t="s">
        <v>36</v>
      </c>
      <c r="E663" t="s">
        <v>56</v>
      </c>
      <c r="F663" t="s">
        <v>70</v>
      </c>
      <c r="G663" t="s">
        <v>46</v>
      </c>
      <c r="H663" s="1">
        <v>45120</v>
      </c>
      <c r="I663" s="2">
        <v>45122.9291666667</v>
      </c>
      <c r="J663">
        <v>70.3</v>
      </c>
      <c r="K663" t="s">
        <v>32</v>
      </c>
      <c r="L663">
        <v>0</v>
      </c>
      <c r="M663">
        <v>4</v>
      </c>
      <c r="N663" t="s">
        <v>1195</v>
      </c>
      <c r="O663" s="3" t="str">
        <f>TEXT(Ticket_Table[[#This Row],[raised_date]],"YYYY-MM")</f>
        <v>2023-07</v>
      </c>
      <c r="P663" s="3" t="str">
        <f>IF(Ticket_Table[[#This Row],[resolution_hrs]]&lt;=4,"Fast",IF(Ticket_Table[[#This Row],[resolution_hrs]]&lt;=24,"Normal",IF(Ticket_Table[[#This Row],[resolution_hrs]]&lt;=48,"Slow","Very Slow")))</f>
        <v>Very Slow</v>
      </c>
      <c r="Q663" s="3">
        <f>YEAR(Ticket_Table[[#This Row],[raised_date]])</f>
        <v>2023</v>
      </c>
    </row>
    <row r="664" spans="1:17">
      <c r="A664" t="s">
        <v>1196</v>
      </c>
      <c r="B664" t="s">
        <v>1058</v>
      </c>
      <c r="C664" t="s">
        <v>117</v>
      </c>
      <c r="D664" t="s">
        <v>20</v>
      </c>
      <c r="E664" t="s">
        <v>51</v>
      </c>
      <c r="F664" t="s">
        <v>22</v>
      </c>
      <c r="G664" t="s">
        <v>74</v>
      </c>
      <c r="H664" s="1">
        <v>44912</v>
      </c>
      <c r="I664" s="2">
        <v>44914.0208333333</v>
      </c>
      <c r="J664">
        <v>48.5</v>
      </c>
      <c r="K664" t="s">
        <v>24</v>
      </c>
      <c r="L664">
        <v>1</v>
      </c>
      <c r="M664">
        <v>1</v>
      </c>
      <c r="N664" t="s">
        <v>917</v>
      </c>
      <c r="O664" s="3" t="str">
        <f>TEXT(Ticket_Table[[#This Row],[raised_date]],"YYYY-MM")</f>
        <v>2022-12</v>
      </c>
      <c r="P664" s="3" t="str">
        <f>IF(Ticket_Table[[#This Row],[resolution_hrs]]&lt;=4,"Fast",IF(Ticket_Table[[#This Row],[resolution_hrs]]&lt;=24,"Normal",IF(Ticket_Table[[#This Row],[resolution_hrs]]&lt;=48,"Slow","Very Slow")))</f>
        <v>Very Slow</v>
      </c>
      <c r="Q664" s="3">
        <f>YEAR(Ticket_Table[[#This Row],[raised_date]])</f>
        <v>2022</v>
      </c>
    </row>
    <row r="665" spans="1:17">
      <c r="A665" t="s">
        <v>1197</v>
      </c>
      <c r="B665" t="s">
        <v>499</v>
      </c>
      <c r="C665" t="s">
        <v>78</v>
      </c>
      <c r="D665" t="s">
        <v>20</v>
      </c>
      <c r="E665" t="s">
        <v>21</v>
      </c>
      <c r="F665" t="s">
        <v>70</v>
      </c>
      <c r="G665" t="s">
        <v>31</v>
      </c>
      <c r="H665" s="1">
        <v>44251</v>
      </c>
      <c r="I665" s="2">
        <v>44252.6791666667</v>
      </c>
      <c r="J665">
        <v>40.3</v>
      </c>
      <c r="K665" t="s">
        <v>24</v>
      </c>
      <c r="L665">
        <v>0</v>
      </c>
      <c r="M665">
        <v>5</v>
      </c>
      <c r="N665" t="s">
        <v>178</v>
      </c>
      <c r="O665" s="3" t="str">
        <f>TEXT(Ticket_Table[[#This Row],[raised_date]],"YYYY-MM")</f>
        <v>2021-02</v>
      </c>
      <c r="P665" s="3" t="str">
        <f>IF(Ticket_Table[[#This Row],[resolution_hrs]]&lt;=4,"Fast",IF(Ticket_Table[[#This Row],[resolution_hrs]]&lt;=24,"Normal",IF(Ticket_Table[[#This Row],[resolution_hrs]]&lt;=48,"Slow","Very Slow")))</f>
        <v>Slow</v>
      </c>
      <c r="Q665" s="3">
        <f>YEAR(Ticket_Table[[#This Row],[raised_date]])</f>
        <v>2021</v>
      </c>
    </row>
    <row r="666" spans="1:17">
      <c r="A666" t="s">
        <v>1198</v>
      </c>
      <c r="B666" t="s">
        <v>462</v>
      </c>
      <c r="C666" t="s">
        <v>42</v>
      </c>
      <c r="D666" t="s">
        <v>36</v>
      </c>
      <c r="E666" t="s">
        <v>83</v>
      </c>
      <c r="F666" t="s">
        <v>22</v>
      </c>
      <c r="G666" t="s">
        <v>74</v>
      </c>
      <c r="H666" s="1">
        <v>45046</v>
      </c>
      <c r="I666" s="2">
        <v>45047.3375</v>
      </c>
      <c r="J666">
        <v>32.1</v>
      </c>
      <c r="K666" t="s">
        <v>24</v>
      </c>
      <c r="L666">
        <v>0</v>
      </c>
      <c r="M666">
        <v>4</v>
      </c>
      <c r="N666" t="s">
        <v>158</v>
      </c>
      <c r="O666" s="3" t="str">
        <f>TEXT(Ticket_Table[[#This Row],[raised_date]],"YYYY-MM")</f>
        <v>2023-04</v>
      </c>
      <c r="P666" s="3" t="str">
        <f>IF(Ticket_Table[[#This Row],[resolution_hrs]]&lt;=4,"Fast",IF(Ticket_Table[[#This Row],[resolution_hrs]]&lt;=24,"Normal",IF(Ticket_Table[[#This Row],[resolution_hrs]]&lt;=48,"Slow","Very Slow")))</f>
        <v>Slow</v>
      </c>
      <c r="Q666" s="3">
        <f>YEAR(Ticket_Table[[#This Row],[raised_date]])</f>
        <v>2023</v>
      </c>
    </row>
    <row r="667" spans="1:17">
      <c r="A667" t="s">
        <v>1199</v>
      </c>
      <c r="B667" t="s">
        <v>878</v>
      </c>
      <c r="C667" t="s">
        <v>175</v>
      </c>
      <c r="D667" t="s">
        <v>36</v>
      </c>
      <c r="E667" t="s">
        <v>21</v>
      </c>
      <c r="F667" t="s">
        <v>22</v>
      </c>
      <c r="G667" t="s">
        <v>74</v>
      </c>
      <c r="H667" s="1">
        <v>44306</v>
      </c>
      <c r="I667" s="2">
        <v>44309.8541666667</v>
      </c>
      <c r="J667">
        <v>92.5</v>
      </c>
      <c r="K667" t="s">
        <v>32</v>
      </c>
      <c r="L667">
        <v>3</v>
      </c>
      <c r="M667">
        <v>3</v>
      </c>
      <c r="N667" t="s">
        <v>1200</v>
      </c>
      <c r="O667" s="3" t="str">
        <f>TEXT(Ticket_Table[[#This Row],[raised_date]],"YYYY-MM")</f>
        <v>2021-04</v>
      </c>
      <c r="P667" s="3" t="str">
        <f>IF(Ticket_Table[[#This Row],[resolution_hrs]]&lt;=4,"Fast",IF(Ticket_Table[[#This Row],[resolution_hrs]]&lt;=24,"Normal",IF(Ticket_Table[[#This Row],[resolution_hrs]]&lt;=48,"Slow","Very Slow")))</f>
        <v>Very Slow</v>
      </c>
      <c r="Q667" s="3">
        <f>YEAR(Ticket_Table[[#This Row],[raised_date]])</f>
        <v>2021</v>
      </c>
    </row>
    <row r="668" spans="1:17">
      <c r="A668" t="s">
        <v>1201</v>
      </c>
      <c r="B668" t="s">
        <v>194</v>
      </c>
      <c r="C668" t="s">
        <v>55</v>
      </c>
      <c r="D668" t="s">
        <v>20</v>
      </c>
      <c r="E668" t="s">
        <v>30</v>
      </c>
      <c r="F668" t="s">
        <v>70</v>
      </c>
      <c r="G668" t="s">
        <v>31</v>
      </c>
      <c r="H668" s="1">
        <v>45008</v>
      </c>
      <c r="I668" s="2">
        <v>45008.6</v>
      </c>
      <c r="J668">
        <v>14.4</v>
      </c>
      <c r="K668" t="s">
        <v>24</v>
      </c>
      <c r="L668">
        <v>2</v>
      </c>
      <c r="M668">
        <v>2</v>
      </c>
      <c r="N668" t="s">
        <v>1202</v>
      </c>
      <c r="O668" s="3" t="str">
        <f>TEXT(Ticket_Table[[#This Row],[raised_date]],"YYYY-MM")</f>
        <v>2023-03</v>
      </c>
      <c r="P668" s="3" t="str">
        <f>IF(Ticket_Table[[#This Row],[resolution_hrs]]&lt;=4,"Fast",IF(Ticket_Table[[#This Row],[resolution_hrs]]&lt;=24,"Normal",IF(Ticket_Table[[#This Row],[resolution_hrs]]&lt;=48,"Slow","Very Slow")))</f>
        <v>Normal</v>
      </c>
      <c r="Q668" s="3">
        <f>YEAR(Ticket_Table[[#This Row],[raised_date]])</f>
        <v>2023</v>
      </c>
    </row>
    <row r="669" spans="1:17">
      <c r="A669" t="s">
        <v>1203</v>
      </c>
      <c r="B669" t="s">
        <v>365</v>
      </c>
      <c r="C669" t="s">
        <v>55</v>
      </c>
      <c r="D669" t="s">
        <v>90</v>
      </c>
      <c r="E669" t="s">
        <v>37</v>
      </c>
      <c r="F669" t="s">
        <v>38</v>
      </c>
      <c r="G669" t="s">
        <v>23</v>
      </c>
      <c r="H669" s="1">
        <v>45225</v>
      </c>
      <c r="I669" s="2">
        <v>45225.1416666667</v>
      </c>
      <c r="J669">
        <v>3.4</v>
      </c>
      <c r="K669" t="s">
        <v>24</v>
      </c>
      <c r="L669">
        <v>2</v>
      </c>
      <c r="M669">
        <v>2</v>
      </c>
      <c r="N669" t="s">
        <v>680</v>
      </c>
      <c r="O669" s="3" t="str">
        <f>TEXT(Ticket_Table[[#This Row],[raised_date]],"YYYY-MM")</f>
        <v>2023-10</v>
      </c>
      <c r="P669" s="3" t="str">
        <f>IF(Ticket_Table[[#This Row],[resolution_hrs]]&lt;=4,"Fast",IF(Ticket_Table[[#This Row],[resolution_hrs]]&lt;=24,"Normal",IF(Ticket_Table[[#This Row],[resolution_hrs]]&lt;=48,"Slow","Very Slow")))</f>
        <v>Fast</v>
      </c>
      <c r="Q669" s="3">
        <f>YEAR(Ticket_Table[[#This Row],[raised_date]])</f>
        <v>2023</v>
      </c>
    </row>
    <row r="670" spans="1:17">
      <c r="A670" t="s">
        <v>1204</v>
      </c>
      <c r="B670" t="s">
        <v>18</v>
      </c>
      <c r="C670" t="s">
        <v>140</v>
      </c>
      <c r="D670" t="s">
        <v>36</v>
      </c>
      <c r="E670" t="s">
        <v>56</v>
      </c>
      <c r="F670" t="s">
        <v>38</v>
      </c>
      <c r="G670" t="s">
        <v>31</v>
      </c>
      <c r="H670" s="1">
        <v>44962</v>
      </c>
      <c r="I670" s="2">
        <v>44963.2666666667</v>
      </c>
      <c r="J670">
        <v>30.4</v>
      </c>
      <c r="K670" t="s">
        <v>32</v>
      </c>
      <c r="L670">
        <v>1</v>
      </c>
      <c r="M670">
        <v>3</v>
      </c>
      <c r="N670" t="s">
        <v>532</v>
      </c>
      <c r="O670" s="3" t="str">
        <f>TEXT(Ticket_Table[[#This Row],[raised_date]],"YYYY-MM")</f>
        <v>2023-02</v>
      </c>
      <c r="P670" s="3" t="str">
        <f>IF(Ticket_Table[[#This Row],[resolution_hrs]]&lt;=4,"Fast",IF(Ticket_Table[[#This Row],[resolution_hrs]]&lt;=24,"Normal",IF(Ticket_Table[[#This Row],[resolution_hrs]]&lt;=48,"Slow","Very Slow")))</f>
        <v>Slow</v>
      </c>
      <c r="Q670" s="3">
        <f>YEAR(Ticket_Table[[#This Row],[raised_date]])</f>
        <v>2023</v>
      </c>
    </row>
    <row r="671" spans="1:17">
      <c r="A671" t="s">
        <v>1205</v>
      </c>
      <c r="B671" t="s">
        <v>529</v>
      </c>
      <c r="C671" t="s">
        <v>261</v>
      </c>
      <c r="D671" t="s">
        <v>29</v>
      </c>
      <c r="E671" t="s">
        <v>51</v>
      </c>
      <c r="F671" t="s">
        <v>70</v>
      </c>
      <c r="G671" t="s">
        <v>46</v>
      </c>
      <c r="H671" s="1">
        <v>44679</v>
      </c>
      <c r="I671" s="2">
        <v>44680.45</v>
      </c>
      <c r="J671">
        <v>34.8</v>
      </c>
      <c r="K671" t="s">
        <v>24</v>
      </c>
      <c r="L671">
        <v>0</v>
      </c>
      <c r="M671">
        <v>4</v>
      </c>
      <c r="N671" t="s">
        <v>584</v>
      </c>
      <c r="O671" s="3" t="str">
        <f>TEXT(Ticket_Table[[#This Row],[raised_date]],"YYYY-MM")</f>
        <v>2022-04</v>
      </c>
      <c r="P671" s="3" t="str">
        <f>IF(Ticket_Table[[#This Row],[resolution_hrs]]&lt;=4,"Fast",IF(Ticket_Table[[#This Row],[resolution_hrs]]&lt;=24,"Normal",IF(Ticket_Table[[#This Row],[resolution_hrs]]&lt;=48,"Slow","Very Slow")))</f>
        <v>Slow</v>
      </c>
      <c r="Q671" s="3">
        <f>YEAR(Ticket_Table[[#This Row],[raised_date]])</f>
        <v>2022</v>
      </c>
    </row>
    <row r="672" spans="1:17">
      <c r="A672" t="s">
        <v>1206</v>
      </c>
      <c r="B672" t="s">
        <v>542</v>
      </c>
      <c r="C672" t="s">
        <v>140</v>
      </c>
      <c r="D672" t="s">
        <v>43</v>
      </c>
      <c r="E672" t="s">
        <v>21</v>
      </c>
      <c r="F672" t="s">
        <v>38</v>
      </c>
      <c r="G672" t="s">
        <v>46</v>
      </c>
      <c r="H672" s="1">
        <v>44987</v>
      </c>
      <c r="I672" s="2">
        <v>44988.0333333333</v>
      </c>
      <c r="J672">
        <v>24.8</v>
      </c>
      <c r="K672" t="s">
        <v>32</v>
      </c>
      <c r="L672">
        <v>0</v>
      </c>
      <c r="M672">
        <v>5</v>
      </c>
      <c r="N672" t="s">
        <v>919</v>
      </c>
      <c r="O672" s="3" t="str">
        <f>TEXT(Ticket_Table[[#This Row],[raised_date]],"YYYY-MM")</f>
        <v>2023-03</v>
      </c>
      <c r="P672" s="3" t="str">
        <f>IF(Ticket_Table[[#This Row],[resolution_hrs]]&lt;=4,"Fast",IF(Ticket_Table[[#This Row],[resolution_hrs]]&lt;=24,"Normal",IF(Ticket_Table[[#This Row],[resolution_hrs]]&lt;=48,"Slow","Very Slow")))</f>
        <v>Slow</v>
      </c>
      <c r="Q672" s="3">
        <f>YEAR(Ticket_Table[[#This Row],[raised_date]])</f>
        <v>2023</v>
      </c>
    </row>
    <row r="673" spans="1:17">
      <c r="A673" t="s">
        <v>1207</v>
      </c>
      <c r="B673" t="s">
        <v>578</v>
      </c>
      <c r="C673" t="s">
        <v>140</v>
      </c>
      <c r="D673" t="s">
        <v>90</v>
      </c>
      <c r="E673" t="s">
        <v>56</v>
      </c>
      <c r="F673" t="s">
        <v>38</v>
      </c>
      <c r="G673" t="s">
        <v>23</v>
      </c>
      <c r="H673" s="1">
        <v>44364</v>
      </c>
      <c r="I673" s="2">
        <v>44364.3041666667</v>
      </c>
      <c r="J673">
        <v>7.3</v>
      </c>
      <c r="K673" t="s">
        <v>24</v>
      </c>
      <c r="L673">
        <v>0</v>
      </c>
      <c r="M673">
        <v>5</v>
      </c>
      <c r="N673" t="s">
        <v>1067</v>
      </c>
      <c r="O673" s="3" t="str">
        <f>TEXT(Ticket_Table[[#This Row],[raised_date]],"YYYY-MM")</f>
        <v>2021-06</v>
      </c>
      <c r="P673" s="3" t="str">
        <f>IF(Ticket_Table[[#This Row],[resolution_hrs]]&lt;=4,"Fast",IF(Ticket_Table[[#This Row],[resolution_hrs]]&lt;=24,"Normal",IF(Ticket_Table[[#This Row],[resolution_hrs]]&lt;=48,"Slow","Very Slow")))</f>
        <v>Normal</v>
      </c>
      <c r="Q673" s="3">
        <f>YEAR(Ticket_Table[[#This Row],[raised_date]])</f>
        <v>2021</v>
      </c>
    </row>
    <row r="674" spans="1:17">
      <c r="A674" t="s">
        <v>1208</v>
      </c>
      <c r="B674" t="s">
        <v>857</v>
      </c>
      <c r="C674" t="s">
        <v>64</v>
      </c>
      <c r="D674" t="s">
        <v>36</v>
      </c>
      <c r="E674" t="s">
        <v>51</v>
      </c>
      <c r="F674" t="s">
        <v>38</v>
      </c>
      <c r="G674" t="s">
        <v>91</v>
      </c>
      <c r="H674" s="1">
        <v>44964</v>
      </c>
      <c r="I674" s="2">
        <v>44965.5</v>
      </c>
      <c r="J674">
        <v>36</v>
      </c>
      <c r="K674" t="s">
        <v>32</v>
      </c>
      <c r="L674">
        <v>3</v>
      </c>
      <c r="M674">
        <v>5</v>
      </c>
      <c r="N674" t="s">
        <v>478</v>
      </c>
      <c r="O674" s="3" t="str">
        <f>TEXT(Ticket_Table[[#This Row],[raised_date]],"YYYY-MM")</f>
        <v>2023-02</v>
      </c>
      <c r="P674" s="3" t="str">
        <f>IF(Ticket_Table[[#This Row],[resolution_hrs]]&lt;=4,"Fast",IF(Ticket_Table[[#This Row],[resolution_hrs]]&lt;=24,"Normal",IF(Ticket_Table[[#This Row],[resolution_hrs]]&lt;=48,"Slow","Very Slow")))</f>
        <v>Slow</v>
      </c>
      <c r="Q674" s="3">
        <f>YEAR(Ticket_Table[[#This Row],[raised_date]])</f>
        <v>2023</v>
      </c>
    </row>
    <row r="675" spans="1:17">
      <c r="A675" t="s">
        <v>1209</v>
      </c>
      <c r="B675" t="s">
        <v>284</v>
      </c>
      <c r="C675" t="s">
        <v>78</v>
      </c>
      <c r="D675" t="s">
        <v>36</v>
      </c>
      <c r="E675" t="s">
        <v>51</v>
      </c>
      <c r="F675" t="s">
        <v>22</v>
      </c>
      <c r="G675" t="s">
        <v>74</v>
      </c>
      <c r="H675" s="1">
        <v>44656</v>
      </c>
      <c r="I675" s="2">
        <v>44658.2333333333</v>
      </c>
      <c r="J675">
        <v>53.6</v>
      </c>
      <c r="K675" t="s">
        <v>24</v>
      </c>
      <c r="L675">
        <v>0</v>
      </c>
      <c r="M675">
        <v>3</v>
      </c>
      <c r="N675" t="s">
        <v>805</v>
      </c>
      <c r="O675" s="3" t="str">
        <f>TEXT(Ticket_Table[[#This Row],[raised_date]],"YYYY-MM")</f>
        <v>2022-04</v>
      </c>
      <c r="P675" s="3" t="str">
        <f>IF(Ticket_Table[[#This Row],[resolution_hrs]]&lt;=4,"Fast",IF(Ticket_Table[[#This Row],[resolution_hrs]]&lt;=24,"Normal",IF(Ticket_Table[[#This Row],[resolution_hrs]]&lt;=48,"Slow","Very Slow")))</f>
        <v>Very Slow</v>
      </c>
      <c r="Q675" s="3">
        <f>YEAR(Ticket_Table[[#This Row],[raised_date]])</f>
        <v>2022</v>
      </c>
    </row>
    <row r="676" spans="1:17">
      <c r="A676" t="s">
        <v>1210</v>
      </c>
      <c r="B676" t="s">
        <v>343</v>
      </c>
      <c r="C676" t="s">
        <v>95</v>
      </c>
      <c r="D676" t="s">
        <v>90</v>
      </c>
      <c r="E676" t="s">
        <v>30</v>
      </c>
      <c r="F676" t="s">
        <v>38</v>
      </c>
      <c r="G676" t="s">
        <v>23</v>
      </c>
      <c r="H676" s="1">
        <v>44254</v>
      </c>
      <c r="I676" s="2">
        <v>44254.1958333333</v>
      </c>
      <c r="J676">
        <v>4.7</v>
      </c>
      <c r="K676" t="s">
        <v>24</v>
      </c>
      <c r="L676">
        <v>0</v>
      </c>
      <c r="M676">
        <v>3</v>
      </c>
      <c r="N676" t="s">
        <v>157</v>
      </c>
      <c r="O676" s="3" t="str">
        <f>TEXT(Ticket_Table[[#This Row],[raised_date]],"YYYY-MM")</f>
        <v>2021-02</v>
      </c>
      <c r="P676" s="3" t="str">
        <f>IF(Ticket_Table[[#This Row],[resolution_hrs]]&lt;=4,"Fast",IF(Ticket_Table[[#This Row],[resolution_hrs]]&lt;=24,"Normal",IF(Ticket_Table[[#This Row],[resolution_hrs]]&lt;=48,"Slow","Very Slow")))</f>
        <v>Normal</v>
      </c>
      <c r="Q676" s="3">
        <f>YEAR(Ticket_Table[[#This Row],[raised_date]])</f>
        <v>2021</v>
      </c>
    </row>
    <row r="677" spans="1:17">
      <c r="A677" t="s">
        <v>1211</v>
      </c>
      <c r="B677" t="s">
        <v>84</v>
      </c>
      <c r="C677" t="s">
        <v>95</v>
      </c>
      <c r="D677" t="s">
        <v>43</v>
      </c>
      <c r="E677" t="s">
        <v>56</v>
      </c>
      <c r="F677" t="s">
        <v>45</v>
      </c>
      <c r="G677" t="s">
        <v>74</v>
      </c>
      <c r="H677" s="1">
        <v>44849</v>
      </c>
      <c r="I677" s="2">
        <v>44849.1333333333</v>
      </c>
      <c r="J677">
        <v>3.2</v>
      </c>
      <c r="K677" t="s">
        <v>24</v>
      </c>
      <c r="L677">
        <v>0</v>
      </c>
      <c r="M677">
        <v>5</v>
      </c>
      <c r="N677" t="s">
        <v>207</v>
      </c>
      <c r="O677" s="3" t="str">
        <f>TEXT(Ticket_Table[[#This Row],[raised_date]],"YYYY-MM")</f>
        <v>2022-10</v>
      </c>
      <c r="P677" s="3" t="str">
        <f>IF(Ticket_Table[[#This Row],[resolution_hrs]]&lt;=4,"Fast",IF(Ticket_Table[[#This Row],[resolution_hrs]]&lt;=24,"Normal",IF(Ticket_Table[[#This Row],[resolution_hrs]]&lt;=48,"Slow","Very Slow")))</f>
        <v>Fast</v>
      </c>
      <c r="Q677" s="3">
        <f>YEAR(Ticket_Table[[#This Row],[raised_date]])</f>
        <v>2022</v>
      </c>
    </row>
    <row r="678" spans="1:17">
      <c r="A678" t="s">
        <v>1212</v>
      </c>
      <c r="B678" t="s">
        <v>429</v>
      </c>
      <c r="C678" t="s">
        <v>140</v>
      </c>
      <c r="D678" t="s">
        <v>20</v>
      </c>
      <c r="E678" t="s">
        <v>30</v>
      </c>
      <c r="F678" t="s">
        <v>38</v>
      </c>
      <c r="G678" t="s">
        <v>46</v>
      </c>
      <c r="H678" s="1">
        <v>44399</v>
      </c>
      <c r="I678" s="2">
        <v>44400</v>
      </c>
      <c r="J678">
        <v>24</v>
      </c>
      <c r="K678" t="s">
        <v>24</v>
      </c>
      <c r="L678">
        <v>0</v>
      </c>
      <c r="M678">
        <v>4</v>
      </c>
      <c r="N678" t="s">
        <v>956</v>
      </c>
      <c r="O678" s="3" t="str">
        <f>TEXT(Ticket_Table[[#This Row],[raised_date]],"YYYY-MM")</f>
        <v>2021-07</v>
      </c>
      <c r="P678" s="3" t="str">
        <f>IF(Ticket_Table[[#This Row],[resolution_hrs]]&lt;=4,"Fast",IF(Ticket_Table[[#This Row],[resolution_hrs]]&lt;=24,"Normal",IF(Ticket_Table[[#This Row],[resolution_hrs]]&lt;=48,"Slow","Very Slow")))</f>
        <v>Normal</v>
      </c>
      <c r="Q678" s="3">
        <f>YEAR(Ticket_Table[[#This Row],[raised_date]])</f>
        <v>2021</v>
      </c>
    </row>
    <row r="679" spans="1:17">
      <c r="A679" t="s">
        <v>1213</v>
      </c>
      <c r="B679" t="s">
        <v>597</v>
      </c>
      <c r="C679" t="s">
        <v>42</v>
      </c>
      <c r="D679" t="s">
        <v>29</v>
      </c>
      <c r="E679" t="s">
        <v>21</v>
      </c>
      <c r="F679" t="s">
        <v>70</v>
      </c>
      <c r="G679" t="s">
        <v>31</v>
      </c>
      <c r="H679" s="1">
        <v>44883</v>
      </c>
      <c r="I679" s="2">
        <v>44883.2916666667</v>
      </c>
      <c r="J679">
        <v>7</v>
      </c>
      <c r="K679" t="s">
        <v>24</v>
      </c>
      <c r="L679">
        <v>0</v>
      </c>
      <c r="M679">
        <v>3</v>
      </c>
      <c r="N679" t="s">
        <v>317</v>
      </c>
      <c r="O679" s="3" t="str">
        <f>TEXT(Ticket_Table[[#This Row],[raised_date]],"YYYY-MM")</f>
        <v>2022-11</v>
      </c>
      <c r="P679" s="3" t="str">
        <f>IF(Ticket_Table[[#This Row],[resolution_hrs]]&lt;=4,"Fast",IF(Ticket_Table[[#This Row],[resolution_hrs]]&lt;=24,"Normal",IF(Ticket_Table[[#This Row],[resolution_hrs]]&lt;=48,"Slow","Very Slow")))</f>
        <v>Normal</v>
      </c>
      <c r="Q679" s="3">
        <f>YEAR(Ticket_Table[[#This Row],[raised_date]])</f>
        <v>2022</v>
      </c>
    </row>
    <row r="680" spans="1:17">
      <c r="A680" t="s">
        <v>1214</v>
      </c>
      <c r="B680" t="s">
        <v>327</v>
      </c>
      <c r="C680" t="s">
        <v>55</v>
      </c>
      <c r="D680" t="s">
        <v>36</v>
      </c>
      <c r="E680" t="s">
        <v>106</v>
      </c>
      <c r="F680" t="s">
        <v>70</v>
      </c>
      <c r="G680" t="s">
        <v>74</v>
      </c>
      <c r="H680" s="1">
        <v>44496</v>
      </c>
      <c r="I680" s="2">
        <v>44496.4666666667</v>
      </c>
      <c r="J680">
        <v>11.2</v>
      </c>
      <c r="K680" t="s">
        <v>24</v>
      </c>
      <c r="L680">
        <v>0</v>
      </c>
      <c r="M680">
        <v>3</v>
      </c>
      <c r="N680" t="s">
        <v>241</v>
      </c>
      <c r="O680" s="3" t="str">
        <f>TEXT(Ticket_Table[[#This Row],[raised_date]],"YYYY-MM")</f>
        <v>2021-10</v>
      </c>
      <c r="P680" s="3" t="str">
        <f>IF(Ticket_Table[[#This Row],[resolution_hrs]]&lt;=4,"Fast",IF(Ticket_Table[[#This Row],[resolution_hrs]]&lt;=24,"Normal",IF(Ticket_Table[[#This Row],[resolution_hrs]]&lt;=48,"Slow","Very Slow")))</f>
        <v>Normal</v>
      </c>
      <c r="Q680" s="3">
        <f>YEAR(Ticket_Table[[#This Row],[raised_date]])</f>
        <v>2021</v>
      </c>
    </row>
    <row r="681" spans="1:17">
      <c r="A681" t="s">
        <v>1215</v>
      </c>
      <c r="B681" t="s">
        <v>1216</v>
      </c>
      <c r="C681" t="s">
        <v>68</v>
      </c>
      <c r="D681" t="s">
        <v>43</v>
      </c>
      <c r="E681" t="s">
        <v>37</v>
      </c>
      <c r="F681" t="s">
        <v>70</v>
      </c>
      <c r="G681" t="s">
        <v>31</v>
      </c>
      <c r="H681" s="1">
        <v>44478</v>
      </c>
      <c r="I681" s="2">
        <v>44479.225</v>
      </c>
      <c r="J681">
        <v>29.4</v>
      </c>
      <c r="K681" t="s">
        <v>24</v>
      </c>
      <c r="L681">
        <v>0</v>
      </c>
      <c r="M681">
        <v>4</v>
      </c>
      <c r="N681" t="s">
        <v>27</v>
      </c>
      <c r="O681" s="3" t="str">
        <f>TEXT(Ticket_Table[[#This Row],[raised_date]],"YYYY-MM")</f>
        <v>2021-10</v>
      </c>
      <c r="P681" s="3" t="str">
        <f>IF(Ticket_Table[[#This Row],[resolution_hrs]]&lt;=4,"Fast",IF(Ticket_Table[[#This Row],[resolution_hrs]]&lt;=24,"Normal",IF(Ticket_Table[[#This Row],[resolution_hrs]]&lt;=48,"Slow","Very Slow")))</f>
        <v>Slow</v>
      </c>
      <c r="Q681" s="3">
        <f>YEAR(Ticket_Table[[#This Row],[raised_date]])</f>
        <v>2021</v>
      </c>
    </row>
    <row r="682" spans="1:17">
      <c r="A682" t="s">
        <v>1217</v>
      </c>
      <c r="B682" t="s">
        <v>884</v>
      </c>
      <c r="C682" t="s">
        <v>140</v>
      </c>
      <c r="D682" t="s">
        <v>29</v>
      </c>
      <c r="E682" t="s">
        <v>106</v>
      </c>
      <c r="F682" t="s">
        <v>70</v>
      </c>
      <c r="G682" t="s">
        <v>46</v>
      </c>
      <c r="H682" s="1">
        <v>44275</v>
      </c>
      <c r="I682" s="2">
        <v>44276.7875</v>
      </c>
      <c r="J682">
        <v>42.9</v>
      </c>
      <c r="K682" t="s">
        <v>24</v>
      </c>
      <c r="L682">
        <v>0</v>
      </c>
      <c r="M682">
        <v>4</v>
      </c>
      <c r="N682" t="s">
        <v>886</v>
      </c>
      <c r="O682" s="3" t="str">
        <f>TEXT(Ticket_Table[[#This Row],[raised_date]],"YYYY-MM")</f>
        <v>2021-03</v>
      </c>
      <c r="P682" s="3" t="str">
        <f>IF(Ticket_Table[[#This Row],[resolution_hrs]]&lt;=4,"Fast",IF(Ticket_Table[[#This Row],[resolution_hrs]]&lt;=24,"Normal",IF(Ticket_Table[[#This Row],[resolution_hrs]]&lt;=48,"Slow","Very Slow")))</f>
        <v>Slow</v>
      </c>
      <c r="Q682" s="3">
        <f>YEAR(Ticket_Table[[#This Row],[raised_date]])</f>
        <v>2021</v>
      </c>
    </row>
    <row r="683" spans="1:17">
      <c r="A683" t="s">
        <v>1218</v>
      </c>
      <c r="B683" t="s">
        <v>290</v>
      </c>
      <c r="C683" t="s">
        <v>60</v>
      </c>
      <c r="D683" t="s">
        <v>90</v>
      </c>
      <c r="E683" t="s">
        <v>166</v>
      </c>
      <c r="F683" t="s">
        <v>22</v>
      </c>
      <c r="G683" t="s">
        <v>31</v>
      </c>
      <c r="H683" s="1">
        <v>44784</v>
      </c>
      <c r="I683" s="2">
        <v>44784.4958333333</v>
      </c>
      <c r="J683">
        <v>11.9</v>
      </c>
      <c r="K683" t="s">
        <v>24</v>
      </c>
      <c r="L683">
        <v>1</v>
      </c>
      <c r="M683">
        <v>5</v>
      </c>
      <c r="N683" t="s">
        <v>906</v>
      </c>
      <c r="O683" s="3" t="str">
        <f>TEXT(Ticket_Table[[#This Row],[raised_date]],"YYYY-MM")</f>
        <v>2022-08</v>
      </c>
      <c r="P683" s="3" t="str">
        <f>IF(Ticket_Table[[#This Row],[resolution_hrs]]&lt;=4,"Fast",IF(Ticket_Table[[#This Row],[resolution_hrs]]&lt;=24,"Normal",IF(Ticket_Table[[#This Row],[resolution_hrs]]&lt;=48,"Slow","Very Slow")))</f>
        <v>Normal</v>
      </c>
      <c r="Q683" s="3">
        <f>YEAR(Ticket_Table[[#This Row],[raised_date]])</f>
        <v>2022</v>
      </c>
    </row>
    <row r="684" spans="1:17">
      <c r="A684" t="s">
        <v>1219</v>
      </c>
      <c r="B684" t="s">
        <v>372</v>
      </c>
      <c r="C684" t="s">
        <v>261</v>
      </c>
      <c r="D684" t="s">
        <v>36</v>
      </c>
      <c r="E684" t="s">
        <v>44</v>
      </c>
      <c r="F684" t="s">
        <v>70</v>
      </c>
      <c r="G684" t="s">
        <v>23</v>
      </c>
      <c r="H684" s="1">
        <v>45164</v>
      </c>
      <c r="I684" s="2">
        <v>45166.7791666667</v>
      </c>
      <c r="J684">
        <v>66.7</v>
      </c>
      <c r="K684" t="s">
        <v>32</v>
      </c>
      <c r="L684">
        <v>1</v>
      </c>
      <c r="M684">
        <v>3</v>
      </c>
      <c r="N684" t="s">
        <v>245</v>
      </c>
      <c r="O684" s="3" t="str">
        <f>TEXT(Ticket_Table[[#This Row],[raised_date]],"YYYY-MM")</f>
        <v>2023-08</v>
      </c>
      <c r="P684" s="3" t="str">
        <f>IF(Ticket_Table[[#This Row],[resolution_hrs]]&lt;=4,"Fast",IF(Ticket_Table[[#This Row],[resolution_hrs]]&lt;=24,"Normal",IF(Ticket_Table[[#This Row],[resolution_hrs]]&lt;=48,"Slow","Very Slow")))</f>
        <v>Very Slow</v>
      </c>
      <c r="Q684" s="3">
        <f>YEAR(Ticket_Table[[#This Row],[raised_date]])</f>
        <v>2023</v>
      </c>
    </row>
    <row r="685" spans="1:17">
      <c r="A685" t="s">
        <v>1220</v>
      </c>
      <c r="B685" t="s">
        <v>212</v>
      </c>
      <c r="C685" t="s">
        <v>117</v>
      </c>
      <c r="D685" t="s">
        <v>20</v>
      </c>
      <c r="E685" t="s">
        <v>106</v>
      </c>
      <c r="F685" t="s">
        <v>38</v>
      </c>
      <c r="G685" t="s">
        <v>31</v>
      </c>
      <c r="H685" s="1">
        <v>44481</v>
      </c>
      <c r="I685" s="2">
        <v>44482.4666666667</v>
      </c>
      <c r="J685">
        <v>35.2</v>
      </c>
      <c r="K685" t="s">
        <v>32</v>
      </c>
      <c r="L685">
        <v>0</v>
      </c>
      <c r="M685">
        <v>2</v>
      </c>
      <c r="N685" t="s">
        <v>148</v>
      </c>
      <c r="O685" s="3" t="str">
        <f>TEXT(Ticket_Table[[#This Row],[raised_date]],"YYYY-MM")</f>
        <v>2021-10</v>
      </c>
      <c r="P685" s="3" t="str">
        <f>IF(Ticket_Table[[#This Row],[resolution_hrs]]&lt;=4,"Fast",IF(Ticket_Table[[#This Row],[resolution_hrs]]&lt;=24,"Normal",IF(Ticket_Table[[#This Row],[resolution_hrs]]&lt;=48,"Slow","Very Slow")))</f>
        <v>Slow</v>
      </c>
      <c r="Q685" s="3">
        <f>YEAR(Ticket_Table[[#This Row],[raised_date]])</f>
        <v>2021</v>
      </c>
    </row>
    <row r="686" spans="1:17">
      <c r="A686" t="s">
        <v>1221</v>
      </c>
      <c r="B686" t="s">
        <v>54</v>
      </c>
      <c r="C686" t="s">
        <v>78</v>
      </c>
      <c r="D686" t="s">
        <v>90</v>
      </c>
      <c r="E686" t="s">
        <v>83</v>
      </c>
      <c r="F686" t="s">
        <v>38</v>
      </c>
      <c r="G686" t="s">
        <v>46</v>
      </c>
      <c r="H686" s="1">
        <v>45157</v>
      </c>
      <c r="I686" s="2">
        <v>45157.1375</v>
      </c>
      <c r="J686">
        <v>3.3</v>
      </c>
      <c r="K686" t="s">
        <v>24</v>
      </c>
      <c r="L686">
        <v>2</v>
      </c>
      <c r="M686">
        <v>4</v>
      </c>
      <c r="N686" t="s">
        <v>1202</v>
      </c>
      <c r="O686" s="3" t="str">
        <f>TEXT(Ticket_Table[[#This Row],[raised_date]],"YYYY-MM")</f>
        <v>2023-08</v>
      </c>
      <c r="P686" s="3" t="str">
        <f>IF(Ticket_Table[[#This Row],[resolution_hrs]]&lt;=4,"Fast",IF(Ticket_Table[[#This Row],[resolution_hrs]]&lt;=24,"Normal",IF(Ticket_Table[[#This Row],[resolution_hrs]]&lt;=48,"Slow","Very Slow")))</f>
        <v>Fast</v>
      </c>
      <c r="Q686" s="3">
        <f>YEAR(Ticket_Table[[#This Row],[raised_date]])</f>
        <v>2023</v>
      </c>
    </row>
    <row r="687" spans="1:17">
      <c r="A687" t="s">
        <v>1222</v>
      </c>
      <c r="B687" t="s">
        <v>878</v>
      </c>
      <c r="C687" t="s">
        <v>50</v>
      </c>
      <c r="D687" t="s">
        <v>36</v>
      </c>
      <c r="E687" t="s">
        <v>37</v>
      </c>
      <c r="F687" t="s">
        <v>22</v>
      </c>
      <c r="G687" t="s">
        <v>31</v>
      </c>
      <c r="H687" s="1">
        <v>45115</v>
      </c>
      <c r="I687" s="2">
        <v>45119.3875</v>
      </c>
      <c r="J687">
        <v>105.3</v>
      </c>
      <c r="K687" t="s">
        <v>32</v>
      </c>
      <c r="L687">
        <v>1</v>
      </c>
      <c r="M687">
        <v>3</v>
      </c>
      <c r="N687" t="s">
        <v>1223</v>
      </c>
      <c r="O687" s="3" t="str">
        <f>TEXT(Ticket_Table[[#This Row],[raised_date]],"YYYY-MM")</f>
        <v>2023-07</v>
      </c>
      <c r="P687" s="3" t="str">
        <f>IF(Ticket_Table[[#This Row],[resolution_hrs]]&lt;=4,"Fast",IF(Ticket_Table[[#This Row],[resolution_hrs]]&lt;=24,"Normal",IF(Ticket_Table[[#This Row],[resolution_hrs]]&lt;=48,"Slow","Very Slow")))</f>
        <v>Very Slow</v>
      </c>
      <c r="Q687" s="3">
        <f>YEAR(Ticket_Table[[#This Row],[raised_date]])</f>
        <v>2023</v>
      </c>
    </row>
    <row r="688" spans="1:17">
      <c r="A688" t="s">
        <v>1224</v>
      </c>
      <c r="B688" t="s">
        <v>652</v>
      </c>
      <c r="C688" t="s">
        <v>64</v>
      </c>
      <c r="D688" t="s">
        <v>43</v>
      </c>
      <c r="E688" t="s">
        <v>44</v>
      </c>
      <c r="F688" t="s">
        <v>45</v>
      </c>
      <c r="G688" t="s">
        <v>31</v>
      </c>
      <c r="H688" s="1">
        <v>44207</v>
      </c>
      <c r="I688" s="2">
        <v>44207.1125</v>
      </c>
      <c r="J688">
        <v>2.7</v>
      </c>
      <c r="K688" t="s">
        <v>24</v>
      </c>
      <c r="L688">
        <v>0</v>
      </c>
      <c r="M688">
        <v>4</v>
      </c>
      <c r="N688" t="s">
        <v>1143</v>
      </c>
      <c r="O688" s="3" t="str">
        <f>TEXT(Ticket_Table[[#This Row],[raised_date]],"YYYY-MM")</f>
        <v>2021-01</v>
      </c>
      <c r="P688" s="3" t="str">
        <f>IF(Ticket_Table[[#This Row],[resolution_hrs]]&lt;=4,"Fast",IF(Ticket_Table[[#This Row],[resolution_hrs]]&lt;=24,"Normal",IF(Ticket_Table[[#This Row],[resolution_hrs]]&lt;=48,"Slow","Very Slow")))</f>
        <v>Fast</v>
      </c>
      <c r="Q688" s="3">
        <f>YEAR(Ticket_Table[[#This Row],[raised_date]])</f>
        <v>2021</v>
      </c>
    </row>
    <row r="689" spans="1:17">
      <c r="A689" t="s">
        <v>1225</v>
      </c>
      <c r="B689" t="s">
        <v>1226</v>
      </c>
      <c r="C689" t="s">
        <v>28</v>
      </c>
      <c r="D689" t="s">
        <v>29</v>
      </c>
      <c r="E689" t="s">
        <v>21</v>
      </c>
      <c r="F689" t="s">
        <v>70</v>
      </c>
      <c r="G689" t="s">
        <v>23</v>
      </c>
      <c r="H689" s="1">
        <v>44359</v>
      </c>
      <c r="I689" s="2">
        <v>44360.8</v>
      </c>
      <c r="J689">
        <v>43.2</v>
      </c>
      <c r="K689" t="s">
        <v>24</v>
      </c>
      <c r="L689">
        <v>1</v>
      </c>
      <c r="M689">
        <v>4</v>
      </c>
      <c r="N689" t="s">
        <v>810</v>
      </c>
      <c r="O689" s="3" t="str">
        <f>TEXT(Ticket_Table[[#This Row],[raised_date]],"YYYY-MM")</f>
        <v>2021-06</v>
      </c>
      <c r="P689" s="3" t="str">
        <f>IF(Ticket_Table[[#This Row],[resolution_hrs]]&lt;=4,"Fast",IF(Ticket_Table[[#This Row],[resolution_hrs]]&lt;=24,"Normal",IF(Ticket_Table[[#This Row],[resolution_hrs]]&lt;=48,"Slow","Very Slow")))</f>
        <v>Slow</v>
      </c>
      <c r="Q689" s="3">
        <f>YEAR(Ticket_Table[[#This Row],[raised_date]])</f>
        <v>2021</v>
      </c>
    </row>
    <row r="690" spans="1:17">
      <c r="A690" t="s">
        <v>1227</v>
      </c>
      <c r="B690" t="s">
        <v>966</v>
      </c>
      <c r="C690" t="s">
        <v>140</v>
      </c>
      <c r="D690" t="s">
        <v>29</v>
      </c>
      <c r="E690" t="s">
        <v>30</v>
      </c>
      <c r="F690" t="s">
        <v>38</v>
      </c>
      <c r="G690" t="s">
        <v>31</v>
      </c>
      <c r="H690" s="1">
        <v>44235</v>
      </c>
      <c r="I690" s="2">
        <v>44236.4875</v>
      </c>
      <c r="J690">
        <v>35.7</v>
      </c>
      <c r="K690" t="s">
        <v>32</v>
      </c>
      <c r="L690">
        <v>1</v>
      </c>
      <c r="M690">
        <v>3</v>
      </c>
      <c r="N690" t="s">
        <v>981</v>
      </c>
      <c r="O690" s="3" t="str">
        <f>TEXT(Ticket_Table[[#This Row],[raised_date]],"YYYY-MM")</f>
        <v>2021-02</v>
      </c>
      <c r="P690" s="3" t="str">
        <f>IF(Ticket_Table[[#This Row],[resolution_hrs]]&lt;=4,"Fast",IF(Ticket_Table[[#This Row],[resolution_hrs]]&lt;=24,"Normal",IF(Ticket_Table[[#This Row],[resolution_hrs]]&lt;=48,"Slow","Very Slow")))</f>
        <v>Slow</v>
      </c>
      <c r="Q690" s="3">
        <f>YEAR(Ticket_Table[[#This Row],[raised_date]])</f>
        <v>2021</v>
      </c>
    </row>
    <row r="691" spans="1:17">
      <c r="A691" t="s">
        <v>1228</v>
      </c>
      <c r="B691" t="s">
        <v>310</v>
      </c>
      <c r="C691" t="s">
        <v>55</v>
      </c>
      <c r="D691" t="s">
        <v>36</v>
      </c>
      <c r="E691" t="s">
        <v>83</v>
      </c>
      <c r="F691" t="s">
        <v>38</v>
      </c>
      <c r="G691" t="s">
        <v>23</v>
      </c>
      <c r="H691" s="1">
        <v>44721</v>
      </c>
      <c r="I691" s="2">
        <v>44721.2208333333</v>
      </c>
      <c r="J691">
        <v>5.3</v>
      </c>
      <c r="K691" t="s">
        <v>24</v>
      </c>
      <c r="L691">
        <v>0</v>
      </c>
      <c r="M691">
        <v>4</v>
      </c>
      <c r="N691" t="s">
        <v>796</v>
      </c>
      <c r="O691" s="3" t="str">
        <f>TEXT(Ticket_Table[[#This Row],[raised_date]],"YYYY-MM")</f>
        <v>2022-06</v>
      </c>
      <c r="P691" s="3" t="str">
        <f>IF(Ticket_Table[[#This Row],[resolution_hrs]]&lt;=4,"Fast",IF(Ticket_Table[[#This Row],[resolution_hrs]]&lt;=24,"Normal",IF(Ticket_Table[[#This Row],[resolution_hrs]]&lt;=48,"Slow","Very Slow")))</f>
        <v>Normal</v>
      </c>
      <c r="Q691" s="3">
        <f>YEAR(Ticket_Table[[#This Row],[raised_date]])</f>
        <v>2022</v>
      </c>
    </row>
    <row r="692" spans="1:17">
      <c r="A692" t="s">
        <v>1229</v>
      </c>
      <c r="B692" t="s">
        <v>1011</v>
      </c>
      <c r="C692" t="s">
        <v>213</v>
      </c>
      <c r="D692" t="s">
        <v>90</v>
      </c>
      <c r="E692" t="s">
        <v>44</v>
      </c>
      <c r="F692" t="s">
        <v>38</v>
      </c>
      <c r="G692" t="s">
        <v>31</v>
      </c>
      <c r="H692" s="1">
        <v>44638</v>
      </c>
      <c r="I692" s="2">
        <v>44639.2625</v>
      </c>
      <c r="J692">
        <v>30.3</v>
      </c>
      <c r="K692" t="s">
        <v>32</v>
      </c>
      <c r="L692">
        <v>0</v>
      </c>
      <c r="M692">
        <v>3</v>
      </c>
      <c r="N692" t="s">
        <v>428</v>
      </c>
      <c r="O692" s="3" t="str">
        <f>TEXT(Ticket_Table[[#This Row],[raised_date]],"YYYY-MM")</f>
        <v>2022-03</v>
      </c>
      <c r="P692" s="3" t="str">
        <f>IF(Ticket_Table[[#This Row],[resolution_hrs]]&lt;=4,"Fast",IF(Ticket_Table[[#This Row],[resolution_hrs]]&lt;=24,"Normal",IF(Ticket_Table[[#This Row],[resolution_hrs]]&lt;=48,"Slow","Very Slow")))</f>
        <v>Slow</v>
      </c>
      <c r="Q692" s="3">
        <f>YEAR(Ticket_Table[[#This Row],[raised_date]])</f>
        <v>2022</v>
      </c>
    </row>
    <row r="693" spans="1:17">
      <c r="A693" t="s">
        <v>1230</v>
      </c>
      <c r="B693" t="s">
        <v>696</v>
      </c>
      <c r="C693" t="s">
        <v>261</v>
      </c>
      <c r="D693" t="s">
        <v>20</v>
      </c>
      <c r="E693" t="s">
        <v>44</v>
      </c>
      <c r="F693" t="s">
        <v>45</v>
      </c>
      <c r="G693" t="s">
        <v>23</v>
      </c>
      <c r="H693" s="1">
        <v>44503</v>
      </c>
      <c r="I693" s="2">
        <v>44503.1916666667</v>
      </c>
      <c r="J693">
        <v>4.6</v>
      </c>
      <c r="K693" t="s">
        <v>32</v>
      </c>
      <c r="L693">
        <v>0</v>
      </c>
      <c r="M693">
        <v>4</v>
      </c>
      <c r="N693" t="s">
        <v>401</v>
      </c>
      <c r="O693" s="3" t="str">
        <f>TEXT(Ticket_Table[[#This Row],[raised_date]],"YYYY-MM")</f>
        <v>2021-11</v>
      </c>
      <c r="P693" s="3" t="str">
        <f>IF(Ticket_Table[[#This Row],[resolution_hrs]]&lt;=4,"Fast",IF(Ticket_Table[[#This Row],[resolution_hrs]]&lt;=24,"Normal",IF(Ticket_Table[[#This Row],[resolution_hrs]]&lt;=48,"Slow","Very Slow")))</f>
        <v>Normal</v>
      </c>
      <c r="Q693" s="3">
        <f>YEAR(Ticket_Table[[#This Row],[raised_date]])</f>
        <v>2021</v>
      </c>
    </row>
    <row r="694" spans="1:17">
      <c r="A694" t="s">
        <v>1231</v>
      </c>
      <c r="B694" t="s">
        <v>746</v>
      </c>
      <c r="C694" t="s">
        <v>64</v>
      </c>
      <c r="D694" t="s">
        <v>43</v>
      </c>
      <c r="E694" t="s">
        <v>51</v>
      </c>
      <c r="F694" t="s">
        <v>70</v>
      </c>
      <c r="G694" t="s">
        <v>23</v>
      </c>
      <c r="H694" s="1">
        <v>45277</v>
      </c>
      <c r="I694" s="2">
        <v>45277.8666666667</v>
      </c>
      <c r="J694">
        <v>20.8</v>
      </c>
      <c r="K694" t="s">
        <v>24</v>
      </c>
      <c r="L694">
        <v>1</v>
      </c>
      <c r="M694">
        <v>4</v>
      </c>
      <c r="N694" t="s">
        <v>383</v>
      </c>
      <c r="O694" s="3" t="str">
        <f>TEXT(Ticket_Table[[#This Row],[raised_date]],"YYYY-MM")</f>
        <v>2023-12</v>
      </c>
      <c r="P694" s="3" t="str">
        <f>IF(Ticket_Table[[#This Row],[resolution_hrs]]&lt;=4,"Fast",IF(Ticket_Table[[#This Row],[resolution_hrs]]&lt;=24,"Normal",IF(Ticket_Table[[#This Row],[resolution_hrs]]&lt;=48,"Slow","Very Slow")))</f>
        <v>Normal</v>
      </c>
      <c r="Q694" s="3">
        <f>YEAR(Ticket_Table[[#This Row],[raised_date]])</f>
        <v>2023</v>
      </c>
    </row>
    <row r="695" spans="1:17">
      <c r="A695" t="s">
        <v>1232</v>
      </c>
      <c r="B695" t="s">
        <v>426</v>
      </c>
      <c r="C695" t="s">
        <v>64</v>
      </c>
      <c r="D695" t="s">
        <v>36</v>
      </c>
      <c r="E695" t="s">
        <v>166</v>
      </c>
      <c r="F695" t="s">
        <v>38</v>
      </c>
      <c r="G695" t="s">
        <v>31</v>
      </c>
      <c r="H695" s="1">
        <v>45063</v>
      </c>
      <c r="I695" s="2">
        <v>45064.0833333333</v>
      </c>
      <c r="J695">
        <v>26</v>
      </c>
      <c r="K695" t="s">
        <v>32</v>
      </c>
      <c r="L695">
        <v>0</v>
      </c>
      <c r="M695">
        <v>3</v>
      </c>
      <c r="N695" t="s">
        <v>733</v>
      </c>
      <c r="O695" s="3" t="str">
        <f>TEXT(Ticket_Table[[#This Row],[raised_date]],"YYYY-MM")</f>
        <v>2023-05</v>
      </c>
      <c r="P695" s="3" t="str">
        <f>IF(Ticket_Table[[#This Row],[resolution_hrs]]&lt;=4,"Fast",IF(Ticket_Table[[#This Row],[resolution_hrs]]&lt;=24,"Normal",IF(Ticket_Table[[#This Row],[resolution_hrs]]&lt;=48,"Slow","Very Slow")))</f>
        <v>Slow</v>
      </c>
      <c r="Q695" s="3">
        <f>YEAR(Ticket_Table[[#This Row],[raised_date]])</f>
        <v>2023</v>
      </c>
    </row>
    <row r="696" spans="1:17">
      <c r="A696" t="s">
        <v>1233</v>
      </c>
      <c r="B696" t="s">
        <v>189</v>
      </c>
      <c r="C696" t="s">
        <v>287</v>
      </c>
      <c r="D696" t="s">
        <v>43</v>
      </c>
      <c r="E696" t="s">
        <v>30</v>
      </c>
      <c r="F696" t="s">
        <v>22</v>
      </c>
      <c r="G696" t="s">
        <v>46</v>
      </c>
      <c r="H696" s="1">
        <v>44424</v>
      </c>
      <c r="I696" s="2">
        <v>44426.6375</v>
      </c>
      <c r="J696">
        <v>63.3</v>
      </c>
      <c r="K696" t="s">
        <v>24</v>
      </c>
      <c r="L696">
        <v>0</v>
      </c>
      <c r="M696">
        <v>4</v>
      </c>
      <c r="N696" t="s">
        <v>521</v>
      </c>
      <c r="O696" s="3" t="str">
        <f>TEXT(Ticket_Table[[#This Row],[raised_date]],"YYYY-MM")</f>
        <v>2021-08</v>
      </c>
      <c r="P696" s="3" t="str">
        <f>IF(Ticket_Table[[#This Row],[resolution_hrs]]&lt;=4,"Fast",IF(Ticket_Table[[#This Row],[resolution_hrs]]&lt;=24,"Normal",IF(Ticket_Table[[#This Row],[resolution_hrs]]&lt;=48,"Slow","Very Slow")))</f>
        <v>Very Slow</v>
      </c>
      <c r="Q696" s="3">
        <f>YEAR(Ticket_Table[[#This Row],[raised_date]])</f>
        <v>2021</v>
      </c>
    </row>
    <row r="697" spans="1:17">
      <c r="A697" t="s">
        <v>1234</v>
      </c>
      <c r="B697" t="s">
        <v>1025</v>
      </c>
      <c r="C697" t="s">
        <v>50</v>
      </c>
      <c r="D697" t="s">
        <v>29</v>
      </c>
      <c r="E697" t="s">
        <v>21</v>
      </c>
      <c r="F697" t="s">
        <v>38</v>
      </c>
      <c r="G697" t="s">
        <v>23</v>
      </c>
      <c r="H697" s="1">
        <v>44787</v>
      </c>
      <c r="I697" s="2">
        <v>44787.4416666667</v>
      </c>
      <c r="J697">
        <v>10.6</v>
      </c>
      <c r="K697" t="s">
        <v>24</v>
      </c>
      <c r="L697">
        <v>0</v>
      </c>
      <c r="M697">
        <v>3</v>
      </c>
      <c r="N697" t="s">
        <v>398</v>
      </c>
      <c r="O697" s="3" t="str">
        <f>TEXT(Ticket_Table[[#This Row],[raised_date]],"YYYY-MM")</f>
        <v>2022-08</v>
      </c>
      <c r="P697" s="3" t="str">
        <f>IF(Ticket_Table[[#This Row],[resolution_hrs]]&lt;=4,"Fast",IF(Ticket_Table[[#This Row],[resolution_hrs]]&lt;=24,"Normal",IF(Ticket_Table[[#This Row],[resolution_hrs]]&lt;=48,"Slow","Very Slow")))</f>
        <v>Normal</v>
      </c>
      <c r="Q697" s="3">
        <f>YEAR(Ticket_Table[[#This Row],[raised_date]])</f>
        <v>2022</v>
      </c>
    </row>
    <row r="698" spans="1:17">
      <c r="A698" t="s">
        <v>1235</v>
      </c>
      <c r="B698" t="s">
        <v>670</v>
      </c>
      <c r="C698" t="s">
        <v>78</v>
      </c>
      <c r="D698" t="s">
        <v>20</v>
      </c>
      <c r="E698" t="s">
        <v>56</v>
      </c>
      <c r="F698" t="s">
        <v>38</v>
      </c>
      <c r="G698" t="s">
        <v>91</v>
      </c>
      <c r="H698" s="1">
        <v>44683</v>
      </c>
      <c r="I698" s="2">
        <v>44684.1916666667</v>
      </c>
      <c r="J698">
        <v>28.6</v>
      </c>
      <c r="K698" t="s">
        <v>32</v>
      </c>
      <c r="L698">
        <v>0</v>
      </c>
      <c r="M698">
        <v>3</v>
      </c>
      <c r="N698" t="s">
        <v>182</v>
      </c>
      <c r="O698" s="3" t="str">
        <f>TEXT(Ticket_Table[[#This Row],[raised_date]],"YYYY-MM")</f>
        <v>2022-05</v>
      </c>
      <c r="P698" s="3" t="str">
        <f>IF(Ticket_Table[[#This Row],[resolution_hrs]]&lt;=4,"Fast",IF(Ticket_Table[[#This Row],[resolution_hrs]]&lt;=24,"Normal",IF(Ticket_Table[[#This Row],[resolution_hrs]]&lt;=48,"Slow","Very Slow")))</f>
        <v>Slow</v>
      </c>
      <c r="Q698" s="3">
        <f>YEAR(Ticket_Table[[#This Row],[raised_date]])</f>
        <v>2022</v>
      </c>
    </row>
    <row r="699" spans="1:17">
      <c r="A699" t="s">
        <v>1236</v>
      </c>
      <c r="B699" t="s">
        <v>871</v>
      </c>
      <c r="C699" t="s">
        <v>50</v>
      </c>
      <c r="D699" t="s">
        <v>43</v>
      </c>
      <c r="E699" t="s">
        <v>106</v>
      </c>
      <c r="F699" t="s">
        <v>38</v>
      </c>
      <c r="G699" t="s">
        <v>23</v>
      </c>
      <c r="H699" s="1">
        <v>44813</v>
      </c>
      <c r="I699" s="2">
        <v>44813.9791666667</v>
      </c>
      <c r="J699">
        <v>23.5</v>
      </c>
      <c r="K699" t="s">
        <v>24</v>
      </c>
      <c r="L699">
        <v>0</v>
      </c>
      <c r="M699">
        <v>3</v>
      </c>
      <c r="N699" t="s">
        <v>696</v>
      </c>
      <c r="O699" s="3" t="str">
        <f>TEXT(Ticket_Table[[#This Row],[raised_date]],"YYYY-MM")</f>
        <v>2022-09</v>
      </c>
      <c r="P699" s="3" t="str">
        <f>IF(Ticket_Table[[#This Row],[resolution_hrs]]&lt;=4,"Fast",IF(Ticket_Table[[#This Row],[resolution_hrs]]&lt;=24,"Normal",IF(Ticket_Table[[#This Row],[resolution_hrs]]&lt;=48,"Slow","Very Slow")))</f>
        <v>Normal</v>
      </c>
      <c r="Q699" s="3">
        <f>YEAR(Ticket_Table[[#This Row],[raised_date]])</f>
        <v>2022</v>
      </c>
    </row>
    <row r="700" spans="1:17">
      <c r="A700" t="s">
        <v>1237</v>
      </c>
      <c r="B700" t="s">
        <v>1216</v>
      </c>
      <c r="C700" t="s">
        <v>68</v>
      </c>
      <c r="D700" t="s">
        <v>36</v>
      </c>
      <c r="E700" t="s">
        <v>37</v>
      </c>
      <c r="F700" t="s">
        <v>22</v>
      </c>
      <c r="G700" t="s">
        <v>23</v>
      </c>
      <c r="H700" s="1">
        <v>44446</v>
      </c>
      <c r="I700" s="2">
        <v>44447.825</v>
      </c>
      <c r="J700">
        <v>43.8</v>
      </c>
      <c r="K700" t="s">
        <v>24</v>
      </c>
      <c r="L700">
        <v>0</v>
      </c>
      <c r="M700">
        <v>3</v>
      </c>
      <c r="N700" t="s">
        <v>1238</v>
      </c>
      <c r="O700" s="3" t="str">
        <f>TEXT(Ticket_Table[[#This Row],[raised_date]],"YYYY-MM")</f>
        <v>2021-09</v>
      </c>
      <c r="P700" s="3" t="str">
        <f>IF(Ticket_Table[[#This Row],[resolution_hrs]]&lt;=4,"Fast",IF(Ticket_Table[[#This Row],[resolution_hrs]]&lt;=24,"Normal",IF(Ticket_Table[[#This Row],[resolution_hrs]]&lt;=48,"Slow","Very Slow")))</f>
        <v>Slow</v>
      </c>
      <c r="Q700" s="3">
        <f>YEAR(Ticket_Table[[#This Row],[raised_date]])</f>
        <v>2021</v>
      </c>
    </row>
    <row r="701" spans="1:17">
      <c r="A701" t="s">
        <v>1239</v>
      </c>
      <c r="B701" t="s">
        <v>1238</v>
      </c>
      <c r="C701" t="s">
        <v>201</v>
      </c>
      <c r="D701" t="s">
        <v>20</v>
      </c>
      <c r="E701" t="s">
        <v>166</v>
      </c>
      <c r="F701" t="s">
        <v>38</v>
      </c>
      <c r="G701" t="s">
        <v>23</v>
      </c>
      <c r="H701" s="1">
        <v>44294</v>
      </c>
      <c r="I701" s="2">
        <v>44294.7375</v>
      </c>
      <c r="J701">
        <v>17.7</v>
      </c>
      <c r="K701" t="s">
        <v>24</v>
      </c>
      <c r="L701">
        <v>1</v>
      </c>
      <c r="M701">
        <v>4</v>
      </c>
      <c r="N701" t="s">
        <v>959</v>
      </c>
      <c r="O701" s="3" t="str">
        <f>TEXT(Ticket_Table[[#This Row],[raised_date]],"YYYY-MM")</f>
        <v>2021-04</v>
      </c>
      <c r="P701" s="3" t="str">
        <f>IF(Ticket_Table[[#This Row],[resolution_hrs]]&lt;=4,"Fast",IF(Ticket_Table[[#This Row],[resolution_hrs]]&lt;=24,"Normal",IF(Ticket_Table[[#This Row],[resolution_hrs]]&lt;=48,"Slow","Very Slow")))</f>
        <v>Normal</v>
      </c>
      <c r="Q701" s="3">
        <f>YEAR(Ticket_Table[[#This Row],[raised_date]])</f>
        <v>2021</v>
      </c>
    </row>
    <row r="702" spans="1:17">
      <c r="A702" t="s">
        <v>1240</v>
      </c>
      <c r="B702" t="s">
        <v>988</v>
      </c>
      <c r="C702" t="s">
        <v>42</v>
      </c>
      <c r="D702" t="s">
        <v>90</v>
      </c>
      <c r="E702" t="s">
        <v>51</v>
      </c>
      <c r="F702" t="s">
        <v>22</v>
      </c>
      <c r="G702" t="s">
        <v>31</v>
      </c>
      <c r="H702" s="1">
        <v>44685</v>
      </c>
      <c r="I702" s="2">
        <v>44687.7291666667</v>
      </c>
      <c r="J702">
        <v>65.5</v>
      </c>
      <c r="K702" t="s">
        <v>24</v>
      </c>
      <c r="L702">
        <v>1</v>
      </c>
      <c r="M702">
        <v>3</v>
      </c>
      <c r="N702" t="s">
        <v>1241</v>
      </c>
      <c r="O702" s="3" t="str">
        <f>TEXT(Ticket_Table[[#This Row],[raised_date]],"YYYY-MM")</f>
        <v>2022-05</v>
      </c>
      <c r="P702" s="3" t="str">
        <f>IF(Ticket_Table[[#This Row],[resolution_hrs]]&lt;=4,"Fast",IF(Ticket_Table[[#This Row],[resolution_hrs]]&lt;=24,"Normal",IF(Ticket_Table[[#This Row],[resolution_hrs]]&lt;=48,"Slow","Very Slow")))</f>
        <v>Very Slow</v>
      </c>
      <c r="Q702" s="3">
        <f>YEAR(Ticket_Table[[#This Row],[raised_date]])</f>
        <v>2022</v>
      </c>
    </row>
    <row r="703" spans="1:17">
      <c r="A703" t="s">
        <v>1242</v>
      </c>
      <c r="B703" t="s">
        <v>194</v>
      </c>
      <c r="C703" t="s">
        <v>28</v>
      </c>
      <c r="D703" t="s">
        <v>36</v>
      </c>
      <c r="E703" t="s">
        <v>51</v>
      </c>
      <c r="F703" t="s">
        <v>22</v>
      </c>
      <c r="G703" t="s">
        <v>91</v>
      </c>
      <c r="H703" s="1">
        <v>45056</v>
      </c>
      <c r="I703" s="2">
        <v>45057.8458333333</v>
      </c>
      <c r="J703">
        <v>44.3</v>
      </c>
      <c r="K703" t="s">
        <v>24</v>
      </c>
      <c r="L703">
        <v>0</v>
      </c>
      <c r="M703">
        <v>4</v>
      </c>
      <c r="N703" t="s">
        <v>1243</v>
      </c>
      <c r="O703" s="3" t="str">
        <f>TEXT(Ticket_Table[[#This Row],[raised_date]],"YYYY-MM")</f>
        <v>2023-05</v>
      </c>
      <c r="P703" s="3" t="str">
        <f>IF(Ticket_Table[[#This Row],[resolution_hrs]]&lt;=4,"Fast",IF(Ticket_Table[[#This Row],[resolution_hrs]]&lt;=24,"Normal",IF(Ticket_Table[[#This Row],[resolution_hrs]]&lt;=48,"Slow","Very Slow")))</f>
        <v>Slow</v>
      </c>
      <c r="Q703" s="3">
        <f>YEAR(Ticket_Table[[#This Row],[raised_date]])</f>
        <v>2023</v>
      </c>
    </row>
    <row r="704" spans="1:17">
      <c r="A704" t="s">
        <v>1244</v>
      </c>
      <c r="B704" t="s">
        <v>866</v>
      </c>
      <c r="C704" t="s">
        <v>175</v>
      </c>
      <c r="D704" t="s">
        <v>43</v>
      </c>
      <c r="E704" t="s">
        <v>44</v>
      </c>
      <c r="F704" t="s">
        <v>38</v>
      </c>
      <c r="G704" t="s">
        <v>91</v>
      </c>
      <c r="H704" s="1">
        <v>45133</v>
      </c>
      <c r="I704" s="2">
        <v>45133.75</v>
      </c>
      <c r="J704">
        <v>18</v>
      </c>
      <c r="K704" t="s">
        <v>24</v>
      </c>
      <c r="L704">
        <v>0</v>
      </c>
      <c r="M704">
        <v>5</v>
      </c>
      <c r="N704" t="s">
        <v>165</v>
      </c>
      <c r="O704" s="3" t="str">
        <f>TEXT(Ticket_Table[[#This Row],[raised_date]],"YYYY-MM")</f>
        <v>2023-07</v>
      </c>
      <c r="P704" s="3" t="str">
        <f>IF(Ticket_Table[[#This Row],[resolution_hrs]]&lt;=4,"Fast",IF(Ticket_Table[[#This Row],[resolution_hrs]]&lt;=24,"Normal",IF(Ticket_Table[[#This Row],[resolution_hrs]]&lt;=48,"Slow","Very Slow")))</f>
        <v>Normal</v>
      </c>
      <c r="Q704" s="3">
        <f>YEAR(Ticket_Table[[#This Row],[raised_date]])</f>
        <v>2023</v>
      </c>
    </row>
    <row r="705" spans="1:17">
      <c r="A705" t="s">
        <v>1245</v>
      </c>
      <c r="B705" t="s">
        <v>914</v>
      </c>
      <c r="C705" t="s">
        <v>261</v>
      </c>
      <c r="D705" t="s">
        <v>20</v>
      </c>
      <c r="E705" t="s">
        <v>69</v>
      </c>
      <c r="F705" t="s">
        <v>70</v>
      </c>
      <c r="G705" t="s">
        <v>31</v>
      </c>
      <c r="H705" s="1">
        <v>44325</v>
      </c>
      <c r="I705" s="2">
        <v>44325.8666666667</v>
      </c>
      <c r="J705">
        <v>20.8</v>
      </c>
      <c r="K705" t="s">
        <v>24</v>
      </c>
      <c r="L705">
        <v>0</v>
      </c>
      <c r="M705">
        <v>3</v>
      </c>
      <c r="N705" t="s">
        <v>308</v>
      </c>
      <c r="O705" s="3" t="str">
        <f>TEXT(Ticket_Table[[#This Row],[raised_date]],"YYYY-MM")</f>
        <v>2021-05</v>
      </c>
      <c r="P705" s="3" t="str">
        <f>IF(Ticket_Table[[#This Row],[resolution_hrs]]&lt;=4,"Fast",IF(Ticket_Table[[#This Row],[resolution_hrs]]&lt;=24,"Normal",IF(Ticket_Table[[#This Row],[resolution_hrs]]&lt;=48,"Slow","Very Slow")))</f>
        <v>Normal</v>
      </c>
      <c r="Q705" s="3">
        <f>YEAR(Ticket_Table[[#This Row],[raised_date]])</f>
        <v>2021</v>
      </c>
    </row>
    <row r="706" spans="1:17">
      <c r="A706" t="s">
        <v>1246</v>
      </c>
      <c r="B706" t="s">
        <v>221</v>
      </c>
      <c r="C706" t="s">
        <v>82</v>
      </c>
      <c r="D706" t="s">
        <v>36</v>
      </c>
      <c r="E706" t="s">
        <v>106</v>
      </c>
      <c r="F706" t="s">
        <v>38</v>
      </c>
      <c r="G706" t="s">
        <v>23</v>
      </c>
      <c r="H706" s="1">
        <v>44424</v>
      </c>
      <c r="I706" s="2">
        <v>44425.1625</v>
      </c>
      <c r="J706">
        <v>27.9</v>
      </c>
      <c r="K706" t="s">
        <v>32</v>
      </c>
      <c r="L706">
        <v>1</v>
      </c>
      <c r="M706">
        <v>1</v>
      </c>
      <c r="N706" t="s">
        <v>458</v>
      </c>
      <c r="O706" s="3" t="str">
        <f>TEXT(Ticket_Table[[#This Row],[raised_date]],"YYYY-MM")</f>
        <v>2021-08</v>
      </c>
      <c r="P706" s="3" t="str">
        <f>IF(Ticket_Table[[#This Row],[resolution_hrs]]&lt;=4,"Fast",IF(Ticket_Table[[#This Row],[resolution_hrs]]&lt;=24,"Normal",IF(Ticket_Table[[#This Row],[resolution_hrs]]&lt;=48,"Slow","Very Slow")))</f>
        <v>Slow</v>
      </c>
      <c r="Q706" s="3">
        <f>YEAR(Ticket_Table[[#This Row],[raised_date]])</f>
        <v>2021</v>
      </c>
    </row>
    <row r="707" spans="1:17">
      <c r="A707" t="s">
        <v>1247</v>
      </c>
      <c r="B707" t="s">
        <v>52</v>
      </c>
      <c r="C707" t="s">
        <v>19</v>
      </c>
      <c r="D707" t="s">
        <v>20</v>
      </c>
      <c r="E707" t="s">
        <v>166</v>
      </c>
      <c r="F707" t="s">
        <v>70</v>
      </c>
      <c r="G707" t="s">
        <v>46</v>
      </c>
      <c r="H707" s="1">
        <v>45220</v>
      </c>
      <c r="I707" s="2">
        <v>45220.3625</v>
      </c>
      <c r="J707">
        <v>8.7</v>
      </c>
      <c r="K707" t="s">
        <v>24</v>
      </c>
      <c r="L707">
        <v>0</v>
      </c>
      <c r="M707">
        <v>1</v>
      </c>
      <c r="N707" t="s">
        <v>206</v>
      </c>
      <c r="O707" s="3" t="str">
        <f>TEXT(Ticket_Table[[#This Row],[raised_date]],"YYYY-MM")</f>
        <v>2023-10</v>
      </c>
      <c r="P707" s="3" t="str">
        <f>IF(Ticket_Table[[#This Row],[resolution_hrs]]&lt;=4,"Fast",IF(Ticket_Table[[#This Row],[resolution_hrs]]&lt;=24,"Normal",IF(Ticket_Table[[#This Row],[resolution_hrs]]&lt;=48,"Slow","Very Slow")))</f>
        <v>Normal</v>
      </c>
      <c r="Q707" s="3">
        <f>YEAR(Ticket_Table[[#This Row],[raised_date]])</f>
        <v>2023</v>
      </c>
    </row>
    <row r="708" spans="1:17">
      <c r="A708" t="s">
        <v>1248</v>
      </c>
      <c r="B708" t="s">
        <v>259</v>
      </c>
      <c r="C708" t="s">
        <v>19</v>
      </c>
      <c r="D708" t="s">
        <v>20</v>
      </c>
      <c r="E708" t="s">
        <v>44</v>
      </c>
      <c r="F708" t="s">
        <v>22</v>
      </c>
      <c r="G708" t="s">
        <v>46</v>
      </c>
      <c r="H708" s="1">
        <v>44230</v>
      </c>
      <c r="I708" s="2">
        <v>44231.1583333333</v>
      </c>
      <c r="J708">
        <v>27.8</v>
      </c>
      <c r="K708" t="s">
        <v>24</v>
      </c>
      <c r="L708">
        <v>0</v>
      </c>
      <c r="M708">
        <v>2</v>
      </c>
      <c r="N708" t="s">
        <v>307</v>
      </c>
      <c r="O708" s="3" t="str">
        <f>TEXT(Ticket_Table[[#This Row],[raised_date]],"YYYY-MM")</f>
        <v>2021-02</v>
      </c>
      <c r="P708" s="3" t="str">
        <f>IF(Ticket_Table[[#This Row],[resolution_hrs]]&lt;=4,"Fast",IF(Ticket_Table[[#This Row],[resolution_hrs]]&lt;=24,"Normal",IF(Ticket_Table[[#This Row],[resolution_hrs]]&lt;=48,"Slow","Very Slow")))</f>
        <v>Slow</v>
      </c>
      <c r="Q708" s="3">
        <f>YEAR(Ticket_Table[[#This Row],[raised_date]])</f>
        <v>2021</v>
      </c>
    </row>
    <row r="709" spans="1:17">
      <c r="A709" t="s">
        <v>1249</v>
      </c>
      <c r="B709" t="s">
        <v>158</v>
      </c>
      <c r="C709" t="s">
        <v>68</v>
      </c>
      <c r="D709" t="s">
        <v>20</v>
      </c>
      <c r="E709" t="s">
        <v>166</v>
      </c>
      <c r="F709" t="s">
        <v>38</v>
      </c>
      <c r="G709" t="s">
        <v>74</v>
      </c>
      <c r="H709" s="1">
        <v>45252</v>
      </c>
      <c r="I709" s="2">
        <v>45252.7666666667</v>
      </c>
      <c r="J709">
        <v>18.4</v>
      </c>
      <c r="K709" t="s">
        <v>24</v>
      </c>
      <c r="L709">
        <v>2</v>
      </c>
      <c r="M709">
        <v>2</v>
      </c>
      <c r="N709" t="s">
        <v>549</v>
      </c>
      <c r="O709" s="3" t="str">
        <f>TEXT(Ticket_Table[[#This Row],[raised_date]],"YYYY-MM")</f>
        <v>2023-11</v>
      </c>
      <c r="P709" s="3" t="str">
        <f>IF(Ticket_Table[[#This Row],[resolution_hrs]]&lt;=4,"Fast",IF(Ticket_Table[[#This Row],[resolution_hrs]]&lt;=24,"Normal",IF(Ticket_Table[[#This Row],[resolution_hrs]]&lt;=48,"Slow","Very Slow")))</f>
        <v>Normal</v>
      </c>
      <c r="Q709" s="3">
        <f>YEAR(Ticket_Table[[#This Row],[raised_date]])</f>
        <v>2023</v>
      </c>
    </row>
    <row r="710" spans="1:17">
      <c r="A710" t="s">
        <v>1250</v>
      </c>
      <c r="B710" t="s">
        <v>722</v>
      </c>
      <c r="C710" t="s">
        <v>175</v>
      </c>
      <c r="D710" t="s">
        <v>43</v>
      </c>
      <c r="E710" t="s">
        <v>83</v>
      </c>
      <c r="F710" t="s">
        <v>70</v>
      </c>
      <c r="G710" t="s">
        <v>74</v>
      </c>
      <c r="H710" s="1">
        <v>44692</v>
      </c>
      <c r="I710" s="2">
        <v>44693.9</v>
      </c>
      <c r="J710">
        <v>45.6</v>
      </c>
      <c r="K710" t="s">
        <v>24</v>
      </c>
      <c r="L710">
        <v>1</v>
      </c>
      <c r="M710">
        <v>4</v>
      </c>
      <c r="N710" t="s">
        <v>307</v>
      </c>
      <c r="O710" s="3" t="str">
        <f>TEXT(Ticket_Table[[#This Row],[raised_date]],"YYYY-MM")</f>
        <v>2022-05</v>
      </c>
      <c r="P710" s="3" t="str">
        <f>IF(Ticket_Table[[#This Row],[resolution_hrs]]&lt;=4,"Fast",IF(Ticket_Table[[#This Row],[resolution_hrs]]&lt;=24,"Normal",IF(Ticket_Table[[#This Row],[resolution_hrs]]&lt;=48,"Slow","Very Slow")))</f>
        <v>Slow</v>
      </c>
      <c r="Q710" s="3">
        <f>YEAR(Ticket_Table[[#This Row],[raised_date]])</f>
        <v>2022</v>
      </c>
    </row>
    <row r="711" spans="1:17">
      <c r="A711" t="s">
        <v>1251</v>
      </c>
      <c r="B711" t="s">
        <v>262</v>
      </c>
      <c r="C711" t="s">
        <v>82</v>
      </c>
      <c r="D711" t="s">
        <v>36</v>
      </c>
      <c r="E711" t="s">
        <v>30</v>
      </c>
      <c r="F711" t="s">
        <v>22</v>
      </c>
      <c r="G711" t="s">
        <v>31</v>
      </c>
      <c r="H711" s="1">
        <v>44491</v>
      </c>
      <c r="I711" s="2">
        <v>44491.6416666667</v>
      </c>
      <c r="J711">
        <v>15.4</v>
      </c>
      <c r="K711" t="s">
        <v>24</v>
      </c>
      <c r="L711">
        <v>0</v>
      </c>
      <c r="M711">
        <v>3</v>
      </c>
      <c r="N711" t="s">
        <v>1252</v>
      </c>
      <c r="O711" s="3" t="str">
        <f>TEXT(Ticket_Table[[#This Row],[raised_date]],"YYYY-MM")</f>
        <v>2021-10</v>
      </c>
      <c r="P711" s="3" t="str">
        <f>IF(Ticket_Table[[#This Row],[resolution_hrs]]&lt;=4,"Fast",IF(Ticket_Table[[#This Row],[resolution_hrs]]&lt;=24,"Normal",IF(Ticket_Table[[#This Row],[resolution_hrs]]&lt;=48,"Slow","Very Slow")))</f>
        <v>Normal</v>
      </c>
      <c r="Q711" s="3">
        <f>YEAR(Ticket_Table[[#This Row],[raised_date]])</f>
        <v>2021</v>
      </c>
    </row>
    <row r="712" spans="1:17">
      <c r="A712" t="s">
        <v>1253</v>
      </c>
      <c r="B712" t="s">
        <v>646</v>
      </c>
      <c r="C712" t="s">
        <v>78</v>
      </c>
      <c r="D712" t="s">
        <v>29</v>
      </c>
      <c r="E712" t="s">
        <v>37</v>
      </c>
      <c r="F712" t="s">
        <v>38</v>
      </c>
      <c r="G712" t="s">
        <v>31</v>
      </c>
      <c r="H712" s="1">
        <v>44793</v>
      </c>
      <c r="I712" s="2">
        <v>44793.1875</v>
      </c>
      <c r="J712">
        <v>4.5</v>
      </c>
      <c r="K712" t="s">
        <v>24</v>
      </c>
      <c r="L712">
        <v>0</v>
      </c>
      <c r="M712">
        <v>4</v>
      </c>
      <c r="N712" t="s">
        <v>172</v>
      </c>
      <c r="O712" s="3" t="str">
        <f>TEXT(Ticket_Table[[#This Row],[raised_date]],"YYYY-MM")</f>
        <v>2022-08</v>
      </c>
      <c r="P712" s="3" t="str">
        <f>IF(Ticket_Table[[#This Row],[resolution_hrs]]&lt;=4,"Fast",IF(Ticket_Table[[#This Row],[resolution_hrs]]&lt;=24,"Normal",IF(Ticket_Table[[#This Row],[resolution_hrs]]&lt;=48,"Slow","Very Slow")))</f>
        <v>Normal</v>
      </c>
      <c r="Q712" s="3">
        <f>YEAR(Ticket_Table[[#This Row],[raised_date]])</f>
        <v>2022</v>
      </c>
    </row>
    <row r="713" spans="1:17">
      <c r="A713" t="s">
        <v>1254</v>
      </c>
      <c r="B713" t="s">
        <v>787</v>
      </c>
      <c r="C713" t="s">
        <v>50</v>
      </c>
      <c r="D713" t="s">
        <v>29</v>
      </c>
      <c r="E713" t="s">
        <v>106</v>
      </c>
      <c r="F713" t="s">
        <v>70</v>
      </c>
      <c r="G713" t="s">
        <v>23</v>
      </c>
      <c r="H713" s="1">
        <v>45076</v>
      </c>
      <c r="I713" s="2">
        <v>45076.2</v>
      </c>
      <c r="J713">
        <v>4.8</v>
      </c>
      <c r="K713" t="s">
        <v>24</v>
      </c>
      <c r="L713">
        <v>0</v>
      </c>
      <c r="M713">
        <v>1</v>
      </c>
      <c r="N713" t="s">
        <v>220</v>
      </c>
      <c r="O713" s="3" t="str">
        <f>TEXT(Ticket_Table[[#This Row],[raised_date]],"YYYY-MM")</f>
        <v>2023-05</v>
      </c>
      <c r="P713" s="3" t="str">
        <f>IF(Ticket_Table[[#This Row],[resolution_hrs]]&lt;=4,"Fast",IF(Ticket_Table[[#This Row],[resolution_hrs]]&lt;=24,"Normal",IF(Ticket_Table[[#This Row],[resolution_hrs]]&lt;=48,"Slow","Very Slow")))</f>
        <v>Normal</v>
      </c>
      <c r="Q713" s="3">
        <f>YEAR(Ticket_Table[[#This Row],[raised_date]])</f>
        <v>2023</v>
      </c>
    </row>
    <row r="714" spans="1:17">
      <c r="A714" t="s">
        <v>1255</v>
      </c>
      <c r="B714" t="s">
        <v>499</v>
      </c>
      <c r="C714" t="s">
        <v>64</v>
      </c>
      <c r="D714" t="s">
        <v>43</v>
      </c>
      <c r="E714" t="s">
        <v>51</v>
      </c>
      <c r="F714" t="s">
        <v>70</v>
      </c>
      <c r="G714" t="s">
        <v>91</v>
      </c>
      <c r="H714" s="1">
        <v>44200</v>
      </c>
      <c r="I714" s="2">
        <v>44200.2416666667</v>
      </c>
      <c r="J714">
        <v>5.8</v>
      </c>
      <c r="K714" t="s">
        <v>24</v>
      </c>
      <c r="L714">
        <v>1</v>
      </c>
      <c r="M714">
        <v>3</v>
      </c>
      <c r="N714" t="s">
        <v>716</v>
      </c>
      <c r="O714" s="3" t="str">
        <f>TEXT(Ticket_Table[[#This Row],[raised_date]],"YYYY-MM")</f>
        <v>2021-01</v>
      </c>
      <c r="P714" s="3" t="str">
        <f>IF(Ticket_Table[[#This Row],[resolution_hrs]]&lt;=4,"Fast",IF(Ticket_Table[[#This Row],[resolution_hrs]]&lt;=24,"Normal",IF(Ticket_Table[[#This Row],[resolution_hrs]]&lt;=48,"Slow","Very Slow")))</f>
        <v>Normal</v>
      </c>
      <c r="Q714" s="3">
        <f>YEAR(Ticket_Table[[#This Row],[raised_date]])</f>
        <v>2021</v>
      </c>
    </row>
    <row r="715" spans="1:17">
      <c r="A715" t="s">
        <v>1256</v>
      </c>
      <c r="B715" t="s">
        <v>243</v>
      </c>
      <c r="C715" t="s">
        <v>78</v>
      </c>
      <c r="D715" t="s">
        <v>43</v>
      </c>
      <c r="E715" t="s">
        <v>69</v>
      </c>
      <c r="F715" t="s">
        <v>70</v>
      </c>
      <c r="G715" t="s">
        <v>91</v>
      </c>
      <c r="H715" s="1">
        <v>44919</v>
      </c>
      <c r="I715" s="2">
        <v>44921.0458333333</v>
      </c>
      <c r="J715">
        <v>49.1</v>
      </c>
      <c r="K715" t="s">
        <v>32</v>
      </c>
      <c r="L715">
        <v>0</v>
      </c>
      <c r="M715">
        <v>3</v>
      </c>
      <c r="N715" t="s">
        <v>253</v>
      </c>
      <c r="O715" s="3" t="str">
        <f>TEXT(Ticket_Table[[#This Row],[raised_date]],"YYYY-MM")</f>
        <v>2022-12</v>
      </c>
      <c r="P715" s="3" t="str">
        <f>IF(Ticket_Table[[#This Row],[resolution_hrs]]&lt;=4,"Fast",IF(Ticket_Table[[#This Row],[resolution_hrs]]&lt;=24,"Normal",IF(Ticket_Table[[#This Row],[resolution_hrs]]&lt;=48,"Slow","Very Slow")))</f>
        <v>Very Slow</v>
      </c>
      <c r="Q715" s="3">
        <f>YEAR(Ticket_Table[[#This Row],[raised_date]])</f>
        <v>2022</v>
      </c>
    </row>
    <row r="716" spans="1:17">
      <c r="A716" t="s">
        <v>1257</v>
      </c>
      <c r="B716" t="s">
        <v>792</v>
      </c>
      <c r="C716" t="s">
        <v>28</v>
      </c>
      <c r="D716" t="s">
        <v>20</v>
      </c>
      <c r="E716" t="s">
        <v>21</v>
      </c>
      <c r="F716" t="s">
        <v>38</v>
      </c>
      <c r="G716" t="s">
        <v>31</v>
      </c>
      <c r="H716" s="1">
        <v>44689</v>
      </c>
      <c r="I716" s="2">
        <v>44690.4583333333</v>
      </c>
      <c r="J716">
        <v>35</v>
      </c>
      <c r="K716" t="s">
        <v>32</v>
      </c>
      <c r="L716">
        <v>0</v>
      </c>
      <c r="M716">
        <v>3</v>
      </c>
      <c r="N716" t="s">
        <v>481</v>
      </c>
      <c r="O716" s="3" t="str">
        <f>TEXT(Ticket_Table[[#This Row],[raised_date]],"YYYY-MM")</f>
        <v>2022-05</v>
      </c>
      <c r="P716" s="3" t="str">
        <f>IF(Ticket_Table[[#This Row],[resolution_hrs]]&lt;=4,"Fast",IF(Ticket_Table[[#This Row],[resolution_hrs]]&lt;=24,"Normal",IF(Ticket_Table[[#This Row],[resolution_hrs]]&lt;=48,"Slow","Very Slow")))</f>
        <v>Slow</v>
      </c>
      <c r="Q716" s="3">
        <f>YEAR(Ticket_Table[[#This Row],[raised_date]])</f>
        <v>2022</v>
      </c>
    </row>
    <row r="717" spans="1:17">
      <c r="A717" t="s">
        <v>1258</v>
      </c>
      <c r="B717" t="s">
        <v>668</v>
      </c>
      <c r="C717" t="s">
        <v>133</v>
      </c>
      <c r="D717" t="s">
        <v>36</v>
      </c>
      <c r="E717" t="s">
        <v>56</v>
      </c>
      <c r="F717" t="s">
        <v>38</v>
      </c>
      <c r="G717" t="s">
        <v>23</v>
      </c>
      <c r="H717" s="1">
        <v>45050</v>
      </c>
      <c r="I717" s="2">
        <v>45050.6</v>
      </c>
      <c r="J717">
        <v>14.4</v>
      </c>
      <c r="K717" t="s">
        <v>24</v>
      </c>
      <c r="L717">
        <v>0</v>
      </c>
      <c r="M717">
        <v>3</v>
      </c>
      <c r="N717" t="s">
        <v>1050</v>
      </c>
      <c r="O717" s="3" t="str">
        <f>TEXT(Ticket_Table[[#This Row],[raised_date]],"YYYY-MM")</f>
        <v>2023-05</v>
      </c>
      <c r="P717" s="3" t="str">
        <f>IF(Ticket_Table[[#This Row],[resolution_hrs]]&lt;=4,"Fast",IF(Ticket_Table[[#This Row],[resolution_hrs]]&lt;=24,"Normal",IF(Ticket_Table[[#This Row],[resolution_hrs]]&lt;=48,"Slow","Very Slow")))</f>
        <v>Normal</v>
      </c>
      <c r="Q717" s="3">
        <f>YEAR(Ticket_Table[[#This Row],[raised_date]])</f>
        <v>2023</v>
      </c>
    </row>
    <row r="718" spans="1:17">
      <c r="A718" t="s">
        <v>1259</v>
      </c>
      <c r="B718" t="s">
        <v>358</v>
      </c>
      <c r="C718" t="s">
        <v>287</v>
      </c>
      <c r="D718" t="s">
        <v>36</v>
      </c>
      <c r="E718" t="s">
        <v>30</v>
      </c>
      <c r="F718" t="s">
        <v>38</v>
      </c>
      <c r="G718" t="s">
        <v>46</v>
      </c>
      <c r="H718" s="1">
        <v>44580</v>
      </c>
      <c r="I718" s="2">
        <v>44581.0333333333</v>
      </c>
      <c r="J718">
        <v>24.8</v>
      </c>
      <c r="K718" t="s">
        <v>32</v>
      </c>
      <c r="L718">
        <v>0</v>
      </c>
      <c r="M718">
        <v>4</v>
      </c>
      <c r="N718" t="s">
        <v>1041</v>
      </c>
      <c r="O718" s="3" t="str">
        <f>TEXT(Ticket_Table[[#This Row],[raised_date]],"YYYY-MM")</f>
        <v>2022-01</v>
      </c>
      <c r="P718" s="3" t="str">
        <f>IF(Ticket_Table[[#This Row],[resolution_hrs]]&lt;=4,"Fast",IF(Ticket_Table[[#This Row],[resolution_hrs]]&lt;=24,"Normal",IF(Ticket_Table[[#This Row],[resolution_hrs]]&lt;=48,"Slow","Very Slow")))</f>
        <v>Slow</v>
      </c>
      <c r="Q718" s="3">
        <f>YEAR(Ticket_Table[[#This Row],[raised_date]])</f>
        <v>2022</v>
      </c>
    </row>
    <row r="719" spans="1:17">
      <c r="A719" t="s">
        <v>1260</v>
      </c>
      <c r="B719" t="s">
        <v>442</v>
      </c>
      <c r="C719" t="s">
        <v>213</v>
      </c>
      <c r="D719" t="s">
        <v>90</v>
      </c>
      <c r="E719" t="s">
        <v>106</v>
      </c>
      <c r="F719" t="s">
        <v>22</v>
      </c>
      <c r="G719" t="s">
        <v>23</v>
      </c>
      <c r="H719" s="1">
        <v>44372</v>
      </c>
      <c r="I719" s="2">
        <v>44372.7208333333</v>
      </c>
      <c r="J719">
        <v>17.3</v>
      </c>
      <c r="K719" t="s">
        <v>24</v>
      </c>
      <c r="L719">
        <v>0</v>
      </c>
      <c r="M719">
        <v>4</v>
      </c>
      <c r="N719" t="s">
        <v>698</v>
      </c>
      <c r="O719" s="3" t="str">
        <f>TEXT(Ticket_Table[[#This Row],[raised_date]],"YYYY-MM")</f>
        <v>2021-06</v>
      </c>
      <c r="P719" s="3" t="str">
        <f>IF(Ticket_Table[[#This Row],[resolution_hrs]]&lt;=4,"Fast",IF(Ticket_Table[[#This Row],[resolution_hrs]]&lt;=24,"Normal",IF(Ticket_Table[[#This Row],[resolution_hrs]]&lt;=48,"Slow","Very Slow")))</f>
        <v>Normal</v>
      </c>
      <c r="Q719" s="3">
        <f>YEAR(Ticket_Table[[#This Row],[raised_date]])</f>
        <v>2021</v>
      </c>
    </row>
    <row r="720" spans="1:17">
      <c r="A720" t="s">
        <v>1261</v>
      </c>
      <c r="B720" t="s">
        <v>484</v>
      </c>
      <c r="C720" t="s">
        <v>78</v>
      </c>
      <c r="D720" t="s">
        <v>90</v>
      </c>
      <c r="E720" t="s">
        <v>83</v>
      </c>
      <c r="F720" t="s">
        <v>38</v>
      </c>
      <c r="G720" t="s">
        <v>46</v>
      </c>
      <c r="H720" s="1">
        <v>45269</v>
      </c>
      <c r="I720" s="2">
        <v>45269.95</v>
      </c>
      <c r="J720">
        <v>22.8</v>
      </c>
      <c r="K720" t="s">
        <v>24</v>
      </c>
      <c r="L720">
        <v>0</v>
      </c>
      <c r="M720">
        <v>2</v>
      </c>
      <c r="N720" t="s">
        <v>696</v>
      </c>
      <c r="O720" s="3" t="str">
        <f>TEXT(Ticket_Table[[#This Row],[raised_date]],"YYYY-MM")</f>
        <v>2023-12</v>
      </c>
      <c r="P720" s="3" t="str">
        <f>IF(Ticket_Table[[#This Row],[resolution_hrs]]&lt;=4,"Fast",IF(Ticket_Table[[#This Row],[resolution_hrs]]&lt;=24,"Normal",IF(Ticket_Table[[#This Row],[resolution_hrs]]&lt;=48,"Slow","Very Slow")))</f>
        <v>Normal</v>
      </c>
      <c r="Q720" s="3">
        <f>YEAR(Ticket_Table[[#This Row],[raised_date]])</f>
        <v>2023</v>
      </c>
    </row>
    <row r="721" spans="1:17">
      <c r="A721" t="s">
        <v>1262</v>
      </c>
      <c r="B721" t="s">
        <v>191</v>
      </c>
      <c r="C721" t="s">
        <v>50</v>
      </c>
      <c r="D721" t="s">
        <v>29</v>
      </c>
      <c r="E721" t="s">
        <v>106</v>
      </c>
      <c r="F721" t="s">
        <v>38</v>
      </c>
      <c r="G721" t="s">
        <v>23</v>
      </c>
      <c r="H721" s="1">
        <v>44935</v>
      </c>
      <c r="I721" s="2">
        <v>44935.1833333333</v>
      </c>
      <c r="J721">
        <v>4.4</v>
      </c>
      <c r="K721" t="s">
        <v>24</v>
      </c>
      <c r="L721">
        <v>0</v>
      </c>
      <c r="M721">
        <v>4</v>
      </c>
      <c r="N721" t="s">
        <v>290</v>
      </c>
      <c r="O721" s="3" t="str">
        <f>TEXT(Ticket_Table[[#This Row],[raised_date]],"YYYY-MM")</f>
        <v>2023-01</v>
      </c>
      <c r="P721" s="3" t="str">
        <f>IF(Ticket_Table[[#This Row],[resolution_hrs]]&lt;=4,"Fast",IF(Ticket_Table[[#This Row],[resolution_hrs]]&lt;=24,"Normal",IF(Ticket_Table[[#This Row],[resolution_hrs]]&lt;=48,"Slow","Very Slow")))</f>
        <v>Normal</v>
      </c>
      <c r="Q721" s="3">
        <f>YEAR(Ticket_Table[[#This Row],[raised_date]])</f>
        <v>2023</v>
      </c>
    </row>
    <row r="722" spans="1:17">
      <c r="A722" t="s">
        <v>1263</v>
      </c>
      <c r="B722" t="s">
        <v>787</v>
      </c>
      <c r="C722" t="s">
        <v>95</v>
      </c>
      <c r="D722" t="s">
        <v>90</v>
      </c>
      <c r="E722" t="s">
        <v>21</v>
      </c>
      <c r="F722" t="s">
        <v>38</v>
      </c>
      <c r="G722" t="s">
        <v>31</v>
      </c>
      <c r="H722" s="1">
        <v>44335</v>
      </c>
      <c r="I722" s="2">
        <v>44335.1541666667</v>
      </c>
      <c r="J722">
        <v>3.7</v>
      </c>
      <c r="K722" t="s">
        <v>24</v>
      </c>
      <c r="L722">
        <v>0</v>
      </c>
      <c r="M722">
        <v>3</v>
      </c>
      <c r="N722" t="s">
        <v>988</v>
      </c>
      <c r="O722" s="3" t="str">
        <f>TEXT(Ticket_Table[[#This Row],[raised_date]],"YYYY-MM")</f>
        <v>2021-05</v>
      </c>
      <c r="P722" s="3" t="str">
        <f>IF(Ticket_Table[[#This Row],[resolution_hrs]]&lt;=4,"Fast",IF(Ticket_Table[[#This Row],[resolution_hrs]]&lt;=24,"Normal",IF(Ticket_Table[[#This Row],[resolution_hrs]]&lt;=48,"Slow","Very Slow")))</f>
        <v>Fast</v>
      </c>
      <c r="Q722" s="3">
        <f>YEAR(Ticket_Table[[#This Row],[raised_date]])</f>
        <v>2021</v>
      </c>
    </row>
    <row r="723" spans="1:17">
      <c r="A723" t="s">
        <v>1264</v>
      </c>
      <c r="B723" t="s">
        <v>248</v>
      </c>
      <c r="C723" t="s">
        <v>50</v>
      </c>
      <c r="D723" t="s">
        <v>90</v>
      </c>
      <c r="E723" t="s">
        <v>37</v>
      </c>
      <c r="F723" t="s">
        <v>70</v>
      </c>
      <c r="G723" t="s">
        <v>23</v>
      </c>
      <c r="H723" s="1">
        <v>45274</v>
      </c>
      <c r="I723" s="2">
        <v>45276.2666666667</v>
      </c>
      <c r="J723">
        <v>54.4</v>
      </c>
      <c r="K723" t="s">
        <v>32</v>
      </c>
      <c r="L723">
        <v>0</v>
      </c>
      <c r="M723">
        <v>3</v>
      </c>
      <c r="N723" t="s">
        <v>1265</v>
      </c>
      <c r="O723" s="3" t="str">
        <f>TEXT(Ticket_Table[[#This Row],[raised_date]],"YYYY-MM")</f>
        <v>2023-12</v>
      </c>
      <c r="P723" s="3" t="str">
        <f>IF(Ticket_Table[[#This Row],[resolution_hrs]]&lt;=4,"Fast",IF(Ticket_Table[[#This Row],[resolution_hrs]]&lt;=24,"Normal",IF(Ticket_Table[[#This Row],[resolution_hrs]]&lt;=48,"Slow","Very Slow")))</f>
        <v>Very Slow</v>
      </c>
      <c r="Q723" s="3">
        <f>YEAR(Ticket_Table[[#This Row],[raised_date]])</f>
        <v>2023</v>
      </c>
    </row>
    <row r="724" spans="1:17">
      <c r="A724" t="s">
        <v>1266</v>
      </c>
      <c r="B724" t="s">
        <v>853</v>
      </c>
      <c r="C724" t="s">
        <v>28</v>
      </c>
      <c r="D724" t="s">
        <v>29</v>
      </c>
      <c r="E724" t="s">
        <v>37</v>
      </c>
      <c r="F724" t="s">
        <v>38</v>
      </c>
      <c r="G724" t="s">
        <v>46</v>
      </c>
      <c r="H724" s="1">
        <v>45236</v>
      </c>
      <c r="I724" s="2">
        <v>45237.1625</v>
      </c>
      <c r="J724">
        <v>27.9</v>
      </c>
      <c r="K724" t="s">
        <v>32</v>
      </c>
      <c r="L724">
        <v>0</v>
      </c>
      <c r="M724">
        <v>5</v>
      </c>
      <c r="N724" t="s">
        <v>726</v>
      </c>
      <c r="O724" s="3" t="str">
        <f>TEXT(Ticket_Table[[#This Row],[raised_date]],"YYYY-MM")</f>
        <v>2023-11</v>
      </c>
      <c r="P724" s="3" t="str">
        <f>IF(Ticket_Table[[#This Row],[resolution_hrs]]&lt;=4,"Fast",IF(Ticket_Table[[#This Row],[resolution_hrs]]&lt;=24,"Normal",IF(Ticket_Table[[#This Row],[resolution_hrs]]&lt;=48,"Slow","Very Slow")))</f>
        <v>Slow</v>
      </c>
      <c r="Q724" s="3">
        <f>YEAR(Ticket_Table[[#This Row],[raised_date]])</f>
        <v>2023</v>
      </c>
    </row>
    <row r="725" spans="1:17">
      <c r="A725" t="s">
        <v>1267</v>
      </c>
      <c r="B725" t="s">
        <v>581</v>
      </c>
      <c r="C725" t="s">
        <v>28</v>
      </c>
      <c r="D725" t="s">
        <v>29</v>
      </c>
      <c r="E725" t="s">
        <v>166</v>
      </c>
      <c r="F725" t="s">
        <v>38</v>
      </c>
      <c r="G725" t="s">
        <v>23</v>
      </c>
      <c r="H725" s="1">
        <v>45236</v>
      </c>
      <c r="I725" s="2">
        <v>45237.1958333333</v>
      </c>
      <c r="J725">
        <v>28.7</v>
      </c>
      <c r="K725" t="s">
        <v>32</v>
      </c>
      <c r="L725">
        <v>0</v>
      </c>
      <c r="M725">
        <v>5</v>
      </c>
      <c r="N725" t="s">
        <v>1061</v>
      </c>
      <c r="O725" s="3" t="str">
        <f>TEXT(Ticket_Table[[#This Row],[raised_date]],"YYYY-MM")</f>
        <v>2023-11</v>
      </c>
      <c r="P725" s="3" t="str">
        <f>IF(Ticket_Table[[#This Row],[resolution_hrs]]&lt;=4,"Fast",IF(Ticket_Table[[#This Row],[resolution_hrs]]&lt;=24,"Normal",IF(Ticket_Table[[#This Row],[resolution_hrs]]&lt;=48,"Slow","Very Slow")))</f>
        <v>Slow</v>
      </c>
      <c r="Q725" s="3">
        <f>YEAR(Ticket_Table[[#This Row],[raised_date]])</f>
        <v>2023</v>
      </c>
    </row>
    <row r="726" spans="1:17">
      <c r="A726" t="s">
        <v>1268</v>
      </c>
      <c r="B726" t="s">
        <v>1216</v>
      </c>
      <c r="C726" t="s">
        <v>19</v>
      </c>
      <c r="D726" t="s">
        <v>90</v>
      </c>
      <c r="E726" t="s">
        <v>44</v>
      </c>
      <c r="F726" t="s">
        <v>22</v>
      </c>
      <c r="G726" t="s">
        <v>23</v>
      </c>
      <c r="H726" s="1">
        <v>44238</v>
      </c>
      <c r="I726" s="2">
        <v>44238.9416666667</v>
      </c>
      <c r="J726">
        <v>22.6</v>
      </c>
      <c r="K726" t="s">
        <v>24</v>
      </c>
      <c r="L726">
        <v>0</v>
      </c>
      <c r="M726">
        <v>5</v>
      </c>
      <c r="N726" t="s">
        <v>169</v>
      </c>
      <c r="O726" s="3" t="str">
        <f>TEXT(Ticket_Table[[#This Row],[raised_date]],"YYYY-MM")</f>
        <v>2021-02</v>
      </c>
      <c r="P726" s="3" t="str">
        <f>IF(Ticket_Table[[#This Row],[resolution_hrs]]&lt;=4,"Fast",IF(Ticket_Table[[#This Row],[resolution_hrs]]&lt;=24,"Normal",IF(Ticket_Table[[#This Row],[resolution_hrs]]&lt;=48,"Slow","Very Slow")))</f>
        <v>Normal</v>
      </c>
      <c r="Q726" s="3">
        <f>YEAR(Ticket_Table[[#This Row],[raised_date]])</f>
        <v>2021</v>
      </c>
    </row>
    <row r="727" spans="1:17">
      <c r="A727" t="s">
        <v>1269</v>
      </c>
      <c r="B727" t="s">
        <v>189</v>
      </c>
      <c r="C727" t="s">
        <v>133</v>
      </c>
      <c r="D727" t="s">
        <v>36</v>
      </c>
      <c r="E727" t="s">
        <v>37</v>
      </c>
      <c r="F727" t="s">
        <v>70</v>
      </c>
      <c r="G727" t="s">
        <v>46</v>
      </c>
      <c r="H727" s="1">
        <v>44996</v>
      </c>
      <c r="I727" s="2">
        <v>44998</v>
      </c>
      <c r="J727">
        <v>48</v>
      </c>
      <c r="K727" t="s">
        <v>24</v>
      </c>
      <c r="L727">
        <v>0</v>
      </c>
      <c r="M727">
        <v>2</v>
      </c>
      <c r="N727" t="s">
        <v>146</v>
      </c>
      <c r="O727" s="3" t="str">
        <f>TEXT(Ticket_Table[[#This Row],[raised_date]],"YYYY-MM")</f>
        <v>2023-03</v>
      </c>
      <c r="P727" s="3" t="str">
        <f>IF(Ticket_Table[[#This Row],[resolution_hrs]]&lt;=4,"Fast",IF(Ticket_Table[[#This Row],[resolution_hrs]]&lt;=24,"Normal",IF(Ticket_Table[[#This Row],[resolution_hrs]]&lt;=48,"Slow","Very Slow")))</f>
        <v>Slow</v>
      </c>
      <c r="Q727" s="3">
        <f>YEAR(Ticket_Table[[#This Row],[raised_date]])</f>
        <v>2023</v>
      </c>
    </row>
    <row r="728" spans="1:17">
      <c r="A728" t="s">
        <v>1270</v>
      </c>
      <c r="B728" t="s">
        <v>312</v>
      </c>
      <c r="C728" t="s">
        <v>50</v>
      </c>
      <c r="D728" t="s">
        <v>90</v>
      </c>
      <c r="E728" t="s">
        <v>69</v>
      </c>
      <c r="F728" t="s">
        <v>38</v>
      </c>
      <c r="G728" t="s">
        <v>46</v>
      </c>
      <c r="H728" s="1">
        <v>45159</v>
      </c>
      <c r="I728" s="2">
        <v>45159.7583333333</v>
      </c>
      <c r="J728">
        <v>18.2</v>
      </c>
      <c r="K728" t="s">
        <v>24</v>
      </c>
      <c r="L728">
        <v>1</v>
      </c>
      <c r="M728">
        <v>5</v>
      </c>
      <c r="N728" t="s">
        <v>810</v>
      </c>
      <c r="O728" s="3" t="str">
        <f>TEXT(Ticket_Table[[#This Row],[raised_date]],"YYYY-MM")</f>
        <v>2023-08</v>
      </c>
      <c r="P728" s="3" t="str">
        <f>IF(Ticket_Table[[#This Row],[resolution_hrs]]&lt;=4,"Fast",IF(Ticket_Table[[#This Row],[resolution_hrs]]&lt;=24,"Normal",IF(Ticket_Table[[#This Row],[resolution_hrs]]&lt;=48,"Slow","Very Slow")))</f>
        <v>Normal</v>
      </c>
      <c r="Q728" s="3">
        <f>YEAR(Ticket_Table[[#This Row],[raised_date]])</f>
        <v>2023</v>
      </c>
    </row>
    <row r="729" spans="1:17">
      <c r="A729" t="s">
        <v>1271</v>
      </c>
      <c r="B729" t="s">
        <v>532</v>
      </c>
      <c r="C729" t="s">
        <v>42</v>
      </c>
      <c r="D729" t="s">
        <v>20</v>
      </c>
      <c r="E729" t="s">
        <v>56</v>
      </c>
      <c r="F729" t="s">
        <v>22</v>
      </c>
      <c r="G729" t="s">
        <v>91</v>
      </c>
      <c r="H729" s="1">
        <v>44286</v>
      </c>
      <c r="I729" s="2">
        <v>44287.2083333333</v>
      </c>
      <c r="J729">
        <v>29</v>
      </c>
      <c r="K729" t="s">
        <v>24</v>
      </c>
      <c r="L729">
        <v>0</v>
      </c>
      <c r="M729">
        <v>4</v>
      </c>
      <c r="N729" t="s">
        <v>262</v>
      </c>
      <c r="O729" s="3" t="str">
        <f>TEXT(Ticket_Table[[#This Row],[raised_date]],"YYYY-MM")</f>
        <v>2021-03</v>
      </c>
      <c r="P729" s="3" t="str">
        <f>IF(Ticket_Table[[#This Row],[resolution_hrs]]&lt;=4,"Fast",IF(Ticket_Table[[#This Row],[resolution_hrs]]&lt;=24,"Normal",IF(Ticket_Table[[#This Row],[resolution_hrs]]&lt;=48,"Slow","Very Slow")))</f>
        <v>Slow</v>
      </c>
      <c r="Q729" s="3">
        <f>YEAR(Ticket_Table[[#This Row],[raised_date]])</f>
        <v>2021</v>
      </c>
    </row>
    <row r="730" spans="1:17">
      <c r="A730" t="s">
        <v>1272</v>
      </c>
      <c r="B730" t="s">
        <v>546</v>
      </c>
      <c r="C730" t="s">
        <v>140</v>
      </c>
      <c r="D730" t="s">
        <v>20</v>
      </c>
      <c r="E730" t="s">
        <v>83</v>
      </c>
      <c r="F730" t="s">
        <v>45</v>
      </c>
      <c r="G730" t="s">
        <v>46</v>
      </c>
      <c r="H730" s="1">
        <v>44989</v>
      </c>
      <c r="I730" s="2">
        <v>44989.1125</v>
      </c>
      <c r="J730">
        <v>2.7</v>
      </c>
      <c r="K730" t="s">
        <v>24</v>
      </c>
      <c r="L730">
        <v>1</v>
      </c>
      <c r="M730">
        <v>4</v>
      </c>
      <c r="N730" t="s">
        <v>608</v>
      </c>
      <c r="O730" s="3" t="str">
        <f>TEXT(Ticket_Table[[#This Row],[raised_date]],"YYYY-MM")</f>
        <v>2023-03</v>
      </c>
      <c r="P730" s="3" t="str">
        <f>IF(Ticket_Table[[#This Row],[resolution_hrs]]&lt;=4,"Fast",IF(Ticket_Table[[#This Row],[resolution_hrs]]&lt;=24,"Normal",IF(Ticket_Table[[#This Row],[resolution_hrs]]&lt;=48,"Slow","Very Slow")))</f>
        <v>Fast</v>
      </c>
      <c r="Q730" s="3">
        <f>YEAR(Ticket_Table[[#This Row],[raised_date]])</f>
        <v>2023</v>
      </c>
    </row>
    <row r="731" spans="1:17">
      <c r="A731" t="s">
        <v>1273</v>
      </c>
      <c r="B731" t="s">
        <v>197</v>
      </c>
      <c r="C731" t="s">
        <v>60</v>
      </c>
      <c r="D731" t="s">
        <v>20</v>
      </c>
      <c r="E731" t="s">
        <v>21</v>
      </c>
      <c r="F731" t="s">
        <v>38</v>
      </c>
      <c r="G731" t="s">
        <v>31</v>
      </c>
      <c r="H731" s="1">
        <v>44961</v>
      </c>
      <c r="I731" s="2">
        <v>44962.2958333333</v>
      </c>
      <c r="J731">
        <v>31.1</v>
      </c>
      <c r="K731" t="s">
        <v>32</v>
      </c>
      <c r="L731">
        <v>0</v>
      </c>
      <c r="M731">
        <v>5</v>
      </c>
      <c r="N731" t="s">
        <v>151</v>
      </c>
      <c r="O731" s="3" t="str">
        <f>TEXT(Ticket_Table[[#This Row],[raised_date]],"YYYY-MM")</f>
        <v>2023-02</v>
      </c>
      <c r="P731" s="3" t="str">
        <f>IF(Ticket_Table[[#This Row],[resolution_hrs]]&lt;=4,"Fast",IF(Ticket_Table[[#This Row],[resolution_hrs]]&lt;=24,"Normal",IF(Ticket_Table[[#This Row],[resolution_hrs]]&lt;=48,"Slow","Very Slow")))</f>
        <v>Slow</v>
      </c>
      <c r="Q731" s="3">
        <f>YEAR(Ticket_Table[[#This Row],[raised_date]])</f>
        <v>2023</v>
      </c>
    </row>
    <row r="732" spans="1:17">
      <c r="A732" t="s">
        <v>1274</v>
      </c>
      <c r="B732" t="s">
        <v>903</v>
      </c>
      <c r="C732" t="s">
        <v>140</v>
      </c>
      <c r="D732" t="s">
        <v>43</v>
      </c>
      <c r="E732" t="s">
        <v>51</v>
      </c>
      <c r="F732" t="s">
        <v>70</v>
      </c>
      <c r="G732" t="s">
        <v>23</v>
      </c>
      <c r="H732" s="1">
        <v>44716</v>
      </c>
      <c r="I732" s="2">
        <v>44717.6583333333</v>
      </c>
      <c r="J732">
        <v>39.8</v>
      </c>
      <c r="K732" t="s">
        <v>24</v>
      </c>
      <c r="L732">
        <v>0</v>
      </c>
      <c r="M732">
        <v>5</v>
      </c>
      <c r="N732" t="s">
        <v>897</v>
      </c>
      <c r="O732" s="3" t="str">
        <f>TEXT(Ticket_Table[[#This Row],[raised_date]],"YYYY-MM")</f>
        <v>2022-06</v>
      </c>
      <c r="P732" s="3" t="str">
        <f>IF(Ticket_Table[[#This Row],[resolution_hrs]]&lt;=4,"Fast",IF(Ticket_Table[[#This Row],[resolution_hrs]]&lt;=24,"Normal",IF(Ticket_Table[[#This Row],[resolution_hrs]]&lt;=48,"Slow","Very Slow")))</f>
        <v>Slow</v>
      </c>
      <c r="Q732" s="3">
        <f>YEAR(Ticket_Table[[#This Row],[raised_date]])</f>
        <v>2022</v>
      </c>
    </row>
    <row r="733" spans="1:17">
      <c r="A733" t="s">
        <v>1275</v>
      </c>
      <c r="B733" t="s">
        <v>804</v>
      </c>
      <c r="C733" t="s">
        <v>50</v>
      </c>
      <c r="D733" t="s">
        <v>20</v>
      </c>
      <c r="E733" t="s">
        <v>37</v>
      </c>
      <c r="F733" t="s">
        <v>22</v>
      </c>
      <c r="G733" t="s">
        <v>23</v>
      </c>
      <c r="H733" s="1">
        <v>44230</v>
      </c>
      <c r="I733" s="2">
        <v>44234.2875</v>
      </c>
      <c r="J733">
        <v>102.9</v>
      </c>
      <c r="K733" t="s">
        <v>32</v>
      </c>
      <c r="L733">
        <v>1</v>
      </c>
      <c r="M733">
        <v>4</v>
      </c>
      <c r="N733" t="s">
        <v>246</v>
      </c>
      <c r="O733" s="3" t="str">
        <f>TEXT(Ticket_Table[[#This Row],[raised_date]],"YYYY-MM")</f>
        <v>2021-02</v>
      </c>
      <c r="P733" s="3" t="str">
        <f>IF(Ticket_Table[[#This Row],[resolution_hrs]]&lt;=4,"Fast",IF(Ticket_Table[[#This Row],[resolution_hrs]]&lt;=24,"Normal",IF(Ticket_Table[[#This Row],[resolution_hrs]]&lt;=48,"Slow","Very Slow")))</f>
        <v>Very Slow</v>
      </c>
      <c r="Q733" s="3">
        <f>YEAR(Ticket_Table[[#This Row],[raised_date]])</f>
        <v>2021</v>
      </c>
    </row>
    <row r="734" spans="1:17">
      <c r="A734" t="s">
        <v>1276</v>
      </c>
      <c r="B734" t="s">
        <v>155</v>
      </c>
      <c r="C734" t="s">
        <v>78</v>
      </c>
      <c r="D734" t="s">
        <v>36</v>
      </c>
      <c r="E734" t="s">
        <v>51</v>
      </c>
      <c r="F734" t="s">
        <v>22</v>
      </c>
      <c r="G734" t="s">
        <v>23</v>
      </c>
      <c r="H734" s="1">
        <v>44928</v>
      </c>
      <c r="I734" s="2">
        <v>44928.1833333333</v>
      </c>
      <c r="J734">
        <v>4.4</v>
      </c>
      <c r="K734" t="s">
        <v>24</v>
      </c>
      <c r="L734">
        <v>0</v>
      </c>
      <c r="M734">
        <v>5</v>
      </c>
      <c r="N734" t="s">
        <v>240</v>
      </c>
      <c r="O734" s="3" t="str">
        <f>TEXT(Ticket_Table[[#This Row],[raised_date]],"YYYY-MM")</f>
        <v>2023-01</v>
      </c>
      <c r="P734" s="3" t="str">
        <f>IF(Ticket_Table[[#This Row],[resolution_hrs]]&lt;=4,"Fast",IF(Ticket_Table[[#This Row],[resolution_hrs]]&lt;=24,"Normal",IF(Ticket_Table[[#This Row],[resolution_hrs]]&lt;=48,"Slow","Very Slow")))</f>
        <v>Normal</v>
      </c>
      <c r="Q734" s="3">
        <f>YEAR(Ticket_Table[[#This Row],[raised_date]])</f>
        <v>2023</v>
      </c>
    </row>
    <row r="735" spans="1:17">
      <c r="A735" t="s">
        <v>1277</v>
      </c>
      <c r="B735" t="s">
        <v>1093</v>
      </c>
      <c r="C735" t="s">
        <v>175</v>
      </c>
      <c r="D735" t="s">
        <v>43</v>
      </c>
      <c r="E735" t="s">
        <v>37</v>
      </c>
      <c r="F735" t="s">
        <v>45</v>
      </c>
      <c r="G735" t="s">
        <v>31</v>
      </c>
      <c r="H735" s="1">
        <v>44335</v>
      </c>
      <c r="I735" s="2">
        <v>44335.1333333333</v>
      </c>
      <c r="J735">
        <v>3.2</v>
      </c>
      <c r="K735" t="s">
        <v>24</v>
      </c>
      <c r="L735">
        <v>2</v>
      </c>
      <c r="M735">
        <v>3</v>
      </c>
      <c r="N735" t="s">
        <v>1278</v>
      </c>
      <c r="O735" s="3" t="str">
        <f>TEXT(Ticket_Table[[#This Row],[raised_date]],"YYYY-MM")</f>
        <v>2021-05</v>
      </c>
      <c r="P735" s="3" t="str">
        <f>IF(Ticket_Table[[#This Row],[resolution_hrs]]&lt;=4,"Fast",IF(Ticket_Table[[#This Row],[resolution_hrs]]&lt;=24,"Normal",IF(Ticket_Table[[#This Row],[resolution_hrs]]&lt;=48,"Slow","Very Slow")))</f>
        <v>Fast</v>
      </c>
      <c r="Q735" s="3">
        <f>YEAR(Ticket_Table[[#This Row],[raised_date]])</f>
        <v>2021</v>
      </c>
    </row>
    <row r="736" spans="1:17">
      <c r="A736" t="s">
        <v>1279</v>
      </c>
      <c r="B736" t="s">
        <v>152</v>
      </c>
      <c r="C736" t="s">
        <v>68</v>
      </c>
      <c r="D736" t="s">
        <v>43</v>
      </c>
      <c r="E736" t="s">
        <v>69</v>
      </c>
      <c r="F736" t="s">
        <v>22</v>
      </c>
      <c r="G736" t="s">
        <v>31</v>
      </c>
      <c r="H736" s="1">
        <v>44903</v>
      </c>
      <c r="I736" s="2">
        <v>44907.1208333333</v>
      </c>
      <c r="J736">
        <v>98.9</v>
      </c>
      <c r="K736" t="s">
        <v>32</v>
      </c>
      <c r="L736">
        <v>0</v>
      </c>
      <c r="M736">
        <v>4</v>
      </c>
      <c r="N736" t="s">
        <v>756</v>
      </c>
      <c r="O736" s="3" t="str">
        <f>TEXT(Ticket_Table[[#This Row],[raised_date]],"YYYY-MM")</f>
        <v>2022-12</v>
      </c>
      <c r="P736" s="3" t="str">
        <f>IF(Ticket_Table[[#This Row],[resolution_hrs]]&lt;=4,"Fast",IF(Ticket_Table[[#This Row],[resolution_hrs]]&lt;=24,"Normal",IF(Ticket_Table[[#This Row],[resolution_hrs]]&lt;=48,"Slow","Very Slow")))</f>
        <v>Very Slow</v>
      </c>
      <c r="Q736" s="3">
        <f>YEAR(Ticket_Table[[#This Row],[raised_date]])</f>
        <v>2022</v>
      </c>
    </row>
    <row r="737" spans="1:17">
      <c r="A737" t="s">
        <v>1280</v>
      </c>
      <c r="B737" t="s">
        <v>1216</v>
      </c>
      <c r="C737" t="s">
        <v>117</v>
      </c>
      <c r="D737" t="s">
        <v>20</v>
      </c>
      <c r="E737" t="s">
        <v>51</v>
      </c>
      <c r="F737" t="s">
        <v>38</v>
      </c>
      <c r="G737" t="s">
        <v>23</v>
      </c>
      <c r="H737" s="1">
        <v>44690</v>
      </c>
      <c r="I737" s="2">
        <v>44690.6</v>
      </c>
      <c r="J737">
        <v>14.4</v>
      </c>
      <c r="K737" t="s">
        <v>24</v>
      </c>
      <c r="L737">
        <v>0</v>
      </c>
      <c r="M737">
        <v>3</v>
      </c>
      <c r="N737" t="s">
        <v>716</v>
      </c>
      <c r="O737" s="3" t="str">
        <f>TEXT(Ticket_Table[[#This Row],[raised_date]],"YYYY-MM")</f>
        <v>2022-05</v>
      </c>
      <c r="P737" s="3" t="str">
        <f>IF(Ticket_Table[[#This Row],[resolution_hrs]]&lt;=4,"Fast",IF(Ticket_Table[[#This Row],[resolution_hrs]]&lt;=24,"Normal",IF(Ticket_Table[[#This Row],[resolution_hrs]]&lt;=48,"Slow","Very Slow")))</f>
        <v>Normal</v>
      </c>
      <c r="Q737" s="3">
        <f>YEAR(Ticket_Table[[#This Row],[raised_date]])</f>
        <v>2022</v>
      </c>
    </row>
    <row r="738" spans="1:17">
      <c r="A738" t="s">
        <v>1281</v>
      </c>
      <c r="B738" t="s">
        <v>126</v>
      </c>
      <c r="C738" t="s">
        <v>140</v>
      </c>
      <c r="D738" t="s">
        <v>90</v>
      </c>
      <c r="E738" t="s">
        <v>44</v>
      </c>
      <c r="F738" t="s">
        <v>70</v>
      </c>
      <c r="G738" t="s">
        <v>74</v>
      </c>
      <c r="H738" s="1">
        <v>44409</v>
      </c>
      <c r="I738" s="2">
        <v>44409.9708333333</v>
      </c>
      <c r="J738">
        <v>23.3</v>
      </c>
      <c r="K738" t="s">
        <v>24</v>
      </c>
      <c r="L738">
        <v>0</v>
      </c>
      <c r="M738">
        <v>5</v>
      </c>
      <c r="N738" t="s">
        <v>536</v>
      </c>
      <c r="O738" s="3" t="str">
        <f>TEXT(Ticket_Table[[#This Row],[raised_date]],"YYYY-MM")</f>
        <v>2021-08</v>
      </c>
      <c r="P738" s="3" t="str">
        <f>IF(Ticket_Table[[#This Row],[resolution_hrs]]&lt;=4,"Fast",IF(Ticket_Table[[#This Row],[resolution_hrs]]&lt;=24,"Normal",IF(Ticket_Table[[#This Row],[resolution_hrs]]&lt;=48,"Slow","Very Slow")))</f>
        <v>Normal</v>
      </c>
      <c r="Q738" s="3">
        <f>YEAR(Ticket_Table[[#This Row],[raised_date]])</f>
        <v>2021</v>
      </c>
    </row>
    <row r="739" spans="1:17">
      <c r="A739" t="s">
        <v>1282</v>
      </c>
      <c r="B739" t="s">
        <v>556</v>
      </c>
      <c r="C739" t="s">
        <v>213</v>
      </c>
      <c r="D739" t="s">
        <v>29</v>
      </c>
      <c r="E739" t="s">
        <v>83</v>
      </c>
      <c r="F739" t="s">
        <v>22</v>
      </c>
      <c r="G739" t="s">
        <v>46</v>
      </c>
      <c r="H739" s="1">
        <v>44877</v>
      </c>
      <c r="I739" s="2">
        <v>44878.7208333333</v>
      </c>
      <c r="J739">
        <v>41.3</v>
      </c>
      <c r="K739" t="s">
        <v>24</v>
      </c>
      <c r="L739">
        <v>1</v>
      </c>
      <c r="M739">
        <v>4</v>
      </c>
      <c r="N739" t="s">
        <v>209</v>
      </c>
      <c r="O739" s="3" t="str">
        <f>TEXT(Ticket_Table[[#This Row],[raised_date]],"YYYY-MM")</f>
        <v>2022-11</v>
      </c>
      <c r="P739" s="3" t="str">
        <f>IF(Ticket_Table[[#This Row],[resolution_hrs]]&lt;=4,"Fast",IF(Ticket_Table[[#This Row],[resolution_hrs]]&lt;=24,"Normal",IF(Ticket_Table[[#This Row],[resolution_hrs]]&lt;=48,"Slow","Very Slow")))</f>
        <v>Slow</v>
      </c>
      <c r="Q739" s="3">
        <f>YEAR(Ticket_Table[[#This Row],[raised_date]])</f>
        <v>2022</v>
      </c>
    </row>
    <row r="740" spans="1:17">
      <c r="A740" t="s">
        <v>1283</v>
      </c>
      <c r="B740" t="s">
        <v>550</v>
      </c>
      <c r="C740" t="s">
        <v>64</v>
      </c>
      <c r="D740" t="s">
        <v>90</v>
      </c>
      <c r="E740" t="s">
        <v>56</v>
      </c>
      <c r="F740" t="s">
        <v>22</v>
      </c>
      <c r="G740" t="s">
        <v>31</v>
      </c>
      <c r="H740" s="1">
        <v>44470</v>
      </c>
      <c r="I740" s="2">
        <v>44472.0916666667</v>
      </c>
      <c r="J740">
        <v>50.2</v>
      </c>
      <c r="K740" t="s">
        <v>24</v>
      </c>
      <c r="L740">
        <v>3</v>
      </c>
      <c r="M740">
        <v>5</v>
      </c>
      <c r="N740" t="s">
        <v>174</v>
      </c>
      <c r="O740" s="3" t="str">
        <f>TEXT(Ticket_Table[[#This Row],[raised_date]],"YYYY-MM")</f>
        <v>2021-10</v>
      </c>
      <c r="P740" s="3" t="str">
        <f>IF(Ticket_Table[[#This Row],[resolution_hrs]]&lt;=4,"Fast",IF(Ticket_Table[[#This Row],[resolution_hrs]]&lt;=24,"Normal",IF(Ticket_Table[[#This Row],[resolution_hrs]]&lt;=48,"Slow","Very Slow")))</f>
        <v>Very Slow</v>
      </c>
      <c r="Q740" s="3">
        <f>YEAR(Ticket_Table[[#This Row],[raised_date]])</f>
        <v>2021</v>
      </c>
    </row>
    <row r="741" spans="1:17">
      <c r="A741" t="s">
        <v>1284</v>
      </c>
      <c r="B741" t="s">
        <v>917</v>
      </c>
      <c r="C741" t="s">
        <v>68</v>
      </c>
      <c r="D741" t="s">
        <v>90</v>
      </c>
      <c r="E741" t="s">
        <v>69</v>
      </c>
      <c r="F741" t="s">
        <v>70</v>
      </c>
      <c r="G741" t="s">
        <v>23</v>
      </c>
      <c r="H741" s="1">
        <v>44287</v>
      </c>
      <c r="I741" s="2">
        <v>44287.1375</v>
      </c>
      <c r="J741">
        <v>3.3</v>
      </c>
      <c r="K741" t="s">
        <v>24</v>
      </c>
      <c r="L741">
        <v>0</v>
      </c>
      <c r="M741">
        <v>4</v>
      </c>
      <c r="N741" t="s">
        <v>726</v>
      </c>
      <c r="O741" s="3" t="str">
        <f>TEXT(Ticket_Table[[#This Row],[raised_date]],"YYYY-MM")</f>
        <v>2021-04</v>
      </c>
      <c r="P741" s="3" t="str">
        <f>IF(Ticket_Table[[#This Row],[resolution_hrs]]&lt;=4,"Fast",IF(Ticket_Table[[#This Row],[resolution_hrs]]&lt;=24,"Normal",IF(Ticket_Table[[#This Row],[resolution_hrs]]&lt;=48,"Slow","Very Slow")))</f>
        <v>Fast</v>
      </c>
      <c r="Q741" s="3">
        <f>YEAR(Ticket_Table[[#This Row],[raised_date]])</f>
        <v>2021</v>
      </c>
    </row>
    <row r="742" spans="1:17">
      <c r="A742" t="s">
        <v>1285</v>
      </c>
      <c r="B742" t="s">
        <v>109</v>
      </c>
      <c r="C742" t="s">
        <v>50</v>
      </c>
      <c r="D742" t="s">
        <v>43</v>
      </c>
      <c r="E742" t="s">
        <v>44</v>
      </c>
      <c r="F742" t="s">
        <v>45</v>
      </c>
      <c r="G742" t="s">
        <v>46</v>
      </c>
      <c r="H742" s="1">
        <v>44918</v>
      </c>
      <c r="I742" s="2">
        <v>44918.1583333333</v>
      </c>
      <c r="J742">
        <v>3.8</v>
      </c>
      <c r="K742" t="s">
        <v>24</v>
      </c>
      <c r="L742">
        <v>0</v>
      </c>
      <c r="M742">
        <v>4</v>
      </c>
      <c r="N742" t="s">
        <v>387</v>
      </c>
      <c r="O742" s="3" t="str">
        <f>TEXT(Ticket_Table[[#This Row],[raised_date]],"YYYY-MM")</f>
        <v>2022-12</v>
      </c>
      <c r="P742" s="3" t="str">
        <f>IF(Ticket_Table[[#This Row],[resolution_hrs]]&lt;=4,"Fast",IF(Ticket_Table[[#This Row],[resolution_hrs]]&lt;=24,"Normal",IF(Ticket_Table[[#This Row],[resolution_hrs]]&lt;=48,"Slow","Very Slow")))</f>
        <v>Fast</v>
      </c>
      <c r="Q742" s="3">
        <f>YEAR(Ticket_Table[[#This Row],[raised_date]])</f>
        <v>2022</v>
      </c>
    </row>
    <row r="743" spans="1:17">
      <c r="A743" t="s">
        <v>1286</v>
      </c>
      <c r="B743" t="s">
        <v>493</v>
      </c>
      <c r="C743" t="s">
        <v>117</v>
      </c>
      <c r="D743" t="s">
        <v>43</v>
      </c>
      <c r="E743" t="s">
        <v>56</v>
      </c>
      <c r="F743" t="s">
        <v>70</v>
      </c>
      <c r="G743" t="s">
        <v>23</v>
      </c>
      <c r="H743" s="1">
        <v>44890</v>
      </c>
      <c r="I743" s="2">
        <v>44892.5875</v>
      </c>
      <c r="J743">
        <v>62.1</v>
      </c>
      <c r="K743" t="s">
        <v>32</v>
      </c>
      <c r="L743">
        <v>0</v>
      </c>
      <c r="M743">
        <v>3</v>
      </c>
      <c r="N743" t="s">
        <v>666</v>
      </c>
      <c r="O743" s="3" t="str">
        <f>TEXT(Ticket_Table[[#This Row],[raised_date]],"YYYY-MM")</f>
        <v>2022-11</v>
      </c>
      <c r="P743" s="3" t="str">
        <f>IF(Ticket_Table[[#This Row],[resolution_hrs]]&lt;=4,"Fast",IF(Ticket_Table[[#This Row],[resolution_hrs]]&lt;=24,"Normal",IF(Ticket_Table[[#This Row],[resolution_hrs]]&lt;=48,"Slow","Very Slow")))</f>
        <v>Very Slow</v>
      </c>
      <c r="Q743" s="3">
        <f>YEAR(Ticket_Table[[#This Row],[raised_date]])</f>
        <v>2022</v>
      </c>
    </row>
    <row r="744" spans="1:17">
      <c r="A744" t="s">
        <v>1287</v>
      </c>
      <c r="B744" t="s">
        <v>101</v>
      </c>
      <c r="C744" t="s">
        <v>133</v>
      </c>
      <c r="D744" t="s">
        <v>43</v>
      </c>
      <c r="E744" t="s">
        <v>44</v>
      </c>
      <c r="F744" t="s">
        <v>70</v>
      </c>
      <c r="G744" t="s">
        <v>23</v>
      </c>
      <c r="H744" s="1">
        <v>44555</v>
      </c>
      <c r="I744" s="2">
        <v>44555.9375</v>
      </c>
      <c r="J744">
        <v>22.5</v>
      </c>
      <c r="K744" t="s">
        <v>24</v>
      </c>
      <c r="L744">
        <v>1</v>
      </c>
      <c r="M744">
        <v>4</v>
      </c>
      <c r="N744" t="s">
        <v>1136</v>
      </c>
      <c r="O744" s="3" t="str">
        <f>TEXT(Ticket_Table[[#This Row],[raised_date]],"YYYY-MM")</f>
        <v>2021-12</v>
      </c>
      <c r="P744" s="3" t="str">
        <f>IF(Ticket_Table[[#This Row],[resolution_hrs]]&lt;=4,"Fast",IF(Ticket_Table[[#This Row],[resolution_hrs]]&lt;=24,"Normal",IF(Ticket_Table[[#This Row],[resolution_hrs]]&lt;=48,"Slow","Very Slow")))</f>
        <v>Normal</v>
      </c>
      <c r="Q744" s="3">
        <f>YEAR(Ticket_Table[[#This Row],[raised_date]])</f>
        <v>2021</v>
      </c>
    </row>
    <row r="745" spans="1:17">
      <c r="A745" t="s">
        <v>1288</v>
      </c>
      <c r="B745" t="s">
        <v>509</v>
      </c>
      <c r="C745" t="s">
        <v>133</v>
      </c>
      <c r="D745" t="s">
        <v>36</v>
      </c>
      <c r="E745" t="s">
        <v>44</v>
      </c>
      <c r="F745" t="s">
        <v>70</v>
      </c>
      <c r="G745" t="s">
        <v>31</v>
      </c>
      <c r="H745" s="1">
        <v>45148</v>
      </c>
      <c r="I745" s="2">
        <v>45150.1291666667</v>
      </c>
      <c r="J745">
        <v>51.1</v>
      </c>
      <c r="K745" t="s">
        <v>32</v>
      </c>
      <c r="L745">
        <v>0</v>
      </c>
      <c r="M745">
        <v>4</v>
      </c>
      <c r="N745" t="s">
        <v>464</v>
      </c>
      <c r="O745" s="3" t="str">
        <f>TEXT(Ticket_Table[[#This Row],[raised_date]],"YYYY-MM")</f>
        <v>2023-08</v>
      </c>
      <c r="P745" s="3" t="str">
        <f>IF(Ticket_Table[[#This Row],[resolution_hrs]]&lt;=4,"Fast",IF(Ticket_Table[[#This Row],[resolution_hrs]]&lt;=24,"Normal",IF(Ticket_Table[[#This Row],[resolution_hrs]]&lt;=48,"Slow","Very Slow")))</f>
        <v>Very Slow</v>
      </c>
      <c r="Q745" s="3">
        <f>YEAR(Ticket_Table[[#This Row],[raised_date]])</f>
        <v>2023</v>
      </c>
    </row>
    <row r="746" spans="1:17">
      <c r="A746" t="s">
        <v>1289</v>
      </c>
      <c r="B746" t="s">
        <v>320</v>
      </c>
      <c r="C746" t="s">
        <v>50</v>
      </c>
      <c r="D746" t="s">
        <v>36</v>
      </c>
      <c r="E746" t="s">
        <v>44</v>
      </c>
      <c r="F746" t="s">
        <v>70</v>
      </c>
      <c r="G746" t="s">
        <v>23</v>
      </c>
      <c r="H746" s="1">
        <v>45177</v>
      </c>
      <c r="I746" s="2">
        <v>45178.4958333333</v>
      </c>
      <c r="J746">
        <v>35.9</v>
      </c>
      <c r="K746" t="s">
        <v>24</v>
      </c>
      <c r="L746">
        <v>0</v>
      </c>
      <c r="M746">
        <v>2</v>
      </c>
      <c r="N746" t="s">
        <v>966</v>
      </c>
      <c r="O746" s="3" t="str">
        <f>TEXT(Ticket_Table[[#This Row],[raised_date]],"YYYY-MM")</f>
        <v>2023-09</v>
      </c>
      <c r="P746" s="3" t="str">
        <f>IF(Ticket_Table[[#This Row],[resolution_hrs]]&lt;=4,"Fast",IF(Ticket_Table[[#This Row],[resolution_hrs]]&lt;=24,"Normal",IF(Ticket_Table[[#This Row],[resolution_hrs]]&lt;=48,"Slow","Very Slow")))</f>
        <v>Slow</v>
      </c>
      <c r="Q746" s="3">
        <f>YEAR(Ticket_Table[[#This Row],[raised_date]])</f>
        <v>2023</v>
      </c>
    </row>
    <row r="747" spans="1:17">
      <c r="A747" t="s">
        <v>1290</v>
      </c>
      <c r="B747" t="s">
        <v>1291</v>
      </c>
      <c r="C747" t="s">
        <v>68</v>
      </c>
      <c r="D747" t="s">
        <v>29</v>
      </c>
      <c r="E747" t="s">
        <v>166</v>
      </c>
      <c r="F747" t="s">
        <v>70</v>
      </c>
      <c r="G747" t="s">
        <v>46</v>
      </c>
      <c r="H747" s="1">
        <v>44570</v>
      </c>
      <c r="I747" s="2">
        <v>44570.4375</v>
      </c>
      <c r="J747">
        <v>10.5</v>
      </c>
      <c r="K747" t="s">
        <v>24</v>
      </c>
      <c r="L747">
        <v>0</v>
      </c>
      <c r="M747">
        <v>3</v>
      </c>
      <c r="N747" t="s">
        <v>1067</v>
      </c>
      <c r="O747" s="3" t="str">
        <f>TEXT(Ticket_Table[[#This Row],[raised_date]],"YYYY-MM")</f>
        <v>2022-01</v>
      </c>
      <c r="P747" s="3" t="str">
        <f>IF(Ticket_Table[[#This Row],[resolution_hrs]]&lt;=4,"Fast",IF(Ticket_Table[[#This Row],[resolution_hrs]]&lt;=24,"Normal",IF(Ticket_Table[[#This Row],[resolution_hrs]]&lt;=48,"Slow","Very Slow")))</f>
        <v>Normal</v>
      </c>
      <c r="Q747" s="3">
        <f>YEAR(Ticket_Table[[#This Row],[raised_date]])</f>
        <v>2022</v>
      </c>
    </row>
    <row r="748" spans="1:17">
      <c r="A748" t="s">
        <v>1292</v>
      </c>
      <c r="B748" t="s">
        <v>722</v>
      </c>
      <c r="C748" t="s">
        <v>175</v>
      </c>
      <c r="D748" t="s">
        <v>43</v>
      </c>
      <c r="E748" t="s">
        <v>56</v>
      </c>
      <c r="F748" t="s">
        <v>38</v>
      </c>
      <c r="G748" t="s">
        <v>46</v>
      </c>
      <c r="H748" s="1">
        <v>44473</v>
      </c>
      <c r="I748" s="2">
        <v>44474.0875</v>
      </c>
      <c r="J748">
        <v>26.1</v>
      </c>
      <c r="K748" t="s">
        <v>32</v>
      </c>
      <c r="L748">
        <v>1</v>
      </c>
      <c r="M748">
        <v>4</v>
      </c>
      <c r="N748" t="s">
        <v>251</v>
      </c>
      <c r="O748" s="3" t="str">
        <f>TEXT(Ticket_Table[[#This Row],[raised_date]],"YYYY-MM")</f>
        <v>2021-10</v>
      </c>
      <c r="P748" s="3" t="str">
        <f>IF(Ticket_Table[[#This Row],[resolution_hrs]]&lt;=4,"Fast",IF(Ticket_Table[[#This Row],[resolution_hrs]]&lt;=24,"Normal",IF(Ticket_Table[[#This Row],[resolution_hrs]]&lt;=48,"Slow","Very Slow")))</f>
        <v>Slow</v>
      </c>
      <c r="Q748" s="3">
        <f>YEAR(Ticket_Table[[#This Row],[raised_date]])</f>
        <v>2021</v>
      </c>
    </row>
    <row r="749" spans="1:17">
      <c r="A749" t="s">
        <v>1293</v>
      </c>
      <c r="B749" t="s">
        <v>556</v>
      </c>
      <c r="C749" t="s">
        <v>261</v>
      </c>
      <c r="D749" t="s">
        <v>20</v>
      </c>
      <c r="E749" t="s">
        <v>44</v>
      </c>
      <c r="F749" t="s">
        <v>70</v>
      </c>
      <c r="G749" t="s">
        <v>23</v>
      </c>
      <c r="H749" s="1">
        <v>44326</v>
      </c>
      <c r="I749" s="2">
        <v>44327.4833333333</v>
      </c>
      <c r="J749">
        <v>35.6</v>
      </c>
      <c r="K749" t="s">
        <v>24</v>
      </c>
      <c r="L749">
        <v>0</v>
      </c>
      <c r="M749">
        <v>3</v>
      </c>
      <c r="N749" t="s">
        <v>810</v>
      </c>
      <c r="O749" s="3" t="str">
        <f>TEXT(Ticket_Table[[#This Row],[raised_date]],"YYYY-MM")</f>
        <v>2021-05</v>
      </c>
      <c r="P749" s="3" t="str">
        <f>IF(Ticket_Table[[#This Row],[resolution_hrs]]&lt;=4,"Fast",IF(Ticket_Table[[#This Row],[resolution_hrs]]&lt;=24,"Normal",IF(Ticket_Table[[#This Row],[resolution_hrs]]&lt;=48,"Slow","Very Slow")))</f>
        <v>Slow</v>
      </c>
      <c r="Q749" s="3">
        <f>YEAR(Ticket_Table[[#This Row],[raised_date]])</f>
        <v>2021</v>
      </c>
    </row>
    <row r="750" spans="1:17">
      <c r="A750" t="s">
        <v>1294</v>
      </c>
      <c r="B750" t="s">
        <v>398</v>
      </c>
      <c r="C750" t="s">
        <v>64</v>
      </c>
      <c r="D750" t="s">
        <v>43</v>
      </c>
      <c r="E750" t="s">
        <v>30</v>
      </c>
      <c r="F750" t="s">
        <v>70</v>
      </c>
      <c r="G750" t="s">
        <v>74</v>
      </c>
      <c r="H750" s="1">
        <v>45134</v>
      </c>
      <c r="I750" s="2">
        <v>45134.3666666667</v>
      </c>
      <c r="J750">
        <v>8.8</v>
      </c>
      <c r="K750" t="s">
        <v>24</v>
      </c>
      <c r="L750">
        <v>1</v>
      </c>
      <c r="M750">
        <v>3</v>
      </c>
      <c r="N750" t="s">
        <v>595</v>
      </c>
      <c r="O750" s="3" t="str">
        <f>TEXT(Ticket_Table[[#This Row],[raised_date]],"YYYY-MM")</f>
        <v>2023-07</v>
      </c>
      <c r="P750" s="3" t="str">
        <f>IF(Ticket_Table[[#This Row],[resolution_hrs]]&lt;=4,"Fast",IF(Ticket_Table[[#This Row],[resolution_hrs]]&lt;=24,"Normal",IF(Ticket_Table[[#This Row],[resolution_hrs]]&lt;=48,"Slow","Very Slow")))</f>
        <v>Normal</v>
      </c>
      <c r="Q750" s="3">
        <f>YEAR(Ticket_Table[[#This Row],[raised_date]])</f>
        <v>2023</v>
      </c>
    </row>
    <row r="751" spans="1:17">
      <c r="A751" t="s">
        <v>1295</v>
      </c>
      <c r="B751" t="s">
        <v>212</v>
      </c>
      <c r="C751" t="s">
        <v>261</v>
      </c>
      <c r="D751" t="s">
        <v>36</v>
      </c>
      <c r="E751" t="s">
        <v>30</v>
      </c>
      <c r="F751" t="s">
        <v>22</v>
      </c>
      <c r="G751" t="s">
        <v>31</v>
      </c>
      <c r="H751" s="1">
        <v>44272</v>
      </c>
      <c r="I751" s="2">
        <v>44275.05</v>
      </c>
      <c r="J751">
        <v>73.2</v>
      </c>
      <c r="K751" t="s">
        <v>32</v>
      </c>
      <c r="L751">
        <v>1</v>
      </c>
      <c r="M751">
        <v>3</v>
      </c>
      <c r="N751" t="s">
        <v>174</v>
      </c>
      <c r="O751" s="3" t="str">
        <f>TEXT(Ticket_Table[[#This Row],[raised_date]],"YYYY-MM")</f>
        <v>2021-03</v>
      </c>
      <c r="P751" s="3" t="str">
        <f>IF(Ticket_Table[[#This Row],[resolution_hrs]]&lt;=4,"Fast",IF(Ticket_Table[[#This Row],[resolution_hrs]]&lt;=24,"Normal",IF(Ticket_Table[[#This Row],[resolution_hrs]]&lt;=48,"Slow","Very Slow")))</f>
        <v>Very Slow</v>
      </c>
      <c r="Q751" s="3">
        <f>YEAR(Ticket_Table[[#This Row],[raised_date]])</f>
        <v>2021</v>
      </c>
    </row>
    <row r="752" spans="1:17">
      <c r="A752" t="s">
        <v>1296</v>
      </c>
      <c r="B752" t="s">
        <v>1297</v>
      </c>
      <c r="C752" t="s">
        <v>213</v>
      </c>
      <c r="D752" t="s">
        <v>43</v>
      </c>
      <c r="E752" t="s">
        <v>37</v>
      </c>
      <c r="F752" t="s">
        <v>45</v>
      </c>
      <c r="G752" t="s">
        <v>23</v>
      </c>
      <c r="H752" s="1">
        <v>44797</v>
      </c>
      <c r="I752" s="2">
        <v>44797.1791666667</v>
      </c>
      <c r="J752">
        <v>4.3</v>
      </c>
      <c r="K752" t="s">
        <v>32</v>
      </c>
      <c r="L752">
        <v>0</v>
      </c>
      <c r="M752">
        <v>3</v>
      </c>
      <c r="N752" t="s">
        <v>310</v>
      </c>
      <c r="O752" s="3" t="str">
        <f>TEXT(Ticket_Table[[#This Row],[raised_date]],"YYYY-MM")</f>
        <v>2022-08</v>
      </c>
      <c r="P752" s="3" t="str">
        <f>IF(Ticket_Table[[#This Row],[resolution_hrs]]&lt;=4,"Fast",IF(Ticket_Table[[#This Row],[resolution_hrs]]&lt;=24,"Normal",IF(Ticket_Table[[#This Row],[resolution_hrs]]&lt;=48,"Slow","Very Slow")))</f>
        <v>Normal</v>
      </c>
      <c r="Q752" s="3">
        <f>YEAR(Ticket_Table[[#This Row],[raised_date]])</f>
        <v>2022</v>
      </c>
    </row>
    <row r="753" spans="1:17">
      <c r="A753" t="s">
        <v>1298</v>
      </c>
      <c r="B753" t="s">
        <v>79</v>
      </c>
      <c r="C753" t="s">
        <v>261</v>
      </c>
      <c r="D753" t="s">
        <v>36</v>
      </c>
      <c r="E753" t="s">
        <v>83</v>
      </c>
      <c r="F753" t="s">
        <v>22</v>
      </c>
      <c r="G753" t="s">
        <v>23</v>
      </c>
      <c r="H753" s="1">
        <v>44609</v>
      </c>
      <c r="I753" s="2">
        <v>44612.0958333333</v>
      </c>
      <c r="J753">
        <v>74.3</v>
      </c>
      <c r="K753" t="s">
        <v>32</v>
      </c>
      <c r="L753">
        <v>0</v>
      </c>
      <c r="M753">
        <v>5</v>
      </c>
      <c r="N753" t="s">
        <v>200</v>
      </c>
      <c r="O753" s="3" t="str">
        <f>TEXT(Ticket_Table[[#This Row],[raised_date]],"YYYY-MM")</f>
        <v>2022-02</v>
      </c>
      <c r="P753" s="3" t="str">
        <f>IF(Ticket_Table[[#This Row],[resolution_hrs]]&lt;=4,"Fast",IF(Ticket_Table[[#This Row],[resolution_hrs]]&lt;=24,"Normal",IF(Ticket_Table[[#This Row],[resolution_hrs]]&lt;=48,"Slow","Very Slow")))</f>
        <v>Very Slow</v>
      </c>
      <c r="Q753" s="3">
        <f>YEAR(Ticket_Table[[#This Row],[raised_date]])</f>
        <v>2022</v>
      </c>
    </row>
    <row r="754" spans="1:17">
      <c r="A754" t="s">
        <v>1299</v>
      </c>
      <c r="B754" t="s">
        <v>981</v>
      </c>
      <c r="C754" t="s">
        <v>42</v>
      </c>
      <c r="D754" t="s">
        <v>43</v>
      </c>
      <c r="E754" t="s">
        <v>51</v>
      </c>
      <c r="F754" t="s">
        <v>22</v>
      </c>
      <c r="G754" t="s">
        <v>23</v>
      </c>
      <c r="H754" s="1">
        <v>44286</v>
      </c>
      <c r="I754" s="2">
        <v>44288.5916666667</v>
      </c>
      <c r="J754">
        <v>62.2</v>
      </c>
      <c r="K754" t="s">
        <v>24</v>
      </c>
      <c r="L754">
        <v>0</v>
      </c>
      <c r="M754">
        <v>5</v>
      </c>
      <c r="N754" t="s">
        <v>214</v>
      </c>
      <c r="O754" s="3" t="str">
        <f>TEXT(Ticket_Table[[#This Row],[raised_date]],"YYYY-MM")</f>
        <v>2021-03</v>
      </c>
      <c r="P754" s="3" t="str">
        <f>IF(Ticket_Table[[#This Row],[resolution_hrs]]&lt;=4,"Fast",IF(Ticket_Table[[#This Row],[resolution_hrs]]&lt;=24,"Normal",IF(Ticket_Table[[#This Row],[resolution_hrs]]&lt;=48,"Slow","Very Slow")))</f>
        <v>Very Slow</v>
      </c>
      <c r="Q754" s="3">
        <f>YEAR(Ticket_Table[[#This Row],[raised_date]])</f>
        <v>2021</v>
      </c>
    </row>
    <row r="755" spans="1:17">
      <c r="A755" t="s">
        <v>1300</v>
      </c>
      <c r="B755" t="s">
        <v>304</v>
      </c>
      <c r="C755" t="s">
        <v>133</v>
      </c>
      <c r="D755" t="s">
        <v>20</v>
      </c>
      <c r="E755" t="s">
        <v>37</v>
      </c>
      <c r="F755" t="s">
        <v>38</v>
      </c>
      <c r="G755" t="s">
        <v>31</v>
      </c>
      <c r="H755" s="1">
        <v>44605</v>
      </c>
      <c r="I755" s="2">
        <v>44605.7375</v>
      </c>
      <c r="J755">
        <v>17.7</v>
      </c>
      <c r="K755" t="s">
        <v>24</v>
      </c>
      <c r="L755">
        <v>0</v>
      </c>
      <c r="M755">
        <v>4</v>
      </c>
      <c r="N755" t="s">
        <v>1301</v>
      </c>
      <c r="O755" s="3" t="str">
        <f>TEXT(Ticket_Table[[#This Row],[raised_date]],"YYYY-MM")</f>
        <v>2022-02</v>
      </c>
      <c r="P755" s="3" t="str">
        <f>IF(Ticket_Table[[#This Row],[resolution_hrs]]&lt;=4,"Fast",IF(Ticket_Table[[#This Row],[resolution_hrs]]&lt;=24,"Normal",IF(Ticket_Table[[#This Row],[resolution_hrs]]&lt;=48,"Slow","Very Slow")))</f>
        <v>Normal</v>
      </c>
      <c r="Q755" s="3">
        <f>YEAR(Ticket_Table[[#This Row],[raised_date]])</f>
        <v>2022</v>
      </c>
    </row>
    <row r="756" spans="1:17">
      <c r="A756" t="s">
        <v>1302</v>
      </c>
      <c r="B756" t="s">
        <v>334</v>
      </c>
      <c r="C756" t="s">
        <v>140</v>
      </c>
      <c r="D756" t="s">
        <v>29</v>
      </c>
      <c r="E756" t="s">
        <v>166</v>
      </c>
      <c r="F756" t="s">
        <v>70</v>
      </c>
      <c r="G756" t="s">
        <v>23</v>
      </c>
      <c r="H756" s="1">
        <v>44282</v>
      </c>
      <c r="I756" s="2">
        <v>44284.5708333333</v>
      </c>
      <c r="J756">
        <v>61.7</v>
      </c>
      <c r="K756" t="s">
        <v>32</v>
      </c>
      <c r="L756">
        <v>0</v>
      </c>
      <c r="M756">
        <v>1</v>
      </c>
      <c r="N756" t="s">
        <v>756</v>
      </c>
      <c r="O756" s="3" t="str">
        <f>TEXT(Ticket_Table[[#This Row],[raised_date]],"YYYY-MM")</f>
        <v>2021-03</v>
      </c>
      <c r="P756" s="3" t="str">
        <f>IF(Ticket_Table[[#This Row],[resolution_hrs]]&lt;=4,"Fast",IF(Ticket_Table[[#This Row],[resolution_hrs]]&lt;=24,"Normal",IF(Ticket_Table[[#This Row],[resolution_hrs]]&lt;=48,"Slow","Very Slow")))</f>
        <v>Very Slow</v>
      </c>
      <c r="Q756" s="3">
        <f>YEAR(Ticket_Table[[#This Row],[raised_date]])</f>
        <v>2021</v>
      </c>
    </row>
    <row r="757" spans="1:17">
      <c r="A757" t="s">
        <v>1303</v>
      </c>
      <c r="B757" t="s">
        <v>652</v>
      </c>
      <c r="C757" t="s">
        <v>42</v>
      </c>
      <c r="D757" t="s">
        <v>20</v>
      </c>
      <c r="E757" t="s">
        <v>30</v>
      </c>
      <c r="F757" t="s">
        <v>70</v>
      </c>
      <c r="G757" t="s">
        <v>31</v>
      </c>
      <c r="H757" s="1">
        <v>44843</v>
      </c>
      <c r="I757" s="2">
        <v>44844.5416666667</v>
      </c>
      <c r="J757">
        <v>37</v>
      </c>
      <c r="K757" t="s">
        <v>24</v>
      </c>
      <c r="L757">
        <v>1</v>
      </c>
      <c r="M757">
        <v>4</v>
      </c>
      <c r="N757" t="s">
        <v>248</v>
      </c>
      <c r="O757" s="3" t="str">
        <f>TEXT(Ticket_Table[[#This Row],[raised_date]],"YYYY-MM")</f>
        <v>2022-10</v>
      </c>
      <c r="P757" s="3" t="str">
        <f>IF(Ticket_Table[[#This Row],[resolution_hrs]]&lt;=4,"Fast",IF(Ticket_Table[[#This Row],[resolution_hrs]]&lt;=24,"Normal",IF(Ticket_Table[[#This Row],[resolution_hrs]]&lt;=48,"Slow","Very Slow")))</f>
        <v>Slow</v>
      </c>
      <c r="Q757" s="3">
        <f>YEAR(Ticket_Table[[#This Row],[raised_date]])</f>
        <v>2022</v>
      </c>
    </row>
    <row r="758" spans="1:17">
      <c r="A758" t="s">
        <v>1304</v>
      </c>
      <c r="B758" t="s">
        <v>432</v>
      </c>
      <c r="C758" t="s">
        <v>133</v>
      </c>
      <c r="D758" t="s">
        <v>36</v>
      </c>
      <c r="E758" t="s">
        <v>56</v>
      </c>
      <c r="F758" t="s">
        <v>70</v>
      </c>
      <c r="G758" t="s">
        <v>23</v>
      </c>
      <c r="H758" s="1">
        <v>44832</v>
      </c>
      <c r="I758" s="2">
        <v>44833.2</v>
      </c>
      <c r="J758">
        <v>28.8</v>
      </c>
      <c r="K758" t="s">
        <v>24</v>
      </c>
      <c r="L758">
        <v>3</v>
      </c>
      <c r="M758">
        <v>4</v>
      </c>
      <c r="N758" t="s">
        <v>335</v>
      </c>
      <c r="O758" s="3" t="str">
        <f>TEXT(Ticket_Table[[#This Row],[raised_date]],"YYYY-MM")</f>
        <v>2022-09</v>
      </c>
      <c r="P758" s="3" t="str">
        <f>IF(Ticket_Table[[#This Row],[resolution_hrs]]&lt;=4,"Fast",IF(Ticket_Table[[#This Row],[resolution_hrs]]&lt;=24,"Normal",IF(Ticket_Table[[#This Row],[resolution_hrs]]&lt;=48,"Slow","Very Slow")))</f>
        <v>Slow</v>
      </c>
      <c r="Q758" s="3">
        <f>YEAR(Ticket_Table[[#This Row],[raised_date]])</f>
        <v>2022</v>
      </c>
    </row>
    <row r="759" spans="1:17">
      <c r="A759" t="s">
        <v>1305</v>
      </c>
      <c r="B759" t="s">
        <v>355</v>
      </c>
      <c r="C759" t="s">
        <v>42</v>
      </c>
      <c r="D759" t="s">
        <v>90</v>
      </c>
      <c r="E759" t="s">
        <v>83</v>
      </c>
      <c r="F759" t="s">
        <v>38</v>
      </c>
      <c r="G759" t="s">
        <v>31</v>
      </c>
      <c r="H759" s="1">
        <v>45252</v>
      </c>
      <c r="I759" s="2">
        <v>45252.7625</v>
      </c>
      <c r="J759">
        <v>18.3</v>
      </c>
      <c r="K759" t="s">
        <v>24</v>
      </c>
      <c r="L759">
        <v>2</v>
      </c>
      <c r="M759">
        <v>4</v>
      </c>
      <c r="N759" t="s">
        <v>401</v>
      </c>
      <c r="O759" s="3" t="str">
        <f>TEXT(Ticket_Table[[#This Row],[raised_date]],"YYYY-MM")</f>
        <v>2023-11</v>
      </c>
      <c r="P759" s="3" t="str">
        <f>IF(Ticket_Table[[#This Row],[resolution_hrs]]&lt;=4,"Fast",IF(Ticket_Table[[#This Row],[resolution_hrs]]&lt;=24,"Normal",IF(Ticket_Table[[#This Row],[resolution_hrs]]&lt;=48,"Slow","Very Slow")))</f>
        <v>Normal</v>
      </c>
      <c r="Q759" s="3">
        <f>YEAR(Ticket_Table[[#This Row],[raised_date]])</f>
        <v>2023</v>
      </c>
    </row>
    <row r="760" spans="1:17">
      <c r="A760" t="s">
        <v>1306</v>
      </c>
      <c r="B760" t="s">
        <v>280</v>
      </c>
      <c r="C760" t="s">
        <v>175</v>
      </c>
      <c r="D760" t="s">
        <v>20</v>
      </c>
      <c r="E760" t="s">
        <v>83</v>
      </c>
      <c r="F760" t="s">
        <v>22</v>
      </c>
      <c r="G760" t="s">
        <v>31</v>
      </c>
      <c r="H760" s="1">
        <v>45012</v>
      </c>
      <c r="I760" s="2">
        <v>45016.3708333333</v>
      </c>
      <c r="J760">
        <v>104.9</v>
      </c>
      <c r="K760" t="s">
        <v>32</v>
      </c>
      <c r="L760">
        <v>1</v>
      </c>
      <c r="M760">
        <v>4</v>
      </c>
      <c r="N760" t="s">
        <v>886</v>
      </c>
      <c r="O760" s="3" t="str">
        <f>TEXT(Ticket_Table[[#This Row],[raised_date]],"YYYY-MM")</f>
        <v>2023-03</v>
      </c>
      <c r="P760" s="3" t="str">
        <f>IF(Ticket_Table[[#This Row],[resolution_hrs]]&lt;=4,"Fast",IF(Ticket_Table[[#This Row],[resolution_hrs]]&lt;=24,"Normal",IF(Ticket_Table[[#This Row],[resolution_hrs]]&lt;=48,"Slow","Very Slow")))</f>
        <v>Very Slow</v>
      </c>
      <c r="Q760" s="3">
        <f>YEAR(Ticket_Table[[#This Row],[raised_date]])</f>
        <v>2023</v>
      </c>
    </row>
    <row r="761" spans="1:17">
      <c r="A761" t="s">
        <v>1307</v>
      </c>
      <c r="B761" t="s">
        <v>462</v>
      </c>
      <c r="C761" t="s">
        <v>95</v>
      </c>
      <c r="D761" t="s">
        <v>43</v>
      </c>
      <c r="E761" t="s">
        <v>51</v>
      </c>
      <c r="F761" t="s">
        <v>38</v>
      </c>
      <c r="G761" t="s">
        <v>46</v>
      </c>
      <c r="H761" s="1">
        <v>45166</v>
      </c>
      <c r="I761" s="2">
        <v>45166.9416666667</v>
      </c>
      <c r="J761">
        <v>22.6</v>
      </c>
      <c r="K761" t="s">
        <v>24</v>
      </c>
      <c r="L761">
        <v>0</v>
      </c>
      <c r="M761">
        <v>1</v>
      </c>
      <c r="N761" t="s">
        <v>873</v>
      </c>
      <c r="O761" s="3" t="str">
        <f>TEXT(Ticket_Table[[#This Row],[raised_date]],"YYYY-MM")</f>
        <v>2023-08</v>
      </c>
      <c r="P761" s="3" t="str">
        <f>IF(Ticket_Table[[#This Row],[resolution_hrs]]&lt;=4,"Fast",IF(Ticket_Table[[#This Row],[resolution_hrs]]&lt;=24,"Normal",IF(Ticket_Table[[#This Row],[resolution_hrs]]&lt;=48,"Slow","Very Slow")))</f>
        <v>Normal</v>
      </c>
      <c r="Q761" s="3">
        <f>YEAR(Ticket_Table[[#This Row],[raised_date]])</f>
        <v>2023</v>
      </c>
    </row>
    <row r="762" spans="1:17">
      <c r="A762" t="s">
        <v>1308</v>
      </c>
      <c r="B762" t="s">
        <v>146</v>
      </c>
      <c r="C762" t="s">
        <v>95</v>
      </c>
      <c r="D762" t="s">
        <v>29</v>
      </c>
      <c r="E762" t="s">
        <v>56</v>
      </c>
      <c r="F762" t="s">
        <v>70</v>
      </c>
      <c r="G762" t="s">
        <v>74</v>
      </c>
      <c r="H762" s="1">
        <v>44715</v>
      </c>
      <c r="I762" s="2">
        <v>44716.0833333333</v>
      </c>
      <c r="J762">
        <v>26</v>
      </c>
      <c r="K762" t="s">
        <v>24</v>
      </c>
      <c r="L762">
        <v>0</v>
      </c>
      <c r="M762">
        <v>4</v>
      </c>
      <c r="N762" t="s">
        <v>289</v>
      </c>
      <c r="O762" s="3" t="str">
        <f>TEXT(Ticket_Table[[#This Row],[raised_date]],"YYYY-MM")</f>
        <v>2022-06</v>
      </c>
      <c r="P762" s="3" t="str">
        <f>IF(Ticket_Table[[#This Row],[resolution_hrs]]&lt;=4,"Fast",IF(Ticket_Table[[#This Row],[resolution_hrs]]&lt;=24,"Normal",IF(Ticket_Table[[#This Row],[resolution_hrs]]&lt;=48,"Slow","Very Slow")))</f>
        <v>Slow</v>
      </c>
      <c r="Q762" s="3">
        <f>YEAR(Ticket_Table[[#This Row],[raised_date]])</f>
        <v>2022</v>
      </c>
    </row>
    <row r="763" spans="1:17">
      <c r="A763" t="s">
        <v>1309</v>
      </c>
      <c r="B763" t="s">
        <v>383</v>
      </c>
      <c r="C763" t="s">
        <v>140</v>
      </c>
      <c r="D763" t="s">
        <v>43</v>
      </c>
      <c r="E763" t="s">
        <v>21</v>
      </c>
      <c r="F763" t="s">
        <v>70</v>
      </c>
      <c r="G763" t="s">
        <v>31</v>
      </c>
      <c r="H763" s="1">
        <v>44271</v>
      </c>
      <c r="I763" s="2">
        <v>44273.9333333333</v>
      </c>
      <c r="J763">
        <v>70.4</v>
      </c>
      <c r="K763" t="s">
        <v>32</v>
      </c>
      <c r="L763">
        <v>0</v>
      </c>
      <c r="M763">
        <v>4</v>
      </c>
      <c r="N763" t="s">
        <v>1202</v>
      </c>
      <c r="O763" s="3" t="str">
        <f>TEXT(Ticket_Table[[#This Row],[raised_date]],"YYYY-MM")</f>
        <v>2021-03</v>
      </c>
      <c r="P763" s="3" t="str">
        <f>IF(Ticket_Table[[#This Row],[resolution_hrs]]&lt;=4,"Fast",IF(Ticket_Table[[#This Row],[resolution_hrs]]&lt;=24,"Normal",IF(Ticket_Table[[#This Row],[resolution_hrs]]&lt;=48,"Slow","Very Slow")))</f>
        <v>Very Slow</v>
      </c>
      <c r="Q763" s="3">
        <f>YEAR(Ticket_Table[[#This Row],[raised_date]])</f>
        <v>2021</v>
      </c>
    </row>
    <row r="764" spans="1:17">
      <c r="A764" t="s">
        <v>1310</v>
      </c>
      <c r="B764" t="s">
        <v>720</v>
      </c>
      <c r="C764" t="s">
        <v>117</v>
      </c>
      <c r="D764" t="s">
        <v>43</v>
      </c>
      <c r="E764" t="s">
        <v>51</v>
      </c>
      <c r="F764" t="s">
        <v>70</v>
      </c>
      <c r="G764" t="s">
        <v>31</v>
      </c>
      <c r="H764" s="1">
        <v>44588</v>
      </c>
      <c r="I764" s="2">
        <v>44588.9916666667</v>
      </c>
      <c r="J764">
        <v>23.8</v>
      </c>
      <c r="K764" t="s">
        <v>24</v>
      </c>
      <c r="L764">
        <v>0</v>
      </c>
      <c r="M764">
        <v>5</v>
      </c>
      <c r="N764" t="s">
        <v>710</v>
      </c>
      <c r="O764" s="3" t="str">
        <f>TEXT(Ticket_Table[[#This Row],[raised_date]],"YYYY-MM")</f>
        <v>2022-01</v>
      </c>
      <c r="P764" s="3" t="str">
        <f>IF(Ticket_Table[[#This Row],[resolution_hrs]]&lt;=4,"Fast",IF(Ticket_Table[[#This Row],[resolution_hrs]]&lt;=24,"Normal",IF(Ticket_Table[[#This Row],[resolution_hrs]]&lt;=48,"Slow","Very Slow")))</f>
        <v>Normal</v>
      </c>
      <c r="Q764" s="3">
        <f>YEAR(Ticket_Table[[#This Row],[raised_date]])</f>
        <v>2022</v>
      </c>
    </row>
    <row r="765" spans="1:17">
      <c r="A765" t="s">
        <v>1311</v>
      </c>
      <c r="B765" t="s">
        <v>1080</v>
      </c>
      <c r="C765" t="s">
        <v>82</v>
      </c>
      <c r="D765" t="s">
        <v>20</v>
      </c>
      <c r="E765" t="s">
        <v>83</v>
      </c>
      <c r="F765" t="s">
        <v>22</v>
      </c>
      <c r="G765" t="s">
        <v>31</v>
      </c>
      <c r="H765" s="1">
        <v>44782</v>
      </c>
      <c r="I765" s="2">
        <v>44782.1666666667</v>
      </c>
      <c r="J765">
        <v>4</v>
      </c>
      <c r="K765" t="s">
        <v>24</v>
      </c>
      <c r="L765">
        <v>0</v>
      </c>
      <c r="M765">
        <v>4</v>
      </c>
      <c r="N765" t="s">
        <v>608</v>
      </c>
      <c r="O765" s="3" t="str">
        <f>TEXT(Ticket_Table[[#This Row],[raised_date]],"YYYY-MM")</f>
        <v>2022-08</v>
      </c>
      <c r="P765" s="3" t="str">
        <f>IF(Ticket_Table[[#This Row],[resolution_hrs]]&lt;=4,"Fast",IF(Ticket_Table[[#This Row],[resolution_hrs]]&lt;=24,"Normal",IF(Ticket_Table[[#This Row],[resolution_hrs]]&lt;=48,"Slow","Very Slow")))</f>
        <v>Fast</v>
      </c>
      <c r="Q765" s="3">
        <f>YEAR(Ticket_Table[[#This Row],[raised_date]])</f>
        <v>2022</v>
      </c>
    </row>
    <row r="766" spans="1:17">
      <c r="A766" t="s">
        <v>1312</v>
      </c>
      <c r="B766" t="s">
        <v>680</v>
      </c>
      <c r="C766" t="s">
        <v>78</v>
      </c>
      <c r="D766" t="s">
        <v>29</v>
      </c>
      <c r="E766" t="s">
        <v>166</v>
      </c>
      <c r="F766" t="s">
        <v>38</v>
      </c>
      <c r="G766" t="s">
        <v>31</v>
      </c>
      <c r="H766" s="1">
        <v>44928</v>
      </c>
      <c r="I766" s="2">
        <v>44928.1083333333</v>
      </c>
      <c r="J766">
        <v>2.6</v>
      </c>
      <c r="K766" t="s">
        <v>24</v>
      </c>
      <c r="L766">
        <v>0</v>
      </c>
      <c r="M766">
        <v>3</v>
      </c>
      <c r="N766" t="s">
        <v>536</v>
      </c>
      <c r="O766" s="3" t="str">
        <f>TEXT(Ticket_Table[[#This Row],[raised_date]],"YYYY-MM")</f>
        <v>2023-01</v>
      </c>
      <c r="P766" s="3" t="str">
        <f>IF(Ticket_Table[[#This Row],[resolution_hrs]]&lt;=4,"Fast",IF(Ticket_Table[[#This Row],[resolution_hrs]]&lt;=24,"Normal",IF(Ticket_Table[[#This Row],[resolution_hrs]]&lt;=48,"Slow","Very Slow")))</f>
        <v>Fast</v>
      </c>
      <c r="Q766" s="3">
        <f>YEAR(Ticket_Table[[#This Row],[raised_date]])</f>
        <v>2023</v>
      </c>
    </row>
    <row r="767" spans="1:17">
      <c r="A767" t="s">
        <v>1313</v>
      </c>
      <c r="B767" t="s">
        <v>214</v>
      </c>
      <c r="C767" t="s">
        <v>82</v>
      </c>
      <c r="D767" t="s">
        <v>90</v>
      </c>
      <c r="E767" t="s">
        <v>69</v>
      </c>
      <c r="F767" t="s">
        <v>70</v>
      </c>
      <c r="G767" t="s">
        <v>23</v>
      </c>
      <c r="H767" s="1">
        <v>44294</v>
      </c>
      <c r="I767" s="2">
        <v>44296.5166666667</v>
      </c>
      <c r="J767">
        <v>60.4</v>
      </c>
      <c r="K767" t="s">
        <v>32</v>
      </c>
      <c r="L767">
        <v>1</v>
      </c>
      <c r="M767">
        <v>4</v>
      </c>
      <c r="N767" t="s">
        <v>562</v>
      </c>
      <c r="O767" s="3" t="str">
        <f>TEXT(Ticket_Table[[#This Row],[raised_date]],"YYYY-MM")</f>
        <v>2021-04</v>
      </c>
      <c r="P767" s="3" t="str">
        <f>IF(Ticket_Table[[#This Row],[resolution_hrs]]&lt;=4,"Fast",IF(Ticket_Table[[#This Row],[resolution_hrs]]&lt;=24,"Normal",IF(Ticket_Table[[#This Row],[resolution_hrs]]&lt;=48,"Slow","Very Slow")))</f>
        <v>Very Slow</v>
      </c>
      <c r="Q767" s="3">
        <f>YEAR(Ticket_Table[[#This Row],[raised_date]])</f>
        <v>2021</v>
      </c>
    </row>
    <row r="768" spans="1:17">
      <c r="A768" t="s">
        <v>1314</v>
      </c>
      <c r="B768" t="s">
        <v>89</v>
      </c>
      <c r="C768" t="s">
        <v>28</v>
      </c>
      <c r="D768" t="s">
        <v>43</v>
      </c>
      <c r="E768" t="s">
        <v>69</v>
      </c>
      <c r="F768" t="s">
        <v>70</v>
      </c>
      <c r="G768" t="s">
        <v>23</v>
      </c>
      <c r="H768" s="1">
        <v>44876</v>
      </c>
      <c r="I768" s="2">
        <v>44877.075</v>
      </c>
      <c r="J768">
        <v>25.8</v>
      </c>
      <c r="K768" t="s">
        <v>24</v>
      </c>
      <c r="L768">
        <v>2</v>
      </c>
      <c r="M768">
        <v>4</v>
      </c>
      <c r="N768" t="s">
        <v>420</v>
      </c>
      <c r="O768" s="3" t="str">
        <f>TEXT(Ticket_Table[[#This Row],[raised_date]],"YYYY-MM")</f>
        <v>2022-11</v>
      </c>
      <c r="P768" s="3" t="str">
        <f>IF(Ticket_Table[[#This Row],[resolution_hrs]]&lt;=4,"Fast",IF(Ticket_Table[[#This Row],[resolution_hrs]]&lt;=24,"Normal",IF(Ticket_Table[[#This Row],[resolution_hrs]]&lt;=48,"Slow","Very Slow")))</f>
        <v>Slow</v>
      </c>
      <c r="Q768" s="3">
        <f>YEAR(Ticket_Table[[#This Row],[raised_date]])</f>
        <v>2022</v>
      </c>
    </row>
    <row r="769" spans="1:17">
      <c r="A769" t="s">
        <v>1315</v>
      </c>
      <c r="B769" t="s">
        <v>255</v>
      </c>
      <c r="C769" t="s">
        <v>102</v>
      </c>
      <c r="D769" t="s">
        <v>29</v>
      </c>
      <c r="E769" t="s">
        <v>30</v>
      </c>
      <c r="F769" t="s">
        <v>70</v>
      </c>
      <c r="G769" t="s">
        <v>91</v>
      </c>
      <c r="H769" s="1">
        <v>44756</v>
      </c>
      <c r="I769" s="2">
        <v>44758.2375</v>
      </c>
      <c r="J769">
        <v>53.7</v>
      </c>
      <c r="K769" t="s">
        <v>32</v>
      </c>
      <c r="L769">
        <v>2</v>
      </c>
      <c r="M769">
        <v>3</v>
      </c>
      <c r="N769" t="s">
        <v>474</v>
      </c>
      <c r="O769" s="3" t="str">
        <f>TEXT(Ticket_Table[[#This Row],[raised_date]],"YYYY-MM")</f>
        <v>2022-07</v>
      </c>
      <c r="P769" s="3" t="str">
        <f>IF(Ticket_Table[[#This Row],[resolution_hrs]]&lt;=4,"Fast",IF(Ticket_Table[[#This Row],[resolution_hrs]]&lt;=24,"Normal",IF(Ticket_Table[[#This Row],[resolution_hrs]]&lt;=48,"Slow","Very Slow")))</f>
        <v>Very Slow</v>
      </c>
      <c r="Q769" s="3">
        <f>YEAR(Ticket_Table[[#This Row],[raised_date]])</f>
        <v>2022</v>
      </c>
    </row>
    <row r="770" spans="1:17">
      <c r="A770" t="s">
        <v>1316</v>
      </c>
      <c r="B770" t="s">
        <v>1216</v>
      </c>
      <c r="C770" t="s">
        <v>50</v>
      </c>
      <c r="D770" t="s">
        <v>90</v>
      </c>
      <c r="E770" t="s">
        <v>83</v>
      </c>
      <c r="F770" t="s">
        <v>45</v>
      </c>
      <c r="G770" t="s">
        <v>31</v>
      </c>
      <c r="H770" s="1">
        <v>44451</v>
      </c>
      <c r="I770" s="2">
        <v>44451.0458333333</v>
      </c>
      <c r="J770">
        <v>1.1</v>
      </c>
      <c r="K770" t="s">
        <v>24</v>
      </c>
      <c r="L770">
        <v>0</v>
      </c>
      <c r="M770">
        <v>4</v>
      </c>
      <c r="N770" t="s">
        <v>315</v>
      </c>
      <c r="O770" s="3" t="str">
        <f>TEXT(Ticket_Table[[#This Row],[raised_date]],"YYYY-MM")</f>
        <v>2021-09</v>
      </c>
      <c r="P770" s="3" t="str">
        <f>IF(Ticket_Table[[#This Row],[resolution_hrs]]&lt;=4,"Fast",IF(Ticket_Table[[#This Row],[resolution_hrs]]&lt;=24,"Normal",IF(Ticket_Table[[#This Row],[resolution_hrs]]&lt;=48,"Slow","Very Slow")))</f>
        <v>Fast</v>
      </c>
      <c r="Q770" s="3">
        <f>YEAR(Ticket_Table[[#This Row],[raised_date]])</f>
        <v>2021</v>
      </c>
    </row>
    <row r="771" spans="1:17">
      <c r="A771" t="s">
        <v>1317</v>
      </c>
      <c r="B771" t="s">
        <v>267</v>
      </c>
      <c r="C771" t="s">
        <v>133</v>
      </c>
      <c r="D771" t="s">
        <v>43</v>
      </c>
      <c r="E771" t="s">
        <v>166</v>
      </c>
      <c r="F771" t="s">
        <v>70</v>
      </c>
      <c r="G771" t="s">
        <v>23</v>
      </c>
      <c r="H771" s="1">
        <v>44950</v>
      </c>
      <c r="I771" s="2">
        <v>44952.6791666667</v>
      </c>
      <c r="J771">
        <v>64.3</v>
      </c>
      <c r="K771" t="s">
        <v>32</v>
      </c>
      <c r="L771">
        <v>2</v>
      </c>
      <c r="M771">
        <v>3</v>
      </c>
      <c r="N771" t="s">
        <v>1039</v>
      </c>
      <c r="O771" s="3" t="str">
        <f>TEXT(Ticket_Table[[#This Row],[raised_date]],"YYYY-MM")</f>
        <v>2023-01</v>
      </c>
      <c r="P771" s="3" t="str">
        <f>IF(Ticket_Table[[#This Row],[resolution_hrs]]&lt;=4,"Fast",IF(Ticket_Table[[#This Row],[resolution_hrs]]&lt;=24,"Normal",IF(Ticket_Table[[#This Row],[resolution_hrs]]&lt;=48,"Slow","Very Slow")))</f>
        <v>Very Slow</v>
      </c>
      <c r="Q771" s="3">
        <f>YEAR(Ticket_Table[[#This Row],[raised_date]])</f>
        <v>2023</v>
      </c>
    </row>
    <row r="772" spans="1:17">
      <c r="A772" t="s">
        <v>1318</v>
      </c>
      <c r="B772" t="s">
        <v>942</v>
      </c>
      <c r="C772" t="s">
        <v>102</v>
      </c>
      <c r="D772" t="s">
        <v>29</v>
      </c>
      <c r="E772" t="s">
        <v>51</v>
      </c>
      <c r="F772" t="s">
        <v>45</v>
      </c>
      <c r="G772" t="s">
        <v>23</v>
      </c>
      <c r="H772" s="1">
        <v>45091</v>
      </c>
      <c r="I772" s="2">
        <v>45091.1125</v>
      </c>
      <c r="J772">
        <v>2.7</v>
      </c>
      <c r="K772" t="s">
        <v>24</v>
      </c>
      <c r="L772">
        <v>0</v>
      </c>
      <c r="M772">
        <v>1</v>
      </c>
      <c r="N772" t="s">
        <v>917</v>
      </c>
      <c r="O772" s="3" t="str">
        <f>TEXT(Ticket_Table[[#This Row],[raised_date]],"YYYY-MM")</f>
        <v>2023-06</v>
      </c>
      <c r="P772" s="3" t="str">
        <f>IF(Ticket_Table[[#This Row],[resolution_hrs]]&lt;=4,"Fast",IF(Ticket_Table[[#This Row],[resolution_hrs]]&lt;=24,"Normal",IF(Ticket_Table[[#This Row],[resolution_hrs]]&lt;=48,"Slow","Very Slow")))</f>
        <v>Fast</v>
      </c>
      <c r="Q772" s="3">
        <f>YEAR(Ticket_Table[[#This Row],[raised_date]])</f>
        <v>2023</v>
      </c>
    </row>
    <row r="773" spans="1:17">
      <c r="A773" t="s">
        <v>1319</v>
      </c>
      <c r="B773" t="s">
        <v>214</v>
      </c>
      <c r="C773" t="s">
        <v>140</v>
      </c>
      <c r="D773" t="s">
        <v>20</v>
      </c>
      <c r="E773" t="s">
        <v>166</v>
      </c>
      <c r="F773" t="s">
        <v>70</v>
      </c>
      <c r="G773" t="s">
        <v>23</v>
      </c>
      <c r="H773" s="1">
        <v>45016</v>
      </c>
      <c r="I773" s="2">
        <v>45016.3291666667</v>
      </c>
      <c r="J773">
        <v>7.9</v>
      </c>
      <c r="K773" t="s">
        <v>24</v>
      </c>
      <c r="L773">
        <v>0</v>
      </c>
      <c r="M773">
        <v>3</v>
      </c>
      <c r="N773" t="s">
        <v>240</v>
      </c>
      <c r="O773" s="3" t="str">
        <f>TEXT(Ticket_Table[[#This Row],[raised_date]],"YYYY-MM")</f>
        <v>2023-03</v>
      </c>
      <c r="P773" s="3" t="str">
        <f>IF(Ticket_Table[[#This Row],[resolution_hrs]]&lt;=4,"Fast",IF(Ticket_Table[[#This Row],[resolution_hrs]]&lt;=24,"Normal",IF(Ticket_Table[[#This Row],[resolution_hrs]]&lt;=48,"Slow","Very Slow")))</f>
        <v>Normal</v>
      </c>
      <c r="Q773" s="3">
        <f>YEAR(Ticket_Table[[#This Row],[raised_date]])</f>
        <v>2023</v>
      </c>
    </row>
    <row r="774" spans="1:17">
      <c r="A774" t="s">
        <v>1320</v>
      </c>
      <c r="B774" t="s">
        <v>1301</v>
      </c>
      <c r="C774" t="s">
        <v>213</v>
      </c>
      <c r="D774" t="s">
        <v>43</v>
      </c>
      <c r="E774" t="s">
        <v>106</v>
      </c>
      <c r="F774" t="s">
        <v>22</v>
      </c>
      <c r="G774" t="s">
        <v>23</v>
      </c>
      <c r="H774" s="1">
        <v>45097</v>
      </c>
      <c r="I774" s="2">
        <v>45098.5791666667</v>
      </c>
      <c r="J774">
        <v>37.9</v>
      </c>
      <c r="K774" t="s">
        <v>24</v>
      </c>
      <c r="L774">
        <v>0</v>
      </c>
      <c r="M774">
        <v>3</v>
      </c>
      <c r="N774" t="s">
        <v>899</v>
      </c>
      <c r="O774" s="3" t="str">
        <f>TEXT(Ticket_Table[[#This Row],[raised_date]],"YYYY-MM")</f>
        <v>2023-06</v>
      </c>
      <c r="P774" s="3" t="str">
        <f>IF(Ticket_Table[[#This Row],[resolution_hrs]]&lt;=4,"Fast",IF(Ticket_Table[[#This Row],[resolution_hrs]]&lt;=24,"Normal",IF(Ticket_Table[[#This Row],[resolution_hrs]]&lt;=48,"Slow","Very Slow")))</f>
        <v>Slow</v>
      </c>
      <c r="Q774" s="3">
        <f>YEAR(Ticket_Table[[#This Row],[raised_date]])</f>
        <v>2023</v>
      </c>
    </row>
    <row r="775" spans="1:17">
      <c r="A775" t="s">
        <v>1321</v>
      </c>
      <c r="B775" t="s">
        <v>151</v>
      </c>
      <c r="C775" t="s">
        <v>95</v>
      </c>
      <c r="D775" t="s">
        <v>43</v>
      </c>
      <c r="E775" t="s">
        <v>51</v>
      </c>
      <c r="F775" t="s">
        <v>22</v>
      </c>
      <c r="G775" t="s">
        <v>23</v>
      </c>
      <c r="H775" s="1">
        <v>44988</v>
      </c>
      <c r="I775" s="2">
        <v>44989.6333333333</v>
      </c>
      <c r="J775">
        <v>39.2</v>
      </c>
      <c r="K775" t="s">
        <v>24</v>
      </c>
      <c r="L775">
        <v>0</v>
      </c>
      <c r="M775">
        <v>1</v>
      </c>
      <c r="N775" t="s">
        <v>935</v>
      </c>
      <c r="O775" s="3" t="str">
        <f>TEXT(Ticket_Table[[#This Row],[raised_date]],"YYYY-MM")</f>
        <v>2023-03</v>
      </c>
      <c r="P775" s="3" t="str">
        <f>IF(Ticket_Table[[#This Row],[resolution_hrs]]&lt;=4,"Fast",IF(Ticket_Table[[#This Row],[resolution_hrs]]&lt;=24,"Normal",IF(Ticket_Table[[#This Row],[resolution_hrs]]&lt;=48,"Slow","Very Slow")))</f>
        <v>Slow</v>
      </c>
      <c r="Q775" s="3">
        <f>YEAR(Ticket_Table[[#This Row],[raised_date]])</f>
        <v>2023</v>
      </c>
    </row>
    <row r="776" spans="1:17">
      <c r="A776" t="s">
        <v>1322</v>
      </c>
      <c r="B776" t="s">
        <v>1107</v>
      </c>
      <c r="C776" t="s">
        <v>213</v>
      </c>
      <c r="D776" t="s">
        <v>29</v>
      </c>
      <c r="E776" t="s">
        <v>44</v>
      </c>
      <c r="F776" t="s">
        <v>70</v>
      </c>
      <c r="G776" t="s">
        <v>23</v>
      </c>
      <c r="H776" s="1">
        <v>44891</v>
      </c>
      <c r="I776" s="2">
        <v>44892.0791666667</v>
      </c>
      <c r="J776">
        <v>25.9</v>
      </c>
      <c r="K776" t="s">
        <v>24</v>
      </c>
      <c r="L776">
        <v>2</v>
      </c>
      <c r="M776">
        <v>4</v>
      </c>
      <c r="N776" t="s">
        <v>708</v>
      </c>
      <c r="O776" s="3" t="str">
        <f>TEXT(Ticket_Table[[#This Row],[raised_date]],"YYYY-MM")</f>
        <v>2022-11</v>
      </c>
      <c r="P776" s="3" t="str">
        <f>IF(Ticket_Table[[#This Row],[resolution_hrs]]&lt;=4,"Fast",IF(Ticket_Table[[#This Row],[resolution_hrs]]&lt;=24,"Normal",IF(Ticket_Table[[#This Row],[resolution_hrs]]&lt;=48,"Slow","Very Slow")))</f>
        <v>Slow</v>
      </c>
      <c r="Q776" s="3">
        <f>YEAR(Ticket_Table[[#This Row],[raised_date]])</f>
        <v>2022</v>
      </c>
    </row>
    <row r="777" spans="1:17">
      <c r="A777" t="s">
        <v>1323</v>
      </c>
      <c r="B777" t="s">
        <v>853</v>
      </c>
      <c r="C777" t="s">
        <v>78</v>
      </c>
      <c r="D777" t="s">
        <v>43</v>
      </c>
      <c r="E777" t="s">
        <v>51</v>
      </c>
      <c r="F777" t="s">
        <v>22</v>
      </c>
      <c r="G777" t="s">
        <v>74</v>
      </c>
      <c r="H777" s="1">
        <v>44579</v>
      </c>
      <c r="I777" s="2">
        <v>44581.9916666667</v>
      </c>
      <c r="J777">
        <v>71.8</v>
      </c>
      <c r="K777" t="s">
        <v>24</v>
      </c>
      <c r="L777">
        <v>0</v>
      </c>
      <c r="M777">
        <v>2</v>
      </c>
      <c r="N777" t="s">
        <v>594</v>
      </c>
      <c r="O777" s="3" t="str">
        <f>TEXT(Ticket_Table[[#This Row],[raised_date]],"YYYY-MM")</f>
        <v>2022-01</v>
      </c>
      <c r="P777" s="3" t="str">
        <f>IF(Ticket_Table[[#This Row],[resolution_hrs]]&lt;=4,"Fast",IF(Ticket_Table[[#This Row],[resolution_hrs]]&lt;=24,"Normal",IF(Ticket_Table[[#This Row],[resolution_hrs]]&lt;=48,"Slow","Very Slow")))</f>
        <v>Very Slow</v>
      </c>
      <c r="Q777" s="3">
        <f>YEAR(Ticket_Table[[#This Row],[raised_date]])</f>
        <v>2022</v>
      </c>
    </row>
    <row r="778" spans="1:17">
      <c r="A778" t="s">
        <v>1324</v>
      </c>
      <c r="B778" t="s">
        <v>59</v>
      </c>
      <c r="C778" t="s">
        <v>201</v>
      </c>
      <c r="D778" t="s">
        <v>90</v>
      </c>
      <c r="E778" t="s">
        <v>30</v>
      </c>
      <c r="F778" t="s">
        <v>22</v>
      </c>
      <c r="G778" t="s">
        <v>31</v>
      </c>
      <c r="H778" s="1">
        <v>45213</v>
      </c>
      <c r="I778" s="2">
        <v>45214.1458333333</v>
      </c>
      <c r="J778">
        <v>27.5</v>
      </c>
      <c r="K778" t="s">
        <v>24</v>
      </c>
      <c r="L778">
        <v>0</v>
      </c>
      <c r="M778">
        <v>4</v>
      </c>
      <c r="N778" t="s">
        <v>796</v>
      </c>
      <c r="O778" s="3" t="str">
        <f>TEXT(Ticket_Table[[#This Row],[raised_date]],"YYYY-MM")</f>
        <v>2023-10</v>
      </c>
      <c r="P778" s="3" t="str">
        <f>IF(Ticket_Table[[#This Row],[resolution_hrs]]&lt;=4,"Fast",IF(Ticket_Table[[#This Row],[resolution_hrs]]&lt;=24,"Normal",IF(Ticket_Table[[#This Row],[resolution_hrs]]&lt;=48,"Slow","Very Slow")))</f>
        <v>Slow</v>
      </c>
      <c r="Q778" s="3">
        <f>YEAR(Ticket_Table[[#This Row],[raised_date]])</f>
        <v>2023</v>
      </c>
    </row>
    <row r="779" spans="1:17">
      <c r="A779" t="s">
        <v>1325</v>
      </c>
      <c r="B779" t="s">
        <v>429</v>
      </c>
      <c r="C779" t="s">
        <v>102</v>
      </c>
      <c r="D779" t="s">
        <v>43</v>
      </c>
      <c r="E779" t="s">
        <v>69</v>
      </c>
      <c r="F779" t="s">
        <v>45</v>
      </c>
      <c r="G779" t="s">
        <v>31</v>
      </c>
      <c r="H779" s="1">
        <v>45215</v>
      </c>
      <c r="I779" s="2">
        <v>45215.175</v>
      </c>
      <c r="J779">
        <v>4.2</v>
      </c>
      <c r="K779" t="s">
        <v>32</v>
      </c>
      <c r="L779">
        <v>0</v>
      </c>
      <c r="M779">
        <v>4</v>
      </c>
      <c r="N779" t="s">
        <v>764</v>
      </c>
      <c r="O779" s="3" t="str">
        <f>TEXT(Ticket_Table[[#This Row],[raised_date]],"YYYY-MM")</f>
        <v>2023-10</v>
      </c>
      <c r="P779" s="3" t="str">
        <f>IF(Ticket_Table[[#This Row],[resolution_hrs]]&lt;=4,"Fast",IF(Ticket_Table[[#This Row],[resolution_hrs]]&lt;=24,"Normal",IF(Ticket_Table[[#This Row],[resolution_hrs]]&lt;=48,"Slow","Very Slow")))</f>
        <v>Normal</v>
      </c>
      <c r="Q779" s="3">
        <f>YEAR(Ticket_Table[[#This Row],[raised_date]])</f>
        <v>2023</v>
      </c>
    </row>
    <row r="780" spans="1:17">
      <c r="A780" t="s">
        <v>1326</v>
      </c>
      <c r="B780" t="s">
        <v>466</v>
      </c>
      <c r="C780" t="s">
        <v>42</v>
      </c>
      <c r="D780" t="s">
        <v>36</v>
      </c>
      <c r="E780" t="s">
        <v>51</v>
      </c>
      <c r="F780" t="s">
        <v>38</v>
      </c>
      <c r="G780" t="s">
        <v>31</v>
      </c>
      <c r="H780" s="1">
        <v>44949</v>
      </c>
      <c r="I780" s="2">
        <v>44949.9041666667</v>
      </c>
      <c r="J780">
        <v>21.7</v>
      </c>
      <c r="K780" t="s">
        <v>24</v>
      </c>
      <c r="L780">
        <v>1</v>
      </c>
      <c r="M780">
        <v>3</v>
      </c>
      <c r="N780" t="s">
        <v>61</v>
      </c>
      <c r="O780" s="3" t="str">
        <f>TEXT(Ticket_Table[[#This Row],[raised_date]],"YYYY-MM")</f>
        <v>2023-01</v>
      </c>
      <c r="P780" s="3" t="str">
        <f>IF(Ticket_Table[[#This Row],[resolution_hrs]]&lt;=4,"Fast",IF(Ticket_Table[[#This Row],[resolution_hrs]]&lt;=24,"Normal",IF(Ticket_Table[[#This Row],[resolution_hrs]]&lt;=48,"Slow","Very Slow")))</f>
        <v>Normal</v>
      </c>
      <c r="Q780" s="3">
        <f>YEAR(Ticket_Table[[#This Row],[raised_date]])</f>
        <v>2023</v>
      </c>
    </row>
    <row r="781" spans="1:17">
      <c r="A781" t="s">
        <v>1327</v>
      </c>
      <c r="B781" t="s">
        <v>1123</v>
      </c>
      <c r="C781" t="s">
        <v>213</v>
      </c>
      <c r="D781" t="s">
        <v>90</v>
      </c>
      <c r="E781" t="s">
        <v>44</v>
      </c>
      <c r="F781" t="s">
        <v>38</v>
      </c>
      <c r="G781" t="s">
        <v>31</v>
      </c>
      <c r="H781" s="1">
        <v>45260</v>
      </c>
      <c r="I781" s="2">
        <v>45261.3708333333</v>
      </c>
      <c r="J781">
        <v>32.9</v>
      </c>
      <c r="K781" t="s">
        <v>32</v>
      </c>
      <c r="L781">
        <v>0</v>
      </c>
      <c r="M781">
        <v>5</v>
      </c>
      <c r="N781" t="s">
        <v>656</v>
      </c>
      <c r="O781" s="3" t="str">
        <f>TEXT(Ticket_Table[[#This Row],[raised_date]],"YYYY-MM")</f>
        <v>2023-11</v>
      </c>
      <c r="P781" s="3" t="str">
        <f>IF(Ticket_Table[[#This Row],[resolution_hrs]]&lt;=4,"Fast",IF(Ticket_Table[[#This Row],[resolution_hrs]]&lt;=24,"Normal",IF(Ticket_Table[[#This Row],[resolution_hrs]]&lt;=48,"Slow","Very Slow")))</f>
        <v>Slow</v>
      </c>
      <c r="Q781" s="3">
        <f>YEAR(Ticket_Table[[#This Row],[raised_date]])</f>
        <v>2023</v>
      </c>
    </row>
    <row r="782" spans="1:17">
      <c r="A782" t="s">
        <v>1328</v>
      </c>
      <c r="B782" t="s">
        <v>232</v>
      </c>
      <c r="C782" t="s">
        <v>82</v>
      </c>
      <c r="D782" t="s">
        <v>29</v>
      </c>
      <c r="E782" t="s">
        <v>106</v>
      </c>
      <c r="F782" t="s">
        <v>22</v>
      </c>
      <c r="G782" t="s">
        <v>23</v>
      </c>
      <c r="H782" s="1">
        <v>44743</v>
      </c>
      <c r="I782" s="2">
        <v>44743.3333333333</v>
      </c>
      <c r="J782">
        <v>8</v>
      </c>
      <c r="K782" t="s">
        <v>24</v>
      </c>
      <c r="L782">
        <v>1</v>
      </c>
      <c r="M782">
        <v>4</v>
      </c>
      <c r="N782" t="s">
        <v>655</v>
      </c>
      <c r="O782" s="3" t="str">
        <f>TEXT(Ticket_Table[[#This Row],[raised_date]],"YYYY-MM")</f>
        <v>2022-07</v>
      </c>
      <c r="P782" s="3" t="str">
        <f>IF(Ticket_Table[[#This Row],[resolution_hrs]]&lt;=4,"Fast",IF(Ticket_Table[[#This Row],[resolution_hrs]]&lt;=24,"Normal",IF(Ticket_Table[[#This Row],[resolution_hrs]]&lt;=48,"Slow","Very Slow")))</f>
        <v>Normal</v>
      </c>
      <c r="Q782" s="3">
        <f>YEAR(Ticket_Table[[#This Row],[raised_date]])</f>
        <v>2022</v>
      </c>
    </row>
    <row r="783" spans="1:17">
      <c r="A783" t="s">
        <v>1329</v>
      </c>
      <c r="B783" t="s">
        <v>317</v>
      </c>
      <c r="C783" t="s">
        <v>42</v>
      </c>
      <c r="D783" t="s">
        <v>90</v>
      </c>
      <c r="E783" t="s">
        <v>166</v>
      </c>
      <c r="F783" t="s">
        <v>22</v>
      </c>
      <c r="G783" t="s">
        <v>31</v>
      </c>
      <c r="H783" s="1">
        <v>44366</v>
      </c>
      <c r="I783" s="2">
        <v>44367.4</v>
      </c>
      <c r="J783">
        <v>33.6</v>
      </c>
      <c r="K783" t="s">
        <v>24</v>
      </c>
      <c r="L783">
        <v>0</v>
      </c>
      <c r="M783">
        <v>5</v>
      </c>
      <c r="N783" t="s">
        <v>1226</v>
      </c>
      <c r="O783" s="3" t="str">
        <f>TEXT(Ticket_Table[[#This Row],[raised_date]],"YYYY-MM")</f>
        <v>2021-06</v>
      </c>
      <c r="P783" s="3" t="str">
        <f>IF(Ticket_Table[[#This Row],[resolution_hrs]]&lt;=4,"Fast",IF(Ticket_Table[[#This Row],[resolution_hrs]]&lt;=24,"Normal",IF(Ticket_Table[[#This Row],[resolution_hrs]]&lt;=48,"Slow","Very Slow")))</f>
        <v>Slow</v>
      </c>
      <c r="Q783" s="3">
        <f>YEAR(Ticket_Table[[#This Row],[raised_date]])</f>
        <v>2021</v>
      </c>
    </row>
    <row r="784" spans="1:17">
      <c r="A784" t="s">
        <v>1330</v>
      </c>
      <c r="B784" t="s">
        <v>1041</v>
      </c>
      <c r="C784" t="s">
        <v>64</v>
      </c>
      <c r="D784" t="s">
        <v>36</v>
      </c>
      <c r="E784" t="s">
        <v>56</v>
      </c>
      <c r="F784" t="s">
        <v>22</v>
      </c>
      <c r="G784" t="s">
        <v>23</v>
      </c>
      <c r="H784" s="1">
        <v>45066</v>
      </c>
      <c r="I784" s="2">
        <v>45067.5458333333</v>
      </c>
      <c r="J784">
        <v>37.1</v>
      </c>
      <c r="K784" t="s">
        <v>24</v>
      </c>
      <c r="L784">
        <v>0</v>
      </c>
      <c r="M784">
        <v>4</v>
      </c>
      <c r="N784" t="s">
        <v>955</v>
      </c>
      <c r="O784" s="3" t="str">
        <f>TEXT(Ticket_Table[[#This Row],[raised_date]],"YYYY-MM")</f>
        <v>2023-05</v>
      </c>
      <c r="P784" s="3" t="str">
        <f>IF(Ticket_Table[[#This Row],[resolution_hrs]]&lt;=4,"Fast",IF(Ticket_Table[[#This Row],[resolution_hrs]]&lt;=24,"Normal",IF(Ticket_Table[[#This Row],[resolution_hrs]]&lt;=48,"Slow","Very Slow")))</f>
        <v>Slow</v>
      </c>
      <c r="Q784" s="3">
        <f>YEAR(Ticket_Table[[#This Row],[raised_date]])</f>
        <v>2023</v>
      </c>
    </row>
    <row r="785" spans="1:17">
      <c r="A785" t="s">
        <v>1331</v>
      </c>
      <c r="B785" t="s">
        <v>378</v>
      </c>
      <c r="C785" t="s">
        <v>287</v>
      </c>
      <c r="D785" t="s">
        <v>36</v>
      </c>
      <c r="E785" t="s">
        <v>69</v>
      </c>
      <c r="F785" t="s">
        <v>38</v>
      </c>
      <c r="G785" t="s">
        <v>91</v>
      </c>
      <c r="H785" s="1">
        <v>44358</v>
      </c>
      <c r="I785" s="2">
        <v>44358.0708333333</v>
      </c>
      <c r="J785">
        <v>1.7</v>
      </c>
      <c r="K785" t="s">
        <v>24</v>
      </c>
      <c r="L785">
        <v>0</v>
      </c>
      <c r="M785">
        <v>4</v>
      </c>
      <c r="N785" t="s">
        <v>270</v>
      </c>
      <c r="O785" s="3" t="str">
        <f>TEXT(Ticket_Table[[#This Row],[raised_date]],"YYYY-MM")</f>
        <v>2021-06</v>
      </c>
      <c r="P785" s="3" t="str">
        <f>IF(Ticket_Table[[#This Row],[resolution_hrs]]&lt;=4,"Fast",IF(Ticket_Table[[#This Row],[resolution_hrs]]&lt;=24,"Normal",IF(Ticket_Table[[#This Row],[resolution_hrs]]&lt;=48,"Slow","Very Slow")))</f>
        <v>Fast</v>
      </c>
      <c r="Q785" s="3">
        <f>YEAR(Ticket_Table[[#This Row],[raised_date]])</f>
        <v>2021</v>
      </c>
    </row>
    <row r="786" spans="1:17">
      <c r="A786" t="s">
        <v>1332</v>
      </c>
      <c r="B786" t="s">
        <v>592</v>
      </c>
      <c r="C786" t="s">
        <v>60</v>
      </c>
      <c r="D786" t="s">
        <v>43</v>
      </c>
      <c r="E786" t="s">
        <v>166</v>
      </c>
      <c r="F786" t="s">
        <v>45</v>
      </c>
      <c r="G786" t="s">
        <v>46</v>
      </c>
      <c r="H786" s="1">
        <v>45078</v>
      </c>
      <c r="I786" s="2">
        <v>45078.1083333333</v>
      </c>
      <c r="J786">
        <v>2.6</v>
      </c>
      <c r="K786" t="s">
        <v>24</v>
      </c>
      <c r="L786">
        <v>0</v>
      </c>
      <c r="M786">
        <v>5</v>
      </c>
      <c r="N786" t="s">
        <v>1050</v>
      </c>
      <c r="O786" s="3" t="str">
        <f>TEXT(Ticket_Table[[#This Row],[raised_date]],"YYYY-MM")</f>
        <v>2023-06</v>
      </c>
      <c r="P786" s="3" t="str">
        <f>IF(Ticket_Table[[#This Row],[resolution_hrs]]&lt;=4,"Fast",IF(Ticket_Table[[#This Row],[resolution_hrs]]&lt;=24,"Normal",IF(Ticket_Table[[#This Row],[resolution_hrs]]&lt;=48,"Slow","Very Slow")))</f>
        <v>Fast</v>
      </c>
      <c r="Q786" s="3">
        <f>YEAR(Ticket_Table[[#This Row],[raised_date]])</f>
        <v>2023</v>
      </c>
    </row>
    <row r="787" spans="1:17">
      <c r="A787" t="s">
        <v>1333</v>
      </c>
      <c r="B787" t="s">
        <v>578</v>
      </c>
      <c r="C787" t="s">
        <v>287</v>
      </c>
      <c r="D787" t="s">
        <v>43</v>
      </c>
      <c r="E787" t="s">
        <v>106</v>
      </c>
      <c r="F787" t="s">
        <v>70</v>
      </c>
      <c r="G787" t="s">
        <v>31</v>
      </c>
      <c r="H787" s="1">
        <v>44566</v>
      </c>
      <c r="I787" s="2">
        <v>44567.4041666667</v>
      </c>
      <c r="J787">
        <v>33.7</v>
      </c>
      <c r="K787" t="s">
        <v>24</v>
      </c>
      <c r="L787">
        <v>0</v>
      </c>
      <c r="M787">
        <v>3</v>
      </c>
      <c r="N787" t="s">
        <v>105</v>
      </c>
      <c r="O787" s="3" t="str">
        <f>TEXT(Ticket_Table[[#This Row],[raised_date]],"YYYY-MM")</f>
        <v>2022-01</v>
      </c>
      <c r="P787" s="3" t="str">
        <f>IF(Ticket_Table[[#This Row],[resolution_hrs]]&lt;=4,"Fast",IF(Ticket_Table[[#This Row],[resolution_hrs]]&lt;=24,"Normal",IF(Ticket_Table[[#This Row],[resolution_hrs]]&lt;=48,"Slow","Very Slow")))</f>
        <v>Slow</v>
      </c>
      <c r="Q787" s="3">
        <f>YEAR(Ticket_Table[[#This Row],[raised_date]])</f>
        <v>2022</v>
      </c>
    </row>
    <row r="788" spans="1:17">
      <c r="A788" t="s">
        <v>1334</v>
      </c>
      <c r="B788" t="s">
        <v>790</v>
      </c>
      <c r="C788" t="s">
        <v>261</v>
      </c>
      <c r="D788" t="s">
        <v>20</v>
      </c>
      <c r="E788" t="s">
        <v>56</v>
      </c>
      <c r="F788" t="s">
        <v>22</v>
      </c>
      <c r="G788" t="s">
        <v>23</v>
      </c>
      <c r="H788" s="1">
        <v>44798</v>
      </c>
      <c r="I788" s="2">
        <v>44801.8916666667</v>
      </c>
      <c r="J788">
        <v>93.4</v>
      </c>
      <c r="K788" t="s">
        <v>32</v>
      </c>
      <c r="L788">
        <v>2</v>
      </c>
      <c r="M788">
        <v>4</v>
      </c>
      <c r="N788" t="s">
        <v>1164</v>
      </c>
      <c r="O788" s="3" t="str">
        <f>TEXT(Ticket_Table[[#This Row],[raised_date]],"YYYY-MM")</f>
        <v>2022-08</v>
      </c>
      <c r="P788" s="3" t="str">
        <f>IF(Ticket_Table[[#This Row],[resolution_hrs]]&lt;=4,"Fast",IF(Ticket_Table[[#This Row],[resolution_hrs]]&lt;=24,"Normal",IF(Ticket_Table[[#This Row],[resolution_hrs]]&lt;=48,"Slow","Very Slow")))</f>
        <v>Very Slow</v>
      </c>
      <c r="Q788" s="3">
        <f>YEAR(Ticket_Table[[#This Row],[raised_date]])</f>
        <v>2022</v>
      </c>
    </row>
    <row r="789" spans="1:17">
      <c r="A789" t="s">
        <v>1335</v>
      </c>
      <c r="B789" t="s">
        <v>550</v>
      </c>
      <c r="C789" t="s">
        <v>42</v>
      </c>
      <c r="D789" t="s">
        <v>90</v>
      </c>
      <c r="E789" t="s">
        <v>83</v>
      </c>
      <c r="F789" t="s">
        <v>70</v>
      </c>
      <c r="G789" t="s">
        <v>46</v>
      </c>
      <c r="H789" s="1">
        <v>44854</v>
      </c>
      <c r="I789" s="2">
        <v>44855.7208333333</v>
      </c>
      <c r="J789">
        <v>41.3</v>
      </c>
      <c r="K789" t="s">
        <v>24</v>
      </c>
      <c r="L789">
        <v>1</v>
      </c>
      <c r="M789">
        <v>4</v>
      </c>
      <c r="N789" t="s">
        <v>378</v>
      </c>
      <c r="O789" s="3" t="str">
        <f>TEXT(Ticket_Table[[#This Row],[raised_date]],"YYYY-MM")</f>
        <v>2022-10</v>
      </c>
      <c r="P789" s="3" t="str">
        <f>IF(Ticket_Table[[#This Row],[resolution_hrs]]&lt;=4,"Fast",IF(Ticket_Table[[#This Row],[resolution_hrs]]&lt;=24,"Normal",IF(Ticket_Table[[#This Row],[resolution_hrs]]&lt;=48,"Slow","Very Slow")))</f>
        <v>Slow</v>
      </c>
      <c r="Q789" s="3">
        <f>YEAR(Ticket_Table[[#This Row],[raised_date]])</f>
        <v>2022</v>
      </c>
    </row>
    <row r="790" spans="1:17">
      <c r="A790" t="s">
        <v>1336</v>
      </c>
      <c r="B790" t="s">
        <v>1337</v>
      </c>
      <c r="C790" t="s">
        <v>95</v>
      </c>
      <c r="D790" t="s">
        <v>20</v>
      </c>
      <c r="E790" t="s">
        <v>37</v>
      </c>
      <c r="F790" t="s">
        <v>70</v>
      </c>
      <c r="G790" t="s">
        <v>23</v>
      </c>
      <c r="H790" s="1">
        <v>44407</v>
      </c>
      <c r="I790" s="2">
        <v>44409.7083333333</v>
      </c>
      <c r="J790">
        <v>65</v>
      </c>
      <c r="K790" t="s">
        <v>32</v>
      </c>
      <c r="L790">
        <v>0</v>
      </c>
      <c r="M790">
        <v>5</v>
      </c>
      <c r="N790" t="s">
        <v>608</v>
      </c>
      <c r="O790" s="3" t="str">
        <f>TEXT(Ticket_Table[[#This Row],[raised_date]],"YYYY-MM")</f>
        <v>2021-07</v>
      </c>
      <c r="P790" s="3" t="str">
        <f>IF(Ticket_Table[[#This Row],[resolution_hrs]]&lt;=4,"Fast",IF(Ticket_Table[[#This Row],[resolution_hrs]]&lt;=24,"Normal",IF(Ticket_Table[[#This Row],[resolution_hrs]]&lt;=48,"Slow","Very Slow")))</f>
        <v>Very Slow</v>
      </c>
      <c r="Q790" s="3">
        <f>YEAR(Ticket_Table[[#This Row],[raised_date]])</f>
        <v>2021</v>
      </c>
    </row>
    <row r="791" spans="1:17">
      <c r="A791" t="s">
        <v>1338</v>
      </c>
      <c r="B791" t="s">
        <v>389</v>
      </c>
      <c r="C791" t="s">
        <v>140</v>
      </c>
      <c r="D791" t="s">
        <v>36</v>
      </c>
      <c r="E791" t="s">
        <v>30</v>
      </c>
      <c r="F791" t="s">
        <v>70</v>
      </c>
      <c r="G791" t="s">
        <v>23</v>
      </c>
      <c r="H791" s="1">
        <v>44360</v>
      </c>
      <c r="I791" s="2">
        <v>44360.8291666667</v>
      </c>
      <c r="J791">
        <v>19.9</v>
      </c>
      <c r="K791" t="s">
        <v>24</v>
      </c>
      <c r="L791">
        <v>0</v>
      </c>
      <c r="M791">
        <v>3</v>
      </c>
      <c r="N791" t="s">
        <v>541</v>
      </c>
      <c r="O791" s="3" t="str">
        <f>TEXT(Ticket_Table[[#This Row],[raised_date]],"YYYY-MM")</f>
        <v>2021-06</v>
      </c>
      <c r="P791" s="3" t="str">
        <f>IF(Ticket_Table[[#This Row],[resolution_hrs]]&lt;=4,"Fast",IF(Ticket_Table[[#This Row],[resolution_hrs]]&lt;=24,"Normal",IF(Ticket_Table[[#This Row],[resolution_hrs]]&lt;=48,"Slow","Very Slow")))</f>
        <v>Normal</v>
      </c>
      <c r="Q791" s="3">
        <f>YEAR(Ticket_Table[[#This Row],[raised_date]])</f>
        <v>2021</v>
      </c>
    </row>
    <row r="792" spans="1:17">
      <c r="A792" t="s">
        <v>1339</v>
      </c>
      <c r="B792" t="s">
        <v>308</v>
      </c>
      <c r="C792" t="s">
        <v>261</v>
      </c>
      <c r="D792" t="s">
        <v>43</v>
      </c>
      <c r="E792" t="s">
        <v>166</v>
      </c>
      <c r="F792" t="s">
        <v>70</v>
      </c>
      <c r="G792" t="s">
        <v>46</v>
      </c>
      <c r="H792" s="1">
        <v>44868</v>
      </c>
      <c r="I792" s="2">
        <v>44870.1</v>
      </c>
      <c r="J792">
        <v>50.4</v>
      </c>
      <c r="K792" t="s">
        <v>32</v>
      </c>
      <c r="L792">
        <v>0</v>
      </c>
      <c r="M792">
        <v>4</v>
      </c>
      <c r="N792" t="s">
        <v>275</v>
      </c>
      <c r="O792" s="3" t="str">
        <f>TEXT(Ticket_Table[[#This Row],[raised_date]],"YYYY-MM")</f>
        <v>2022-11</v>
      </c>
      <c r="P792" s="3" t="str">
        <f>IF(Ticket_Table[[#This Row],[resolution_hrs]]&lt;=4,"Fast",IF(Ticket_Table[[#This Row],[resolution_hrs]]&lt;=24,"Normal",IF(Ticket_Table[[#This Row],[resolution_hrs]]&lt;=48,"Slow","Very Slow")))</f>
        <v>Very Slow</v>
      </c>
      <c r="Q792" s="3">
        <f>YEAR(Ticket_Table[[#This Row],[raised_date]])</f>
        <v>2022</v>
      </c>
    </row>
    <row r="793" spans="1:17">
      <c r="A793" t="s">
        <v>1340</v>
      </c>
      <c r="B793" t="s">
        <v>698</v>
      </c>
      <c r="C793" t="s">
        <v>60</v>
      </c>
      <c r="D793" t="s">
        <v>43</v>
      </c>
      <c r="E793" t="s">
        <v>21</v>
      </c>
      <c r="F793" t="s">
        <v>38</v>
      </c>
      <c r="G793" t="s">
        <v>23</v>
      </c>
      <c r="H793" s="1">
        <v>44802</v>
      </c>
      <c r="I793" s="2">
        <v>44802.9</v>
      </c>
      <c r="J793">
        <v>21.6</v>
      </c>
      <c r="K793" t="s">
        <v>24</v>
      </c>
      <c r="L793">
        <v>1</v>
      </c>
      <c r="M793">
        <v>2</v>
      </c>
      <c r="N793" t="s">
        <v>39</v>
      </c>
      <c r="O793" s="3" t="str">
        <f>TEXT(Ticket_Table[[#This Row],[raised_date]],"YYYY-MM")</f>
        <v>2022-08</v>
      </c>
      <c r="P793" s="3" t="str">
        <f>IF(Ticket_Table[[#This Row],[resolution_hrs]]&lt;=4,"Fast",IF(Ticket_Table[[#This Row],[resolution_hrs]]&lt;=24,"Normal",IF(Ticket_Table[[#This Row],[resolution_hrs]]&lt;=48,"Slow","Very Slow")))</f>
        <v>Normal</v>
      </c>
      <c r="Q793" s="3">
        <f>YEAR(Ticket_Table[[#This Row],[raised_date]])</f>
        <v>2022</v>
      </c>
    </row>
    <row r="794" spans="1:17">
      <c r="A794" t="s">
        <v>1341</v>
      </c>
      <c r="B794" t="s">
        <v>653</v>
      </c>
      <c r="C794" t="s">
        <v>95</v>
      </c>
      <c r="D794" t="s">
        <v>43</v>
      </c>
      <c r="E794" t="s">
        <v>56</v>
      </c>
      <c r="F794" t="s">
        <v>22</v>
      </c>
      <c r="G794" t="s">
        <v>31</v>
      </c>
      <c r="H794" s="1">
        <v>44824</v>
      </c>
      <c r="I794" s="2">
        <v>44828.4375</v>
      </c>
      <c r="J794">
        <v>106.5</v>
      </c>
      <c r="K794" t="s">
        <v>32</v>
      </c>
      <c r="L794">
        <v>0</v>
      </c>
      <c r="M794">
        <v>5</v>
      </c>
      <c r="N794" t="s">
        <v>87</v>
      </c>
      <c r="O794" s="3" t="str">
        <f>TEXT(Ticket_Table[[#This Row],[raised_date]],"YYYY-MM")</f>
        <v>2022-09</v>
      </c>
      <c r="P794" s="3" t="str">
        <f>IF(Ticket_Table[[#This Row],[resolution_hrs]]&lt;=4,"Fast",IF(Ticket_Table[[#This Row],[resolution_hrs]]&lt;=24,"Normal",IF(Ticket_Table[[#This Row],[resolution_hrs]]&lt;=48,"Slow","Very Slow")))</f>
        <v>Very Slow</v>
      </c>
      <c r="Q794" s="3">
        <f>YEAR(Ticket_Table[[#This Row],[raised_date]])</f>
        <v>2022</v>
      </c>
    </row>
    <row r="795" spans="1:17">
      <c r="A795" t="s">
        <v>1342</v>
      </c>
      <c r="B795" t="s">
        <v>447</v>
      </c>
      <c r="C795" t="s">
        <v>82</v>
      </c>
      <c r="D795" t="s">
        <v>29</v>
      </c>
      <c r="E795" t="s">
        <v>83</v>
      </c>
      <c r="F795" t="s">
        <v>22</v>
      </c>
      <c r="G795" t="s">
        <v>23</v>
      </c>
      <c r="H795" s="1">
        <v>45110</v>
      </c>
      <c r="I795" s="2">
        <v>45111.725</v>
      </c>
      <c r="J795">
        <v>41.4</v>
      </c>
      <c r="K795" t="s">
        <v>24</v>
      </c>
      <c r="L795">
        <v>1</v>
      </c>
      <c r="M795">
        <v>4</v>
      </c>
      <c r="N795" t="s">
        <v>340</v>
      </c>
      <c r="O795" s="3" t="str">
        <f>TEXT(Ticket_Table[[#This Row],[raised_date]],"YYYY-MM")</f>
        <v>2023-07</v>
      </c>
      <c r="P795" s="3" t="str">
        <f>IF(Ticket_Table[[#This Row],[resolution_hrs]]&lt;=4,"Fast",IF(Ticket_Table[[#This Row],[resolution_hrs]]&lt;=24,"Normal",IF(Ticket_Table[[#This Row],[resolution_hrs]]&lt;=48,"Slow","Very Slow")))</f>
        <v>Slow</v>
      </c>
      <c r="Q795" s="3">
        <f>YEAR(Ticket_Table[[#This Row],[raised_date]])</f>
        <v>2023</v>
      </c>
    </row>
    <row r="796" spans="1:17">
      <c r="A796" t="s">
        <v>1343</v>
      </c>
      <c r="B796" t="s">
        <v>600</v>
      </c>
      <c r="C796" t="s">
        <v>213</v>
      </c>
      <c r="D796" t="s">
        <v>36</v>
      </c>
      <c r="E796" t="s">
        <v>21</v>
      </c>
      <c r="F796" t="s">
        <v>45</v>
      </c>
      <c r="G796" t="s">
        <v>23</v>
      </c>
      <c r="H796" s="1">
        <v>45069</v>
      </c>
      <c r="I796" s="2">
        <v>45069.125</v>
      </c>
      <c r="J796">
        <v>3</v>
      </c>
      <c r="K796" t="s">
        <v>24</v>
      </c>
      <c r="L796">
        <v>2</v>
      </c>
      <c r="M796">
        <v>5</v>
      </c>
      <c r="N796" t="s">
        <v>266</v>
      </c>
      <c r="O796" s="3" t="str">
        <f>TEXT(Ticket_Table[[#This Row],[raised_date]],"YYYY-MM")</f>
        <v>2023-05</v>
      </c>
      <c r="P796" s="3" t="str">
        <f>IF(Ticket_Table[[#This Row],[resolution_hrs]]&lt;=4,"Fast",IF(Ticket_Table[[#This Row],[resolution_hrs]]&lt;=24,"Normal",IF(Ticket_Table[[#This Row],[resolution_hrs]]&lt;=48,"Slow","Very Slow")))</f>
        <v>Fast</v>
      </c>
      <c r="Q796" s="3">
        <f>YEAR(Ticket_Table[[#This Row],[raised_date]])</f>
        <v>2023</v>
      </c>
    </row>
    <row r="797" spans="1:17">
      <c r="A797" t="s">
        <v>1344</v>
      </c>
      <c r="B797" t="s">
        <v>886</v>
      </c>
      <c r="C797" t="s">
        <v>140</v>
      </c>
      <c r="D797" t="s">
        <v>43</v>
      </c>
      <c r="E797" t="s">
        <v>37</v>
      </c>
      <c r="F797" t="s">
        <v>22</v>
      </c>
      <c r="G797" t="s">
        <v>23</v>
      </c>
      <c r="H797" s="1">
        <v>44538</v>
      </c>
      <c r="I797" s="2">
        <v>44540.5958333333</v>
      </c>
      <c r="J797">
        <v>62.3</v>
      </c>
      <c r="K797" t="s">
        <v>24</v>
      </c>
      <c r="L797">
        <v>0</v>
      </c>
      <c r="M797">
        <v>5</v>
      </c>
      <c r="N797" t="s">
        <v>327</v>
      </c>
      <c r="O797" s="3" t="str">
        <f>TEXT(Ticket_Table[[#This Row],[raised_date]],"YYYY-MM")</f>
        <v>2021-12</v>
      </c>
      <c r="P797" s="3" t="str">
        <f>IF(Ticket_Table[[#This Row],[resolution_hrs]]&lt;=4,"Fast",IF(Ticket_Table[[#This Row],[resolution_hrs]]&lt;=24,"Normal",IF(Ticket_Table[[#This Row],[resolution_hrs]]&lt;=48,"Slow","Very Slow")))</f>
        <v>Very Slow</v>
      </c>
      <c r="Q797" s="3">
        <f>YEAR(Ticket_Table[[#This Row],[raised_date]])</f>
        <v>2021</v>
      </c>
    </row>
    <row r="798" spans="1:17">
      <c r="A798" t="s">
        <v>1345</v>
      </c>
      <c r="B798" t="s">
        <v>105</v>
      </c>
      <c r="C798" t="s">
        <v>213</v>
      </c>
      <c r="D798" t="s">
        <v>36</v>
      </c>
      <c r="E798" t="s">
        <v>37</v>
      </c>
      <c r="F798" t="s">
        <v>22</v>
      </c>
      <c r="G798" t="s">
        <v>23</v>
      </c>
      <c r="H798" s="1">
        <v>45106</v>
      </c>
      <c r="I798" s="2">
        <v>45109.6458333333</v>
      </c>
      <c r="J798">
        <v>87.5</v>
      </c>
      <c r="K798" t="s">
        <v>32</v>
      </c>
      <c r="L798">
        <v>0</v>
      </c>
      <c r="M798">
        <v>4</v>
      </c>
      <c r="N798" t="s">
        <v>858</v>
      </c>
      <c r="O798" s="3" t="str">
        <f>TEXT(Ticket_Table[[#This Row],[raised_date]],"YYYY-MM")</f>
        <v>2023-06</v>
      </c>
      <c r="P798" s="3" t="str">
        <f>IF(Ticket_Table[[#This Row],[resolution_hrs]]&lt;=4,"Fast",IF(Ticket_Table[[#This Row],[resolution_hrs]]&lt;=24,"Normal",IF(Ticket_Table[[#This Row],[resolution_hrs]]&lt;=48,"Slow","Very Slow")))</f>
        <v>Very Slow</v>
      </c>
      <c r="Q798" s="3">
        <f>YEAR(Ticket_Table[[#This Row],[raised_date]])</f>
        <v>2023</v>
      </c>
    </row>
    <row r="799" spans="1:17">
      <c r="A799" t="s">
        <v>1346</v>
      </c>
      <c r="B799" t="s">
        <v>802</v>
      </c>
      <c r="C799" t="s">
        <v>78</v>
      </c>
      <c r="D799" t="s">
        <v>43</v>
      </c>
      <c r="E799" t="s">
        <v>69</v>
      </c>
      <c r="F799" t="s">
        <v>22</v>
      </c>
      <c r="G799" t="s">
        <v>31</v>
      </c>
      <c r="H799" s="1">
        <v>44916</v>
      </c>
      <c r="I799" s="2">
        <v>44916.4875</v>
      </c>
      <c r="J799">
        <v>11.7</v>
      </c>
      <c r="K799" t="s">
        <v>24</v>
      </c>
      <c r="L799">
        <v>2</v>
      </c>
      <c r="M799">
        <v>4</v>
      </c>
      <c r="N799" t="s">
        <v>363</v>
      </c>
      <c r="O799" s="3" t="str">
        <f>TEXT(Ticket_Table[[#This Row],[raised_date]],"YYYY-MM")</f>
        <v>2022-12</v>
      </c>
      <c r="P799" s="3" t="str">
        <f>IF(Ticket_Table[[#This Row],[resolution_hrs]]&lt;=4,"Fast",IF(Ticket_Table[[#This Row],[resolution_hrs]]&lt;=24,"Normal",IF(Ticket_Table[[#This Row],[resolution_hrs]]&lt;=48,"Slow","Very Slow")))</f>
        <v>Normal</v>
      </c>
      <c r="Q799" s="3">
        <f>YEAR(Ticket_Table[[#This Row],[raised_date]])</f>
        <v>2022</v>
      </c>
    </row>
    <row r="800" spans="1:17">
      <c r="A800" t="s">
        <v>1347</v>
      </c>
      <c r="B800" t="s">
        <v>1348</v>
      </c>
      <c r="C800" t="s">
        <v>102</v>
      </c>
      <c r="D800" t="s">
        <v>90</v>
      </c>
      <c r="E800" t="s">
        <v>21</v>
      </c>
      <c r="F800" t="s">
        <v>22</v>
      </c>
      <c r="G800" t="s">
        <v>23</v>
      </c>
      <c r="H800" s="1">
        <v>45112</v>
      </c>
      <c r="I800" s="2">
        <v>45115.05</v>
      </c>
      <c r="J800">
        <v>73.2</v>
      </c>
      <c r="K800" t="s">
        <v>32</v>
      </c>
      <c r="L800">
        <v>0</v>
      </c>
      <c r="M800">
        <v>4</v>
      </c>
      <c r="N800" t="s">
        <v>849</v>
      </c>
      <c r="O800" s="3" t="str">
        <f>TEXT(Ticket_Table[[#This Row],[raised_date]],"YYYY-MM")</f>
        <v>2023-07</v>
      </c>
      <c r="P800" s="3" t="str">
        <f>IF(Ticket_Table[[#This Row],[resolution_hrs]]&lt;=4,"Fast",IF(Ticket_Table[[#This Row],[resolution_hrs]]&lt;=24,"Normal",IF(Ticket_Table[[#This Row],[resolution_hrs]]&lt;=48,"Slow","Very Slow")))</f>
        <v>Very Slow</v>
      </c>
      <c r="Q800" s="3">
        <f>YEAR(Ticket_Table[[#This Row],[raised_date]])</f>
        <v>2023</v>
      </c>
    </row>
    <row r="801" spans="1:17">
      <c r="A801" t="s">
        <v>1349</v>
      </c>
      <c r="B801" t="s">
        <v>39</v>
      </c>
      <c r="C801" t="s">
        <v>117</v>
      </c>
      <c r="D801" t="s">
        <v>36</v>
      </c>
      <c r="E801" t="s">
        <v>69</v>
      </c>
      <c r="F801" t="s">
        <v>70</v>
      </c>
      <c r="G801" t="s">
        <v>91</v>
      </c>
      <c r="H801" s="1">
        <v>44283</v>
      </c>
      <c r="I801" s="2">
        <v>44284.0375</v>
      </c>
      <c r="J801">
        <v>24.9</v>
      </c>
      <c r="K801" t="s">
        <v>24</v>
      </c>
      <c r="L801">
        <v>0</v>
      </c>
      <c r="M801">
        <v>4</v>
      </c>
      <c r="N801" t="s">
        <v>1191</v>
      </c>
      <c r="O801" s="3" t="str">
        <f>TEXT(Ticket_Table[[#This Row],[raised_date]],"YYYY-MM")</f>
        <v>2021-03</v>
      </c>
      <c r="P801" s="3" t="str">
        <f>IF(Ticket_Table[[#This Row],[resolution_hrs]]&lt;=4,"Fast",IF(Ticket_Table[[#This Row],[resolution_hrs]]&lt;=24,"Normal",IF(Ticket_Table[[#This Row],[resolution_hrs]]&lt;=48,"Slow","Very Slow")))</f>
        <v>Slow</v>
      </c>
      <c r="Q801" s="3">
        <f>YEAR(Ticket_Table[[#This Row],[raised_date]])</f>
        <v>2021</v>
      </c>
    </row>
    <row r="802" spans="1:17">
      <c r="A802" t="s">
        <v>1350</v>
      </c>
      <c r="B802" t="s">
        <v>970</v>
      </c>
      <c r="C802" t="s">
        <v>95</v>
      </c>
      <c r="D802" t="s">
        <v>20</v>
      </c>
      <c r="E802" t="s">
        <v>69</v>
      </c>
      <c r="F802" t="s">
        <v>38</v>
      </c>
      <c r="G802" t="s">
        <v>23</v>
      </c>
      <c r="H802" s="1">
        <v>44919</v>
      </c>
      <c r="I802" s="2">
        <v>44919.775</v>
      </c>
      <c r="J802">
        <v>18.6</v>
      </c>
      <c r="K802" t="s">
        <v>24</v>
      </c>
      <c r="L802">
        <v>0</v>
      </c>
      <c r="M802">
        <v>4</v>
      </c>
      <c r="N802" t="s">
        <v>756</v>
      </c>
      <c r="O802" s="3" t="str">
        <f>TEXT(Ticket_Table[[#This Row],[raised_date]],"YYYY-MM")</f>
        <v>2022-12</v>
      </c>
      <c r="P802" s="3" t="str">
        <f>IF(Ticket_Table[[#This Row],[resolution_hrs]]&lt;=4,"Fast",IF(Ticket_Table[[#This Row],[resolution_hrs]]&lt;=24,"Normal",IF(Ticket_Table[[#This Row],[resolution_hrs]]&lt;=48,"Slow","Very Slow")))</f>
        <v>Normal</v>
      </c>
      <c r="Q802" s="3">
        <f>YEAR(Ticket_Table[[#This Row],[raised_date]])</f>
        <v>2022</v>
      </c>
    </row>
    <row r="803" spans="1:17">
      <c r="A803" t="s">
        <v>1351</v>
      </c>
      <c r="B803" t="s">
        <v>554</v>
      </c>
      <c r="C803" t="s">
        <v>60</v>
      </c>
      <c r="D803" t="s">
        <v>29</v>
      </c>
      <c r="E803" t="s">
        <v>69</v>
      </c>
      <c r="F803" t="s">
        <v>70</v>
      </c>
      <c r="G803" t="s">
        <v>31</v>
      </c>
      <c r="H803" s="1">
        <v>45087</v>
      </c>
      <c r="I803" s="2">
        <v>45089.3041666667</v>
      </c>
      <c r="J803">
        <v>55.3</v>
      </c>
      <c r="K803" t="s">
        <v>32</v>
      </c>
      <c r="L803">
        <v>0</v>
      </c>
      <c r="M803">
        <v>3</v>
      </c>
      <c r="N803" t="s">
        <v>189</v>
      </c>
      <c r="O803" s="3" t="str">
        <f>TEXT(Ticket_Table[[#This Row],[raised_date]],"YYYY-MM")</f>
        <v>2023-06</v>
      </c>
      <c r="P803" s="3" t="str">
        <f>IF(Ticket_Table[[#This Row],[resolution_hrs]]&lt;=4,"Fast",IF(Ticket_Table[[#This Row],[resolution_hrs]]&lt;=24,"Normal",IF(Ticket_Table[[#This Row],[resolution_hrs]]&lt;=48,"Slow","Very Slow")))</f>
        <v>Very Slow</v>
      </c>
      <c r="Q803" s="3">
        <f>YEAR(Ticket_Table[[#This Row],[raised_date]])</f>
        <v>2023</v>
      </c>
    </row>
    <row r="804" spans="1:17">
      <c r="A804" t="s">
        <v>1352</v>
      </c>
      <c r="B804" t="s">
        <v>571</v>
      </c>
      <c r="C804" t="s">
        <v>201</v>
      </c>
      <c r="D804" t="s">
        <v>20</v>
      </c>
      <c r="E804" t="s">
        <v>69</v>
      </c>
      <c r="F804" t="s">
        <v>70</v>
      </c>
      <c r="G804" t="s">
        <v>31</v>
      </c>
      <c r="H804" s="1">
        <v>44759</v>
      </c>
      <c r="I804" s="2">
        <v>44760.0458333333</v>
      </c>
      <c r="J804">
        <v>25.1</v>
      </c>
      <c r="K804" t="s">
        <v>24</v>
      </c>
      <c r="L804">
        <v>0</v>
      </c>
      <c r="M804">
        <v>3</v>
      </c>
      <c r="N804" t="s">
        <v>929</v>
      </c>
      <c r="O804" s="3" t="str">
        <f>TEXT(Ticket_Table[[#This Row],[raised_date]],"YYYY-MM")</f>
        <v>2022-07</v>
      </c>
      <c r="P804" s="3" t="str">
        <f>IF(Ticket_Table[[#This Row],[resolution_hrs]]&lt;=4,"Fast",IF(Ticket_Table[[#This Row],[resolution_hrs]]&lt;=24,"Normal",IF(Ticket_Table[[#This Row],[resolution_hrs]]&lt;=48,"Slow","Very Slow")))</f>
        <v>Slow</v>
      </c>
      <c r="Q804" s="3">
        <f>YEAR(Ticket_Table[[#This Row],[raised_date]])</f>
        <v>2022</v>
      </c>
    </row>
    <row r="805" spans="1:17">
      <c r="A805" t="s">
        <v>1353</v>
      </c>
      <c r="B805" t="s">
        <v>154</v>
      </c>
      <c r="C805" t="s">
        <v>175</v>
      </c>
      <c r="D805" t="s">
        <v>36</v>
      </c>
      <c r="E805" t="s">
        <v>83</v>
      </c>
      <c r="F805" t="s">
        <v>38</v>
      </c>
      <c r="G805" t="s">
        <v>31</v>
      </c>
      <c r="H805" s="1">
        <v>44314</v>
      </c>
      <c r="I805" s="2">
        <v>44314.9375</v>
      </c>
      <c r="J805">
        <v>22.5</v>
      </c>
      <c r="K805" t="s">
        <v>24</v>
      </c>
      <c r="L805">
        <v>0</v>
      </c>
      <c r="M805">
        <v>5</v>
      </c>
      <c r="N805" t="s">
        <v>780</v>
      </c>
      <c r="O805" s="3" t="str">
        <f>TEXT(Ticket_Table[[#This Row],[raised_date]],"YYYY-MM")</f>
        <v>2021-04</v>
      </c>
      <c r="P805" s="3" t="str">
        <f>IF(Ticket_Table[[#This Row],[resolution_hrs]]&lt;=4,"Fast",IF(Ticket_Table[[#This Row],[resolution_hrs]]&lt;=24,"Normal",IF(Ticket_Table[[#This Row],[resolution_hrs]]&lt;=48,"Slow","Very Slow")))</f>
        <v>Normal</v>
      </c>
      <c r="Q805" s="3">
        <f>YEAR(Ticket_Table[[#This Row],[raised_date]])</f>
        <v>2021</v>
      </c>
    </row>
    <row r="806" spans="1:17">
      <c r="A806" t="s">
        <v>1354</v>
      </c>
      <c r="B806" t="s">
        <v>610</v>
      </c>
      <c r="C806" t="s">
        <v>261</v>
      </c>
      <c r="D806" t="s">
        <v>43</v>
      </c>
      <c r="E806" t="s">
        <v>30</v>
      </c>
      <c r="F806" t="s">
        <v>70</v>
      </c>
      <c r="G806" t="s">
        <v>46</v>
      </c>
      <c r="H806" s="1">
        <v>44350</v>
      </c>
      <c r="I806" s="2">
        <v>44351.1166666667</v>
      </c>
      <c r="J806">
        <v>26.8</v>
      </c>
      <c r="K806" t="s">
        <v>24</v>
      </c>
      <c r="L806">
        <v>0</v>
      </c>
      <c r="M806">
        <v>3</v>
      </c>
      <c r="N806" t="s">
        <v>556</v>
      </c>
      <c r="O806" s="3" t="str">
        <f>TEXT(Ticket_Table[[#This Row],[raised_date]],"YYYY-MM")</f>
        <v>2021-06</v>
      </c>
      <c r="P806" s="3" t="str">
        <f>IF(Ticket_Table[[#This Row],[resolution_hrs]]&lt;=4,"Fast",IF(Ticket_Table[[#This Row],[resolution_hrs]]&lt;=24,"Normal",IF(Ticket_Table[[#This Row],[resolution_hrs]]&lt;=48,"Slow","Very Slow")))</f>
        <v>Slow</v>
      </c>
      <c r="Q806" s="3">
        <f>YEAR(Ticket_Table[[#This Row],[raised_date]])</f>
        <v>2021</v>
      </c>
    </row>
    <row r="807" spans="1:17">
      <c r="A807" t="s">
        <v>1355</v>
      </c>
      <c r="B807" t="s">
        <v>1356</v>
      </c>
      <c r="C807" t="s">
        <v>95</v>
      </c>
      <c r="D807" t="s">
        <v>36</v>
      </c>
      <c r="E807" t="s">
        <v>51</v>
      </c>
      <c r="F807" t="s">
        <v>38</v>
      </c>
      <c r="G807" t="s">
        <v>46</v>
      </c>
      <c r="H807" s="1">
        <v>45028</v>
      </c>
      <c r="I807" s="2">
        <v>45028.6791666667</v>
      </c>
      <c r="J807">
        <v>16.3</v>
      </c>
      <c r="K807" t="s">
        <v>24</v>
      </c>
      <c r="L807">
        <v>1</v>
      </c>
      <c r="M807">
        <v>4</v>
      </c>
      <c r="N807" t="s">
        <v>1252</v>
      </c>
      <c r="O807" s="3" t="str">
        <f>TEXT(Ticket_Table[[#This Row],[raised_date]],"YYYY-MM")</f>
        <v>2023-04</v>
      </c>
      <c r="P807" s="3" t="str">
        <f>IF(Ticket_Table[[#This Row],[resolution_hrs]]&lt;=4,"Fast",IF(Ticket_Table[[#This Row],[resolution_hrs]]&lt;=24,"Normal",IF(Ticket_Table[[#This Row],[resolution_hrs]]&lt;=48,"Slow","Very Slow")))</f>
        <v>Normal</v>
      </c>
      <c r="Q807" s="3">
        <f>YEAR(Ticket_Table[[#This Row],[raised_date]])</f>
        <v>2023</v>
      </c>
    </row>
    <row r="808" spans="1:17">
      <c r="A808" t="s">
        <v>1357</v>
      </c>
      <c r="B808" t="s">
        <v>1241</v>
      </c>
      <c r="C808" t="s">
        <v>140</v>
      </c>
      <c r="D808" t="s">
        <v>29</v>
      </c>
      <c r="E808" t="s">
        <v>83</v>
      </c>
      <c r="F808" t="s">
        <v>38</v>
      </c>
      <c r="G808" t="s">
        <v>23</v>
      </c>
      <c r="H808" s="1">
        <v>44941</v>
      </c>
      <c r="I808" s="2">
        <v>44941.7666666667</v>
      </c>
      <c r="J808">
        <v>18.4</v>
      </c>
      <c r="K808" t="s">
        <v>24</v>
      </c>
      <c r="L808">
        <v>0</v>
      </c>
      <c r="M808">
        <v>2</v>
      </c>
      <c r="N808" t="s">
        <v>155</v>
      </c>
      <c r="O808" s="3" t="str">
        <f>TEXT(Ticket_Table[[#This Row],[raised_date]],"YYYY-MM")</f>
        <v>2023-01</v>
      </c>
      <c r="P808" s="3" t="str">
        <f>IF(Ticket_Table[[#This Row],[resolution_hrs]]&lt;=4,"Fast",IF(Ticket_Table[[#This Row],[resolution_hrs]]&lt;=24,"Normal",IF(Ticket_Table[[#This Row],[resolution_hrs]]&lt;=48,"Slow","Very Slow")))</f>
        <v>Normal</v>
      </c>
      <c r="Q808" s="3">
        <f>YEAR(Ticket_Table[[#This Row],[raised_date]])</f>
        <v>2023</v>
      </c>
    </row>
    <row r="809" spans="1:17">
      <c r="A809" t="s">
        <v>1358</v>
      </c>
      <c r="B809" t="s">
        <v>350</v>
      </c>
      <c r="C809" t="s">
        <v>68</v>
      </c>
      <c r="D809" t="s">
        <v>36</v>
      </c>
      <c r="E809" t="s">
        <v>106</v>
      </c>
      <c r="F809" t="s">
        <v>22</v>
      </c>
      <c r="G809" t="s">
        <v>31</v>
      </c>
      <c r="H809" s="1">
        <v>45247</v>
      </c>
      <c r="I809" s="2">
        <v>45250.8208333333</v>
      </c>
      <c r="J809">
        <v>91.7</v>
      </c>
      <c r="K809" t="s">
        <v>32</v>
      </c>
      <c r="L809">
        <v>0</v>
      </c>
      <c r="M809">
        <v>4</v>
      </c>
      <c r="N809" t="s">
        <v>376</v>
      </c>
      <c r="O809" s="3" t="str">
        <f>TEXT(Ticket_Table[[#This Row],[raised_date]],"YYYY-MM")</f>
        <v>2023-11</v>
      </c>
      <c r="P809" s="3" t="str">
        <f>IF(Ticket_Table[[#This Row],[resolution_hrs]]&lt;=4,"Fast",IF(Ticket_Table[[#This Row],[resolution_hrs]]&lt;=24,"Normal",IF(Ticket_Table[[#This Row],[resolution_hrs]]&lt;=48,"Slow","Very Slow")))</f>
        <v>Very Slow</v>
      </c>
      <c r="Q809" s="3">
        <f>YEAR(Ticket_Table[[#This Row],[raised_date]])</f>
        <v>2023</v>
      </c>
    </row>
    <row r="810" spans="1:17">
      <c r="A810" t="s">
        <v>1359</v>
      </c>
      <c r="B810" t="s">
        <v>200</v>
      </c>
      <c r="C810" t="s">
        <v>28</v>
      </c>
      <c r="D810" t="s">
        <v>43</v>
      </c>
      <c r="E810" t="s">
        <v>69</v>
      </c>
      <c r="F810" t="s">
        <v>38</v>
      </c>
      <c r="G810" t="s">
        <v>46</v>
      </c>
      <c r="H810" s="1">
        <v>44524</v>
      </c>
      <c r="I810" s="2">
        <v>44525.1916666667</v>
      </c>
      <c r="J810">
        <v>28.6</v>
      </c>
      <c r="K810" t="s">
        <v>32</v>
      </c>
      <c r="L810">
        <v>0</v>
      </c>
      <c r="M810">
        <v>2</v>
      </c>
      <c r="N810" t="s">
        <v>52</v>
      </c>
      <c r="O810" s="3" t="str">
        <f>TEXT(Ticket_Table[[#This Row],[raised_date]],"YYYY-MM")</f>
        <v>2021-11</v>
      </c>
      <c r="P810" s="3" t="str">
        <f>IF(Ticket_Table[[#This Row],[resolution_hrs]]&lt;=4,"Fast",IF(Ticket_Table[[#This Row],[resolution_hrs]]&lt;=24,"Normal",IF(Ticket_Table[[#This Row],[resolution_hrs]]&lt;=48,"Slow","Very Slow")))</f>
        <v>Slow</v>
      </c>
      <c r="Q810" s="3">
        <f>YEAR(Ticket_Table[[#This Row],[raised_date]])</f>
        <v>2021</v>
      </c>
    </row>
    <row r="811" spans="1:17">
      <c r="A811" t="s">
        <v>1360</v>
      </c>
      <c r="B811" t="s">
        <v>942</v>
      </c>
      <c r="C811" t="s">
        <v>78</v>
      </c>
      <c r="D811" t="s">
        <v>20</v>
      </c>
      <c r="E811" t="s">
        <v>56</v>
      </c>
      <c r="F811" t="s">
        <v>70</v>
      </c>
      <c r="G811" t="s">
        <v>91</v>
      </c>
      <c r="H811" s="1">
        <v>44260</v>
      </c>
      <c r="I811" s="2">
        <v>44262.5291666667</v>
      </c>
      <c r="J811">
        <v>60.7</v>
      </c>
      <c r="K811" t="s">
        <v>32</v>
      </c>
      <c r="L811">
        <v>1</v>
      </c>
      <c r="M811">
        <v>4</v>
      </c>
      <c r="N811" t="s">
        <v>227</v>
      </c>
      <c r="O811" s="3" t="str">
        <f>TEXT(Ticket_Table[[#This Row],[raised_date]],"YYYY-MM")</f>
        <v>2021-03</v>
      </c>
      <c r="P811" s="3" t="str">
        <f>IF(Ticket_Table[[#This Row],[resolution_hrs]]&lt;=4,"Fast",IF(Ticket_Table[[#This Row],[resolution_hrs]]&lt;=24,"Normal",IF(Ticket_Table[[#This Row],[resolution_hrs]]&lt;=48,"Slow","Very Slow")))</f>
        <v>Very Slow</v>
      </c>
      <c r="Q811" s="3">
        <f>YEAR(Ticket_Table[[#This Row],[raised_date]])</f>
        <v>2021</v>
      </c>
    </row>
    <row r="812" spans="1:17">
      <c r="A812" t="s">
        <v>1361</v>
      </c>
      <c r="B812" t="s">
        <v>678</v>
      </c>
      <c r="C812" t="s">
        <v>213</v>
      </c>
      <c r="D812" t="s">
        <v>90</v>
      </c>
      <c r="E812" t="s">
        <v>56</v>
      </c>
      <c r="F812" t="s">
        <v>45</v>
      </c>
      <c r="G812" t="s">
        <v>46</v>
      </c>
      <c r="H812" s="1">
        <v>44489</v>
      </c>
      <c r="I812" s="2">
        <v>44489.1541666667</v>
      </c>
      <c r="J812">
        <v>3.7</v>
      </c>
      <c r="K812" t="s">
        <v>24</v>
      </c>
      <c r="L812">
        <v>0</v>
      </c>
      <c r="M812">
        <v>1</v>
      </c>
      <c r="N812" t="s">
        <v>627</v>
      </c>
      <c r="O812" s="3" t="str">
        <f>TEXT(Ticket_Table[[#This Row],[raised_date]],"YYYY-MM")</f>
        <v>2021-10</v>
      </c>
      <c r="P812" s="3" t="str">
        <f>IF(Ticket_Table[[#This Row],[resolution_hrs]]&lt;=4,"Fast",IF(Ticket_Table[[#This Row],[resolution_hrs]]&lt;=24,"Normal",IF(Ticket_Table[[#This Row],[resolution_hrs]]&lt;=48,"Slow","Very Slow")))</f>
        <v>Fast</v>
      </c>
      <c r="Q812" s="3">
        <f>YEAR(Ticket_Table[[#This Row],[raised_date]])</f>
        <v>2021</v>
      </c>
    </row>
    <row r="813" spans="1:17">
      <c r="A813" t="s">
        <v>1362</v>
      </c>
      <c r="B813" t="s">
        <v>544</v>
      </c>
      <c r="C813" t="s">
        <v>213</v>
      </c>
      <c r="D813" t="s">
        <v>20</v>
      </c>
      <c r="E813" t="s">
        <v>21</v>
      </c>
      <c r="F813" t="s">
        <v>70</v>
      </c>
      <c r="G813" t="s">
        <v>46</v>
      </c>
      <c r="H813" s="1">
        <v>45094</v>
      </c>
      <c r="I813" s="2">
        <v>45094.8916666667</v>
      </c>
      <c r="J813">
        <v>21.4</v>
      </c>
      <c r="K813" t="s">
        <v>24</v>
      </c>
      <c r="L813">
        <v>0</v>
      </c>
      <c r="M813">
        <v>4</v>
      </c>
      <c r="N813" t="s">
        <v>640</v>
      </c>
      <c r="O813" s="3" t="str">
        <f>TEXT(Ticket_Table[[#This Row],[raised_date]],"YYYY-MM")</f>
        <v>2023-06</v>
      </c>
      <c r="P813" s="3" t="str">
        <f>IF(Ticket_Table[[#This Row],[resolution_hrs]]&lt;=4,"Fast",IF(Ticket_Table[[#This Row],[resolution_hrs]]&lt;=24,"Normal",IF(Ticket_Table[[#This Row],[resolution_hrs]]&lt;=48,"Slow","Very Slow")))</f>
        <v>Normal</v>
      </c>
      <c r="Q813" s="3">
        <f>YEAR(Ticket_Table[[#This Row],[raised_date]])</f>
        <v>2023</v>
      </c>
    </row>
    <row r="814" spans="1:17">
      <c r="A814" t="s">
        <v>1363</v>
      </c>
      <c r="B814" t="s">
        <v>353</v>
      </c>
      <c r="C814" t="s">
        <v>55</v>
      </c>
      <c r="D814" t="s">
        <v>43</v>
      </c>
      <c r="E814" t="s">
        <v>21</v>
      </c>
      <c r="F814" t="s">
        <v>45</v>
      </c>
      <c r="G814" t="s">
        <v>46</v>
      </c>
      <c r="H814" s="1">
        <v>44268</v>
      </c>
      <c r="I814" s="2">
        <v>44268.05</v>
      </c>
      <c r="J814">
        <v>1.2</v>
      </c>
      <c r="K814" t="s">
        <v>24</v>
      </c>
      <c r="L814">
        <v>0</v>
      </c>
      <c r="M814">
        <v>4</v>
      </c>
      <c r="N814" t="s">
        <v>204</v>
      </c>
      <c r="O814" s="3" t="str">
        <f>TEXT(Ticket_Table[[#This Row],[raised_date]],"YYYY-MM")</f>
        <v>2021-03</v>
      </c>
      <c r="P814" s="3" t="str">
        <f>IF(Ticket_Table[[#This Row],[resolution_hrs]]&lt;=4,"Fast",IF(Ticket_Table[[#This Row],[resolution_hrs]]&lt;=24,"Normal",IF(Ticket_Table[[#This Row],[resolution_hrs]]&lt;=48,"Slow","Very Slow")))</f>
        <v>Fast</v>
      </c>
      <c r="Q814" s="3">
        <f>YEAR(Ticket_Table[[#This Row],[raised_date]])</f>
        <v>2021</v>
      </c>
    </row>
    <row r="815" spans="1:17">
      <c r="A815" t="s">
        <v>1364</v>
      </c>
      <c r="B815" t="s">
        <v>438</v>
      </c>
      <c r="C815" t="s">
        <v>42</v>
      </c>
      <c r="D815" t="s">
        <v>43</v>
      </c>
      <c r="E815" t="s">
        <v>106</v>
      </c>
      <c r="F815" t="s">
        <v>38</v>
      </c>
      <c r="G815" t="s">
        <v>23</v>
      </c>
      <c r="H815" s="1">
        <v>44455</v>
      </c>
      <c r="I815" s="2">
        <v>44456.4958333333</v>
      </c>
      <c r="J815">
        <v>35.9</v>
      </c>
      <c r="K815" t="s">
        <v>32</v>
      </c>
      <c r="L815">
        <v>0</v>
      </c>
      <c r="M815">
        <v>4</v>
      </c>
      <c r="N815" t="s">
        <v>685</v>
      </c>
      <c r="O815" s="3" t="str">
        <f>TEXT(Ticket_Table[[#This Row],[raised_date]],"YYYY-MM")</f>
        <v>2021-09</v>
      </c>
      <c r="P815" s="3" t="str">
        <f>IF(Ticket_Table[[#This Row],[resolution_hrs]]&lt;=4,"Fast",IF(Ticket_Table[[#This Row],[resolution_hrs]]&lt;=24,"Normal",IF(Ticket_Table[[#This Row],[resolution_hrs]]&lt;=48,"Slow","Very Slow")))</f>
        <v>Slow</v>
      </c>
      <c r="Q815" s="3">
        <f>YEAR(Ticket_Table[[#This Row],[raised_date]])</f>
        <v>2021</v>
      </c>
    </row>
    <row r="816" spans="1:17">
      <c r="A816" t="s">
        <v>1365</v>
      </c>
      <c r="B816" t="s">
        <v>149</v>
      </c>
      <c r="C816" t="s">
        <v>95</v>
      </c>
      <c r="D816" t="s">
        <v>29</v>
      </c>
      <c r="E816" t="s">
        <v>83</v>
      </c>
      <c r="F816" t="s">
        <v>22</v>
      </c>
      <c r="G816" t="s">
        <v>31</v>
      </c>
      <c r="H816" s="1">
        <v>44334</v>
      </c>
      <c r="I816" s="2">
        <v>44335.8333333333</v>
      </c>
      <c r="J816">
        <v>44</v>
      </c>
      <c r="K816" t="s">
        <v>24</v>
      </c>
      <c r="L816">
        <v>0</v>
      </c>
      <c r="M816">
        <v>4</v>
      </c>
      <c r="N816" t="s">
        <v>189</v>
      </c>
      <c r="O816" s="3" t="str">
        <f>TEXT(Ticket_Table[[#This Row],[raised_date]],"YYYY-MM")</f>
        <v>2021-05</v>
      </c>
      <c r="P816" s="3" t="str">
        <f>IF(Ticket_Table[[#This Row],[resolution_hrs]]&lt;=4,"Fast",IF(Ticket_Table[[#This Row],[resolution_hrs]]&lt;=24,"Normal",IF(Ticket_Table[[#This Row],[resolution_hrs]]&lt;=48,"Slow","Very Slow")))</f>
        <v>Slow</v>
      </c>
      <c r="Q816" s="3">
        <f>YEAR(Ticket_Table[[#This Row],[raised_date]])</f>
        <v>2021</v>
      </c>
    </row>
    <row r="817" spans="1:17">
      <c r="A817" t="s">
        <v>1366</v>
      </c>
      <c r="B817" t="s">
        <v>503</v>
      </c>
      <c r="C817" t="s">
        <v>201</v>
      </c>
      <c r="D817" t="s">
        <v>36</v>
      </c>
      <c r="E817" t="s">
        <v>56</v>
      </c>
      <c r="F817" t="s">
        <v>70</v>
      </c>
      <c r="G817" t="s">
        <v>23</v>
      </c>
      <c r="H817" s="1">
        <v>44680</v>
      </c>
      <c r="I817" s="2">
        <v>44680.7083333333</v>
      </c>
      <c r="J817">
        <v>17</v>
      </c>
      <c r="K817" t="s">
        <v>24</v>
      </c>
      <c r="L817">
        <v>0</v>
      </c>
      <c r="M817">
        <v>5</v>
      </c>
      <c r="N817" t="s">
        <v>607</v>
      </c>
      <c r="O817" s="3" t="str">
        <f>TEXT(Ticket_Table[[#This Row],[raised_date]],"YYYY-MM")</f>
        <v>2022-04</v>
      </c>
      <c r="P817" s="3" t="str">
        <f>IF(Ticket_Table[[#This Row],[resolution_hrs]]&lt;=4,"Fast",IF(Ticket_Table[[#This Row],[resolution_hrs]]&lt;=24,"Normal",IF(Ticket_Table[[#This Row],[resolution_hrs]]&lt;=48,"Slow","Very Slow")))</f>
        <v>Normal</v>
      </c>
      <c r="Q817" s="3">
        <f>YEAR(Ticket_Table[[#This Row],[raised_date]])</f>
        <v>2022</v>
      </c>
    </row>
    <row r="818" spans="1:17">
      <c r="A818" t="s">
        <v>1367</v>
      </c>
      <c r="B818" t="s">
        <v>558</v>
      </c>
      <c r="C818" t="s">
        <v>55</v>
      </c>
      <c r="D818" t="s">
        <v>36</v>
      </c>
      <c r="E818" t="s">
        <v>44</v>
      </c>
      <c r="F818" t="s">
        <v>45</v>
      </c>
      <c r="G818" t="s">
        <v>23</v>
      </c>
      <c r="H818" s="1">
        <v>44947</v>
      </c>
      <c r="I818" s="2">
        <v>44947.1958333333</v>
      </c>
      <c r="J818">
        <v>4.7</v>
      </c>
      <c r="K818" t="s">
        <v>32</v>
      </c>
      <c r="L818">
        <v>0</v>
      </c>
      <c r="M818">
        <v>4</v>
      </c>
      <c r="N818" t="s">
        <v>974</v>
      </c>
      <c r="O818" s="3" t="str">
        <f>TEXT(Ticket_Table[[#This Row],[raised_date]],"YYYY-MM")</f>
        <v>2023-01</v>
      </c>
      <c r="P818" s="3" t="str">
        <f>IF(Ticket_Table[[#This Row],[resolution_hrs]]&lt;=4,"Fast",IF(Ticket_Table[[#This Row],[resolution_hrs]]&lt;=24,"Normal",IF(Ticket_Table[[#This Row],[resolution_hrs]]&lt;=48,"Slow","Very Slow")))</f>
        <v>Normal</v>
      </c>
      <c r="Q818" s="3">
        <f>YEAR(Ticket_Table[[#This Row],[raised_date]])</f>
        <v>2023</v>
      </c>
    </row>
    <row r="819" spans="1:17">
      <c r="A819" t="s">
        <v>1368</v>
      </c>
      <c r="B819" t="s">
        <v>403</v>
      </c>
      <c r="C819" t="s">
        <v>64</v>
      </c>
      <c r="D819" t="s">
        <v>20</v>
      </c>
      <c r="E819" t="s">
        <v>44</v>
      </c>
      <c r="F819" t="s">
        <v>38</v>
      </c>
      <c r="G819" t="s">
        <v>46</v>
      </c>
      <c r="H819" s="1">
        <v>44938</v>
      </c>
      <c r="I819" s="2">
        <v>44938.175</v>
      </c>
      <c r="J819">
        <v>4.2</v>
      </c>
      <c r="K819" t="s">
        <v>24</v>
      </c>
      <c r="L819">
        <v>1</v>
      </c>
      <c r="M819">
        <v>2</v>
      </c>
      <c r="N819" t="s">
        <v>594</v>
      </c>
      <c r="O819" s="3" t="str">
        <f>TEXT(Ticket_Table[[#This Row],[raised_date]],"YYYY-MM")</f>
        <v>2023-01</v>
      </c>
      <c r="P819" s="3" t="str">
        <f>IF(Ticket_Table[[#This Row],[resolution_hrs]]&lt;=4,"Fast",IF(Ticket_Table[[#This Row],[resolution_hrs]]&lt;=24,"Normal",IF(Ticket_Table[[#This Row],[resolution_hrs]]&lt;=48,"Slow","Very Slow")))</f>
        <v>Normal</v>
      </c>
      <c r="Q819" s="3">
        <f>YEAR(Ticket_Table[[#This Row],[raised_date]])</f>
        <v>2023</v>
      </c>
    </row>
    <row r="820" spans="1:17">
      <c r="A820" t="s">
        <v>1369</v>
      </c>
      <c r="B820" t="s">
        <v>307</v>
      </c>
      <c r="C820" t="s">
        <v>201</v>
      </c>
      <c r="D820" t="s">
        <v>90</v>
      </c>
      <c r="E820" t="s">
        <v>51</v>
      </c>
      <c r="F820" t="s">
        <v>22</v>
      </c>
      <c r="G820" t="s">
        <v>23</v>
      </c>
      <c r="H820" s="1">
        <v>44981</v>
      </c>
      <c r="I820" s="2">
        <v>44984.8041666667</v>
      </c>
      <c r="J820">
        <v>91.3</v>
      </c>
      <c r="K820" t="s">
        <v>32</v>
      </c>
      <c r="L820">
        <v>0</v>
      </c>
      <c r="M820">
        <v>3</v>
      </c>
      <c r="N820" t="s">
        <v>129</v>
      </c>
      <c r="O820" s="3" t="str">
        <f>TEXT(Ticket_Table[[#This Row],[raised_date]],"YYYY-MM")</f>
        <v>2023-02</v>
      </c>
      <c r="P820" s="3" t="str">
        <f>IF(Ticket_Table[[#This Row],[resolution_hrs]]&lt;=4,"Fast",IF(Ticket_Table[[#This Row],[resolution_hrs]]&lt;=24,"Normal",IF(Ticket_Table[[#This Row],[resolution_hrs]]&lt;=48,"Slow","Very Slow")))</f>
        <v>Very Slow</v>
      </c>
      <c r="Q820" s="3">
        <f>YEAR(Ticket_Table[[#This Row],[raised_date]])</f>
        <v>2023</v>
      </c>
    </row>
    <row r="821" spans="1:17">
      <c r="A821" t="s">
        <v>1370</v>
      </c>
      <c r="B821" t="s">
        <v>698</v>
      </c>
      <c r="C821" t="s">
        <v>133</v>
      </c>
      <c r="D821" t="s">
        <v>90</v>
      </c>
      <c r="E821" t="s">
        <v>44</v>
      </c>
      <c r="F821" t="s">
        <v>38</v>
      </c>
      <c r="G821" t="s">
        <v>46</v>
      </c>
      <c r="H821" s="1">
        <v>44263</v>
      </c>
      <c r="I821" s="2">
        <v>44263.1791666667</v>
      </c>
      <c r="J821">
        <v>4.3</v>
      </c>
      <c r="K821" t="s">
        <v>24</v>
      </c>
      <c r="L821">
        <v>1</v>
      </c>
      <c r="M821">
        <v>1</v>
      </c>
      <c r="N821" t="s">
        <v>431</v>
      </c>
      <c r="O821" s="3" t="str">
        <f>TEXT(Ticket_Table[[#This Row],[raised_date]],"YYYY-MM")</f>
        <v>2021-03</v>
      </c>
      <c r="P821" s="3" t="str">
        <f>IF(Ticket_Table[[#This Row],[resolution_hrs]]&lt;=4,"Fast",IF(Ticket_Table[[#This Row],[resolution_hrs]]&lt;=24,"Normal",IF(Ticket_Table[[#This Row],[resolution_hrs]]&lt;=48,"Slow","Very Slow")))</f>
        <v>Normal</v>
      </c>
      <c r="Q821" s="3">
        <f>YEAR(Ticket_Table[[#This Row],[raised_date]])</f>
        <v>2021</v>
      </c>
    </row>
    <row r="822" spans="1:17">
      <c r="A822" t="s">
        <v>1371</v>
      </c>
      <c r="B822" t="s">
        <v>926</v>
      </c>
      <c r="C822" t="s">
        <v>95</v>
      </c>
      <c r="D822" t="s">
        <v>29</v>
      </c>
      <c r="E822" t="s">
        <v>166</v>
      </c>
      <c r="F822" t="s">
        <v>70</v>
      </c>
      <c r="G822" t="s">
        <v>23</v>
      </c>
      <c r="H822" s="1">
        <v>44511</v>
      </c>
      <c r="I822" s="2">
        <v>44512.0375</v>
      </c>
      <c r="J822">
        <v>24.9</v>
      </c>
      <c r="K822" t="s">
        <v>24</v>
      </c>
      <c r="L822">
        <v>0</v>
      </c>
      <c r="M822">
        <v>3</v>
      </c>
      <c r="N822" t="s">
        <v>405</v>
      </c>
      <c r="O822" s="3" t="str">
        <f>TEXT(Ticket_Table[[#This Row],[raised_date]],"YYYY-MM")</f>
        <v>2021-11</v>
      </c>
      <c r="P822" s="3" t="str">
        <f>IF(Ticket_Table[[#This Row],[resolution_hrs]]&lt;=4,"Fast",IF(Ticket_Table[[#This Row],[resolution_hrs]]&lt;=24,"Normal",IF(Ticket_Table[[#This Row],[resolution_hrs]]&lt;=48,"Slow","Very Slow")))</f>
        <v>Slow</v>
      </c>
      <c r="Q822" s="3">
        <f>YEAR(Ticket_Table[[#This Row],[raised_date]])</f>
        <v>2021</v>
      </c>
    </row>
    <row r="823" spans="1:17">
      <c r="A823" t="s">
        <v>1372</v>
      </c>
      <c r="B823" t="s">
        <v>1039</v>
      </c>
      <c r="C823" t="s">
        <v>287</v>
      </c>
      <c r="D823" t="s">
        <v>43</v>
      </c>
      <c r="E823" t="s">
        <v>69</v>
      </c>
      <c r="F823" t="s">
        <v>22</v>
      </c>
      <c r="G823" t="s">
        <v>31</v>
      </c>
      <c r="H823" s="1">
        <v>45118</v>
      </c>
      <c r="I823" s="2">
        <v>45118.3416666667</v>
      </c>
      <c r="J823">
        <v>8.2</v>
      </c>
      <c r="K823" t="s">
        <v>24</v>
      </c>
      <c r="L823">
        <v>0</v>
      </c>
      <c r="M823">
        <v>4</v>
      </c>
      <c r="N823" t="s">
        <v>81</v>
      </c>
      <c r="O823" s="3" t="str">
        <f>TEXT(Ticket_Table[[#This Row],[raised_date]],"YYYY-MM")</f>
        <v>2023-07</v>
      </c>
      <c r="P823" s="3" t="str">
        <f>IF(Ticket_Table[[#This Row],[resolution_hrs]]&lt;=4,"Fast",IF(Ticket_Table[[#This Row],[resolution_hrs]]&lt;=24,"Normal",IF(Ticket_Table[[#This Row],[resolution_hrs]]&lt;=48,"Slow","Very Slow")))</f>
        <v>Normal</v>
      </c>
      <c r="Q823" s="3">
        <f>YEAR(Ticket_Table[[#This Row],[raised_date]])</f>
        <v>2023</v>
      </c>
    </row>
    <row r="824" spans="1:17">
      <c r="A824" t="s">
        <v>1373</v>
      </c>
      <c r="B824" t="s">
        <v>778</v>
      </c>
      <c r="C824" t="s">
        <v>201</v>
      </c>
      <c r="D824" t="s">
        <v>29</v>
      </c>
      <c r="E824" t="s">
        <v>106</v>
      </c>
      <c r="F824" t="s">
        <v>70</v>
      </c>
      <c r="G824" t="s">
        <v>23</v>
      </c>
      <c r="H824" s="1">
        <v>44956</v>
      </c>
      <c r="I824" s="2">
        <v>44958.4125</v>
      </c>
      <c r="J824">
        <v>57.9</v>
      </c>
      <c r="K824" t="s">
        <v>32</v>
      </c>
      <c r="L824">
        <v>2</v>
      </c>
      <c r="M824">
        <v>5</v>
      </c>
      <c r="N824" t="s">
        <v>1291</v>
      </c>
      <c r="O824" s="3" t="str">
        <f>TEXT(Ticket_Table[[#This Row],[raised_date]],"YYYY-MM")</f>
        <v>2023-01</v>
      </c>
      <c r="P824" s="3" t="str">
        <f>IF(Ticket_Table[[#This Row],[resolution_hrs]]&lt;=4,"Fast",IF(Ticket_Table[[#This Row],[resolution_hrs]]&lt;=24,"Normal",IF(Ticket_Table[[#This Row],[resolution_hrs]]&lt;=48,"Slow","Very Slow")))</f>
        <v>Very Slow</v>
      </c>
      <c r="Q824" s="3">
        <f>YEAR(Ticket_Table[[#This Row],[raised_date]])</f>
        <v>2023</v>
      </c>
    </row>
    <row r="825" spans="1:17">
      <c r="A825" t="s">
        <v>1374</v>
      </c>
      <c r="B825" t="s">
        <v>385</v>
      </c>
      <c r="C825" t="s">
        <v>95</v>
      </c>
      <c r="D825" t="s">
        <v>36</v>
      </c>
      <c r="E825" t="s">
        <v>21</v>
      </c>
      <c r="F825" t="s">
        <v>22</v>
      </c>
      <c r="G825" t="s">
        <v>46</v>
      </c>
      <c r="H825" s="1">
        <v>44958</v>
      </c>
      <c r="I825" s="2">
        <v>44960.1625</v>
      </c>
      <c r="J825">
        <v>51.9</v>
      </c>
      <c r="K825" t="s">
        <v>24</v>
      </c>
      <c r="L825">
        <v>0</v>
      </c>
      <c r="M825">
        <v>4</v>
      </c>
      <c r="N825" t="s">
        <v>35</v>
      </c>
      <c r="O825" s="3" t="str">
        <f>TEXT(Ticket_Table[[#This Row],[raised_date]],"YYYY-MM")</f>
        <v>2023-02</v>
      </c>
      <c r="P825" s="3" t="str">
        <f>IF(Ticket_Table[[#This Row],[resolution_hrs]]&lt;=4,"Fast",IF(Ticket_Table[[#This Row],[resolution_hrs]]&lt;=24,"Normal",IF(Ticket_Table[[#This Row],[resolution_hrs]]&lt;=48,"Slow","Very Slow")))</f>
        <v>Very Slow</v>
      </c>
      <c r="Q825" s="3">
        <f>YEAR(Ticket_Table[[#This Row],[raised_date]])</f>
        <v>2023</v>
      </c>
    </row>
    <row r="826" spans="1:17">
      <c r="A826" t="s">
        <v>1375</v>
      </c>
      <c r="B826" t="s">
        <v>186</v>
      </c>
      <c r="C826" t="s">
        <v>140</v>
      </c>
      <c r="D826" t="s">
        <v>43</v>
      </c>
      <c r="E826" t="s">
        <v>166</v>
      </c>
      <c r="F826" t="s">
        <v>38</v>
      </c>
      <c r="G826" t="s">
        <v>46</v>
      </c>
      <c r="H826" s="1">
        <v>45106</v>
      </c>
      <c r="I826" s="2">
        <v>45106.3458333333</v>
      </c>
      <c r="J826">
        <v>8.3</v>
      </c>
      <c r="K826" t="s">
        <v>24</v>
      </c>
      <c r="L826">
        <v>0</v>
      </c>
      <c r="M826">
        <v>4</v>
      </c>
      <c r="N826" t="s">
        <v>857</v>
      </c>
      <c r="O826" s="3" t="str">
        <f>TEXT(Ticket_Table[[#This Row],[raised_date]],"YYYY-MM")</f>
        <v>2023-06</v>
      </c>
      <c r="P826" s="3" t="str">
        <f>IF(Ticket_Table[[#This Row],[resolution_hrs]]&lt;=4,"Fast",IF(Ticket_Table[[#This Row],[resolution_hrs]]&lt;=24,"Normal",IF(Ticket_Table[[#This Row],[resolution_hrs]]&lt;=48,"Slow","Very Slow")))</f>
        <v>Normal</v>
      </c>
      <c r="Q826" s="3">
        <f>YEAR(Ticket_Table[[#This Row],[raised_date]])</f>
        <v>2023</v>
      </c>
    </row>
    <row r="827" spans="1:17">
      <c r="A827" t="s">
        <v>1376</v>
      </c>
      <c r="B827" t="s">
        <v>352</v>
      </c>
      <c r="C827" t="s">
        <v>68</v>
      </c>
      <c r="D827" t="s">
        <v>29</v>
      </c>
      <c r="E827" t="s">
        <v>30</v>
      </c>
      <c r="F827" t="s">
        <v>70</v>
      </c>
      <c r="G827" t="s">
        <v>31</v>
      </c>
      <c r="H827" s="1">
        <v>44354</v>
      </c>
      <c r="I827" s="2">
        <v>44356.3958333333</v>
      </c>
      <c r="J827">
        <v>57.5</v>
      </c>
      <c r="K827" t="s">
        <v>32</v>
      </c>
      <c r="L827">
        <v>0</v>
      </c>
      <c r="M827">
        <v>3</v>
      </c>
      <c r="N827" t="s">
        <v>525</v>
      </c>
      <c r="O827" s="3" t="str">
        <f>TEXT(Ticket_Table[[#This Row],[raised_date]],"YYYY-MM")</f>
        <v>2021-06</v>
      </c>
      <c r="P827" s="3" t="str">
        <f>IF(Ticket_Table[[#This Row],[resolution_hrs]]&lt;=4,"Fast",IF(Ticket_Table[[#This Row],[resolution_hrs]]&lt;=24,"Normal",IF(Ticket_Table[[#This Row],[resolution_hrs]]&lt;=48,"Slow","Very Slow")))</f>
        <v>Very Slow</v>
      </c>
      <c r="Q827" s="3">
        <f>YEAR(Ticket_Table[[#This Row],[raised_date]])</f>
        <v>2021</v>
      </c>
    </row>
    <row r="828" spans="1:17">
      <c r="A828" t="s">
        <v>1377</v>
      </c>
      <c r="B828" t="s">
        <v>406</v>
      </c>
      <c r="C828" t="s">
        <v>19</v>
      </c>
      <c r="D828" t="s">
        <v>20</v>
      </c>
      <c r="E828" t="s">
        <v>69</v>
      </c>
      <c r="F828" t="s">
        <v>38</v>
      </c>
      <c r="G828" t="s">
        <v>31</v>
      </c>
      <c r="H828" s="1">
        <v>44478</v>
      </c>
      <c r="I828" s="2">
        <v>44478.9916666667</v>
      </c>
      <c r="J828">
        <v>23.8</v>
      </c>
      <c r="K828" t="s">
        <v>24</v>
      </c>
      <c r="L828">
        <v>0</v>
      </c>
      <c r="M828">
        <v>3</v>
      </c>
      <c r="N828" t="s">
        <v>1202</v>
      </c>
      <c r="O828" s="3" t="str">
        <f>TEXT(Ticket_Table[[#This Row],[raised_date]],"YYYY-MM")</f>
        <v>2021-10</v>
      </c>
      <c r="P828" s="3" t="str">
        <f>IF(Ticket_Table[[#This Row],[resolution_hrs]]&lt;=4,"Fast",IF(Ticket_Table[[#This Row],[resolution_hrs]]&lt;=24,"Normal",IF(Ticket_Table[[#This Row],[resolution_hrs]]&lt;=48,"Slow","Very Slow")))</f>
        <v>Normal</v>
      </c>
      <c r="Q828" s="3">
        <f>YEAR(Ticket_Table[[#This Row],[raised_date]])</f>
        <v>2021</v>
      </c>
    </row>
    <row r="829" spans="1:17">
      <c r="A829" t="s">
        <v>1378</v>
      </c>
      <c r="B829" t="s">
        <v>701</v>
      </c>
      <c r="C829" t="s">
        <v>95</v>
      </c>
      <c r="D829" t="s">
        <v>36</v>
      </c>
      <c r="E829" t="s">
        <v>56</v>
      </c>
      <c r="F829" t="s">
        <v>22</v>
      </c>
      <c r="G829" t="s">
        <v>31</v>
      </c>
      <c r="H829" s="1">
        <v>45281</v>
      </c>
      <c r="I829" s="2">
        <v>45282.3875</v>
      </c>
      <c r="J829">
        <v>33.3</v>
      </c>
      <c r="K829" t="s">
        <v>24</v>
      </c>
      <c r="L829">
        <v>0</v>
      </c>
      <c r="M829">
        <v>5</v>
      </c>
      <c r="N829" t="s">
        <v>195</v>
      </c>
      <c r="O829" s="3" t="str">
        <f>TEXT(Ticket_Table[[#This Row],[raised_date]],"YYYY-MM")</f>
        <v>2023-12</v>
      </c>
      <c r="P829" s="3" t="str">
        <f>IF(Ticket_Table[[#This Row],[resolution_hrs]]&lt;=4,"Fast",IF(Ticket_Table[[#This Row],[resolution_hrs]]&lt;=24,"Normal",IF(Ticket_Table[[#This Row],[resolution_hrs]]&lt;=48,"Slow","Very Slow")))</f>
        <v>Slow</v>
      </c>
      <c r="Q829" s="3">
        <f>YEAR(Ticket_Table[[#This Row],[raised_date]])</f>
        <v>2023</v>
      </c>
    </row>
    <row r="830" spans="1:17">
      <c r="A830" t="s">
        <v>1379</v>
      </c>
      <c r="B830" t="s">
        <v>123</v>
      </c>
      <c r="C830" t="s">
        <v>42</v>
      </c>
      <c r="D830" t="s">
        <v>90</v>
      </c>
      <c r="E830" t="s">
        <v>69</v>
      </c>
      <c r="F830" t="s">
        <v>70</v>
      </c>
      <c r="G830" t="s">
        <v>31</v>
      </c>
      <c r="H830" s="1">
        <v>44948</v>
      </c>
      <c r="I830" s="2">
        <v>44950.4208333333</v>
      </c>
      <c r="J830">
        <v>58.1</v>
      </c>
      <c r="K830" t="s">
        <v>32</v>
      </c>
      <c r="L830">
        <v>0</v>
      </c>
      <c r="M830">
        <v>3</v>
      </c>
      <c r="N830" t="s">
        <v>1136</v>
      </c>
      <c r="O830" s="3" t="str">
        <f>TEXT(Ticket_Table[[#This Row],[raised_date]],"YYYY-MM")</f>
        <v>2023-01</v>
      </c>
      <c r="P830" s="3" t="str">
        <f>IF(Ticket_Table[[#This Row],[resolution_hrs]]&lt;=4,"Fast",IF(Ticket_Table[[#This Row],[resolution_hrs]]&lt;=24,"Normal",IF(Ticket_Table[[#This Row],[resolution_hrs]]&lt;=48,"Slow","Very Slow")))</f>
        <v>Very Slow</v>
      </c>
      <c r="Q830" s="3">
        <f>YEAR(Ticket_Table[[#This Row],[raised_date]])</f>
        <v>2023</v>
      </c>
    </row>
    <row r="831" spans="1:17">
      <c r="A831" t="s">
        <v>1380</v>
      </c>
      <c r="B831" t="s">
        <v>968</v>
      </c>
      <c r="C831" t="s">
        <v>82</v>
      </c>
      <c r="D831" t="s">
        <v>29</v>
      </c>
      <c r="E831" t="s">
        <v>21</v>
      </c>
      <c r="F831" t="s">
        <v>22</v>
      </c>
      <c r="G831" t="s">
        <v>91</v>
      </c>
      <c r="H831" s="1">
        <v>45012</v>
      </c>
      <c r="I831" s="2">
        <v>45013.9708333333</v>
      </c>
      <c r="J831">
        <v>47.3</v>
      </c>
      <c r="K831" t="s">
        <v>24</v>
      </c>
      <c r="L831">
        <v>2</v>
      </c>
      <c r="M831">
        <v>5</v>
      </c>
      <c r="N831" t="s">
        <v>772</v>
      </c>
      <c r="O831" s="3" t="str">
        <f>TEXT(Ticket_Table[[#This Row],[raised_date]],"YYYY-MM")</f>
        <v>2023-03</v>
      </c>
      <c r="P831" s="3" t="str">
        <f>IF(Ticket_Table[[#This Row],[resolution_hrs]]&lt;=4,"Fast",IF(Ticket_Table[[#This Row],[resolution_hrs]]&lt;=24,"Normal",IF(Ticket_Table[[#This Row],[resolution_hrs]]&lt;=48,"Slow","Very Slow")))</f>
        <v>Slow</v>
      </c>
      <c r="Q831" s="3">
        <f>YEAR(Ticket_Table[[#This Row],[raised_date]])</f>
        <v>2023</v>
      </c>
    </row>
    <row r="832" spans="1:17">
      <c r="A832" t="s">
        <v>1381</v>
      </c>
      <c r="B832" t="s">
        <v>1382</v>
      </c>
      <c r="C832" t="s">
        <v>68</v>
      </c>
      <c r="D832" t="s">
        <v>36</v>
      </c>
      <c r="E832" t="s">
        <v>37</v>
      </c>
      <c r="F832" t="s">
        <v>22</v>
      </c>
      <c r="G832" t="s">
        <v>23</v>
      </c>
      <c r="H832" s="1">
        <v>44840</v>
      </c>
      <c r="I832" s="2">
        <v>44842.45</v>
      </c>
      <c r="J832">
        <v>58.8</v>
      </c>
      <c r="K832" t="s">
        <v>24</v>
      </c>
      <c r="L832">
        <v>0</v>
      </c>
      <c r="M832">
        <v>3</v>
      </c>
      <c r="N832" t="s">
        <v>792</v>
      </c>
      <c r="O832" s="3" t="str">
        <f>TEXT(Ticket_Table[[#This Row],[raised_date]],"YYYY-MM")</f>
        <v>2022-10</v>
      </c>
      <c r="P832" s="3" t="str">
        <f>IF(Ticket_Table[[#This Row],[resolution_hrs]]&lt;=4,"Fast",IF(Ticket_Table[[#This Row],[resolution_hrs]]&lt;=24,"Normal",IF(Ticket_Table[[#This Row],[resolution_hrs]]&lt;=48,"Slow","Very Slow")))</f>
        <v>Very Slow</v>
      </c>
      <c r="Q832" s="3">
        <f>YEAR(Ticket_Table[[#This Row],[raised_date]])</f>
        <v>2022</v>
      </c>
    </row>
    <row r="833" spans="1:17">
      <c r="A833" t="s">
        <v>1383</v>
      </c>
      <c r="B833" t="s">
        <v>956</v>
      </c>
      <c r="C833" t="s">
        <v>82</v>
      </c>
      <c r="D833" t="s">
        <v>36</v>
      </c>
      <c r="E833" t="s">
        <v>37</v>
      </c>
      <c r="F833" t="s">
        <v>22</v>
      </c>
      <c r="G833" t="s">
        <v>23</v>
      </c>
      <c r="H833" s="1">
        <v>44767</v>
      </c>
      <c r="I833" s="2">
        <v>44767.9333333333</v>
      </c>
      <c r="J833">
        <v>22.4</v>
      </c>
      <c r="K833" t="s">
        <v>24</v>
      </c>
      <c r="L833">
        <v>1</v>
      </c>
      <c r="M833">
        <v>5</v>
      </c>
      <c r="N833" t="s">
        <v>506</v>
      </c>
      <c r="O833" s="3" t="str">
        <f>TEXT(Ticket_Table[[#This Row],[raised_date]],"YYYY-MM")</f>
        <v>2022-07</v>
      </c>
      <c r="P833" s="3" t="str">
        <f>IF(Ticket_Table[[#This Row],[resolution_hrs]]&lt;=4,"Fast",IF(Ticket_Table[[#This Row],[resolution_hrs]]&lt;=24,"Normal",IF(Ticket_Table[[#This Row],[resolution_hrs]]&lt;=48,"Slow","Very Slow")))</f>
        <v>Normal</v>
      </c>
      <c r="Q833" s="3">
        <f>YEAR(Ticket_Table[[#This Row],[raised_date]])</f>
        <v>2022</v>
      </c>
    </row>
    <row r="834" spans="1:17">
      <c r="A834" t="s">
        <v>1384</v>
      </c>
      <c r="B834" t="s">
        <v>666</v>
      </c>
      <c r="C834" t="s">
        <v>82</v>
      </c>
      <c r="D834" t="s">
        <v>90</v>
      </c>
      <c r="E834" t="s">
        <v>166</v>
      </c>
      <c r="F834" t="s">
        <v>22</v>
      </c>
      <c r="G834" t="s">
        <v>74</v>
      </c>
      <c r="H834" s="1">
        <v>44708</v>
      </c>
      <c r="I834" s="2">
        <v>44709.8333333333</v>
      </c>
      <c r="J834">
        <v>44</v>
      </c>
      <c r="K834" t="s">
        <v>24</v>
      </c>
      <c r="L834">
        <v>0</v>
      </c>
      <c r="M834">
        <v>4</v>
      </c>
      <c r="N834" t="s">
        <v>1202</v>
      </c>
      <c r="O834" s="3" t="str">
        <f>TEXT(Ticket_Table[[#This Row],[raised_date]],"YYYY-MM")</f>
        <v>2022-05</v>
      </c>
      <c r="P834" s="3" t="str">
        <f>IF(Ticket_Table[[#This Row],[resolution_hrs]]&lt;=4,"Fast",IF(Ticket_Table[[#This Row],[resolution_hrs]]&lt;=24,"Normal",IF(Ticket_Table[[#This Row],[resolution_hrs]]&lt;=48,"Slow","Very Slow")))</f>
        <v>Slow</v>
      </c>
      <c r="Q834" s="3">
        <f>YEAR(Ticket_Table[[#This Row],[raised_date]])</f>
        <v>2022</v>
      </c>
    </row>
    <row r="835" spans="1:17">
      <c r="A835" t="s">
        <v>1385</v>
      </c>
      <c r="B835" t="s">
        <v>67</v>
      </c>
      <c r="C835" t="s">
        <v>102</v>
      </c>
      <c r="D835" t="s">
        <v>90</v>
      </c>
      <c r="E835" t="s">
        <v>83</v>
      </c>
      <c r="F835" t="s">
        <v>70</v>
      </c>
      <c r="G835" t="s">
        <v>23</v>
      </c>
      <c r="H835" s="1">
        <v>44429</v>
      </c>
      <c r="I835" s="2">
        <v>44430.8916666667</v>
      </c>
      <c r="J835">
        <v>45.4</v>
      </c>
      <c r="K835" t="s">
        <v>24</v>
      </c>
      <c r="L835">
        <v>0</v>
      </c>
      <c r="M835">
        <v>4</v>
      </c>
      <c r="N835" t="s">
        <v>931</v>
      </c>
      <c r="O835" s="3" t="str">
        <f>TEXT(Ticket_Table[[#This Row],[raised_date]],"YYYY-MM")</f>
        <v>2021-08</v>
      </c>
      <c r="P835" s="3" t="str">
        <f>IF(Ticket_Table[[#This Row],[resolution_hrs]]&lt;=4,"Fast",IF(Ticket_Table[[#This Row],[resolution_hrs]]&lt;=24,"Normal",IF(Ticket_Table[[#This Row],[resolution_hrs]]&lt;=48,"Slow","Very Slow")))</f>
        <v>Slow</v>
      </c>
      <c r="Q835" s="3">
        <f>YEAR(Ticket_Table[[#This Row],[raised_date]])</f>
        <v>2021</v>
      </c>
    </row>
    <row r="836" spans="1:17">
      <c r="A836" t="s">
        <v>1386</v>
      </c>
      <c r="B836" t="s">
        <v>655</v>
      </c>
      <c r="C836" t="s">
        <v>50</v>
      </c>
      <c r="D836" t="s">
        <v>90</v>
      </c>
      <c r="E836" t="s">
        <v>56</v>
      </c>
      <c r="F836" t="s">
        <v>22</v>
      </c>
      <c r="G836" t="s">
        <v>31</v>
      </c>
      <c r="H836" s="1">
        <v>44250</v>
      </c>
      <c r="I836" s="2">
        <v>44252.0625</v>
      </c>
      <c r="J836">
        <v>49.5</v>
      </c>
      <c r="K836" t="s">
        <v>24</v>
      </c>
      <c r="L836">
        <v>0</v>
      </c>
      <c r="M836">
        <v>5</v>
      </c>
      <c r="N836" t="s">
        <v>935</v>
      </c>
      <c r="O836" s="3" t="str">
        <f>TEXT(Ticket_Table[[#This Row],[raised_date]],"YYYY-MM")</f>
        <v>2021-02</v>
      </c>
      <c r="P836" s="3" t="str">
        <f>IF(Ticket_Table[[#This Row],[resolution_hrs]]&lt;=4,"Fast",IF(Ticket_Table[[#This Row],[resolution_hrs]]&lt;=24,"Normal",IF(Ticket_Table[[#This Row],[resolution_hrs]]&lt;=48,"Slow","Very Slow")))</f>
        <v>Very Slow</v>
      </c>
      <c r="Q836" s="3">
        <f>YEAR(Ticket_Table[[#This Row],[raised_date]])</f>
        <v>2021</v>
      </c>
    </row>
    <row r="837" spans="1:17">
      <c r="A837" t="s">
        <v>1387</v>
      </c>
      <c r="B837" t="s">
        <v>1164</v>
      </c>
      <c r="C837" t="s">
        <v>287</v>
      </c>
      <c r="D837" t="s">
        <v>29</v>
      </c>
      <c r="E837" t="s">
        <v>21</v>
      </c>
      <c r="F837" t="s">
        <v>70</v>
      </c>
      <c r="G837" t="s">
        <v>31</v>
      </c>
      <c r="H837" s="1">
        <v>44578</v>
      </c>
      <c r="I837" s="2">
        <v>44580.3</v>
      </c>
      <c r="J837">
        <v>55.2</v>
      </c>
      <c r="K837" t="s">
        <v>32</v>
      </c>
      <c r="L837">
        <v>0</v>
      </c>
      <c r="M837">
        <v>3</v>
      </c>
      <c r="N837" t="s">
        <v>233</v>
      </c>
      <c r="O837" s="3" t="str">
        <f>TEXT(Ticket_Table[[#This Row],[raised_date]],"YYYY-MM")</f>
        <v>2022-01</v>
      </c>
      <c r="P837" s="3" t="str">
        <f>IF(Ticket_Table[[#This Row],[resolution_hrs]]&lt;=4,"Fast",IF(Ticket_Table[[#This Row],[resolution_hrs]]&lt;=24,"Normal",IF(Ticket_Table[[#This Row],[resolution_hrs]]&lt;=48,"Slow","Very Slow")))</f>
        <v>Very Slow</v>
      </c>
      <c r="Q837" s="3">
        <f>YEAR(Ticket_Table[[#This Row],[raised_date]])</f>
        <v>2022</v>
      </c>
    </row>
    <row r="838" spans="1:17">
      <c r="A838" t="s">
        <v>1388</v>
      </c>
      <c r="B838" t="s">
        <v>658</v>
      </c>
      <c r="C838" t="s">
        <v>95</v>
      </c>
      <c r="D838" t="s">
        <v>90</v>
      </c>
      <c r="E838" t="s">
        <v>21</v>
      </c>
      <c r="F838" t="s">
        <v>70</v>
      </c>
      <c r="G838" t="s">
        <v>23</v>
      </c>
      <c r="H838" s="1">
        <v>45219</v>
      </c>
      <c r="I838" s="2">
        <v>45219.575</v>
      </c>
      <c r="J838">
        <v>13.8</v>
      </c>
      <c r="K838" t="s">
        <v>24</v>
      </c>
      <c r="L838">
        <v>0</v>
      </c>
      <c r="M838">
        <v>3</v>
      </c>
      <c r="N838" t="s">
        <v>517</v>
      </c>
      <c r="O838" s="3" t="str">
        <f>TEXT(Ticket_Table[[#This Row],[raised_date]],"YYYY-MM")</f>
        <v>2023-10</v>
      </c>
      <c r="P838" s="3" t="str">
        <f>IF(Ticket_Table[[#This Row],[resolution_hrs]]&lt;=4,"Fast",IF(Ticket_Table[[#This Row],[resolution_hrs]]&lt;=24,"Normal",IF(Ticket_Table[[#This Row],[resolution_hrs]]&lt;=48,"Slow","Very Slow")))</f>
        <v>Normal</v>
      </c>
      <c r="Q838" s="3">
        <f>YEAR(Ticket_Table[[#This Row],[raised_date]])</f>
        <v>2023</v>
      </c>
    </row>
    <row r="839" spans="1:17">
      <c r="A839" t="s">
        <v>1389</v>
      </c>
      <c r="B839" t="s">
        <v>289</v>
      </c>
      <c r="C839" t="s">
        <v>102</v>
      </c>
      <c r="D839" t="s">
        <v>20</v>
      </c>
      <c r="E839" t="s">
        <v>21</v>
      </c>
      <c r="F839" t="s">
        <v>38</v>
      </c>
      <c r="G839" t="s">
        <v>23</v>
      </c>
      <c r="H839" s="1">
        <v>45257</v>
      </c>
      <c r="I839" s="2">
        <v>45257.0708333333</v>
      </c>
      <c r="J839">
        <v>1.7</v>
      </c>
      <c r="K839" t="s">
        <v>24</v>
      </c>
      <c r="L839">
        <v>0</v>
      </c>
      <c r="M839">
        <v>3</v>
      </c>
      <c r="N839" t="s">
        <v>804</v>
      </c>
      <c r="O839" s="3" t="str">
        <f>TEXT(Ticket_Table[[#This Row],[raised_date]],"YYYY-MM")</f>
        <v>2023-11</v>
      </c>
      <c r="P839" s="3" t="str">
        <f>IF(Ticket_Table[[#This Row],[resolution_hrs]]&lt;=4,"Fast",IF(Ticket_Table[[#This Row],[resolution_hrs]]&lt;=24,"Normal",IF(Ticket_Table[[#This Row],[resolution_hrs]]&lt;=48,"Slow","Very Slow")))</f>
        <v>Fast</v>
      </c>
      <c r="Q839" s="3">
        <f>YEAR(Ticket_Table[[#This Row],[raised_date]])</f>
        <v>2023</v>
      </c>
    </row>
    <row r="840" spans="1:17">
      <c r="A840" t="s">
        <v>1390</v>
      </c>
      <c r="B840" t="s">
        <v>708</v>
      </c>
      <c r="C840" t="s">
        <v>175</v>
      </c>
      <c r="D840" t="s">
        <v>36</v>
      </c>
      <c r="E840" t="s">
        <v>44</v>
      </c>
      <c r="F840" t="s">
        <v>45</v>
      </c>
      <c r="G840" t="s">
        <v>31</v>
      </c>
      <c r="H840" s="1">
        <v>44989</v>
      </c>
      <c r="I840" s="2">
        <v>44989.1875</v>
      </c>
      <c r="J840">
        <v>4.5</v>
      </c>
      <c r="K840" t="s">
        <v>32</v>
      </c>
      <c r="L840">
        <v>1</v>
      </c>
      <c r="M840">
        <v>3</v>
      </c>
      <c r="N840" t="s">
        <v>262</v>
      </c>
      <c r="O840" s="3" t="str">
        <f>TEXT(Ticket_Table[[#This Row],[raised_date]],"YYYY-MM")</f>
        <v>2023-03</v>
      </c>
      <c r="P840" s="3" t="str">
        <f>IF(Ticket_Table[[#This Row],[resolution_hrs]]&lt;=4,"Fast",IF(Ticket_Table[[#This Row],[resolution_hrs]]&lt;=24,"Normal",IF(Ticket_Table[[#This Row],[resolution_hrs]]&lt;=48,"Slow","Very Slow")))</f>
        <v>Normal</v>
      </c>
      <c r="Q840" s="3">
        <f>YEAR(Ticket_Table[[#This Row],[raised_date]])</f>
        <v>2023</v>
      </c>
    </row>
    <row r="841" spans="1:17">
      <c r="A841" t="s">
        <v>1391</v>
      </c>
      <c r="B841" t="s">
        <v>822</v>
      </c>
      <c r="C841" t="s">
        <v>287</v>
      </c>
      <c r="D841" t="s">
        <v>90</v>
      </c>
      <c r="E841" t="s">
        <v>21</v>
      </c>
      <c r="F841" t="s">
        <v>70</v>
      </c>
      <c r="G841" t="s">
        <v>23</v>
      </c>
      <c r="H841" s="1">
        <v>44438</v>
      </c>
      <c r="I841" s="2">
        <v>44440.5958333333</v>
      </c>
      <c r="J841">
        <v>62.3</v>
      </c>
      <c r="K841" t="s">
        <v>32</v>
      </c>
      <c r="L841">
        <v>0</v>
      </c>
      <c r="M841">
        <v>4</v>
      </c>
      <c r="N841" t="s">
        <v>650</v>
      </c>
      <c r="O841" s="3" t="str">
        <f>TEXT(Ticket_Table[[#This Row],[raised_date]],"YYYY-MM")</f>
        <v>2021-08</v>
      </c>
      <c r="P841" s="3" t="str">
        <f>IF(Ticket_Table[[#This Row],[resolution_hrs]]&lt;=4,"Fast",IF(Ticket_Table[[#This Row],[resolution_hrs]]&lt;=24,"Normal",IF(Ticket_Table[[#This Row],[resolution_hrs]]&lt;=48,"Slow","Very Slow")))</f>
        <v>Very Slow</v>
      </c>
      <c r="Q841" s="3">
        <f>YEAR(Ticket_Table[[#This Row],[raised_date]])</f>
        <v>2021</v>
      </c>
    </row>
    <row r="842" spans="1:17">
      <c r="A842" t="s">
        <v>1392</v>
      </c>
      <c r="B842" t="s">
        <v>353</v>
      </c>
      <c r="C842" t="s">
        <v>287</v>
      </c>
      <c r="D842" t="s">
        <v>36</v>
      </c>
      <c r="E842" t="s">
        <v>37</v>
      </c>
      <c r="F842" t="s">
        <v>70</v>
      </c>
      <c r="G842" t="s">
        <v>23</v>
      </c>
      <c r="H842" s="1">
        <v>44733</v>
      </c>
      <c r="I842" s="2">
        <v>44734.75</v>
      </c>
      <c r="J842">
        <v>42</v>
      </c>
      <c r="K842" t="s">
        <v>24</v>
      </c>
      <c r="L842">
        <v>0</v>
      </c>
      <c r="M842">
        <v>5</v>
      </c>
      <c r="N842" t="s">
        <v>1039</v>
      </c>
      <c r="O842" s="3" t="str">
        <f>TEXT(Ticket_Table[[#This Row],[raised_date]],"YYYY-MM")</f>
        <v>2022-06</v>
      </c>
      <c r="P842" s="3" t="str">
        <f>IF(Ticket_Table[[#This Row],[resolution_hrs]]&lt;=4,"Fast",IF(Ticket_Table[[#This Row],[resolution_hrs]]&lt;=24,"Normal",IF(Ticket_Table[[#This Row],[resolution_hrs]]&lt;=48,"Slow","Very Slow")))</f>
        <v>Slow</v>
      </c>
      <c r="Q842" s="3">
        <f>YEAR(Ticket_Table[[#This Row],[raised_date]])</f>
        <v>2022</v>
      </c>
    </row>
    <row r="843" spans="1:17">
      <c r="A843" t="s">
        <v>1393</v>
      </c>
      <c r="B843" t="s">
        <v>501</v>
      </c>
      <c r="C843" t="s">
        <v>140</v>
      </c>
      <c r="D843" t="s">
        <v>43</v>
      </c>
      <c r="E843" t="s">
        <v>30</v>
      </c>
      <c r="F843" t="s">
        <v>22</v>
      </c>
      <c r="G843" t="s">
        <v>31</v>
      </c>
      <c r="H843" s="1">
        <v>44730</v>
      </c>
      <c r="I843" s="2">
        <v>44730.9916666667</v>
      </c>
      <c r="J843">
        <v>23.8</v>
      </c>
      <c r="K843" t="s">
        <v>24</v>
      </c>
      <c r="L843">
        <v>0</v>
      </c>
      <c r="M843">
        <v>2</v>
      </c>
      <c r="N843" t="s">
        <v>767</v>
      </c>
      <c r="O843" s="3" t="str">
        <f>TEXT(Ticket_Table[[#This Row],[raised_date]],"YYYY-MM")</f>
        <v>2022-06</v>
      </c>
      <c r="P843" s="3" t="str">
        <f>IF(Ticket_Table[[#This Row],[resolution_hrs]]&lt;=4,"Fast",IF(Ticket_Table[[#This Row],[resolution_hrs]]&lt;=24,"Normal",IF(Ticket_Table[[#This Row],[resolution_hrs]]&lt;=48,"Slow","Very Slow")))</f>
        <v>Normal</v>
      </c>
      <c r="Q843" s="3">
        <f>YEAR(Ticket_Table[[#This Row],[raised_date]])</f>
        <v>2022</v>
      </c>
    </row>
    <row r="844" spans="1:17">
      <c r="A844" t="s">
        <v>1394</v>
      </c>
      <c r="B844" t="s">
        <v>504</v>
      </c>
      <c r="C844" t="s">
        <v>78</v>
      </c>
      <c r="D844" t="s">
        <v>43</v>
      </c>
      <c r="E844" t="s">
        <v>106</v>
      </c>
      <c r="F844" t="s">
        <v>45</v>
      </c>
      <c r="G844" t="s">
        <v>46</v>
      </c>
      <c r="H844" s="1">
        <v>45110</v>
      </c>
      <c r="I844" s="2">
        <v>45110.2416666667</v>
      </c>
      <c r="J844">
        <v>5.8</v>
      </c>
      <c r="K844" t="s">
        <v>32</v>
      </c>
      <c r="L844">
        <v>3</v>
      </c>
      <c r="M844">
        <v>5</v>
      </c>
      <c r="N844" t="s">
        <v>1112</v>
      </c>
      <c r="O844" s="3" t="str">
        <f>TEXT(Ticket_Table[[#This Row],[raised_date]],"YYYY-MM")</f>
        <v>2023-07</v>
      </c>
      <c r="P844" s="3" t="str">
        <f>IF(Ticket_Table[[#This Row],[resolution_hrs]]&lt;=4,"Fast",IF(Ticket_Table[[#This Row],[resolution_hrs]]&lt;=24,"Normal",IF(Ticket_Table[[#This Row],[resolution_hrs]]&lt;=48,"Slow","Very Slow")))</f>
        <v>Normal</v>
      </c>
      <c r="Q844" s="3">
        <f>YEAR(Ticket_Table[[#This Row],[raised_date]])</f>
        <v>2023</v>
      </c>
    </row>
    <row r="845" spans="1:17">
      <c r="A845" t="s">
        <v>1395</v>
      </c>
      <c r="B845" t="s">
        <v>174</v>
      </c>
      <c r="C845" t="s">
        <v>133</v>
      </c>
      <c r="D845" t="s">
        <v>90</v>
      </c>
      <c r="E845" t="s">
        <v>69</v>
      </c>
      <c r="F845" t="s">
        <v>22</v>
      </c>
      <c r="G845" t="s">
        <v>31</v>
      </c>
      <c r="H845" s="1">
        <v>44636</v>
      </c>
      <c r="I845" s="2">
        <v>44639.35</v>
      </c>
      <c r="J845">
        <v>80.4</v>
      </c>
      <c r="K845" t="s">
        <v>32</v>
      </c>
      <c r="L845">
        <v>0</v>
      </c>
      <c r="M845">
        <v>5</v>
      </c>
      <c r="N845" t="s">
        <v>454</v>
      </c>
      <c r="O845" s="3" t="str">
        <f>TEXT(Ticket_Table[[#This Row],[raised_date]],"YYYY-MM")</f>
        <v>2022-03</v>
      </c>
      <c r="P845" s="3" t="str">
        <f>IF(Ticket_Table[[#This Row],[resolution_hrs]]&lt;=4,"Fast",IF(Ticket_Table[[#This Row],[resolution_hrs]]&lt;=24,"Normal",IF(Ticket_Table[[#This Row],[resolution_hrs]]&lt;=48,"Slow","Very Slow")))</f>
        <v>Very Slow</v>
      </c>
      <c r="Q845" s="3">
        <f>YEAR(Ticket_Table[[#This Row],[raised_date]])</f>
        <v>2022</v>
      </c>
    </row>
    <row r="846" spans="1:17">
      <c r="A846" t="s">
        <v>1396</v>
      </c>
      <c r="B846" t="s">
        <v>320</v>
      </c>
      <c r="C846" t="s">
        <v>117</v>
      </c>
      <c r="D846" t="s">
        <v>36</v>
      </c>
      <c r="E846" t="s">
        <v>106</v>
      </c>
      <c r="F846" t="s">
        <v>22</v>
      </c>
      <c r="G846" t="s">
        <v>91</v>
      </c>
      <c r="H846" s="1">
        <v>44781</v>
      </c>
      <c r="I846" s="2">
        <v>44783.125</v>
      </c>
      <c r="J846">
        <v>51</v>
      </c>
      <c r="K846" t="s">
        <v>24</v>
      </c>
      <c r="L846">
        <v>0</v>
      </c>
      <c r="M846">
        <v>4</v>
      </c>
      <c r="N846" t="s">
        <v>378</v>
      </c>
      <c r="O846" s="3" t="str">
        <f>TEXT(Ticket_Table[[#This Row],[raised_date]],"YYYY-MM")</f>
        <v>2022-08</v>
      </c>
      <c r="P846" s="3" t="str">
        <f>IF(Ticket_Table[[#This Row],[resolution_hrs]]&lt;=4,"Fast",IF(Ticket_Table[[#This Row],[resolution_hrs]]&lt;=24,"Normal",IF(Ticket_Table[[#This Row],[resolution_hrs]]&lt;=48,"Slow","Very Slow")))</f>
        <v>Very Slow</v>
      </c>
      <c r="Q846" s="3">
        <f>YEAR(Ticket_Table[[#This Row],[raised_date]])</f>
        <v>2022</v>
      </c>
    </row>
    <row r="847" spans="1:17">
      <c r="A847" t="s">
        <v>1397</v>
      </c>
      <c r="B847" t="s">
        <v>538</v>
      </c>
      <c r="C847" t="s">
        <v>42</v>
      </c>
      <c r="D847" t="s">
        <v>43</v>
      </c>
      <c r="E847" t="s">
        <v>37</v>
      </c>
      <c r="F847" t="s">
        <v>22</v>
      </c>
      <c r="G847" t="s">
        <v>23</v>
      </c>
      <c r="H847" s="1">
        <v>45202</v>
      </c>
      <c r="I847" s="2">
        <v>45206.2208333333</v>
      </c>
      <c r="J847">
        <v>101.3</v>
      </c>
      <c r="K847" t="s">
        <v>32</v>
      </c>
      <c r="L847">
        <v>0</v>
      </c>
      <c r="M847">
        <v>5</v>
      </c>
      <c r="N847" t="s">
        <v>1016</v>
      </c>
      <c r="O847" s="3" t="str">
        <f>TEXT(Ticket_Table[[#This Row],[raised_date]],"YYYY-MM")</f>
        <v>2023-10</v>
      </c>
      <c r="P847" s="3" t="str">
        <f>IF(Ticket_Table[[#This Row],[resolution_hrs]]&lt;=4,"Fast",IF(Ticket_Table[[#This Row],[resolution_hrs]]&lt;=24,"Normal",IF(Ticket_Table[[#This Row],[resolution_hrs]]&lt;=48,"Slow","Very Slow")))</f>
        <v>Very Slow</v>
      </c>
      <c r="Q847" s="3">
        <f>YEAR(Ticket_Table[[#This Row],[raised_date]])</f>
        <v>2023</v>
      </c>
    </row>
    <row r="848" spans="1:17">
      <c r="A848" t="s">
        <v>1398</v>
      </c>
      <c r="B848" t="s">
        <v>200</v>
      </c>
      <c r="C848" t="s">
        <v>64</v>
      </c>
      <c r="D848" t="s">
        <v>90</v>
      </c>
      <c r="E848" t="s">
        <v>37</v>
      </c>
      <c r="F848" t="s">
        <v>70</v>
      </c>
      <c r="G848" t="s">
        <v>23</v>
      </c>
      <c r="H848" s="1">
        <v>44606</v>
      </c>
      <c r="I848" s="2">
        <v>44607.6166666667</v>
      </c>
      <c r="J848">
        <v>38.8</v>
      </c>
      <c r="K848" t="s">
        <v>24</v>
      </c>
      <c r="L848">
        <v>0</v>
      </c>
      <c r="M848">
        <v>4</v>
      </c>
      <c r="N848" t="s">
        <v>1238</v>
      </c>
      <c r="O848" s="3" t="str">
        <f>TEXT(Ticket_Table[[#This Row],[raised_date]],"YYYY-MM")</f>
        <v>2022-02</v>
      </c>
      <c r="P848" s="3" t="str">
        <f>IF(Ticket_Table[[#This Row],[resolution_hrs]]&lt;=4,"Fast",IF(Ticket_Table[[#This Row],[resolution_hrs]]&lt;=24,"Normal",IF(Ticket_Table[[#This Row],[resolution_hrs]]&lt;=48,"Slow","Very Slow")))</f>
        <v>Slow</v>
      </c>
      <c r="Q848" s="3">
        <f>YEAR(Ticket_Table[[#This Row],[raised_date]])</f>
        <v>2022</v>
      </c>
    </row>
    <row r="849" spans="1:17">
      <c r="A849" t="s">
        <v>1399</v>
      </c>
      <c r="B849" t="s">
        <v>352</v>
      </c>
      <c r="C849" t="s">
        <v>140</v>
      </c>
      <c r="D849" t="s">
        <v>36</v>
      </c>
      <c r="E849" t="s">
        <v>30</v>
      </c>
      <c r="F849" t="s">
        <v>22</v>
      </c>
      <c r="G849" t="s">
        <v>31</v>
      </c>
      <c r="H849" s="1">
        <v>44448</v>
      </c>
      <c r="I849" s="2">
        <v>44450.7791666667</v>
      </c>
      <c r="J849">
        <v>66.7</v>
      </c>
      <c r="K849" t="s">
        <v>24</v>
      </c>
      <c r="L849">
        <v>0</v>
      </c>
      <c r="M849">
        <v>4</v>
      </c>
      <c r="N849" t="s">
        <v>579</v>
      </c>
      <c r="O849" s="3" t="str">
        <f>TEXT(Ticket_Table[[#This Row],[raised_date]],"YYYY-MM")</f>
        <v>2021-09</v>
      </c>
      <c r="P849" s="3" t="str">
        <f>IF(Ticket_Table[[#This Row],[resolution_hrs]]&lt;=4,"Fast",IF(Ticket_Table[[#This Row],[resolution_hrs]]&lt;=24,"Normal",IF(Ticket_Table[[#This Row],[resolution_hrs]]&lt;=48,"Slow","Very Slow")))</f>
        <v>Very Slow</v>
      </c>
      <c r="Q849" s="3">
        <f>YEAR(Ticket_Table[[#This Row],[raised_date]])</f>
        <v>2021</v>
      </c>
    </row>
    <row r="850" spans="1:17">
      <c r="A850" t="s">
        <v>1400</v>
      </c>
      <c r="B850" t="s">
        <v>1348</v>
      </c>
      <c r="C850" t="s">
        <v>64</v>
      </c>
      <c r="D850" t="s">
        <v>90</v>
      </c>
      <c r="E850" t="s">
        <v>51</v>
      </c>
      <c r="F850" t="s">
        <v>38</v>
      </c>
      <c r="G850" t="s">
        <v>23</v>
      </c>
      <c r="H850" s="1">
        <v>44474</v>
      </c>
      <c r="I850" s="2">
        <v>44475.1625</v>
      </c>
      <c r="J850">
        <v>27.9</v>
      </c>
      <c r="K850" t="s">
        <v>32</v>
      </c>
      <c r="L850">
        <v>0</v>
      </c>
      <c r="M850">
        <v>4</v>
      </c>
      <c r="N850" t="s">
        <v>554</v>
      </c>
      <c r="O850" s="3" t="str">
        <f>TEXT(Ticket_Table[[#This Row],[raised_date]],"YYYY-MM")</f>
        <v>2021-10</v>
      </c>
      <c r="P850" s="3" t="str">
        <f>IF(Ticket_Table[[#This Row],[resolution_hrs]]&lt;=4,"Fast",IF(Ticket_Table[[#This Row],[resolution_hrs]]&lt;=24,"Normal",IF(Ticket_Table[[#This Row],[resolution_hrs]]&lt;=48,"Slow","Very Slow")))</f>
        <v>Slow</v>
      </c>
      <c r="Q850" s="3">
        <f>YEAR(Ticket_Table[[#This Row],[raised_date]])</f>
        <v>2021</v>
      </c>
    </row>
    <row r="851" spans="1:17">
      <c r="A851" t="s">
        <v>1401</v>
      </c>
      <c r="B851" t="s">
        <v>280</v>
      </c>
      <c r="C851" t="s">
        <v>95</v>
      </c>
      <c r="D851" t="s">
        <v>36</v>
      </c>
      <c r="E851" t="s">
        <v>166</v>
      </c>
      <c r="F851" t="s">
        <v>22</v>
      </c>
      <c r="G851" t="s">
        <v>74</v>
      </c>
      <c r="H851" s="1">
        <v>44348</v>
      </c>
      <c r="I851" s="2">
        <v>44349.975</v>
      </c>
      <c r="J851">
        <v>47.4</v>
      </c>
      <c r="K851" t="s">
        <v>24</v>
      </c>
      <c r="L851">
        <v>0</v>
      </c>
      <c r="M851">
        <v>4</v>
      </c>
      <c r="N851" t="s">
        <v>730</v>
      </c>
      <c r="O851" s="3" t="str">
        <f>TEXT(Ticket_Table[[#This Row],[raised_date]],"YYYY-MM")</f>
        <v>2021-06</v>
      </c>
      <c r="P851" s="3" t="str">
        <f>IF(Ticket_Table[[#This Row],[resolution_hrs]]&lt;=4,"Fast",IF(Ticket_Table[[#This Row],[resolution_hrs]]&lt;=24,"Normal",IF(Ticket_Table[[#This Row],[resolution_hrs]]&lt;=48,"Slow","Very Slow")))</f>
        <v>Slow</v>
      </c>
      <c r="Q851" s="3">
        <f>YEAR(Ticket_Table[[#This Row],[raised_date]])</f>
        <v>2021</v>
      </c>
    </row>
    <row r="852" spans="1:17">
      <c r="A852" t="s">
        <v>1402</v>
      </c>
      <c r="B852" t="s">
        <v>897</v>
      </c>
      <c r="C852" t="s">
        <v>55</v>
      </c>
      <c r="D852" t="s">
        <v>43</v>
      </c>
      <c r="E852" t="s">
        <v>44</v>
      </c>
      <c r="F852" t="s">
        <v>70</v>
      </c>
      <c r="G852" t="s">
        <v>31</v>
      </c>
      <c r="H852" s="1">
        <v>45122</v>
      </c>
      <c r="I852" s="2">
        <v>45123.7166666667</v>
      </c>
      <c r="J852">
        <v>41.2</v>
      </c>
      <c r="K852" t="s">
        <v>24</v>
      </c>
      <c r="L852">
        <v>0</v>
      </c>
      <c r="M852">
        <v>2</v>
      </c>
      <c r="N852" t="s">
        <v>542</v>
      </c>
      <c r="O852" s="3" t="str">
        <f>TEXT(Ticket_Table[[#This Row],[raised_date]],"YYYY-MM")</f>
        <v>2023-07</v>
      </c>
      <c r="P852" s="3" t="str">
        <f>IF(Ticket_Table[[#This Row],[resolution_hrs]]&lt;=4,"Fast",IF(Ticket_Table[[#This Row],[resolution_hrs]]&lt;=24,"Normal",IF(Ticket_Table[[#This Row],[resolution_hrs]]&lt;=48,"Slow","Very Slow")))</f>
        <v>Slow</v>
      </c>
      <c r="Q852" s="3">
        <f>YEAR(Ticket_Table[[#This Row],[raised_date]])</f>
        <v>2023</v>
      </c>
    </row>
    <row r="853" spans="1:17">
      <c r="A853" t="s">
        <v>1403</v>
      </c>
      <c r="B853" t="s">
        <v>206</v>
      </c>
      <c r="C853" t="s">
        <v>140</v>
      </c>
      <c r="D853" t="s">
        <v>90</v>
      </c>
      <c r="E853" t="s">
        <v>83</v>
      </c>
      <c r="F853" t="s">
        <v>22</v>
      </c>
      <c r="G853" t="s">
        <v>23</v>
      </c>
      <c r="H853" s="1">
        <v>44550</v>
      </c>
      <c r="I853" s="2">
        <v>44552.8375</v>
      </c>
      <c r="J853">
        <v>68.1</v>
      </c>
      <c r="K853" t="s">
        <v>24</v>
      </c>
      <c r="L853">
        <v>1</v>
      </c>
      <c r="M853">
        <v>3</v>
      </c>
      <c r="N853" t="s">
        <v>391</v>
      </c>
      <c r="O853" s="3" t="str">
        <f>TEXT(Ticket_Table[[#This Row],[raised_date]],"YYYY-MM")</f>
        <v>2021-12</v>
      </c>
      <c r="P853" s="3" t="str">
        <f>IF(Ticket_Table[[#This Row],[resolution_hrs]]&lt;=4,"Fast",IF(Ticket_Table[[#This Row],[resolution_hrs]]&lt;=24,"Normal",IF(Ticket_Table[[#This Row],[resolution_hrs]]&lt;=48,"Slow","Very Slow")))</f>
        <v>Very Slow</v>
      </c>
      <c r="Q853" s="3">
        <f>YEAR(Ticket_Table[[#This Row],[raised_date]])</f>
        <v>2021</v>
      </c>
    </row>
    <row r="854" spans="1:17">
      <c r="A854" t="s">
        <v>1404</v>
      </c>
      <c r="B854" t="s">
        <v>435</v>
      </c>
      <c r="C854" t="s">
        <v>95</v>
      </c>
      <c r="D854" t="s">
        <v>43</v>
      </c>
      <c r="E854" t="s">
        <v>21</v>
      </c>
      <c r="F854" t="s">
        <v>22</v>
      </c>
      <c r="G854" t="s">
        <v>46</v>
      </c>
      <c r="H854" s="1">
        <v>45108</v>
      </c>
      <c r="I854" s="2">
        <v>45110.3708333333</v>
      </c>
      <c r="J854">
        <v>56.9</v>
      </c>
      <c r="K854" t="s">
        <v>24</v>
      </c>
      <c r="L854">
        <v>0</v>
      </c>
      <c r="M854">
        <v>4</v>
      </c>
      <c r="N854" t="s">
        <v>880</v>
      </c>
      <c r="O854" s="3" t="str">
        <f>TEXT(Ticket_Table[[#This Row],[raised_date]],"YYYY-MM")</f>
        <v>2023-07</v>
      </c>
      <c r="P854" s="3" t="str">
        <f>IF(Ticket_Table[[#This Row],[resolution_hrs]]&lt;=4,"Fast",IF(Ticket_Table[[#This Row],[resolution_hrs]]&lt;=24,"Normal",IF(Ticket_Table[[#This Row],[resolution_hrs]]&lt;=48,"Slow","Very Slow")))</f>
        <v>Very Slow</v>
      </c>
      <c r="Q854" s="3">
        <f>YEAR(Ticket_Table[[#This Row],[raised_date]])</f>
        <v>2023</v>
      </c>
    </row>
    <row r="855" spans="1:17">
      <c r="A855" t="s">
        <v>1405</v>
      </c>
      <c r="B855" t="s">
        <v>525</v>
      </c>
      <c r="C855" t="s">
        <v>78</v>
      </c>
      <c r="D855" t="s">
        <v>90</v>
      </c>
      <c r="E855" t="s">
        <v>21</v>
      </c>
      <c r="F855" t="s">
        <v>45</v>
      </c>
      <c r="G855" t="s">
        <v>23</v>
      </c>
      <c r="H855" s="1">
        <v>44376</v>
      </c>
      <c r="I855" s="2">
        <v>44376.1166666667</v>
      </c>
      <c r="J855">
        <v>2.8</v>
      </c>
      <c r="K855" t="s">
        <v>24</v>
      </c>
      <c r="L855">
        <v>0</v>
      </c>
      <c r="M855">
        <v>2</v>
      </c>
      <c r="N855" t="s">
        <v>89</v>
      </c>
      <c r="O855" s="3" t="str">
        <f>TEXT(Ticket_Table[[#This Row],[raised_date]],"YYYY-MM")</f>
        <v>2021-06</v>
      </c>
      <c r="P855" s="3" t="str">
        <f>IF(Ticket_Table[[#This Row],[resolution_hrs]]&lt;=4,"Fast",IF(Ticket_Table[[#This Row],[resolution_hrs]]&lt;=24,"Normal",IF(Ticket_Table[[#This Row],[resolution_hrs]]&lt;=48,"Slow","Very Slow")))</f>
        <v>Fast</v>
      </c>
      <c r="Q855" s="3">
        <f>YEAR(Ticket_Table[[#This Row],[raised_date]])</f>
        <v>2021</v>
      </c>
    </row>
    <row r="856" spans="1:17">
      <c r="A856" t="s">
        <v>1406</v>
      </c>
      <c r="B856" t="s">
        <v>101</v>
      </c>
      <c r="C856" t="s">
        <v>102</v>
      </c>
      <c r="D856" t="s">
        <v>29</v>
      </c>
      <c r="E856" t="s">
        <v>30</v>
      </c>
      <c r="F856" t="s">
        <v>22</v>
      </c>
      <c r="G856" t="s">
        <v>46</v>
      </c>
      <c r="H856" s="1">
        <v>44851</v>
      </c>
      <c r="I856" s="2">
        <v>44851.7</v>
      </c>
      <c r="J856">
        <v>16.8</v>
      </c>
      <c r="K856" t="s">
        <v>24</v>
      </c>
      <c r="L856">
        <v>0</v>
      </c>
      <c r="M856">
        <v>5</v>
      </c>
      <c r="N856" t="s">
        <v>419</v>
      </c>
      <c r="O856" s="3" t="str">
        <f>TEXT(Ticket_Table[[#This Row],[raised_date]],"YYYY-MM")</f>
        <v>2022-10</v>
      </c>
      <c r="P856" s="3" t="str">
        <f>IF(Ticket_Table[[#This Row],[resolution_hrs]]&lt;=4,"Fast",IF(Ticket_Table[[#This Row],[resolution_hrs]]&lt;=24,"Normal",IF(Ticket_Table[[#This Row],[resolution_hrs]]&lt;=48,"Slow","Very Slow")))</f>
        <v>Normal</v>
      </c>
      <c r="Q856" s="3">
        <f>YEAR(Ticket_Table[[#This Row],[raised_date]])</f>
        <v>2022</v>
      </c>
    </row>
    <row r="857" spans="1:17">
      <c r="A857" t="s">
        <v>1407</v>
      </c>
      <c r="B857" t="s">
        <v>746</v>
      </c>
      <c r="C857" t="s">
        <v>213</v>
      </c>
      <c r="D857" t="s">
        <v>43</v>
      </c>
      <c r="E857" t="s">
        <v>51</v>
      </c>
      <c r="F857" t="s">
        <v>38</v>
      </c>
      <c r="G857" t="s">
        <v>46</v>
      </c>
      <c r="H857" s="1">
        <v>44908</v>
      </c>
      <c r="I857" s="2">
        <v>44908.2625</v>
      </c>
      <c r="J857">
        <v>6.3</v>
      </c>
      <c r="K857" t="s">
        <v>24</v>
      </c>
      <c r="L857">
        <v>0</v>
      </c>
      <c r="M857">
        <v>4</v>
      </c>
      <c r="N857" t="s">
        <v>54</v>
      </c>
      <c r="O857" s="3" t="str">
        <f>TEXT(Ticket_Table[[#This Row],[raised_date]],"YYYY-MM")</f>
        <v>2022-12</v>
      </c>
      <c r="P857" s="3" t="str">
        <f>IF(Ticket_Table[[#This Row],[resolution_hrs]]&lt;=4,"Fast",IF(Ticket_Table[[#This Row],[resolution_hrs]]&lt;=24,"Normal",IF(Ticket_Table[[#This Row],[resolution_hrs]]&lt;=48,"Slow","Very Slow")))</f>
        <v>Normal</v>
      </c>
      <c r="Q857" s="3">
        <f>YEAR(Ticket_Table[[#This Row],[raised_date]])</f>
        <v>2022</v>
      </c>
    </row>
    <row r="858" spans="1:17">
      <c r="A858" t="s">
        <v>1408</v>
      </c>
      <c r="B858" t="s">
        <v>944</v>
      </c>
      <c r="C858" t="s">
        <v>50</v>
      </c>
      <c r="D858" t="s">
        <v>43</v>
      </c>
      <c r="E858" t="s">
        <v>21</v>
      </c>
      <c r="F858" t="s">
        <v>70</v>
      </c>
      <c r="G858" t="s">
        <v>23</v>
      </c>
      <c r="H858" s="1">
        <v>44329</v>
      </c>
      <c r="I858" s="2">
        <v>44331.0708333333</v>
      </c>
      <c r="J858">
        <v>49.7</v>
      </c>
      <c r="K858" t="s">
        <v>32</v>
      </c>
      <c r="L858">
        <v>0</v>
      </c>
      <c r="M858">
        <v>3</v>
      </c>
      <c r="N858" t="s">
        <v>332</v>
      </c>
      <c r="O858" s="3" t="str">
        <f>TEXT(Ticket_Table[[#This Row],[raised_date]],"YYYY-MM")</f>
        <v>2021-05</v>
      </c>
      <c r="P858" s="3" t="str">
        <f>IF(Ticket_Table[[#This Row],[resolution_hrs]]&lt;=4,"Fast",IF(Ticket_Table[[#This Row],[resolution_hrs]]&lt;=24,"Normal",IF(Ticket_Table[[#This Row],[resolution_hrs]]&lt;=48,"Slow","Very Slow")))</f>
        <v>Very Slow</v>
      </c>
      <c r="Q858" s="3">
        <f>YEAR(Ticket_Table[[#This Row],[raised_date]])</f>
        <v>2021</v>
      </c>
    </row>
    <row r="859" spans="1:17">
      <c r="A859" t="s">
        <v>1409</v>
      </c>
      <c r="B859" t="s">
        <v>438</v>
      </c>
      <c r="C859" t="s">
        <v>287</v>
      </c>
      <c r="D859" t="s">
        <v>20</v>
      </c>
      <c r="E859" t="s">
        <v>44</v>
      </c>
      <c r="F859" t="s">
        <v>22</v>
      </c>
      <c r="G859" t="s">
        <v>23</v>
      </c>
      <c r="H859" s="1">
        <v>44791</v>
      </c>
      <c r="I859" s="2">
        <v>44792.3791666667</v>
      </c>
      <c r="J859">
        <v>33.1</v>
      </c>
      <c r="K859" t="s">
        <v>24</v>
      </c>
      <c r="L859">
        <v>0</v>
      </c>
      <c r="M859">
        <v>3</v>
      </c>
      <c r="N859" t="s">
        <v>189</v>
      </c>
      <c r="O859" s="3" t="str">
        <f>TEXT(Ticket_Table[[#This Row],[raised_date]],"YYYY-MM")</f>
        <v>2022-08</v>
      </c>
      <c r="P859" s="3" t="str">
        <f>IF(Ticket_Table[[#This Row],[resolution_hrs]]&lt;=4,"Fast",IF(Ticket_Table[[#This Row],[resolution_hrs]]&lt;=24,"Normal",IF(Ticket_Table[[#This Row],[resolution_hrs]]&lt;=48,"Slow","Very Slow")))</f>
        <v>Slow</v>
      </c>
      <c r="Q859" s="3">
        <f>YEAR(Ticket_Table[[#This Row],[raised_date]])</f>
        <v>2022</v>
      </c>
    </row>
    <row r="860" spans="1:17">
      <c r="A860" t="s">
        <v>1410</v>
      </c>
      <c r="B860" t="s">
        <v>398</v>
      </c>
      <c r="C860" t="s">
        <v>68</v>
      </c>
      <c r="D860" t="s">
        <v>43</v>
      </c>
      <c r="E860" t="s">
        <v>166</v>
      </c>
      <c r="F860" t="s">
        <v>45</v>
      </c>
      <c r="G860" t="s">
        <v>23</v>
      </c>
      <c r="H860" s="1">
        <v>44811</v>
      </c>
      <c r="I860" s="2">
        <v>44811.1333333333</v>
      </c>
      <c r="J860">
        <v>3.2</v>
      </c>
      <c r="K860" t="s">
        <v>24</v>
      </c>
      <c r="L860">
        <v>0</v>
      </c>
      <c r="M860">
        <v>4</v>
      </c>
      <c r="N860" t="s">
        <v>495</v>
      </c>
      <c r="O860" s="3" t="str">
        <f>TEXT(Ticket_Table[[#This Row],[raised_date]],"YYYY-MM")</f>
        <v>2022-09</v>
      </c>
      <c r="P860" s="3" t="str">
        <f>IF(Ticket_Table[[#This Row],[resolution_hrs]]&lt;=4,"Fast",IF(Ticket_Table[[#This Row],[resolution_hrs]]&lt;=24,"Normal",IF(Ticket_Table[[#This Row],[resolution_hrs]]&lt;=48,"Slow","Very Slow")))</f>
        <v>Fast</v>
      </c>
      <c r="Q860" s="3">
        <f>YEAR(Ticket_Table[[#This Row],[raised_date]])</f>
        <v>2022</v>
      </c>
    </row>
    <row r="861" spans="1:17">
      <c r="A861" t="s">
        <v>1411</v>
      </c>
      <c r="B861" t="s">
        <v>1006</v>
      </c>
      <c r="C861" t="s">
        <v>60</v>
      </c>
      <c r="D861" t="s">
        <v>36</v>
      </c>
      <c r="E861" t="s">
        <v>44</v>
      </c>
      <c r="F861" t="s">
        <v>22</v>
      </c>
      <c r="G861" t="s">
        <v>91</v>
      </c>
      <c r="H861" s="1">
        <v>44519</v>
      </c>
      <c r="I861" s="2">
        <v>44520.4625</v>
      </c>
      <c r="J861">
        <v>35.1</v>
      </c>
      <c r="K861" t="s">
        <v>24</v>
      </c>
      <c r="L861">
        <v>0</v>
      </c>
      <c r="M861">
        <v>3</v>
      </c>
      <c r="N861" t="s">
        <v>468</v>
      </c>
      <c r="O861" s="3" t="str">
        <f>TEXT(Ticket_Table[[#This Row],[raised_date]],"YYYY-MM")</f>
        <v>2021-11</v>
      </c>
      <c r="P861" s="3" t="str">
        <f>IF(Ticket_Table[[#This Row],[resolution_hrs]]&lt;=4,"Fast",IF(Ticket_Table[[#This Row],[resolution_hrs]]&lt;=24,"Normal",IF(Ticket_Table[[#This Row],[resolution_hrs]]&lt;=48,"Slow","Very Slow")))</f>
        <v>Slow</v>
      </c>
      <c r="Q861" s="3">
        <f>YEAR(Ticket_Table[[#This Row],[raised_date]])</f>
        <v>2021</v>
      </c>
    </row>
    <row r="862" spans="1:17">
      <c r="A862" t="s">
        <v>1412</v>
      </c>
      <c r="B862" t="s">
        <v>790</v>
      </c>
      <c r="C862" t="s">
        <v>64</v>
      </c>
      <c r="D862" t="s">
        <v>90</v>
      </c>
      <c r="E862" t="s">
        <v>51</v>
      </c>
      <c r="F862" t="s">
        <v>38</v>
      </c>
      <c r="G862" t="s">
        <v>31</v>
      </c>
      <c r="H862" s="1">
        <v>44553</v>
      </c>
      <c r="I862" s="2">
        <v>44554.2541666667</v>
      </c>
      <c r="J862">
        <v>30.1</v>
      </c>
      <c r="K862" t="s">
        <v>32</v>
      </c>
      <c r="L862">
        <v>1</v>
      </c>
      <c r="M862">
        <v>2</v>
      </c>
      <c r="N862" t="s">
        <v>101</v>
      </c>
      <c r="O862" s="3" t="str">
        <f>TEXT(Ticket_Table[[#This Row],[raised_date]],"YYYY-MM")</f>
        <v>2021-12</v>
      </c>
      <c r="P862" s="3" t="str">
        <f>IF(Ticket_Table[[#This Row],[resolution_hrs]]&lt;=4,"Fast",IF(Ticket_Table[[#This Row],[resolution_hrs]]&lt;=24,"Normal",IF(Ticket_Table[[#This Row],[resolution_hrs]]&lt;=48,"Slow","Very Slow")))</f>
        <v>Slow</v>
      </c>
      <c r="Q862" s="3">
        <f>YEAR(Ticket_Table[[#This Row],[raised_date]])</f>
        <v>2021</v>
      </c>
    </row>
    <row r="863" spans="1:17">
      <c r="A863" t="s">
        <v>1413</v>
      </c>
      <c r="B863" t="s">
        <v>897</v>
      </c>
      <c r="C863" t="s">
        <v>82</v>
      </c>
      <c r="D863" t="s">
        <v>29</v>
      </c>
      <c r="E863" t="s">
        <v>37</v>
      </c>
      <c r="F863" t="s">
        <v>22</v>
      </c>
      <c r="G863" t="s">
        <v>74</v>
      </c>
      <c r="H863" s="1">
        <v>44937</v>
      </c>
      <c r="I863" s="2">
        <v>44937.3291666667</v>
      </c>
      <c r="J863">
        <v>7.9</v>
      </c>
      <c r="K863" t="s">
        <v>24</v>
      </c>
      <c r="L863">
        <v>0</v>
      </c>
      <c r="M863">
        <v>5</v>
      </c>
      <c r="N863" t="s">
        <v>431</v>
      </c>
      <c r="O863" s="3" t="str">
        <f>TEXT(Ticket_Table[[#This Row],[raised_date]],"YYYY-MM")</f>
        <v>2023-01</v>
      </c>
      <c r="P863" s="3" t="str">
        <f>IF(Ticket_Table[[#This Row],[resolution_hrs]]&lt;=4,"Fast",IF(Ticket_Table[[#This Row],[resolution_hrs]]&lt;=24,"Normal",IF(Ticket_Table[[#This Row],[resolution_hrs]]&lt;=48,"Slow","Very Slow")))</f>
        <v>Normal</v>
      </c>
      <c r="Q863" s="3">
        <f>YEAR(Ticket_Table[[#This Row],[raised_date]])</f>
        <v>2023</v>
      </c>
    </row>
    <row r="864" spans="1:17">
      <c r="A864" t="s">
        <v>1414</v>
      </c>
      <c r="B864" t="s">
        <v>966</v>
      </c>
      <c r="C864" t="s">
        <v>175</v>
      </c>
      <c r="D864" t="s">
        <v>36</v>
      </c>
      <c r="E864" t="s">
        <v>44</v>
      </c>
      <c r="F864" t="s">
        <v>38</v>
      </c>
      <c r="G864" t="s">
        <v>74</v>
      </c>
      <c r="H864" s="1">
        <v>45238</v>
      </c>
      <c r="I864" s="2">
        <v>45238.3375</v>
      </c>
      <c r="J864">
        <v>8.1</v>
      </c>
      <c r="K864" t="s">
        <v>24</v>
      </c>
      <c r="L864">
        <v>0</v>
      </c>
      <c r="M864">
        <v>3</v>
      </c>
      <c r="N864" t="s">
        <v>935</v>
      </c>
      <c r="O864" s="3" t="str">
        <f>TEXT(Ticket_Table[[#This Row],[raised_date]],"YYYY-MM")</f>
        <v>2023-11</v>
      </c>
      <c r="P864" s="3" t="str">
        <f>IF(Ticket_Table[[#This Row],[resolution_hrs]]&lt;=4,"Fast",IF(Ticket_Table[[#This Row],[resolution_hrs]]&lt;=24,"Normal",IF(Ticket_Table[[#This Row],[resolution_hrs]]&lt;=48,"Slow","Very Slow")))</f>
        <v>Normal</v>
      </c>
      <c r="Q864" s="3">
        <f>YEAR(Ticket_Table[[#This Row],[raised_date]])</f>
        <v>2023</v>
      </c>
    </row>
    <row r="865" spans="1:17">
      <c r="A865" t="s">
        <v>1415</v>
      </c>
      <c r="B865" t="s">
        <v>204</v>
      </c>
      <c r="C865" t="s">
        <v>50</v>
      </c>
      <c r="D865" t="s">
        <v>36</v>
      </c>
      <c r="E865" t="s">
        <v>106</v>
      </c>
      <c r="F865" t="s">
        <v>22</v>
      </c>
      <c r="G865" t="s">
        <v>23</v>
      </c>
      <c r="H865" s="1">
        <v>44656</v>
      </c>
      <c r="I865" s="2">
        <v>44657.8791666667</v>
      </c>
      <c r="J865">
        <v>45.1</v>
      </c>
      <c r="K865" t="s">
        <v>24</v>
      </c>
      <c r="L865">
        <v>0</v>
      </c>
      <c r="M865">
        <v>4</v>
      </c>
      <c r="N865" t="s">
        <v>212</v>
      </c>
      <c r="O865" s="3" t="str">
        <f>TEXT(Ticket_Table[[#This Row],[raised_date]],"YYYY-MM")</f>
        <v>2022-04</v>
      </c>
      <c r="P865" s="3" t="str">
        <f>IF(Ticket_Table[[#This Row],[resolution_hrs]]&lt;=4,"Fast",IF(Ticket_Table[[#This Row],[resolution_hrs]]&lt;=24,"Normal",IF(Ticket_Table[[#This Row],[resolution_hrs]]&lt;=48,"Slow","Very Slow")))</f>
        <v>Slow</v>
      </c>
      <c r="Q865" s="3">
        <f>YEAR(Ticket_Table[[#This Row],[raised_date]])</f>
        <v>2022</v>
      </c>
    </row>
    <row r="866" spans="1:17">
      <c r="A866" t="s">
        <v>1416</v>
      </c>
      <c r="B866" t="s">
        <v>607</v>
      </c>
      <c r="C866" t="s">
        <v>201</v>
      </c>
      <c r="D866" t="s">
        <v>36</v>
      </c>
      <c r="E866" t="s">
        <v>44</v>
      </c>
      <c r="F866" t="s">
        <v>70</v>
      </c>
      <c r="G866" t="s">
        <v>23</v>
      </c>
      <c r="H866" s="1">
        <v>44445</v>
      </c>
      <c r="I866" s="2">
        <v>44447.4791666667</v>
      </c>
      <c r="J866">
        <v>59.5</v>
      </c>
      <c r="K866" t="s">
        <v>32</v>
      </c>
      <c r="L866">
        <v>0</v>
      </c>
      <c r="M866">
        <v>2</v>
      </c>
      <c r="N866" t="s">
        <v>487</v>
      </c>
      <c r="O866" s="3" t="str">
        <f>TEXT(Ticket_Table[[#This Row],[raised_date]],"YYYY-MM")</f>
        <v>2021-09</v>
      </c>
      <c r="P866" s="3" t="str">
        <f>IF(Ticket_Table[[#This Row],[resolution_hrs]]&lt;=4,"Fast",IF(Ticket_Table[[#This Row],[resolution_hrs]]&lt;=24,"Normal",IF(Ticket_Table[[#This Row],[resolution_hrs]]&lt;=48,"Slow","Very Slow")))</f>
        <v>Very Slow</v>
      </c>
      <c r="Q866" s="3">
        <f>YEAR(Ticket_Table[[#This Row],[raised_date]])</f>
        <v>2021</v>
      </c>
    </row>
    <row r="867" spans="1:17">
      <c r="A867" t="s">
        <v>1417</v>
      </c>
      <c r="B867" t="s">
        <v>536</v>
      </c>
      <c r="C867" t="s">
        <v>201</v>
      </c>
      <c r="D867" t="s">
        <v>36</v>
      </c>
      <c r="E867" t="s">
        <v>37</v>
      </c>
      <c r="F867" t="s">
        <v>38</v>
      </c>
      <c r="G867" t="s">
        <v>31</v>
      </c>
      <c r="H867" s="1">
        <v>44608</v>
      </c>
      <c r="I867" s="2">
        <v>44608.9833333333</v>
      </c>
      <c r="J867">
        <v>23.6</v>
      </c>
      <c r="K867" t="s">
        <v>24</v>
      </c>
      <c r="L867">
        <v>0</v>
      </c>
      <c r="M867">
        <v>5</v>
      </c>
      <c r="N867" t="s">
        <v>1123</v>
      </c>
      <c r="O867" s="3" t="str">
        <f>TEXT(Ticket_Table[[#This Row],[raised_date]],"YYYY-MM")</f>
        <v>2022-02</v>
      </c>
      <c r="P867" s="3" t="str">
        <f>IF(Ticket_Table[[#This Row],[resolution_hrs]]&lt;=4,"Fast",IF(Ticket_Table[[#This Row],[resolution_hrs]]&lt;=24,"Normal",IF(Ticket_Table[[#This Row],[resolution_hrs]]&lt;=48,"Slow","Very Slow")))</f>
        <v>Normal</v>
      </c>
      <c r="Q867" s="3">
        <f>YEAR(Ticket_Table[[#This Row],[raised_date]])</f>
        <v>2022</v>
      </c>
    </row>
    <row r="868" spans="1:17">
      <c r="A868" t="s">
        <v>1418</v>
      </c>
      <c r="B868" t="s">
        <v>323</v>
      </c>
      <c r="C868" t="s">
        <v>50</v>
      </c>
      <c r="D868" t="s">
        <v>29</v>
      </c>
      <c r="E868" t="s">
        <v>21</v>
      </c>
      <c r="F868" t="s">
        <v>45</v>
      </c>
      <c r="G868" t="s">
        <v>23</v>
      </c>
      <c r="H868" s="1">
        <v>44481</v>
      </c>
      <c r="I868" s="2">
        <v>44481.0958333333</v>
      </c>
      <c r="J868">
        <v>2.3</v>
      </c>
      <c r="K868" t="s">
        <v>24</v>
      </c>
      <c r="L868">
        <v>0</v>
      </c>
      <c r="M868">
        <v>4</v>
      </c>
      <c r="N868" t="s">
        <v>824</v>
      </c>
      <c r="O868" s="3" t="str">
        <f>TEXT(Ticket_Table[[#This Row],[raised_date]],"YYYY-MM")</f>
        <v>2021-10</v>
      </c>
      <c r="P868" s="3" t="str">
        <f>IF(Ticket_Table[[#This Row],[resolution_hrs]]&lt;=4,"Fast",IF(Ticket_Table[[#This Row],[resolution_hrs]]&lt;=24,"Normal",IF(Ticket_Table[[#This Row],[resolution_hrs]]&lt;=48,"Slow","Very Slow")))</f>
        <v>Fast</v>
      </c>
      <c r="Q868" s="3">
        <f>YEAR(Ticket_Table[[#This Row],[raised_date]])</f>
        <v>2021</v>
      </c>
    </row>
    <row r="869" spans="1:17">
      <c r="A869" t="s">
        <v>1419</v>
      </c>
      <c r="B869" t="s">
        <v>944</v>
      </c>
      <c r="C869" t="s">
        <v>82</v>
      </c>
      <c r="D869" t="s">
        <v>20</v>
      </c>
      <c r="E869" t="s">
        <v>69</v>
      </c>
      <c r="F869" t="s">
        <v>45</v>
      </c>
      <c r="G869" t="s">
        <v>46</v>
      </c>
      <c r="H869" s="1">
        <v>44681</v>
      </c>
      <c r="I869" s="2">
        <v>44681.1666666667</v>
      </c>
      <c r="J869">
        <v>4</v>
      </c>
      <c r="K869" t="s">
        <v>24</v>
      </c>
      <c r="L869">
        <v>0</v>
      </c>
      <c r="M869">
        <v>4</v>
      </c>
      <c r="N869" t="s">
        <v>233</v>
      </c>
      <c r="O869" s="3" t="str">
        <f>TEXT(Ticket_Table[[#This Row],[raised_date]],"YYYY-MM")</f>
        <v>2022-04</v>
      </c>
      <c r="P869" s="3" t="str">
        <f>IF(Ticket_Table[[#This Row],[resolution_hrs]]&lt;=4,"Fast",IF(Ticket_Table[[#This Row],[resolution_hrs]]&lt;=24,"Normal",IF(Ticket_Table[[#This Row],[resolution_hrs]]&lt;=48,"Slow","Very Slow")))</f>
        <v>Fast</v>
      </c>
      <c r="Q869" s="3">
        <f>YEAR(Ticket_Table[[#This Row],[raised_date]])</f>
        <v>2022</v>
      </c>
    </row>
    <row r="870" spans="1:17">
      <c r="A870" t="s">
        <v>1420</v>
      </c>
      <c r="B870" t="s">
        <v>517</v>
      </c>
      <c r="C870" t="s">
        <v>64</v>
      </c>
      <c r="D870" t="s">
        <v>43</v>
      </c>
      <c r="E870" t="s">
        <v>69</v>
      </c>
      <c r="F870" t="s">
        <v>38</v>
      </c>
      <c r="G870" t="s">
        <v>23</v>
      </c>
      <c r="H870" s="1">
        <v>45208</v>
      </c>
      <c r="I870" s="2">
        <v>45208.6333333333</v>
      </c>
      <c r="J870">
        <v>15.2</v>
      </c>
      <c r="K870" t="s">
        <v>24</v>
      </c>
      <c r="L870">
        <v>0</v>
      </c>
      <c r="M870">
        <v>4</v>
      </c>
      <c r="N870" t="s">
        <v>220</v>
      </c>
      <c r="O870" s="3" t="str">
        <f>TEXT(Ticket_Table[[#This Row],[raised_date]],"YYYY-MM")</f>
        <v>2023-10</v>
      </c>
      <c r="P870" s="3" t="str">
        <f>IF(Ticket_Table[[#This Row],[resolution_hrs]]&lt;=4,"Fast",IF(Ticket_Table[[#This Row],[resolution_hrs]]&lt;=24,"Normal",IF(Ticket_Table[[#This Row],[resolution_hrs]]&lt;=48,"Slow","Very Slow")))</f>
        <v>Normal</v>
      </c>
      <c r="Q870" s="3">
        <f>YEAR(Ticket_Table[[#This Row],[raised_date]])</f>
        <v>2023</v>
      </c>
    </row>
    <row r="871" spans="1:17">
      <c r="A871" t="s">
        <v>1421</v>
      </c>
      <c r="B871" t="s">
        <v>1301</v>
      </c>
      <c r="C871" t="s">
        <v>82</v>
      </c>
      <c r="D871" t="s">
        <v>36</v>
      </c>
      <c r="E871" t="s">
        <v>69</v>
      </c>
      <c r="F871" t="s">
        <v>38</v>
      </c>
      <c r="G871" t="s">
        <v>31</v>
      </c>
      <c r="H871" s="1">
        <v>44250</v>
      </c>
      <c r="I871" s="2">
        <v>44250.2083333333</v>
      </c>
      <c r="J871">
        <v>5</v>
      </c>
      <c r="K871" t="s">
        <v>24</v>
      </c>
      <c r="L871">
        <v>0</v>
      </c>
      <c r="M871">
        <v>4</v>
      </c>
      <c r="N871" t="s">
        <v>1058</v>
      </c>
      <c r="O871" s="3" t="str">
        <f>TEXT(Ticket_Table[[#This Row],[raised_date]],"YYYY-MM")</f>
        <v>2021-02</v>
      </c>
      <c r="P871" s="3" t="str">
        <f>IF(Ticket_Table[[#This Row],[resolution_hrs]]&lt;=4,"Fast",IF(Ticket_Table[[#This Row],[resolution_hrs]]&lt;=24,"Normal",IF(Ticket_Table[[#This Row],[resolution_hrs]]&lt;=48,"Slow","Very Slow")))</f>
        <v>Normal</v>
      </c>
      <c r="Q871" s="3">
        <f>YEAR(Ticket_Table[[#This Row],[raised_date]])</f>
        <v>2021</v>
      </c>
    </row>
    <row r="872" spans="1:17">
      <c r="A872" t="s">
        <v>1422</v>
      </c>
      <c r="B872" t="s">
        <v>172</v>
      </c>
      <c r="C872" t="s">
        <v>133</v>
      </c>
      <c r="D872" t="s">
        <v>43</v>
      </c>
      <c r="E872" t="s">
        <v>21</v>
      </c>
      <c r="F872" t="s">
        <v>22</v>
      </c>
      <c r="G872" t="s">
        <v>31</v>
      </c>
      <c r="H872" s="1">
        <v>44936</v>
      </c>
      <c r="I872" s="2">
        <v>44936.8958333333</v>
      </c>
      <c r="J872">
        <v>21.5</v>
      </c>
      <c r="K872" t="s">
        <v>24</v>
      </c>
      <c r="L872">
        <v>1</v>
      </c>
      <c r="M872">
        <v>2</v>
      </c>
      <c r="N872" t="s">
        <v>618</v>
      </c>
      <c r="O872" s="3" t="str">
        <f>TEXT(Ticket_Table[[#This Row],[raised_date]],"YYYY-MM")</f>
        <v>2023-01</v>
      </c>
      <c r="P872" s="3" t="str">
        <f>IF(Ticket_Table[[#This Row],[resolution_hrs]]&lt;=4,"Fast",IF(Ticket_Table[[#This Row],[resolution_hrs]]&lt;=24,"Normal",IF(Ticket_Table[[#This Row],[resolution_hrs]]&lt;=48,"Slow","Very Slow")))</f>
        <v>Normal</v>
      </c>
      <c r="Q872" s="3">
        <f>YEAR(Ticket_Table[[#This Row],[raised_date]])</f>
        <v>2023</v>
      </c>
    </row>
    <row r="873" spans="1:17">
      <c r="A873" t="s">
        <v>1423</v>
      </c>
      <c r="B873" t="s">
        <v>204</v>
      </c>
      <c r="C873" t="s">
        <v>78</v>
      </c>
      <c r="D873" t="s">
        <v>43</v>
      </c>
      <c r="E873" t="s">
        <v>30</v>
      </c>
      <c r="F873" t="s">
        <v>22</v>
      </c>
      <c r="G873" t="s">
        <v>46</v>
      </c>
      <c r="H873" s="1">
        <v>44952</v>
      </c>
      <c r="I873" s="2">
        <v>44953.1375</v>
      </c>
      <c r="J873">
        <v>27.3</v>
      </c>
      <c r="K873" t="s">
        <v>24</v>
      </c>
      <c r="L873">
        <v>0</v>
      </c>
      <c r="M873">
        <v>4</v>
      </c>
      <c r="N873" t="s">
        <v>152</v>
      </c>
      <c r="O873" s="3" t="str">
        <f>TEXT(Ticket_Table[[#This Row],[raised_date]],"YYYY-MM")</f>
        <v>2023-01</v>
      </c>
      <c r="P873" s="3" t="str">
        <f>IF(Ticket_Table[[#This Row],[resolution_hrs]]&lt;=4,"Fast",IF(Ticket_Table[[#This Row],[resolution_hrs]]&lt;=24,"Normal",IF(Ticket_Table[[#This Row],[resolution_hrs]]&lt;=48,"Slow","Very Slow")))</f>
        <v>Slow</v>
      </c>
      <c r="Q873" s="3">
        <f>YEAR(Ticket_Table[[#This Row],[raised_date]])</f>
        <v>2023</v>
      </c>
    </row>
    <row r="874" spans="1:17">
      <c r="A874" t="s">
        <v>1424</v>
      </c>
      <c r="B874" t="s">
        <v>406</v>
      </c>
      <c r="C874" t="s">
        <v>117</v>
      </c>
      <c r="D874" t="s">
        <v>36</v>
      </c>
      <c r="E874" t="s">
        <v>166</v>
      </c>
      <c r="F874" t="s">
        <v>22</v>
      </c>
      <c r="G874" t="s">
        <v>23</v>
      </c>
      <c r="H874" s="1">
        <v>45154</v>
      </c>
      <c r="I874" s="2">
        <v>45157.7291666667</v>
      </c>
      <c r="J874">
        <v>89.5</v>
      </c>
      <c r="K874" t="s">
        <v>32</v>
      </c>
      <c r="L874">
        <v>0</v>
      </c>
      <c r="M874">
        <v>3</v>
      </c>
      <c r="N874" t="s">
        <v>389</v>
      </c>
      <c r="O874" s="3" t="str">
        <f>TEXT(Ticket_Table[[#This Row],[raised_date]],"YYYY-MM")</f>
        <v>2023-08</v>
      </c>
      <c r="P874" s="3" t="str">
        <f>IF(Ticket_Table[[#This Row],[resolution_hrs]]&lt;=4,"Fast",IF(Ticket_Table[[#This Row],[resolution_hrs]]&lt;=24,"Normal",IF(Ticket_Table[[#This Row],[resolution_hrs]]&lt;=48,"Slow","Very Slow")))</f>
        <v>Very Slow</v>
      </c>
      <c r="Q874" s="3">
        <f>YEAR(Ticket_Table[[#This Row],[raised_date]])</f>
        <v>2023</v>
      </c>
    </row>
    <row r="875" spans="1:17">
      <c r="A875" t="s">
        <v>1425</v>
      </c>
      <c r="B875" t="s">
        <v>751</v>
      </c>
      <c r="C875" t="s">
        <v>50</v>
      </c>
      <c r="D875" t="s">
        <v>20</v>
      </c>
      <c r="E875" t="s">
        <v>166</v>
      </c>
      <c r="F875" t="s">
        <v>70</v>
      </c>
      <c r="G875" t="s">
        <v>46</v>
      </c>
      <c r="H875" s="1">
        <v>44462</v>
      </c>
      <c r="I875" s="2">
        <v>44463.4166666667</v>
      </c>
      <c r="J875">
        <v>34</v>
      </c>
      <c r="K875" t="s">
        <v>24</v>
      </c>
      <c r="L875">
        <v>0</v>
      </c>
      <c r="M875">
        <v>4</v>
      </c>
      <c r="N875" t="s">
        <v>27</v>
      </c>
      <c r="O875" s="3" t="str">
        <f>TEXT(Ticket_Table[[#This Row],[raised_date]],"YYYY-MM")</f>
        <v>2021-09</v>
      </c>
      <c r="P875" s="3" t="str">
        <f>IF(Ticket_Table[[#This Row],[resolution_hrs]]&lt;=4,"Fast",IF(Ticket_Table[[#This Row],[resolution_hrs]]&lt;=24,"Normal",IF(Ticket_Table[[#This Row],[resolution_hrs]]&lt;=48,"Slow","Very Slow")))</f>
        <v>Slow</v>
      </c>
      <c r="Q875" s="3">
        <f>YEAR(Ticket_Table[[#This Row],[raised_date]])</f>
        <v>2021</v>
      </c>
    </row>
    <row r="876" spans="1:17">
      <c r="A876" t="s">
        <v>1426</v>
      </c>
      <c r="B876" t="s">
        <v>643</v>
      </c>
      <c r="C876" t="s">
        <v>42</v>
      </c>
      <c r="D876" t="s">
        <v>43</v>
      </c>
      <c r="E876" t="s">
        <v>21</v>
      </c>
      <c r="F876" t="s">
        <v>70</v>
      </c>
      <c r="G876" t="s">
        <v>23</v>
      </c>
      <c r="H876" s="1">
        <v>44373</v>
      </c>
      <c r="I876" s="2">
        <v>44374.6958333333</v>
      </c>
      <c r="J876">
        <v>40.7</v>
      </c>
      <c r="K876" t="s">
        <v>24</v>
      </c>
      <c r="L876">
        <v>0</v>
      </c>
      <c r="M876">
        <v>4</v>
      </c>
      <c r="N876" t="s">
        <v>805</v>
      </c>
      <c r="O876" s="3" t="str">
        <f>TEXT(Ticket_Table[[#This Row],[raised_date]],"YYYY-MM")</f>
        <v>2021-06</v>
      </c>
      <c r="P876" s="3" t="str">
        <f>IF(Ticket_Table[[#This Row],[resolution_hrs]]&lt;=4,"Fast",IF(Ticket_Table[[#This Row],[resolution_hrs]]&lt;=24,"Normal",IF(Ticket_Table[[#This Row],[resolution_hrs]]&lt;=48,"Slow","Very Slow")))</f>
        <v>Slow</v>
      </c>
      <c r="Q876" s="3">
        <f>YEAR(Ticket_Table[[#This Row],[raised_date]])</f>
        <v>2021</v>
      </c>
    </row>
    <row r="877" spans="1:17">
      <c r="A877" t="s">
        <v>1427</v>
      </c>
      <c r="B877" t="s">
        <v>130</v>
      </c>
      <c r="C877" t="s">
        <v>82</v>
      </c>
      <c r="D877" t="s">
        <v>90</v>
      </c>
      <c r="E877" t="s">
        <v>44</v>
      </c>
      <c r="F877" t="s">
        <v>70</v>
      </c>
      <c r="G877" t="s">
        <v>74</v>
      </c>
      <c r="H877" s="1">
        <v>44331</v>
      </c>
      <c r="I877" s="2">
        <v>44332.3333333333</v>
      </c>
      <c r="J877">
        <v>32</v>
      </c>
      <c r="K877" t="s">
        <v>24</v>
      </c>
      <c r="L877">
        <v>0</v>
      </c>
      <c r="M877">
        <v>5</v>
      </c>
      <c r="N877" t="s">
        <v>567</v>
      </c>
      <c r="O877" s="3" t="str">
        <f>TEXT(Ticket_Table[[#This Row],[raised_date]],"YYYY-MM")</f>
        <v>2021-05</v>
      </c>
      <c r="P877" s="3" t="str">
        <f>IF(Ticket_Table[[#This Row],[resolution_hrs]]&lt;=4,"Fast",IF(Ticket_Table[[#This Row],[resolution_hrs]]&lt;=24,"Normal",IF(Ticket_Table[[#This Row],[resolution_hrs]]&lt;=48,"Slow","Very Slow")))</f>
        <v>Slow</v>
      </c>
      <c r="Q877" s="3">
        <f>YEAR(Ticket_Table[[#This Row],[raised_date]])</f>
        <v>2021</v>
      </c>
    </row>
    <row r="878" spans="1:17">
      <c r="A878" t="s">
        <v>1428</v>
      </c>
      <c r="B878" t="s">
        <v>772</v>
      </c>
      <c r="C878" t="s">
        <v>261</v>
      </c>
      <c r="D878" t="s">
        <v>43</v>
      </c>
      <c r="E878" t="s">
        <v>83</v>
      </c>
      <c r="F878" t="s">
        <v>22</v>
      </c>
      <c r="G878" t="s">
        <v>31</v>
      </c>
      <c r="H878" s="1">
        <v>44830</v>
      </c>
      <c r="I878" s="2">
        <v>44832.925</v>
      </c>
      <c r="J878">
        <v>70.2</v>
      </c>
      <c r="K878" t="s">
        <v>24</v>
      </c>
      <c r="L878">
        <v>0</v>
      </c>
      <c r="M878">
        <v>3</v>
      </c>
      <c r="N878" t="s">
        <v>321</v>
      </c>
      <c r="O878" s="3" t="str">
        <f>TEXT(Ticket_Table[[#This Row],[raised_date]],"YYYY-MM")</f>
        <v>2022-09</v>
      </c>
      <c r="P878" s="3" t="str">
        <f>IF(Ticket_Table[[#This Row],[resolution_hrs]]&lt;=4,"Fast",IF(Ticket_Table[[#This Row],[resolution_hrs]]&lt;=24,"Normal",IF(Ticket_Table[[#This Row],[resolution_hrs]]&lt;=48,"Slow","Very Slow")))</f>
        <v>Very Slow</v>
      </c>
      <c r="Q878" s="3">
        <f>YEAR(Ticket_Table[[#This Row],[raised_date]])</f>
        <v>2022</v>
      </c>
    </row>
    <row r="879" spans="1:17">
      <c r="A879" t="s">
        <v>1429</v>
      </c>
      <c r="B879" t="s">
        <v>1301</v>
      </c>
      <c r="C879" t="s">
        <v>95</v>
      </c>
      <c r="D879" t="s">
        <v>36</v>
      </c>
      <c r="E879" t="s">
        <v>166</v>
      </c>
      <c r="F879" t="s">
        <v>38</v>
      </c>
      <c r="G879" t="s">
        <v>23</v>
      </c>
      <c r="H879" s="1">
        <v>45012</v>
      </c>
      <c r="I879" s="2">
        <v>45012.0958333333</v>
      </c>
      <c r="J879">
        <v>2.3</v>
      </c>
      <c r="K879" t="s">
        <v>24</v>
      </c>
      <c r="L879">
        <v>0</v>
      </c>
      <c r="M879">
        <v>3</v>
      </c>
      <c r="N879" t="s">
        <v>308</v>
      </c>
      <c r="O879" s="3" t="str">
        <f>TEXT(Ticket_Table[[#This Row],[raised_date]],"YYYY-MM")</f>
        <v>2023-03</v>
      </c>
      <c r="P879" s="3" t="str">
        <f>IF(Ticket_Table[[#This Row],[resolution_hrs]]&lt;=4,"Fast",IF(Ticket_Table[[#This Row],[resolution_hrs]]&lt;=24,"Normal",IF(Ticket_Table[[#This Row],[resolution_hrs]]&lt;=48,"Slow","Very Slow")))</f>
        <v>Fast</v>
      </c>
      <c r="Q879" s="3">
        <f>YEAR(Ticket_Table[[#This Row],[raised_date]])</f>
        <v>2023</v>
      </c>
    </row>
    <row r="880" spans="1:17">
      <c r="A880" t="s">
        <v>1430</v>
      </c>
      <c r="B880" t="s">
        <v>340</v>
      </c>
      <c r="C880" t="s">
        <v>82</v>
      </c>
      <c r="D880" t="s">
        <v>29</v>
      </c>
      <c r="E880" t="s">
        <v>106</v>
      </c>
      <c r="F880" t="s">
        <v>22</v>
      </c>
      <c r="G880" t="s">
        <v>31</v>
      </c>
      <c r="H880" s="1">
        <v>45177</v>
      </c>
      <c r="I880" s="2">
        <v>45177.7541666667</v>
      </c>
      <c r="J880">
        <v>18.1</v>
      </c>
      <c r="K880" t="s">
        <v>24</v>
      </c>
      <c r="L880">
        <v>0</v>
      </c>
      <c r="M880">
        <v>5</v>
      </c>
      <c r="N880" t="s">
        <v>751</v>
      </c>
      <c r="O880" s="3" t="str">
        <f>TEXT(Ticket_Table[[#This Row],[raised_date]],"YYYY-MM")</f>
        <v>2023-09</v>
      </c>
      <c r="P880" s="3" t="str">
        <f>IF(Ticket_Table[[#This Row],[resolution_hrs]]&lt;=4,"Fast",IF(Ticket_Table[[#This Row],[resolution_hrs]]&lt;=24,"Normal",IF(Ticket_Table[[#This Row],[resolution_hrs]]&lt;=48,"Slow","Very Slow")))</f>
        <v>Normal</v>
      </c>
      <c r="Q880" s="3">
        <f>YEAR(Ticket_Table[[#This Row],[raised_date]])</f>
        <v>2023</v>
      </c>
    </row>
    <row r="881" spans="1:17">
      <c r="A881" t="s">
        <v>1431</v>
      </c>
      <c r="B881" t="s">
        <v>1013</v>
      </c>
      <c r="C881" t="s">
        <v>175</v>
      </c>
      <c r="D881" t="s">
        <v>43</v>
      </c>
      <c r="E881" t="s">
        <v>106</v>
      </c>
      <c r="F881" t="s">
        <v>70</v>
      </c>
      <c r="G881" t="s">
        <v>91</v>
      </c>
      <c r="H881" s="1">
        <v>45273</v>
      </c>
      <c r="I881" s="2">
        <v>45273.4458333333</v>
      </c>
      <c r="J881">
        <v>10.7</v>
      </c>
      <c r="K881" t="s">
        <v>24</v>
      </c>
      <c r="L881">
        <v>0</v>
      </c>
      <c r="M881">
        <v>5</v>
      </c>
      <c r="N881" t="s">
        <v>796</v>
      </c>
      <c r="O881" s="3" t="str">
        <f>TEXT(Ticket_Table[[#This Row],[raised_date]],"YYYY-MM")</f>
        <v>2023-12</v>
      </c>
      <c r="P881" s="3" t="str">
        <f>IF(Ticket_Table[[#This Row],[resolution_hrs]]&lt;=4,"Fast",IF(Ticket_Table[[#This Row],[resolution_hrs]]&lt;=24,"Normal",IF(Ticket_Table[[#This Row],[resolution_hrs]]&lt;=48,"Slow","Very Slow")))</f>
        <v>Normal</v>
      </c>
      <c r="Q881" s="3">
        <f>YEAR(Ticket_Table[[#This Row],[raised_date]])</f>
        <v>2023</v>
      </c>
    </row>
    <row r="882" spans="1:17">
      <c r="A882" t="s">
        <v>1432</v>
      </c>
      <c r="B882" t="s">
        <v>445</v>
      </c>
      <c r="C882" t="s">
        <v>287</v>
      </c>
      <c r="D882" t="s">
        <v>20</v>
      </c>
      <c r="E882" t="s">
        <v>56</v>
      </c>
      <c r="F882" t="s">
        <v>70</v>
      </c>
      <c r="G882" t="s">
        <v>46</v>
      </c>
      <c r="H882" s="1">
        <v>45038</v>
      </c>
      <c r="I882" s="2">
        <v>45038.8041666667</v>
      </c>
      <c r="J882">
        <v>19.3</v>
      </c>
      <c r="K882" t="s">
        <v>24</v>
      </c>
      <c r="L882">
        <v>0</v>
      </c>
      <c r="M882">
        <v>5</v>
      </c>
      <c r="N882" t="s">
        <v>584</v>
      </c>
      <c r="O882" s="3" t="str">
        <f>TEXT(Ticket_Table[[#This Row],[raised_date]],"YYYY-MM")</f>
        <v>2023-04</v>
      </c>
      <c r="P882" s="3" t="str">
        <f>IF(Ticket_Table[[#This Row],[resolution_hrs]]&lt;=4,"Fast",IF(Ticket_Table[[#This Row],[resolution_hrs]]&lt;=24,"Normal",IF(Ticket_Table[[#This Row],[resolution_hrs]]&lt;=48,"Slow","Very Slow")))</f>
        <v>Normal</v>
      </c>
      <c r="Q882" s="3">
        <f>YEAR(Ticket_Table[[#This Row],[raised_date]])</f>
        <v>2023</v>
      </c>
    </row>
    <row r="883" spans="1:17">
      <c r="A883" t="s">
        <v>1433</v>
      </c>
      <c r="B883" t="s">
        <v>1006</v>
      </c>
      <c r="C883" t="s">
        <v>102</v>
      </c>
      <c r="D883" t="s">
        <v>90</v>
      </c>
      <c r="E883" t="s">
        <v>106</v>
      </c>
      <c r="F883" t="s">
        <v>38</v>
      </c>
      <c r="G883" t="s">
        <v>31</v>
      </c>
      <c r="H883" s="1">
        <v>45035</v>
      </c>
      <c r="I883" s="2">
        <v>45036.2125</v>
      </c>
      <c r="J883">
        <v>29.1</v>
      </c>
      <c r="K883" t="s">
        <v>32</v>
      </c>
      <c r="L883">
        <v>0</v>
      </c>
      <c r="M883">
        <v>4</v>
      </c>
      <c r="N883" t="s">
        <v>267</v>
      </c>
      <c r="O883" s="3" t="str">
        <f>TEXT(Ticket_Table[[#This Row],[raised_date]],"YYYY-MM")</f>
        <v>2023-04</v>
      </c>
      <c r="P883" s="3" t="str">
        <f>IF(Ticket_Table[[#This Row],[resolution_hrs]]&lt;=4,"Fast",IF(Ticket_Table[[#This Row],[resolution_hrs]]&lt;=24,"Normal",IF(Ticket_Table[[#This Row],[resolution_hrs]]&lt;=48,"Slow","Very Slow")))</f>
        <v>Slow</v>
      </c>
      <c r="Q883" s="3">
        <f>YEAR(Ticket_Table[[#This Row],[raised_date]])</f>
        <v>2023</v>
      </c>
    </row>
    <row r="884" spans="1:17">
      <c r="A884" t="s">
        <v>1434</v>
      </c>
      <c r="B884" t="s">
        <v>335</v>
      </c>
      <c r="C884" t="s">
        <v>28</v>
      </c>
      <c r="D884" t="s">
        <v>90</v>
      </c>
      <c r="E884" t="s">
        <v>166</v>
      </c>
      <c r="F884" t="s">
        <v>38</v>
      </c>
      <c r="G884" t="s">
        <v>31</v>
      </c>
      <c r="H884" s="1">
        <v>44348</v>
      </c>
      <c r="I884" s="2">
        <v>44349.0041666667</v>
      </c>
      <c r="J884">
        <v>24.1</v>
      </c>
      <c r="K884" t="s">
        <v>32</v>
      </c>
      <c r="L884">
        <v>3</v>
      </c>
      <c r="M884">
        <v>2</v>
      </c>
      <c r="N884" t="s">
        <v>489</v>
      </c>
      <c r="O884" s="3" t="str">
        <f>TEXT(Ticket_Table[[#This Row],[raised_date]],"YYYY-MM")</f>
        <v>2021-06</v>
      </c>
      <c r="P884" s="3" t="str">
        <f>IF(Ticket_Table[[#This Row],[resolution_hrs]]&lt;=4,"Fast",IF(Ticket_Table[[#This Row],[resolution_hrs]]&lt;=24,"Normal",IF(Ticket_Table[[#This Row],[resolution_hrs]]&lt;=48,"Slow","Very Slow")))</f>
        <v>Slow</v>
      </c>
      <c r="Q884" s="3">
        <f>YEAR(Ticket_Table[[#This Row],[raised_date]])</f>
        <v>2021</v>
      </c>
    </row>
    <row r="885" spans="1:17">
      <c r="A885" t="s">
        <v>1435</v>
      </c>
      <c r="B885" t="s">
        <v>107</v>
      </c>
      <c r="C885" t="s">
        <v>213</v>
      </c>
      <c r="D885" t="s">
        <v>29</v>
      </c>
      <c r="E885" t="s">
        <v>83</v>
      </c>
      <c r="F885" t="s">
        <v>70</v>
      </c>
      <c r="G885" t="s">
        <v>23</v>
      </c>
      <c r="H885" s="1">
        <v>44453</v>
      </c>
      <c r="I885" s="2">
        <v>44453.5625</v>
      </c>
      <c r="J885">
        <v>13.5</v>
      </c>
      <c r="K885" t="s">
        <v>24</v>
      </c>
      <c r="L885">
        <v>0</v>
      </c>
      <c r="M885">
        <v>5</v>
      </c>
      <c r="N885" t="s">
        <v>202</v>
      </c>
      <c r="O885" s="3" t="str">
        <f>TEXT(Ticket_Table[[#This Row],[raised_date]],"YYYY-MM")</f>
        <v>2021-09</v>
      </c>
      <c r="P885" s="3" t="str">
        <f>IF(Ticket_Table[[#This Row],[resolution_hrs]]&lt;=4,"Fast",IF(Ticket_Table[[#This Row],[resolution_hrs]]&lt;=24,"Normal",IF(Ticket_Table[[#This Row],[resolution_hrs]]&lt;=48,"Slow","Very Slow")))</f>
        <v>Normal</v>
      </c>
      <c r="Q885" s="3">
        <f>YEAR(Ticket_Table[[#This Row],[raised_date]])</f>
        <v>2021</v>
      </c>
    </row>
    <row r="886" spans="1:17">
      <c r="A886" t="s">
        <v>1436</v>
      </c>
      <c r="B886" t="s">
        <v>664</v>
      </c>
      <c r="C886" t="s">
        <v>78</v>
      </c>
      <c r="D886" t="s">
        <v>29</v>
      </c>
      <c r="E886" t="s">
        <v>37</v>
      </c>
      <c r="F886" t="s">
        <v>22</v>
      </c>
      <c r="G886" t="s">
        <v>23</v>
      </c>
      <c r="H886" s="1">
        <v>44846</v>
      </c>
      <c r="I886" s="2">
        <v>44849.8416666667</v>
      </c>
      <c r="J886">
        <v>92.2</v>
      </c>
      <c r="K886" t="s">
        <v>32</v>
      </c>
      <c r="L886">
        <v>0</v>
      </c>
      <c r="M886">
        <v>2</v>
      </c>
      <c r="N886" t="s">
        <v>1156</v>
      </c>
      <c r="O886" s="3" t="str">
        <f>TEXT(Ticket_Table[[#This Row],[raised_date]],"YYYY-MM")</f>
        <v>2022-10</v>
      </c>
      <c r="P886" s="3" t="str">
        <f>IF(Ticket_Table[[#This Row],[resolution_hrs]]&lt;=4,"Fast",IF(Ticket_Table[[#This Row],[resolution_hrs]]&lt;=24,"Normal",IF(Ticket_Table[[#This Row],[resolution_hrs]]&lt;=48,"Slow","Very Slow")))</f>
        <v>Very Slow</v>
      </c>
      <c r="Q886" s="3">
        <f>YEAR(Ticket_Table[[#This Row],[raised_date]])</f>
        <v>2022</v>
      </c>
    </row>
    <row r="887" spans="1:17">
      <c r="A887" t="s">
        <v>1437</v>
      </c>
      <c r="B887" t="s">
        <v>489</v>
      </c>
      <c r="C887" t="s">
        <v>133</v>
      </c>
      <c r="D887" t="s">
        <v>43</v>
      </c>
      <c r="E887" t="s">
        <v>69</v>
      </c>
      <c r="F887" t="s">
        <v>70</v>
      </c>
      <c r="G887" t="s">
        <v>23</v>
      </c>
      <c r="H887" s="1">
        <v>44348</v>
      </c>
      <c r="I887" s="2">
        <v>44350.8916666667</v>
      </c>
      <c r="J887">
        <v>69.4</v>
      </c>
      <c r="K887" t="s">
        <v>32</v>
      </c>
      <c r="L887">
        <v>0</v>
      </c>
      <c r="M887">
        <v>3</v>
      </c>
      <c r="N887" t="s">
        <v>588</v>
      </c>
      <c r="O887" s="3" t="str">
        <f>TEXT(Ticket_Table[[#This Row],[raised_date]],"YYYY-MM")</f>
        <v>2021-06</v>
      </c>
      <c r="P887" s="3" t="str">
        <f>IF(Ticket_Table[[#This Row],[resolution_hrs]]&lt;=4,"Fast",IF(Ticket_Table[[#This Row],[resolution_hrs]]&lt;=24,"Normal",IF(Ticket_Table[[#This Row],[resolution_hrs]]&lt;=48,"Slow","Very Slow")))</f>
        <v>Very Slow</v>
      </c>
      <c r="Q887" s="3">
        <f>YEAR(Ticket_Table[[#This Row],[raised_date]])</f>
        <v>2021</v>
      </c>
    </row>
    <row r="888" spans="1:17">
      <c r="A888" t="s">
        <v>1438</v>
      </c>
      <c r="B888" t="s">
        <v>552</v>
      </c>
      <c r="C888" t="s">
        <v>60</v>
      </c>
      <c r="D888" t="s">
        <v>36</v>
      </c>
      <c r="E888" t="s">
        <v>44</v>
      </c>
      <c r="F888" t="s">
        <v>22</v>
      </c>
      <c r="G888" t="s">
        <v>31</v>
      </c>
      <c r="H888" s="1">
        <v>45118</v>
      </c>
      <c r="I888" s="2">
        <v>45120.2083333333</v>
      </c>
      <c r="J888">
        <v>53</v>
      </c>
      <c r="K888" t="s">
        <v>24</v>
      </c>
      <c r="L888">
        <v>0</v>
      </c>
      <c r="M888">
        <v>3</v>
      </c>
      <c r="N888" t="s">
        <v>968</v>
      </c>
      <c r="O888" s="3" t="str">
        <f>TEXT(Ticket_Table[[#This Row],[raised_date]],"YYYY-MM")</f>
        <v>2023-07</v>
      </c>
      <c r="P888" s="3" t="str">
        <f>IF(Ticket_Table[[#This Row],[resolution_hrs]]&lt;=4,"Fast",IF(Ticket_Table[[#This Row],[resolution_hrs]]&lt;=24,"Normal",IF(Ticket_Table[[#This Row],[resolution_hrs]]&lt;=48,"Slow","Very Slow")))</f>
        <v>Very Slow</v>
      </c>
      <c r="Q888" s="3">
        <f>YEAR(Ticket_Table[[#This Row],[raised_date]])</f>
        <v>2023</v>
      </c>
    </row>
    <row r="889" spans="1:17">
      <c r="A889" t="s">
        <v>1439</v>
      </c>
      <c r="B889" t="s">
        <v>398</v>
      </c>
      <c r="C889" t="s">
        <v>55</v>
      </c>
      <c r="D889" t="s">
        <v>20</v>
      </c>
      <c r="E889" t="s">
        <v>37</v>
      </c>
      <c r="F889" t="s">
        <v>70</v>
      </c>
      <c r="G889" t="s">
        <v>23</v>
      </c>
      <c r="H889" s="1">
        <v>45151</v>
      </c>
      <c r="I889" s="2">
        <v>45151.1</v>
      </c>
      <c r="J889">
        <v>2.4</v>
      </c>
      <c r="K889" t="s">
        <v>24</v>
      </c>
      <c r="L889">
        <v>1</v>
      </c>
      <c r="M889">
        <v>4</v>
      </c>
      <c r="N889" t="s">
        <v>149</v>
      </c>
      <c r="O889" s="3" t="str">
        <f>TEXT(Ticket_Table[[#This Row],[raised_date]],"YYYY-MM")</f>
        <v>2023-08</v>
      </c>
      <c r="P889" s="3" t="str">
        <f>IF(Ticket_Table[[#This Row],[resolution_hrs]]&lt;=4,"Fast",IF(Ticket_Table[[#This Row],[resolution_hrs]]&lt;=24,"Normal",IF(Ticket_Table[[#This Row],[resolution_hrs]]&lt;=48,"Slow","Very Slow")))</f>
        <v>Fast</v>
      </c>
      <c r="Q889" s="3">
        <f>YEAR(Ticket_Table[[#This Row],[raised_date]])</f>
        <v>2023</v>
      </c>
    </row>
    <row r="890" spans="1:17">
      <c r="A890" t="s">
        <v>1440</v>
      </c>
      <c r="B890" t="s">
        <v>216</v>
      </c>
      <c r="C890" t="s">
        <v>78</v>
      </c>
      <c r="D890" t="s">
        <v>90</v>
      </c>
      <c r="E890" t="s">
        <v>83</v>
      </c>
      <c r="F890" t="s">
        <v>70</v>
      </c>
      <c r="G890" t="s">
        <v>23</v>
      </c>
      <c r="H890" s="1">
        <v>45256</v>
      </c>
      <c r="I890" s="2">
        <v>45258.5833333333</v>
      </c>
      <c r="J890">
        <v>62</v>
      </c>
      <c r="K890" t="s">
        <v>32</v>
      </c>
      <c r="L890">
        <v>0</v>
      </c>
      <c r="M890">
        <v>2</v>
      </c>
      <c r="N890" t="s">
        <v>854</v>
      </c>
      <c r="O890" s="3" t="str">
        <f>TEXT(Ticket_Table[[#This Row],[raised_date]],"YYYY-MM")</f>
        <v>2023-11</v>
      </c>
      <c r="P890" s="3" t="str">
        <f>IF(Ticket_Table[[#This Row],[resolution_hrs]]&lt;=4,"Fast",IF(Ticket_Table[[#This Row],[resolution_hrs]]&lt;=24,"Normal",IF(Ticket_Table[[#This Row],[resolution_hrs]]&lt;=48,"Slow","Very Slow")))</f>
        <v>Very Slow</v>
      </c>
      <c r="Q890" s="3">
        <f>YEAR(Ticket_Table[[#This Row],[raised_date]])</f>
        <v>2023</v>
      </c>
    </row>
    <row r="891" spans="1:17">
      <c r="A891" t="s">
        <v>1441</v>
      </c>
      <c r="B891" t="s">
        <v>130</v>
      </c>
      <c r="C891" t="s">
        <v>261</v>
      </c>
      <c r="D891" t="s">
        <v>29</v>
      </c>
      <c r="E891" t="s">
        <v>30</v>
      </c>
      <c r="F891" t="s">
        <v>22</v>
      </c>
      <c r="G891" t="s">
        <v>46</v>
      </c>
      <c r="H891" s="1">
        <v>44902</v>
      </c>
      <c r="I891" s="2">
        <v>44902.4166666667</v>
      </c>
      <c r="J891">
        <v>10</v>
      </c>
      <c r="K891" t="s">
        <v>24</v>
      </c>
      <c r="L891">
        <v>0</v>
      </c>
      <c r="M891">
        <v>4</v>
      </c>
      <c r="N891" t="s">
        <v>767</v>
      </c>
      <c r="O891" s="3" t="str">
        <f>TEXT(Ticket_Table[[#This Row],[raised_date]],"YYYY-MM")</f>
        <v>2022-12</v>
      </c>
      <c r="P891" s="3" t="str">
        <f>IF(Ticket_Table[[#This Row],[resolution_hrs]]&lt;=4,"Fast",IF(Ticket_Table[[#This Row],[resolution_hrs]]&lt;=24,"Normal",IF(Ticket_Table[[#This Row],[resolution_hrs]]&lt;=48,"Slow","Very Slow")))</f>
        <v>Normal</v>
      </c>
      <c r="Q891" s="3">
        <f>YEAR(Ticket_Table[[#This Row],[raised_date]])</f>
        <v>2022</v>
      </c>
    </row>
    <row r="892" spans="1:17">
      <c r="A892" t="s">
        <v>1442</v>
      </c>
      <c r="B892" t="s">
        <v>929</v>
      </c>
      <c r="C892" t="s">
        <v>50</v>
      </c>
      <c r="D892" t="s">
        <v>20</v>
      </c>
      <c r="E892" t="s">
        <v>69</v>
      </c>
      <c r="F892" t="s">
        <v>22</v>
      </c>
      <c r="G892" t="s">
        <v>74</v>
      </c>
      <c r="H892" s="1">
        <v>44459</v>
      </c>
      <c r="I892" s="2">
        <v>44461.725</v>
      </c>
      <c r="J892">
        <v>65.4</v>
      </c>
      <c r="K892" t="s">
        <v>24</v>
      </c>
      <c r="L892">
        <v>0</v>
      </c>
      <c r="M892">
        <v>2</v>
      </c>
      <c r="N892" t="s">
        <v>782</v>
      </c>
      <c r="O892" s="3" t="str">
        <f>TEXT(Ticket_Table[[#This Row],[raised_date]],"YYYY-MM")</f>
        <v>2021-09</v>
      </c>
      <c r="P892" s="3" t="str">
        <f>IF(Ticket_Table[[#This Row],[resolution_hrs]]&lt;=4,"Fast",IF(Ticket_Table[[#This Row],[resolution_hrs]]&lt;=24,"Normal",IF(Ticket_Table[[#This Row],[resolution_hrs]]&lt;=48,"Slow","Very Slow")))</f>
        <v>Very Slow</v>
      </c>
      <c r="Q892" s="3">
        <f>YEAR(Ticket_Table[[#This Row],[raised_date]])</f>
        <v>2021</v>
      </c>
    </row>
    <row r="893" spans="1:17">
      <c r="A893" t="s">
        <v>1443</v>
      </c>
      <c r="B893" t="s">
        <v>817</v>
      </c>
      <c r="C893" t="s">
        <v>50</v>
      </c>
      <c r="D893" t="s">
        <v>36</v>
      </c>
      <c r="E893" t="s">
        <v>56</v>
      </c>
      <c r="F893" t="s">
        <v>45</v>
      </c>
      <c r="G893" t="s">
        <v>74</v>
      </c>
      <c r="H893" s="1">
        <v>44569</v>
      </c>
      <c r="I893" s="2">
        <v>44569.2208333333</v>
      </c>
      <c r="J893">
        <v>5.3</v>
      </c>
      <c r="K893" t="s">
        <v>32</v>
      </c>
      <c r="L893">
        <v>0</v>
      </c>
      <c r="M893">
        <v>2</v>
      </c>
      <c r="N893" t="s">
        <v>189</v>
      </c>
      <c r="O893" s="3" t="str">
        <f>TEXT(Ticket_Table[[#This Row],[raised_date]],"YYYY-MM")</f>
        <v>2022-01</v>
      </c>
      <c r="P893" s="3" t="str">
        <f>IF(Ticket_Table[[#This Row],[resolution_hrs]]&lt;=4,"Fast",IF(Ticket_Table[[#This Row],[resolution_hrs]]&lt;=24,"Normal",IF(Ticket_Table[[#This Row],[resolution_hrs]]&lt;=48,"Slow","Very Slow")))</f>
        <v>Normal</v>
      </c>
      <c r="Q893" s="3">
        <f>YEAR(Ticket_Table[[#This Row],[raised_date]])</f>
        <v>2022</v>
      </c>
    </row>
    <row r="894" spans="1:17">
      <c r="A894" t="s">
        <v>1444</v>
      </c>
      <c r="B894" t="s">
        <v>897</v>
      </c>
      <c r="C894" t="s">
        <v>60</v>
      </c>
      <c r="D894" t="s">
        <v>90</v>
      </c>
      <c r="E894" t="s">
        <v>30</v>
      </c>
      <c r="F894" t="s">
        <v>45</v>
      </c>
      <c r="G894" t="s">
        <v>46</v>
      </c>
      <c r="H894" s="1">
        <v>44461</v>
      </c>
      <c r="I894" s="2">
        <v>44461.2291666667</v>
      </c>
      <c r="J894">
        <v>5.5</v>
      </c>
      <c r="K894" t="s">
        <v>32</v>
      </c>
      <c r="L894">
        <v>0</v>
      </c>
      <c r="M894">
        <v>4</v>
      </c>
      <c r="N894" t="s">
        <v>1019</v>
      </c>
      <c r="O894" s="3" t="str">
        <f>TEXT(Ticket_Table[[#This Row],[raised_date]],"YYYY-MM")</f>
        <v>2021-09</v>
      </c>
      <c r="P894" s="3" t="str">
        <f>IF(Ticket_Table[[#This Row],[resolution_hrs]]&lt;=4,"Fast",IF(Ticket_Table[[#This Row],[resolution_hrs]]&lt;=24,"Normal",IF(Ticket_Table[[#This Row],[resolution_hrs]]&lt;=48,"Slow","Very Slow")))</f>
        <v>Normal</v>
      </c>
      <c r="Q894" s="3">
        <f>YEAR(Ticket_Table[[#This Row],[raised_date]])</f>
        <v>2021</v>
      </c>
    </row>
    <row r="895" spans="1:17">
      <c r="A895" t="s">
        <v>1445</v>
      </c>
      <c r="B895" t="s">
        <v>127</v>
      </c>
      <c r="C895" t="s">
        <v>133</v>
      </c>
      <c r="D895" t="s">
        <v>90</v>
      </c>
      <c r="E895" t="s">
        <v>166</v>
      </c>
      <c r="F895" t="s">
        <v>70</v>
      </c>
      <c r="G895" t="s">
        <v>23</v>
      </c>
      <c r="H895" s="1">
        <v>45083</v>
      </c>
      <c r="I895" s="2">
        <v>45084.2458333333</v>
      </c>
      <c r="J895">
        <v>29.9</v>
      </c>
      <c r="K895" t="s">
        <v>24</v>
      </c>
      <c r="L895">
        <v>0</v>
      </c>
      <c r="M895">
        <v>3</v>
      </c>
      <c r="N895" t="s">
        <v>919</v>
      </c>
      <c r="O895" s="3" t="str">
        <f>TEXT(Ticket_Table[[#This Row],[raised_date]],"YYYY-MM")</f>
        <v>2023-06</v>
      </c>
      <c r="P895" s="3" t="str">
        <f>IF(Ticket_Table[[#This Row],[resolution_hrs]]&lt;=4,"Fast",IF(Ticket_Table[[#This Row],[resolution_hrs]]&lt;=24,"Normal",IF(Ticket_Table[[#This Row],[resolution_hrs]]&lt;=48,"Slow","Very Slow")))</f>
        <v>Slow</v>
      </c>
      <c r="Q895" s="3">
        <f>YEAR(Ticket_Table[[#This Row],[raised_date]])</f>
        <v>2023</v>
      </c>
    </row>
    <row r="896" spans="1:17">
      <c r="A896" t="s">
        <v>1446</v>
      </c>
      <c r="B896" t="s">
        <v>398</v>
      </c>
      <c r="C896" t="s">
        <v>68</v>
      </c>
      <c r="D896" t="s">
        <v>36</v>
      </c>
      <c r="E896" t="s">
        <v>83</v>
      </c>
      <c r="F896" t="s">
        <v>22</v>
      </c>
      <c r="G896" t="s">
        <v>74</v>
      </c>
      <c r="H896" s="1">
        <v>45226</v>
      </c>
      <c r="I896" s="2">
        <v>45227.6625</v>
      </c>
      <c r="J896">
        <v>39.9</v>
      </c>
      <c r="K896" t="s">
        <v>24</v>
      </c>
      <c r="L896">
        <v>0</v>
      </c>
      <c r="M896">
        <v>5</v>
      </c>
      <c r="N896" t="s">
        <v>455</v>
      </c>
      <c r="O896" s="3" t="str">
        <f>TEXT(Ticket_Table[[#This Row],[raised_date]],"YYYY-MM")</f>
        <v>2023-10</v>
      </c>
      <c r="P896" s="3" t="str">
        <f>IF(Ticket_Table[[#This Row],[resolution_hrs]]&lt;=4,"Fast",IF(Ticket_Table[[#This Row],[resolution_hrs]]&lt;=24,"Normal",IF(Ticket_Table[[#This Row],[resolution_hrs]]&lt;=48,"Slow","Very Slow")))</f>
        <v>Slow</v>
      </c>
      <c r="Q896" s="3">
        <f>YEAR(Ticket_Table[[#This Row],[raised_date]])</f>
        <v>2023</v>
      </c>
    </row>
    <row r="897" spans="1:17">
      <c r="A897" t="s">
        <v>1447</v>
      </c>
      <c r="B897" t="s">
        <v>1078</v>
      </c>
      <c r="C897" t="s">
        <v>19</v>
      </c>
      <c r="D897" t="s">
        <v>90</v>
      </c>
      <c r="E897" t="s">
        <v>69</v>
      </c>
      <c r="F897" t="s">
        <v>22</v>
      </c>
      <c r="G897" t="s">
        <v>46</v>
      </c>
      <c r="H897" s="1">
        <v>44310</v>
      </c>
      <c r="I897" s="2">
        <v>44312.9708333333</v>
      </c>
      <c r="J897">
        <v>71.3</v>
      </c>
      <c r="K897" t="s">
        <v>24</v>
      </c>
      <c r="L897">
        <v>0</v>
      </c>
      <c r="M897">
        <v>5</v>
      </c>
      <c r="N897" t="s">
        <v>509</v>
      </c>
      <c r="O897" s="3" t="str">
        <f>TEXT(Ticket_Table[[#This Row],[raised_date]],"YYYY-MM")</f>
        <v>2021-04</v>
      </c>
      <c r="P897" s="3" t="str">
        <f>IF(Ticket_Table[[#This Row],[resolution_hrs]]&lt;=4,"Fast",IF(Ticket_Table[[#This Row],[resolution_hrs]]&lt;=24,"Normal",IF(Ticket_Table[[#This Row],[resolution_hrs]]&lt;=48,"Slow","Very Slow")))</f>
        <v>Very Slow</v>
      </c>
      <c r="Q897" s="3">
        <f>YEAR(Ticket_Table[[#This Row],[raised_date]])</f>
        <v>2021</v>
      </c>
    </row>
    <row r="898" spans="1:17">
      <c r="A898" t="s">
        <v>1448</v>
      </c>
      <c r="B898" t="s">
        <v>541</v>
      </c>
      <c r="C898" t="s">
        <v>175</v>
      </c>
      <c r="D898" t="s">
        <v>36</v>
      </c>
      <c r="E898" t="s">
        <v>56</v>
      </c>
      <c r="F898" t="s">
        <v>70</v>
      </c>
      <c r="G898" t="s">
        <v>31</v>
      </c>
      <c r="H898" s="1">
        <v>44451</v>
      </c>
      <c r="I898" s="2">
        <v>44451.3083333333</v>
      </c>
      <c r="J898">
        <v>7.4</v>
      </c>
      <c r="K898" t="s">
        <v>24</v>
      </c>
      <c r="L898">
        <v>0</v>
      </c>
      <c r="M898">
        <v>3</v>
      </c>
      <c r="N898" t="s">
        <v>272</v>
      </c>
      <c r="O898" s="3" t="str">
        <f>TEXT(Ticket_Table[[#This Row],[raised_date]],"YYYY-MM")</f>
        <v>2021-09</v>
      </c>
      <c r="P898" s="3" t="str">
        <f>IF(Ticket_Table[[#This Row],[resolution_hrs]]&lt;=4,"Fast",IF(Ticket_Table[[#This Row],[resolution_hrs]]&lt;=24,"Normal",IF(Ticket_Table[[#This Row],[resolution_hrs]]&lt;=48,"Slow","Very Slow")))</f>
        <v>Normal</v>
      </c>
      <c r="Q898" s="3">
        <f>YEAR(Ticket_Table[[#This Row],[raised_date]])</f>
        <v>2021</v>
      </c>
    </row>
    <row r="899" spans="1:17">
      <c r="A899" t="s">
        <v>1449</v>
      </c>
      <c r="B899" t="s">
        <v>235</v>
      </c>
      <c r="C899" t="s">
        <v>28</v>
      </c>
      <c r="D899" t="s">
        <v>90</v>
      </c>
      <c r="E899" t="s">
        <v>44</v>
      </c>
      <c r="F899" t="s">
        <v>45</v>
      </c>
      <c r="G899" t="s">
        <v>31</v>
      </c>
      <c r="H899" s="1">
        <v>45258</v>
      </c>
      <c r="I899" s="2">
        <v>45258.2375</v>
      </c>
      <c r="J899">
        <v>5.7</v>
      </c>
      <c r="K899" t="s">
        <v>32</v>
      </c>
      <c r="L899">
        <v>2</v>
      </c>
      <c r="M899">
        <v>5</v>
      </c>
      <c r="N899" t="s">
        <v>603</v>
      </c>
      <c r="O899" s="3" t="str">
        <f>TEXT(Ticket_Table[[#This Row],[raised_date]],"YYYY-MM")</f>
        <v>2023-11</v>
      </c>
      <c r="P899" s="3" t="str">
        <f>IF(Ticket_Table[[#This Row],[resolution_hrs]]&lt;=4,"Fast",IF(Ticket_Table[[#This Row],[resolution_hrs]]&lt;=24,"Normal",IF(Ticket_Table[[#This Row],[resolution_hrs]]&lt;=48,"Slow","Very Slow")))</f>
        <v>Normal</v>
      </c>
      <c r="Q899" s="3">
        <f>YEAR(Ticket_Table[[#This Row],[raised_date]])</f>
        <v>2023</v>
      </c>
    </row>
    <row r="900" spans="1:17">
      <c r="A900" t="s">
        <v>1450</v>
      </c>
      <c r="B900" t="s">
        <v>220</v>
      </c>
      <c r="C900" t="s">
        <v>68</v>
      </c>
      <c r="D900" t="s">
        <v>43</v>
      </c>
      <c r="E900" t="s">
        <v>44</v>
      </c>
      <c r="F900" t="s">
        <v>22</v>
      </c>
      <c r="G900" t="s">
        <v>31</v>
      </c>
      <c r="H900" s="1">
        <v>44510</v>
      </c>
      <c r="I900" s="2">
        <v>44513.2708333333</v>
      </c>
      <c r="J900">
        <v>78.5</v>
      </c>
      <c r="K900" t="s">
        <v>32</v>
      </c>
      <c r="L900">
        <v>0</v>
      </c>
      <c r="M900">
        <v>4</v>
      </c>
      <c r="N900" t="s">
        <v>1112</v>
      </c>
      <c r="O900" s="3" t="str">
        <f>TEXT(Ticket_Table[[#This Row],[raised_date]],"YYYY-MM")</f>
        <v>2021-11</v>
      </c>
      <c r="P900" s="3" t="str">
        <f>IF(Ticket_Table[[#This Row],[resolution_hrs]]&lt;=4,"Fast",IF(Ticket_Table[[#This Row],[resolution_hrs]]&lt;=24,"Normal",IF(Ticket_Table[[#This Row],[resolution_hrs]]&lt;=48,"Slow","Very Slow")))</f>
        <v>Very Slow</v>
      </c>
      <c r="Q900" s="3">
        <f>YEAR(Ticket_Table[[#This Row],[raised_date]])</f>
        <v>2021</v>
      </c>
    </row>
    <row r="901" spans="1:17">
      <c r="A901" t="s">
        <v>1451</v>
      </c>
      <c r="B901" t="s">
        <v>112</v>
      </c>
      <c r="C901" t="s">
        <v>28</v>
      </c>
      <c r="D901" t="s">
        <v>36</v>
      </c>
      <c r="E901" t="s">
        <v>21</v>
      </c>
      <c r="F901" t="s">
        <v>38</v>
      </c>
      <c r="G901" t="s">
        <v>31</v>
      </c>
      <c r="H901" s="1">
        <v>44819</v>
      </c>
      <c r="I901" s="2">
        <v>44819.2458333333</v>
      </c>
      <c r="J901">
        <v>5.9</v>
      </c>
      <c r="K901" t="s">
        <v>24</v>
      </c>
      <c r="L901">
        <v>0</v>
      </c>
      <c r="M901">
        <v>4</v>
      </c>
      <c r="N901" t="s">
        <v>1022</v>
      </c>
      <c r="O901" s="3" t="str">
        <f>TEXT(Ticket_Table[[#This Row],[raised_date]],"YYYY-MM")</f>
        <v>2022-09</v>
      </c>
      <c r="P901" s="3" t="str">
        <f>IF(Ticket_Table[[#This Row],[resolution_hrs]]&lt;=4,"Fast",IF(Ticket_Table[[#This Row],[resolution_hrs]]&lt;=24,"Normal",IF(Ticket_Table[[#This Row],[resolution_hrs]]&lt;=48,"Slow","Very Slow")))</f>
        <v>Normal</v>
      </c>
      <c r="Q901" s="3">
        <f>YEAR(Ticket_Table[[#This Row],[raised_date]])</f>
        <v>2022</v>
      </c>
    </row>
    <row r="902" spans="1:17">
      <c r="A902" t="s">
        <v>1452</v>
      </c>
      <c r="B902" t="s">
        <v>530</v>
      </c>
      <c r="C902" t="s">
        <v>261</v>
      </c>
      <c r="D902" t="s">
        <v>20</v>
      </c>
      <c r="E902" t="s">
        <v>166</v>
      </c>
      <c r="F902" t="s">
        <v>22</v>
      </c>
      <c r="G902" t="s">
        <v>46</v>
      </c>
      <c r="H902" s="1">
        <v>44534</v>
      </c>
      <c r="I902" s="2">
        <v>44534.5416666667</v>
      </c>
      <c r="J902">
        <v>13</v>
      </c>
      <c r="K902" t="s">
        <v>24</v>
      </c>
      <c r="L902">
        <v>1</v>
      </c>
      <c r="M902">
        <v>4</v>
      </c>
      <c r="N902" t="s">
        <v>1050</v>
      </c>
      <c r="O902" s="3" t="str">
        <f>TEXT(Ticket_Table[[#This Row],[raised_date]],"YYYY-MM")</f>
        <v>2021-12</v>
      </c>
      <c r="P902" s="3" t="str">
        <f>IF(Ticket_Table[[#This Row],[resolution_hrs]]&lt;=4,"Fast",IF(Ticket_Table[[#This Row],[resolution_hrs]]&lt;=24,"Normal",IF(Ticket_Table[[#This Row],[resolution_hrs]]&lt;=48,"Slow","Very Slow")))</f>
        <v>Normal</v>
      </c>
      <c r="Q902" s="3">
        <f>YEAR(Ticket_Table[[#This Row],[raised_date]])</f>
        <v>2021</v>
      </c>
    </row>
    <row r="903" spans="1:17">
      <c r="A903" t="s">
        <v>1453</v>
      </c>
      <c r="B903" t="s">
        <v>560</v>
      </c>
      <c r="C903" t="s">
        <v>287</v>
      </c>
      <c r="D903" t="s">
        <v>43</v>
      </c>
      <c r="E903" t="s">
        <v>106</v>
      </c>
      <c r="F903" t="s">
        <v>45</v>
      </c>
      <c r="G903" t="s">
        <v>46</v>
      </c>
      <c r="H903" s="1">
        <v>44528</v>
      </c>
      <c r="I903" s="2">
        <v>44528.1958333333</v>
      </c>
      <c r="J903">
        <v>4.7</v>
      </c>
      <c r="K903" t="s">
        <v>32</v>
      </c>
      <c r="L903">
        <v>2</v>
      </c>
      <c r="M903">
        <v>5</v>
      </c>
      <c r="N903" t="s">
        <v>931</v>
      </c>
      <c r="O903" s="3" t="str">
        <f>TEXT(Ticket_Table[[#This Row],[raised_date]],"YYYY-MM")</f>
        <v>2021-11</v>
      </c>
      <c r="P903" s="3" t="str">
        <f>IF(Ticket_Table[[#This Row],[resolution_hrs]]&lt;=4,"Fast",IF(Ticket_Table[[#This Row],[resolution_hrs]]&lt;=24,"Normal",IF(Ticket_Table[[#This Row],[resolution_hrs]]&lt;=48,"Slow","Very Slow")))</f>
        <v>Normal</v>
      </c>
      <c r="Q903" s="3">
        <f>YEAR(Ticket_Table[[#This Row],[raised_date]])</f>
        <v>2021</v>
      </c>
    </row>
    <row r="904" spans="1:17">
      <c r="A904" t="s">
        <v>1454</v>
      </c>
      <c r="B904" t="s">
        <v>974</v>
      </c>
      <c r="C904" t="s">
        <v>64</v>
      </c>
      <c r="D904" t="s">
        <v>20</v>
      </c>
      <c r="E904" t="s">
        <v>83</v>
      </c>
      <c r="F904" t="s">
        <v>70</v>
      </c>
      <c r="G904" t="s">
        <v>23</v>
      </c>
      <c r="H904" s="1">
        <v>44857</v>
      </c>
      <c r="I904" s="2">
        <v>44859.8</v>
      </c>
      <c r="J904">
        <v>67.2</v>
      </c>
      <c r="K904" t="s">
        <v>32</v>
      </c>
      <c r="L904">
        <v>0</v>
      </c>
      <c r="M904">
        <v>3</v>
      </c>
      <c r="N904" t="s">
        <v>722</v>
      </c>
      <c r="O904" s="3" t="str">
        <f>TEXT(Ticket_Table[[#This Row],[raised_date]],"YYYY-MM")</f>
        <v>2022-10</v>
      </c>
      <c r="P904" s="3" t="str">
        <f>IF(Ticket_Table[[#This Row],[resolution_hrs]]&lt;=4,"Fast",IF(Ticket_Table[[#This Row],[resolution_hrs]]&lt;=24,"Normal",IF(Ticket_Table[[#This Row],[resolution_hrs]]&lt;=48,"Slow","Very Slow")))</f>
        <v>Very Slow</v>
      </c>
      <c r="Q904" s="3">
        <f>YEAR(Ticket_Table[[#This Row],[raised_date]])</f>
        <v>2022</v>
      </c>
    </row>
    <row r="905" spans="1:17">
      <c r="A905" t="s">
        <v>1455</v>
      </c>
      <c r="B905" t="s">
        <v>264</v>
      </c>
      <c r="C905" t="s">
        <v>117</v>
      </c>
      <c r="D905" t="s">
        <v>90</v>
      </c>
      <c r="E905" t="s">
        <v>56</v>
      </c>
      <c r="F905" t="s">
        <v>38</v>
      </c>
      <c r="G905" t="s">
        <v>31</v>
      </c>
      <c r="H905" s="1">
        <v>44658</v>
      </c>
      <c r="I905" s="2">
        <v>44658.8041666667</v>
      </c>
      <c r="J905">
        <v>19.3</v>
      </c>
      <c r="K905" t="s">
        <v>24</v>
      </c>
      <c r="L905">
        <v>0</v>
      </c>
      <c r="M905">
        <v>3</v>
      </c>
      <c r="N905" t="s">
        <v>647</v>
      </c>
      <c r="O905" s="3" t="str">
        <f>TEXT(Ticket_Table[[#This Row],[raised_date]],"YYYY-MM")</f>
        <v>2022-04</v>
      </c>
      <c r="P905" s="3" t="str">
        <f>IF(Ticket_Table[[#This Row],[resolution_hrs]]&lt;=4,"Fast",IF(Ticket_Table[[#This Row],[resolution_hrs]]&lt;=24,"Normal",IF(Ticket_Table[[#This Row],[resolution_hrs]]&lt;=48,"Slow","Very Slow")))</f>
        <v>Normal</v>
      </c>
      <c r="Q905" s="3">
        <f>YEAR(Ticket_Table[[#This Row],[raised_date]])</f>
        <v>2022</v>
      </c>
    </row>
    <row r="906" spans="1:17">
      <c r="A906" t="s">
        <v>1456</v>
      </c>
      <c r="B906" t="s">
        <v>701</v>
      </c>
      <c r="C906" t="s">
        <v>287</v>
      </c>
      <c r="D906" t="s">
        <v>20</v>
      </c>
      <c r="E906" t="s">
        <v>56</v>
      </c>
      <c r="F906" t="s">
        <v>70</v>
      </c>
      <c r="G906" t="s">
        <v>31</v>
      </c>
      <c r="H906" s="1">
        <v>44905</v>
      </c>
      <c r="I906" s="2">
        <v>44907.4958333333</v>
      </c>
      <c r="J906">
        <v>59.9</v>
      </c>
      <c r="K906" t="s">
        <v>32</v>
      </c>
      <c r="L906">
        <v>0</v>
      </c>
      <c r="M906">
        <v>4</v>
      </c>
      <c r="N906" t="s">
        <v>81</v>
      </c>
      <c r="O906" s="3" t="str">
        <f>TEXT(Ticket_Table[[#This Row],[raised_date]],"YYYY-MM")</f>
        <v>2022-12</v>
      </c>
      <c r="P906" s="3" t="str">
        <f>IF(Ticket_Table[[#This Row],[resolution_hrs]]&lt;=4,"Fast",IF(Ticket_Table[[#This Row],[resolution_hrs]]&lt;=24,"Normal",IF(Ticket_Table[[#This Row],[resolution_hrs]]&lt;=48,"Slow","Very Slow")))</f>
        <v>Very Slow</v>
      </c>
      <c r="Q906" s="3">
        <f>YEAR(Ticket_Table[[#This Row],[raised_date]])</f>
        <v>2022</v>
      </c>
    </row>
    <row r="907" spans="1:17">
      <c r="A907" t="s">
        <v>1457</v>
      </c>
      <c r="B907" t="s">
        <v>854</v>
      </c>
      <c r="C907" t="s">
        <v>60</v>
      </c>
      <c r="D907" t="s">
        <v>43</v>
      </c>
      <c r="E907" t="s">
        <v>106</v>
      </c>
      <c r="F907" t="s">
        <v>70</v>
      </c>
      <c r="G907" t="s">
        <v>23</v>
      </c>
      <c r="H907" s="1">
        <v>45259</v>
      </c>
      <c r="I907" s="2">
        <v>45261.85</v>
      </c>
      <c r="J907">
        <v>68.4</v>
      </c>
      <c r="K907" t="s">
        <v>32</v>
      </c>
      <c r="L907">
        <v>0</v>
      </c>
      <c r="M907">
        <v>3</v>
      </c>
      <c r="N907" t="s">
        <v>571</v>
      </c>
      <c r="O907" s="3" t="str">
        <f>TEXT(Ticket_Table[[#This Row],[raised_date]],"YYYY-MM")</f>
        <v>2023-11</v>
      </c>
      <c r="P907" s="3" t="str">
        <f>IF(Ticket_Table[[#This Row],[resolution_hrs]]&lt;=4,"Fast",IF(Ticket_Table[[#This Row],[resolution_hrs]]&lt;=24,"Normal",IF(Ticket_Table[[#This Row],[resolution_hrs]]&lt;=48,"Slow","Very Slow")))</f>
        <v>Very Slow</v>
      </c>
      <c r="Q907" s="3">
        <f>YEAR(Ticket_Table[[#This Row],[raised_date]])</f>
        <v>2023</v>
      </c>
    </row>
    <row r="908" spans="1:17">
      <c r="A908" t="s">
        <v>1458</v>
      </c>
      <c r="B908" t="s">
        <v>227</v>
      </c>
      <c r="C908" t="s">
        <v>50</v>
      </c>
      <c r="D908" t="s">
        <v>36</v>
      </c>
      <c r="E908" t="s">
        <v>106</v>
      </c>
      <c r="F908" t="s">
        <v>22</v>
      </c>
      <c r="G908" t="s">
        <v>74</v>
      </c>
      <c r="H908" s="1">
        <v>44778</v>
      </c>
      <c r="I908" s="2">
        <v>44782.1958333333</v>
      </c>
      <c r="J908">
        <v>100.7</v>
      </c>
      <c r="K908" t="s">
        <v>32</v>
      </c>
      <c r="L908">
        <v>1</v>
      </c>
      <c r="M908">
        <v>3</v>
      </c>
      <c r="N908" t="s">
        <v>756</v>
      </c>
      <c r="O908" s="3" t="str">
        <f>TEXT(Ticket_Table[[#This Row],[raised_date]],"YYYY-MM")</f>
        <v>2022-08</v>
      </c>
      <c r="P908" s="3" t="str">
        <f>IF(Ticket_Table[[#This Row],[resolution_hrs]]&lt;=4,"Fast",IF(Ticket_Table[[#This Row],[resolution_hrs]]&lt;=24,"Normal",IF(Ticket_Table[[#This Row],[resolution_hrs]]&lt;=48,"Slow","Very Slow")))</f>
        <v>Very Slow</v>
      </c>
      <c r="Q908" s="3">
        <f>YEAR(Ticket_Table[[#This Row],[raised_date]])</f>
        <v>2022</v>
      </c>
    </row>
    <row r="909" spans="1:17">
      <c r="A909" t="s">
        <v>1459</v>
      </c>
      <c r="B909" t="s">
        <v>675</v>
      </c>
      <c r="C909" t="s">
        <v>140</v>
      </c>
      <c r="D909" t="s">
        <v>29</v>
      </c>
      <c r="E909" t="s">
        <v>30</v>
      </c>
      <c r="F909" t="s">
        <v>22</v>
      </c>
      <c r="G909" t="s">
        <v>23</v>
      </c>
      <c r="H909" s="1">
        <v>44358</v>
      </c>
      <c r="I909" s="2">
        <v>44359.1625</v>
      </c>
      <c r="J909">
        <v>27.9</v>
      </c>
      <c r="K909" t="s">
        <v>24</v>
      </c>
      <c r="L909">
        <v>1</v>
      </c>
      <c r="M909">
        <v>4</v>
      </c>
      <c r="N909" t="s">
        <v>1112</v>
      </c>
      <c r="O909" s="3" t="str">
        <f>TEXT(Ticket_Table[[#This Row],[raised_date]],"YYYY-MM")</f>
        <v>2021-06</v>
      </c>
      <c r="P909" s="3" t="str">
        <f>IF(Ticket_Table[[#This Row],[resolution_hrs]]&lt;=4,"Fast",IF(Ticket_Table[[#This Row],[resolution_hrs]]&lt;=24,"Normal",IF(Ticket_Table[[#This Row],[resolution_hrs]]&lt;=48,"Slow","Very Slow")))</f>
        <v>Slow</v>
      </c>
      <c r="Q909" s="3">
        <f>YEAR(Ticket_Table[[#This Row],[raised_date]])</f>
        <v>2021</v>
      </c>
    </row>
    <row r="910" spans="1:17">
      <c r="A910" t="s">
        <v>1460</v>
      </c>
      <c r="B910" t="s">
        <v>698</v>
      </c>
      <c r="C910" t="s">
        <v>287</v>
      </c>
      <c r="D910" t="s">
        <v>20</v>
      </c>
      <c r="E910" t="s">
        <v>69</v>
      </c>
      <c r="F910" t="s">
        <v>45</v>
      </c>
      <c r="G910" t="s">
        <v>23</v>
      </c>
      <c r="H910" s="1">
        <v>44710</v>
      </c>
      <c r="I910" s="2">
        <v>44710.225</v>
      </c>
      <c r="J910">
        <v>5.4</v>
      </c>
      <c r="K910" t="s">
        <v>32</v>
      </c>
      <c r="L910">
        <v>0</v>
      </c>
      <c r="M910">
        <v>5</v>
      </c>
      <c r="N910" t="s">
        <v>1064</v>
      </c>
      <c r="O910" s="3" t="str">
        <f>TEXT(Ticket_Table[[#This Row],[raised_date]],"YYYY-MM")</f>
        <v>2022-05</v>
      </c>
      <c r="P910" s="3" t="str">
        <f>IF(Ticket_Table[[#This Row],[resolution_hrs]]&lt;=4,"Fast",IF(Ticket_Table[[#This Row],[resolution_hrs]]&lt;=24,"Normal",IF(Ticket_Table[[#This Row],[resolution_hrs]]&lt;=48,"Slow","Very Slow")))</f>
        <v>Normal</v>
      </c>
      <c r="Q910" s="3">
        <f>YEAR(Ticket_Table[[#This Row],[raised_date]])</f>
        <v>2022</v>
      </c>
    </row>
    <row r="911" spans="1:17">
      <c r="A911" t="s">
        <v>1461</v>
      </c>
      <c r="B911" t="s">
        <v>141</v>
      </c>
      <c r="C911" t="s">
        <v>68</v>
      </c>
      <c r="D911" t="s">
        <v>29</v>
      </c>
      <c r="E911" t="s">
        <v>30</v>
      </c>
      <c r="F911" t="s">
        <v>45</v>
      </c>
      <c r="G911" t="s">
        <v>23</v>
      </c>
      <c r="H911" s="1">
        <v>44599</v>
      </c>
      <c r="I911" s="2">
        <v>44599.0916666667</v>
      </c>
      <c r="J911">
        <v>2.2</v>
      </c>
      <c r="K911" t="s">
        <v>24</v>
      </c>
      <c r="L911">
        <v>1</v>
      </c>
      <c r="M911">
        <v>3</v>
      </c>
      <c r="N911" t="s">
        <v>955</v>
      </c>
      <c r="O911" s="3" t="str">
        <f>TEXT(Ticket_Table[[#This Row],[raised_date]],"YYYY-MM")</f>
        <v>2022-02</v>
      </c>
      <c r="P911" s="3" t="str">
        <f>IF(Ticket_Table[[#This Row],[resolution_hrs]]&lt;=4,"Fast",IF(Ticket_Table[[#This Row],[resolution_hrs]]&lt;=24,"Normal",IF(Ticket_Table[[#This Row],[resolution_hrs]]&lt;=48,"Slow","Very Slow")))</f>
        <v>Fast</v>
      </c>
      <c r="Q911" s="3">
        <f>YEAR(Ticket_Table[[#This Row],[raised_date]])</f>
        <v>2022</v>
      </c>
    </row>
    <row r="912" spans="1:17">
      <c r="A912" t="s">
        <v>1462</v>
      </c>
      <c r="B912" t="s">
        <v>479</v>
      </c>
      <c r="C912" t="s">
        <v>140</v>
      </c>
      <c r="D912" t="s">
        <v>20</v>
      </c>
      <c r="E912" t="s">
        <v>51</v>
      </c>
      <c r="F912" t="s">
        <v>38</v>
      </c>
      <c r="G912" t="s">
        <v>31</v>
      </c>
      <c r="H912" s="1">
        <v>44759</v>
      </c>
      <c r="I912" s="2">
        <v>44759.2208333333</v>
      </c>
      <c r="J912">
        <v>5.3</v>
      </c>
      <c r="K912" t="s">
        <v>24</v>
      </c>
      <c r="L912">
        <v>0</v>
      </c>
      <c r="M912">
        <v>3</v>
      </c>
      <c r="N912" t="s">
        <v>212</v>
      </c>
      <c r="O912" s="3" t="str">
        <f>TEXT(Ticket_Table[[#This Row],[raised_date]],"YYYY-MM")</f>
        <v>2022-07</v>
      </c>
      <c r="P912" s="3" t="str">
        <f>IF(Ticket_Table[[#This Row],[resolution_hrs]]&lt;=4,"Fast",IF(Ticket_Table[[#This Row],[resolution_hrs]]&lt;=24,"Normal",IF(Ticket_Table[[#This Row],[resolution_hrs]]&lt;=48,"Slow","Very Slow")))</f>
        <v>Normal</v>
      </c>
      <c r="Q912" s="3">
        <f>YEAR(Ticket_Table[[#This Row],[raised_date]])</f>
        <v>2022</v>
      </c>
    </row>
    <row r="913" spans="1:17">
      <c r="A913" t="s">
        <v>1463</v>
      </c>
      <c r="B913" t="s">
        <v>680</v>
      </c>
      <c r="C913" t="s">
        <v>64</v>
      </c>
      <c r="D913" t="s">
        <v>20</v>
      </c>
      <c r="E913" t="s">
        <v>51</v>
      </c>
      <c r="F913" t="s">
        <v>70</v>
      </c>
      <c r="G913" t="s">
        <v>23</v>
      </c>
      <c r="H913" s="1">
        <v>44453</v>
      </c>
      <c r="I913" s="2">
        <v>44455.4291666667</v>
      </c>
      <c r="J913">
        <v>58.3</v>
      </c>
      <c r="K913" t="s">
        <v>32</v>
      </c>
      <c r="L913">
        <v>2</v>
      </c>
      <c r="M913">
        <v>4</v>
      </c>
      <c r="N913" t="s">
        <v>332</v>
      </c>
      <c r="O913" s="3" t="str">
        <f>TEXT(Ticket_Table[[#This Row],[raised_date]],"YYYY-MM")</f>
        <v>2021-09</v>
      </c>
      <c r="P913" s="3" t="str">
        <f>IF(Ticket_Table[[#This Row],[resolution_hrs]]&lt;=4,"Fast",IF(Ticket_Table[[#This Row],[resolution_hrs]]&lt;=24,"Normal",IF(Ticket_Table[[#This Row],[resolution_hrs]]&lt;=48,"Slow","Very Slow")))</f>
        <v>Very Slow</v>
      </c>
      <c r="Q913" s="3">
        <f>YEAR(Ticket_Table[[#This Row],[raised_date]])</f>
        <v>2021</v>
      </c>
    </row>
    <row r="914" spans="1:17">
      <c r="A914" t="s">
        <v>1464</v>
      </c>
      <c r="B914" t="s">
        <v>146</v>
      </c>
      <c r="C914" t="s">
        <v>42</v>
      </c>
      <c r="D914" t="s">
        <v>36</v>
      </c>
      <c r="E914" t="s">
        <v>166</v>
      </c>
      <c r="F914" t="s">
        <v>38</v>
      </c>
      <c r="G914" t="s">
        <v>31</v>
      </c>
      <c r="H914" s="1">
        <v>44817</v>
      </c>
      <c r="I914" s="2">
        <v>44817.5208333333</v>
      </c>
      <c r="J914">
        <v>12.5</v>
      </c>
      <c r="K914" t="s">
        <v>24</v>
      </c>
      <c r="L914">
        <v>3</v>
      </c>
      <c r="M914">
        <v>3</v>
      </c>
      <c r="N914" t="s">
        <v>352</v>
      </c>
      <c r="O914" s="3" t="str">
        <f>TEXT(Ticket_Table[[#This Row],[raised_date]],"YYYY-MM")</f>
        <v>2022-09</v>
      </c>
      <c r="P914" s="3" t="str">
        <f>IF(Ticket_Table[[#This Row],[resolution_hrs]]&lt;=4,"Fast",IF(Ticket_Table[[#This Row],[resolution_hrs]]&lt;=24,"Normal",IF(Ticket_Table[[#This Row],[resolution_hrs]]&lt;=48,"Slow","Very Slow")))</f>
        <v>Normal</v>
      </c>
      <c r="Q914" s="3">
        <f>YEAR(Ticket_Table[[#This Row],[raised_date]])</f>
        <v>2022</v>
      </c>
    </row>
    <row r="915" spans="1:17">
      <c r="A915" t="s">
        <v>1465</v>
      </c>
      <c r="B915" t="s">
        <v>157</v>
      </c>
      <c r="C915" t="s">
        <v>175</v>
      </c>
      <c r="D915" t="s">
        <v>90</v>
      </c>
      <c r="E915" t="s">
        <v>21</v>
      </c>
      <c r="F915" t="s">
        <v>22</v>
      </c>
      <c r="G915" t="s">
        <v>23</v>
      </c>
      <c r="H915" s="1">
        <v>45289</v>
      </c>
      <c r="I915" s="2">
        <v>45291.6458333333</v>
      </c>
      <c r="J915">
        <v>63.5</v>
      </c>
      <c r="K915" t="s">
        <v>24</v>
      </c>
      <c r="L915">
        <v>0</v>
      </c>
      <c r="M915">
        <v>5</v>
      </c>
      <c r="N915" t="s">
        <v>163</v>
      </c>
      <c r="O915" s="3" t="str">
        <f>TEXT(Ticket_Table[[#This Row],[raised_date]],"YYYY-MM")</f>
        <v>2023-12</v>
      </c>
      <c r="P915" s="3" t="str">
        <f>IF(Ticket_Table[[#This Row],[resolution_hrs]]&lt;=4,"Fast",IF(Ticket_Table[[#This Row],[resolution_hrs]]&lt;=24,"Normal",IF(Ticket_Table[[#This Row],[resolution_hrs]]&lt;=48,"Slow","Very Slow")))</f>
        <v>Very Slow</v>
      </c>
      <c r="Q915" s="3">
        <f>YEAR(Ticket_Table[[#This Row],[raised_date]])</f>
        <v>2023</v>
      </c>
    </row>
    <row r="916" spans="1:17">
      <c r="A916" t="s">
        <v>1466</v>
      </c>
      <c r="B916" t="s">
        <v>107</v>
      </c>
      <c r="C916" t="s">
        <v>50</v>
      </c>
      <c r="D916" t="s">
        <v>43</v>
      </c>
      <c r="E916" t="s">
        <v>83</v>
      </c>
      <c r="F916" t="s">
        <v>70</v>
      </c>
      <c r="G916" t="s">
        <v>23</v>
      </c>
      <c r="H916" s="1">
        <v>44388</v>
      </c>
      <c r="I916" s="2">
        <v>44389.1958333333</v>
      </c>
      <c r="J916">
        <v>28.7</v>
      </c>
      <c r="K916" t="s">
        <v>24</v>
      </c>
      <c r="L916">
        <v>0</v>
      </c>
      <c r="M916">
        <v>5</v>
      </c>
      <c r="N916" t="s">
        <v>1252</v>
      </c>
      <c r="O916" s="3" t="str">
        <f>TEXT(Ticket_Table[[#This Row],[raised_date]],"YYYY-MM")</f>
        <v>2021-07</v>
      </c>
      <c r="P916" s="3" t="str">
        <f>IF(Ticket_Table[[#This Row],[resolution_hrs]]&lt;=4,"Fast",IF(Ticket_Table[[#This Row],[resolution_hrs]]&lt;=24,"Normal",IF(Ticket_Table[[#This Row],[resolution_hrs]]&lt;=48,"Slow","Very Slow")))</f>
        <v>Slow</v>
      </c>
      <c r="Q916" s="3">
        <f>YEAR(Ticket_Table[[#This Row],[raised_date]])</f>
        <v>2021</v>
      </c>
    </row>
    <row r="917" spans="1:17">
      <c r="A917" t="s">
        <v>1467</v>
      </c>
      <c r="B917" t="s">
        <v>143</v>
      </c>
      <c r="C917" t="s">
        <v>64</v>
      </c>
      <c r="D917" t="s">
        <v>43</v>
      </c>
      <c r="E917" t="s">
        <v>56</v>
      </c>
      <c r="F917" t="s">
        <v>70</v>
      </c>
      <c r="G917" t="s">
        <v>31</v>
      </c>
      <c r="H917" s="1">
        <v>45226</v>
      </c>
      <c r="I917" s="2">
        <v>45228.2541666667</v>
      </c>
      <c r="J917">
        <v>54.1</v>
      </c>
      <c r="K917" t="s">
        <v>32</v>
      </c>
      <c r="L917">
        <v>0</v>
      </c>
      <c r="M917">
        <v>5</v>
      </c>
      <c r="N917" t="s">
        <v>77</v>
      </c>
      <c r="O917" s="3" t="str">
        <f>TEXT(Ticket_Table[[#This Row],[raised_date]],"YYYY-MM")</f>
        <v>2023-10</v>
      </c>
      <c r="P917" s="3" t="str">
        <f>IF(Ticket_Table[[#This Row],[resolution_hrs]]&lt;=4,"Fast",IF(Ticket_Table[[#This Row],[resolution_hrs]]&lt;=24,"Normal",IF(Ticket_Table[[#This Row],[resolution_hrs]]&lt;=48,"Slow","Very Slow")))</f>
        <v>Very Slow</v>
      </c>
      <c r="Q917" s="3">
        <f>YEAR(Ticket_Table[[#This Row],[raised_date]])</f>
        <v>2023</v>
      </c>
    </row>
    <row r="918" spans="1:17">
      <c r="A918" t="s">
        <v>1468</v>
      </c>
      <c r="B918" t="s">
        <v>518</v>
      </c>
      <c r="C918" t="s">
        <v>64</v>
      </c>
      <c r="D918" t="s">
        <v>43</v>
      </c>
      <c r="E918" t="s">
        <v>69</v>
      </c>
      <c r="F918" t="s">
        <v>70</v>
      </c>
      <c r="G918" t="s">
        <v>23</v>
      </c>
      <c r="H918" s="1">
        <v>44542</v>
      </c>
      <c r="I918" s="2">
        <v>44542.7416666667</v>
      </c>
      <c r="J918">
        <v>17.8</v>
      </c>
      <c r="K918" t="s">
        <v>24</v>
      </c>
      <c r="L918">
        <v>2</v>
      </c>
      <c r="M918">
        <v>4</v>
      </c>
      <c r="N918" t="s">
        <v>805</v>
      </c>
      <c r="O918" s="3" t="str">
        <f>TEXT(Ticket_Table[[#This Row],[raised_date]],"YYYY-MM")</f>
        <v>2021-12</v>
      </c>
      <c r="P918" s="3" t="str">
        <f>IF(Ticket_Table[[#This Row],[resolution_hrs]]&lt;=4,"Fast",IF(Ticket_Table[[#This Row],[resolution_hrs]]&lt;=24,"Normal",IF(Ticket_Table[[#This Row],[resolution_hrs]]&lt;=48,"Slow","Very Slow")))</f>
        <v>Normal</v>
      </c>
      <c r="Q918" s="3">
        <f>YEAR(Ticket_Table[[#This Row],[raised_date]])</f>
        <v>2021</v>
      </c>
    </row>
    <row r="919" spans="1:17">
      <c r="A919" t="s">
        <v>1469</v>
      </c>
      <c r="B919" t="s">
        <v>464</v>
      </c>
      <c r="C919" t="s">
        <v>133</v>
      </c>
      <c r="D919" t="s">
        <v>90</v>
      </c>
      <c r="E919" t="s">
        <v>44</v>
      </c>
      <c r="F919" t="s">
        <v>70</v>
      </c>
      <c r="G919" t="s">
        <v>23</v>
      </c>
      <c r="H919" s="1">
        <v>44512</v>
      </c>
      <c r="I919" s="2">
        <v>44513.2916666667</v>
      </c>
      <c r="J919">
        <v>31</v>
      </c>
      <c r="K919" t="s">
        <v>24</v>
      </c>
      <c r="L919">
        <v>3</v>
      </c>
      <c r="M919">
        <v>3</v>
      </c>
      <c r="N919" t="s">
        <v>955</v>
      </c>
      <c r="O919" s="3" t="str">
        <f>TEXT(Ticket_Table[[#This Row],[raised_date]],"YYYY-MM")</f>
        <v>2021-11</v>
      </c>
      <c r="P919" s="3" t="str">
        <f>IF(Ticket_Table[[#This Row],[resolution_hrs]]&lt;=4,"Fast",IF(Ticket_Table[[#This Row],[resolution_hrs]]&lt;=24,"Normal",IF(Ticket_Table[[#This Row],[resolution_hrs]]&lt;=48,"Slow","Very Slow")))</f>
        <v>Slow</v>
      </c>
      <c r="Q919" s="3">
        <f>YEAR(Ticket_Table[[#This Row],[raised_date]])</f>
        <v>2021</v>
      </c>
    </row>
    <row r="920" spans="1:17">
      <c r="A920" t="s">
        <v>1470</v>
      </c>
      <c r="B920" t="s">
        <v>75</v>
      </c>
      <c r="C920" t="s">
        <v>28</v>
      </c>
      <c r="D920" t="s">
        <v>29</v>
      </c>
      <c r="E920" t="s">
        <v>44</v>
      </c>
      <c r="F920" t="s">
        <v>22</v>
      </c>
      <c r="G920" t="s">
        <v>31</v>
      </c>
      <c r="H920" s="1">
        <v>44547</v>
      </c>
      <c r="I920" s="2">
        <v>44547.6833333333</v>
      </c>
      <c r="J920">
        <v>16.4</v>
      </c>
      <c r="K920" t="s">
        <v>24</v>
      </c>
      <c r="L920">
        <v>0</v>
      </c>
      <c r="M920">
        <v>2</v>
      </c>
      <c r="N920" t="s">
        <v>744</v>
      </c>
      <c r="O920" s="3" t="str">
        <f>TEXT(Ticket_Table[[#This Row],[raised_date]],"YYYY-MM")</f>
        <v>2021-12</v>
      </c>
      <c r="P920" s="3" t="str">
        <f>IF(Ticket_Table[[#This Row],[resolution_hrs]]&lt;=4,"Fast",IF(Ticket_Table[[#This Row],[resolution_hrs]]&lt;=24,"Normal",IF(Ticket_Table[[#This Row],[resolution_hrs]]&lt;=48,"Slow","Very Slow")))</f>
        <v>Normal</v>
      </c>
      <c r="Q920" s="3">
        <f>YEAR(Ticket_Table[[#This Row],[raised_date]])</f>
        <v>2021</v>
      </c>
    </row>
    <row r="921" spans="1:17">
      <c r="A921" t="s">
        <v>1471</v>
      </c>
      <c r="B921" t="s">
        <v>439</v>
      </c>
      <c r="C921" t="s">
        <v>64</v>
      </c>
      <c r="D921" t="s">
        <v>43</v>
      </c>
      <c r="E921" t="s">
        <v>37</v>
      </c>
      <c r="F921" t="s">
        <v>70</v>
      </c>
      <c r="G921" t="s">
        <v>31</v>
      </c>
      <c r="H921" s="1">
        <v>44888</v>
      </c>
      <c r="I921" s="2">
        <v>44888.5583333333</v>
      </c>
      <c r="J921">
        <v>13.4</v>
      </c>
      <c r="K921" t="s">
        <v>24</v>
      </c>
      <c r="L921">
        <v>0</v>
      </c>
      <c r="M921">
        <v>4</v>
      </c>
      <c r="N921" t="s">
        <v>251</v>
      </c>
      <c r="O921" s="3" t="str">
        <f>TEXT(Ticket_Table[[#This Row],[raised_date]],"YYYY-MM")</f>
        <v>2022-11</v>
      </c>
      <c r="P921" s="3" t="str">
        <f>IF(Ticket_Table[[#This Row],[resolution_hrs]]&lt;=4,"Fast",IF(Ticket_Table[[#This Row],[resolution_hrs]]&lt;=24,"Normal",IF(Ticket_Table[[#This Row],[resolution_hrs]]&lt;=48,"Slow","Very Slow")))</f>
        <v>Normal</v>
      </c>
      <c r="Q921" s="3">
        <f>YEAR(Ticket_Table[[#This Row],[raised_date]])</f>
        <v>2022</v>
      </c>
    </row>
    <row r="922" spans="1:17">
      <c r="A922" t="s">
        <v>1472</v>
      </c>
      <c r="B922" t="s">
        <v>47</v>
      </c>
      <c r="C922" t="s">
        <v>287</v>
      </c>
      <c r="D922" t="s">
        <v>29</v>
      </c>
      <c r="E922" t="s">
        <v>106</v>
      </c>
      <c r="F922" t="s">
        <v>38</v>
      </c>
      <c r="G922" t="s">
        <v>74</v>
      </c>
      <c r="H922" s="1">
        <v>44281</v>
      </c>
      <c r="I922" s="2">
        <v>44282.4541666667</v>
      </c>
      <c r="J922">
        <v>34.9</v>
      </c>
      <c r="K922" t="s">
        <v>32</v>
      </c>
      <c r="L922">
        <v>0</v>
      </c>
      <c r="M922">
        <v>5</v>
      </c>
      <c r="N922" t="s">
        <v>105</v>
      </c>
      <c r="O922" s="3" t="str">
        <f>TEXT(Ticket_Table[[#This Row],[raised_date]],"YYYY-MM")</f>
        <v>2021-03</v>
      </c>
      <c r="P922" s="3" t="str">
        <f>IF(Ticket_Table[[#This Row],[resolution_hrs]]&lt;=4,"Fast",IF(Ticket_Table[[#This Row],[resolution_hrs]]&lt;=24,"Normal",IF(Ticket_Table[[#This Row],[resolution_hrs]]&lt;=48,"Slow","Very Slow")))</f>
        <v>Slow</v>
      </c>
      <c r="Q922" s="3">
        <f>YEAR(Ticket_Table[[#This Row],[raised_date]])</f>
        <v>2021</v>
      </c>
    </row>
    <row r="923" spans="1:17">
      <c r="A923" t="s">
        <v>1473</v>
      </c>
      <c r="B923" t="s">
        <v>860</v>
      </c>
      <c r="C923" t="s">
        <v>261</v>
      </c>
      <c r="D923" t="s">
        <v>90</v>
      </c>
      <c r="E923" t="s">
        <v>166</v>
      </c>
      <c r="F923" t="s">
        <v>70</v>
      </c>
      <c r="G923" t="s">
        <v>23</v>
      </c>
      <c r="H923" s="1">
        <v>44255</v>
      </c>
      <c r="I923" s="2">
        <v>44256.3416666667</v>
      </c>
      <c r="J923">
        <v>32.2</v>
      </c>
      <c r="K923" t="s">
        <v>24</v>
      </c>
      <c r="L923">
        <v>1</v>
      </c>
      <c r="M923">
        <v>2</v>
      </c>
      <c r="N923" t="s">
        <v>1474</v>
      </c>
      <c r="O923" s="3" t="str">
        <f>TEXT(Ticket_Table[[#This Row],[raised_date]],"YYYY-MM")</f>
        <v>2021-02</v>
      </c>
      <c r="P923" s="3" t="str">
        <f>IF(Ticket_Table[[#This Row],[resolution_hrs]]&lt;=4,"Fast",IF(Ticket_Table[[#This Row],[resolution_hrs]]&lt;=24,"Normal",IF(Ticket_Table[[#This Row],[resolution_hrs]]&lt;=48,"Slow","Very Slow")))</f>
        <v>Slow</v>
      </c>
      <c r="Q923" s="3">
        <f>YEAR(Ticket_Table[[#This Row],[raised_date]])</f>
        <v>2021</v>
      </c>
    </row>
    <row r="924" spans="1:17">
      <c r="A924" t="s">
        <v>1475</v>
      </c>
      <c r="B924" t="s">
        <v>1080</v>
      </c>
      <c r="C924" t="s">
        <v>102</v>
      </c>
      <c r="D924" t="s">
        <v>90</v>
      </c>
      <c r="E924" t="s">
        <v>37</v>
      </c>
      <c r="F924" t="s">
        <v>22</v>
      </c>
      <c r="G924" t="s">
        <v>23</v>
      </c>
      <c r="H924" s="1">
        <v>44363</v>
      </c>
      <c r="I924" s="2">
        <v>44364.175</v>
      </c>
      <c r="J924">
        <v>28.2</v>
      </c>
      <c r="K924" t="s">
        <v>24</v>
      </c>
      <c r="L924">
        <v>0</v>
      </c>
      <c r="M924">
        <v>1</v>
      </c>
      <c r="N924" t="s">
        <v>182</v>
      </c>
      <c r="O924" s="3" t="str">
        <f>TEXT(Ticket_Table[[#This Row],[raised_date]],"YYYY-MM")</f>
        <v>2021-06</v>
      </c>
      <c r="P924" s="3" t="str">
        <f>IF(Ticket_Table[[#This Row],[resolution_hrs]]&lt;=4,"Fast",IF(Ticket_Table[[#This Row],[resolution_hrs]]&lt;=24,"Normal",IF(Ticket_Table[[#This Row],[resolution_hrs]]&lt;=48,"Slow","Very Slow")))</f>
        <v>Slow</v>
      </c>
      <c r="Q924" s="3">
        <f>YEAR(Ticket_Table[[#This Row],[raised_date]])</f>
        <v>2021</v>
      </c>
    </row>
    <row r="925" spans="1:17">
      <c r="A925" t="s">
        <v>1476</v>
      </c>
      <c r="B925" t="s">
        <v>687</v>
      </c>
      <c r="C925" t="s">
        <v>140</v>
      </c>
      <c r="D925" t="s">
        <v>36</v>
      </c>
      <c r="E925" t="s">
        <v>37</v>
      </c>
      <c r="F925" t="s">
        <v>22</v>
      </c>
      <c r="G925" t="s">
        <v>31</v>
      </c>
      <c r="H925" s="1">
        <v>44290</v>
      </c>
      <c r="I925" s="2">
        <v>44292.6708333333</v>
      </c>
      <c r="J925">
        <v>64.1</v>
      </c>
      <c r="K925" t="s">
        <v>24</v>
      </c>
      <c r="L925">
        <v>0</v>
      </c>
      <c r="M925">
        <v>5</v>
      </c>
      <c r="N925" t="s">
        <v>1226</v>
      </c>
      <c r="O925" s="3" t="str">
        <f>TEXT(Ticket_Table[[#This Row],[raised_date]],"YYYY-MM")</f>
        <v>2021-04</v>
      </c>
      <c r="P925" s="3" t="str">
        <f>IF(Ticket_Table[[#This Row],[resolution_hrs]]&lt;=4,"Fast",IF(Ticket_Table[[#This Row],[resolution_hrs]]&lt;=24,"Normal",IF(Ticket_Table[[#This Row],[resolution_hrs]]&lt;=48,"Slow","Very Slow")))</f>
        <v>Very Slow</v>
      </c>
      <c r="Q925" s="3">
        <f>YEAR(Ticket_Table[[#This Row],[raised_date]])</f>
        <v>2021</v>
      </c>
    </row>
    <row r="926" spans="1:17">
      <c r="A926" t="s">
        <v>1477</v>
      </c>
      <c r="B926" t="s">
        <v>491</v>
      </c>
      <c r="C926" t="s">
        <v>287</v>
      </c>
      <c r="D926" t="s">
        <v>43</v>
      </c>
      <c r="E926" t="s">
        <v>21</v>
      </c>
      <c r="F926" t="s">
        <v>22</v>
      </c>
      <c r="G926" t="s">
        <v>91</v>
      </c>
      <c r="H926" s="1">
        <v>44739</v>
      </c>
      <c r="I926" s="2">
        <v>44741.2291666667</v>
      </c>
      <c r="J926">
        <v>53.5</v>
      </c>
      <c r="K926" t="s">
        <v>24</v>
      </c>
      <c r="L926">
        <v>0</v>
      </c>
      <c r="M926">
        <v>2</v>
      </c>
      <c r="N926" t="s">
        <v>484</v>
      </c>
      <c r="O926" s="3" t="str">
        <f>TEXT(Ticket_Table[[#This Row],[raised_date]],"YYYY-MM")</f>
        <v>2022-06</v>
      </c>
      <c r="P926" s="3" t="str">
        <f>IF(Ticket_Table[[#This Row],[resolution_hrs]]&lt;=4,"Fast",IF(Ticket_Table[[#This Row],[resolution_hrs]]&lt;=24,"Normal",IF(Ticket_Table[[#This Row],[resolution_hrs]]&lt;=48,"Slow","Very Slow")))</f>
        <v>Very Slow</v>
      </c>
      <c r="Q926" s="3">
        <f>YEAR(Ticket_Table[[#This Row],[raised_date]])</f>
        <v>2022</v>
      </c>
    </row>
    <row r="927" spans="1:17">
      <c r="A927" t="s">
        <v>1478</v>
      </c>
      <c r="B927" t="s">
        <v>937</v>
      </c>
      <c r="C927" t="s">
        <v>55</v>
      </c>
      <c r="D927" t="s">
        <v>36</v>
      </c>
      <c r="E927" t="s">
        <v>83</v>
      </c>
      <c r="F927" t="s">
        <v>22</v>
      </c>
      <c r="G927" t="s">
        <v>46</v>
      </c>
      <c r="H927" s="1">
        <v>44628</v>
      </c>
      <c r="I927" s="2">
        <v>44629.7125</v>
      </c>
      <c r="J927">
        <v>41.1</v>
      </c>
      <c r="K927" t="s">
        <v>24</v>
      </c>
      <c r="L927">
        <v>1</v>
      </c>
      <c r="M927">
        <v>2</v>
      </c>
      <c r="N927" t="s">
        <v>595</v>
      </c>
      <c r="O927" s="3" t="str">
        <f>TEXT(Ticket_Table[[#This Row],[raised_date]],"YYYY-MM")</f>
        <v>2022-03</v>
      </c>
      <c r="P927" s="3" t="str">
        <f>IF(Ticket_Table[[#This Row],[resolution_hrs]]&lt;=4,"Fast",IF(Ticket_Table[[#This Row],[resolution_hrs]]&lt;=24,"Normal",IF(Ticket_Table[[#This Row],[resolution_hrs]]&lt;=48,"Slow","Very Slow")))</f>
        <v>Slow</v>
      </c>
      <c r="Q927" s="3">
        <f>YEAR(Ticket_Table[[#This Row],[raised_date]])</f>
        <v>2022</v>
      </c>
    </row>
    <row r="928" spans="1:17">
      <c r="A928" t="s">
        <v>1479</v>
      </c>
      <c r="B928" t="s">
        <v>1301</v>
      </c>
      <c r="C928" t="s">
        <v>60</v>
      </c>
      <c r="D928" t="s">
        <v>43</v>
      </c>
      <c r="E928" t="s">
        <v>56</v>
      </c>
      <c r="F928" t="s">
        <v>70</v>
      </c>
      <c r="G928" t="s">
        <v>46</v>
      </c>
      <c r="H928" s="1">
        <v>45050</v>
      </c>
      <c r="I928" s="2">
        <v>45052.85</v>
      </c>
      <c r="J928">
        <v>68.4</v>
      </c>
      <c r="K928" t="s">
        <v>32</v>
      </c>
      <c r="L928">
        <v>1</v>
      </c>
      <c r="M928">
        <v>5</v>
      </c>
      <c r="N928" t="s">
        <v>383</v>
      </c>
      <c r="O928" s="3" t="str">
        <f>TEXT(Ticket_Table[[#This Row],[raised_date]],"YYYY-MM")</f>
        <v>2023-05</v>
      </c>
      <c r="P928" s="3" t="str">
        <f>IF(Ticket_Table[[#This Row],[resolution_hrs]]&lt;=4,"Fast",IF(Ticket_Table[[#This Row],[resolution_hrs]]&lt;=24,"Normal",IF(Ticket_Table[[#This Row],[resolution_hrs]]&lt;=48,"Slow","Very Slow")))</f>
        <v>Very Slow</v>
      </c>
      <c r="Q928" s="3">
        <f>YEAR(Ticket_Table[[#This Row],[raised_date]])</f>
        <v>2023</v>
      </c>
    </row>
    <row r="929" spans="1:17">
      <c r="A929" t="s">
        <v>1480</v>
      </c>
      <c r="B929" t="s">
        <v>510</v>
      </c>
      <c r="C929" t="s">
        <v>133</v>
      </c>
      <c r="D929" t="s">
        <v>90</v>
      </c>
      <c r="E929" t="s">
        <v>69</v>
      </c>
      <c r="F929" t="s">
        <v>70</v>
      </c>
      <c r="G929" t="s">
        <v>31</v>
      </c>
      <c r="H929" s="1">
        <v>44259</v>
      </c>
      <c r="I929" s="2">
        <v>44259.9791666667</v>
      </c>
      <c r="J929">
        <v>23.5</v>
      </c>
      <c r="K929" t="s">
        <v>24</v>
      </c>
      <c r="L929">
        <v>0</v>
      </c>
      <c r="M929">
        <v>2</v>
      </c>
      <c r="N929" t="s">
        <v>1348</v>
      </c>
      <c r="O929" s="3" t="str">
        <f>TEXT(Ticket_Table[[#This Row],[raised_date]],"YYYY-MM")</f>
        <v>2021-03</v>
      </c>
      <c r="P929" s="3" t="str">
        <f>IF(Ticket_Table[[#This Row],[resolution_hrs]]&lt;=4,"Fast",IF(Ticket_Table[[#This Row],[resolution_hrs]]&lt;=24,"Normal",IF(Ticket_Table[[#This Row],[resolution_hrs]]&lt;=48,"Slow","Very Slow")))</f>
        <v>Normal</v>
      </c>
      <c r="Q929" s="3">
        <f>YEAR(Ticket_Table[[#This Row],[raised_date]])</f>
        <v>2021</v>
      </c>
    </row>
    <row r="930" spans="1:17">
      <c r="A930" t="s">
        <v>1481</v>
      </c>
      <c r="B930" t="s">
        <v>25</v>
      </c>
      <c r="C930" t="s">
        <v>102</v>
      </c>
      <c r="D930" t="s">
        <v>90</v>
      </c>
      <c r="E930" t="s">
        <v>44</v>
      </c>
      <c r="F930" t="s">
        <v>38</v>
      </c>
      <c r="G930" t="s">
        <v>23</v>
      </c>
      <c r="H930" s="1">
        <v>45216</v>
      </c>
      <c r="I930" s="2">
        <v>45216.6583333333</v>
      </c>
      <c r="J930">
        <v>15.8</v>
      </c>
      <c r="K930" t="s">
        <v>24</v>
      </c>
      <c r="L930">
        <v>0</v>
      </c>
      <c r="M930">
        <v>2</v>
      </c>
      <c r="N930" t="s">
        <v>262</v>
      </c>
      <c r="O930" s="3" t="str">
        <f>TEXT(Ticket_Table[[#This Row],[raised_date]],"YYYY-MM")</f>
        <v>2023-10</v>
      </c>
      <c r="P930" s="3" t="str">
        <f>IF(Ticket_Table[[#This Row],[resolution_hrs]]&lt;=4,"Fast",IF(Ticket_Table[[#This Row],[resolution_hrs]]&lt;=24,"Normal",IF(Ticket_Table[[#This Row],[resolution_hrs]]&lt;=48,"Slow","Very Slow")))</f>
        <v>Normal</v>
      </c>
      <c r="Q930" s="3">
        <f>YEAR(Ticket_Table[[#This Row],[raised_date]])</f>
        <v>2023</v>
      </c>
    </row>
    <row r="931" spans="1:17">
      <c r="A931" t="s">
        <v>1482</v>
      </c>
      <c r="B931" t="s">
        <v>616</v>
      </c>
      <c r="C931" t="s">
        <v>133</v>
      </c>
      <c r="D931" t="s">
        <v>20</v>
      </c>
      <c r="E931" t="s">
        <v>44</v>
      </c>
      <c r="F931" t="s">
        <v>70</v>
      </c>
      <c r="G931" t="s">
        <v>46</v>
      </c>
      <c r="H931" s="1">
        <v>44790</v>
      </c>
      <c r="I931" s="2">
        <v>44792.0625</v>
      </c>
      <c r="J931">
        <v>49.5</v>
      </c>
      <c r="K931" t="s">
        <v>32</v>
      </c>
      <c r="L931">
        <v>0</v>
      </c>
      <c r="M931">
        <v>4</v>
      </c>
      <c r="N931" t="s">
        <v>405</v>
      </c>
      <c r="O931" s="3" t="str">
        <f>TEXT(Ticket_Table[[#This Row],[raised_date]],"YYYY-MM")</f>
        <v>2022-08</v>
      </c>
      <c r="P931" s="3" t="str">
        <f>IF(Ticket_Table[[#This Row],[resolution_hrs]]&lt;=4,"Fast",IF(Ticket_Table[[#This Row],[resolution_hrs]]&lt;=24,"Normal",IF(Ticket_Table[[#This Row],[resolution_hrs]]&lt;=48,"Slow","Very Slow")))</f>
        <v>Very Slow</v>
      </c>
      <c r="Q931" s="3">
        <f>YEAR(Ticket_Table[[#This Row],[raised_date]])</f>
        <v>2022</v>
      </c>
    </row>
    <row r="932" spans="1:17">
      <c r="A932" t="s">
        <v>1483</v>
      </c>
      <c r="B932" t="s">
        <v>445</v>
      </c>
      <c r="C932" t="s">
        <v>64</v>
      </c>
      <c r="D932" t="s">
        <v>20</v>
      </c>
      <c r="E932" t="s">
        <v>44</v>
      </c>
      <c r="F932" t="s">
        <v>38</v>
      </c>
      <c r="G932" t="s">
        <v>74</v>
      </c>
      <c r="H932" s="1">
        <v>44815</v>
      </c>
      <c r="I932" s="2">
        <v>44816.4458333333</v>
      </c>
      <c r="J932">
        <v>34.7</v>
      </c>
      <c r="K932" t="s">
        <v>32</v>
      </c>
      <c r="L932">
        <v>2</v>
      </c>
      <c r="M932">
        <v>4</v>
      </c>
      <c r="N932" t="s">
        <v>267</v>
      </c>
      <c r="O932" s="3" t="str">
        <f>TEXT(Ticket_Table[[#This Row],[raised_date]],"YYYY-MM")</f>
        <v>2022-09</v>
      </c>
      <c r="P932" s="3" t="str">
        <f>IF(Ticket_Table[[#This Row],[resolution_hrs]]&lt;=4,"Fast",IF(Ticket_Table[[#This Row],[resolution_hrs]]&lt;=24,"Normal",IF(Ticket_Table[[#This Row],[resolution_hrs]]&lt;=48,"Slow","Very Slow")))</f>
        <v>Slow</v>
      </c>
      <c r="Q932" s="3">
        <f>YEAR(Ticket_Table[[#This Row],[raised_date]])</f>
        <v>2022</v>
      </c>
    </row>
    <row r="933" spans="1:17">
      <c r="A933" t="s">
        <v>1484</v>
      </c>
      <c r="B933" t="s">
        <v>924</v>
      </c>
      <c r="C933" t="s">
        <v>50</v>
      </c>
      <c r="D933" t="s">
        <v>90</v>
      </c>
      <c r="E933" t="s">
        <v>51</v>
      </c>
      <c r="F933" t="s">
        <v>22</v>
      </c>
      <c r="G933" t="s">
        <v>23</v>
      </c>
      <c r="H933" s="1">
        <v>45186</v>
      </c>
      <c r="I933" s="2">
        <v>45189.9625</v>
      </c>
      <c r="J933">
        <v>95.1</v>
      </c>
      <c r="K933" t="s">
        <v>32</v>
      </c>
      <c r="L933">
        <v>0</v>
      </c>
      <c r="M933">
        <v>3</v>
      </c>
      <c r="N933" t="s">
        <v>730</v>
      </c>
      <c r="O933" s="3" t="str">
        <f>TEXT(Ticket_Table[[#This Row],[raised_date]],"YYYY-MM")</f>
        <v>2023-09</v>
      </c>
      <c r="P933" s="3" t="str">
        <f>IF(Ticket_Table[[#This Row],[resolution_hrs]]&lt;=4,"Fast",IF(Ticket_Table[[#This Row],[resolution_hrs]]&lt;=24,"Normal",IF(Ticket_Table[[#This Row],[resolution_hrs]]&lt;=48,"Slow","Very Slow")))</f>
        <v>Very Slow</v>
      </c>
      <c r="Q933" s="3">
        <f>YEAR(Ticket_Table[[#This Row],[raised_date]])</f>
        <v>2023</v>
      </c>
    </row>
    <row r="934" spans="1:17">
      <c r="A934" t="s">
        <v>1485</v>
      </c>
      <c r="B934" t="s">
        <v>137</v>
      </c>
      <c r="C934" t="s">
        <v>261</v>
      </c>
      <c r="D934" t="s">
        <v>90</v>
      </c>
      <c r="E934" t="s">
        <v>83</v>
      </c>
      <c r="F934" t="s">
        <v>70</v>
      </c>
      <c r="G934" t="s">
        <v>31</v>
      </c>
      <c r="H934" s="1">
        <v>44698</v>
      </c>
      <c r="I934" s="2">
        <v>44700.8125</v>
      </c>
      <c r="J934">
        <v>67.5</v>
      </c>
      <c r="K934" t="s">
        <v>32</v>
      </c>
      <c r="L934">
        <v>0</v>
      </c>
      <c r="M934">
        <v>4</v>
      </c>
      <c r="N934" t="s">
        <v>182</v>
      </c>
      <c r="O934" s="3" t="str">
        <f>TEXT(Ticket_Table[[#This Row],[raised_date]],"YYYY-MM")</f>
        <v>2022-05</v>
      </c>
      <c r="P934" s="3" t="str">
        <f>IF(Ticket_Table[[#This Row],[resolution_hrs]]&lt;=4,"Fast",IF(Ticket_Table[[#This Row],[resolution_hrs]]&lt;=24,"Normal",IF(Ticket_Table[[#This Row],[resolution_hrs]]&lt;=48,"Slow","Very Slow")))</f>
        <v>Very Slow</v>
      </c>
      <c r="Q934" s="3">
        <f>YEAR(Ticket_Table[[#This Row],[raised_date]])</f>
        <v>2022</v>
      </c>
    </row>
    <row r="935" spans="1:17">
      <c r="A935" t="s">
        <v>1486</v>
      </c>
      <c r="B935" t="s">
        <v>174</v>
      </c>
      <c r="C935" t="s">
        <v>213</v>
      </c>
      <c r="D935" t="s">
        <v>29</v>
      </c>
      <c r="E935" t="s">
        <v>166</v>
      </c>
      <c r="F935" t="s">
        <v>38</v>
      </c>
      <c r="G935" t="s">
        <v>23</v>
      </c>
      <c r="H935" s="1">
        <v>45028</v>
      </c>
      <c r="I935" s="2">
        <v>45028.5708333333</v>
      </c>
      <c r="J935">
        <v>13.7</v>
      </c>
      <c r="K935" t="s">
        <v>24</v>
      </c>
      <c r="L935">
        <v>0</v>
      </c>
      <c r="M935">
        <v>4</v>
      </c>
      <c r="N935" t="s">
        <v>518</v>
      </c>
      <c r="O935" s="3" t="str">
        <f>TEXT(Ticket_Table[[#This Row],[raised_date]],"YYYY-MM")</f>
        <v>2023-04</v>
      </c>
      <c r="P935" s="3" t="str">
        <f>IF(Ticket_Table[[#This Row],[resolution_hrs]]&lt;=4,"Fast",IF(Ticket_Table[[#This Row],[resolution_hrs]]&lt;=24,"Normal",IF(Ticket_Table[[#This Row],[resolution_hrs]]&lt;=48,"Slow","Very Slow")))</f>
        <v>Normal</v>
      </c>
      <c r="Q935" s="3">
        <f>YEAR(Ticket_Table[[#This Row],[raised_date]])</f>
        <v>2023</v>
      </c>
    </row>
    <row r="936" spans="1:17">
      <c r="A936" t="s">
        <v>1487</v>
      </c>
      <c r="B936" t="s">
        <v>579</v>
      </c>
      <c r="C936" t="s">
        <v>78</v>
      </c>
      <c r="D936" t="s">
        <v>29</v>
      </c>
      <c r="E936" t="s">
        <v>44</v>
      </c>
      <c r="F936" t="s">
        <v>22</v>
      </c>
      <c r="G936" t="s">
        <v>23</v>
      </c>
      <c r="H936" s="1">
        <v>44806</v>
      </c>
      <c r="I936" s="2">
        <v>44809.2333333333</v>
      </c>
      <c r="J936">
        <v>77.6</v>
      </c>
      <c r="K936" t="s">
        <v>32</v>
      </c>
      <c r="L936">
        <v>0</v>
      </c>
      <c r="M936">
        <v>4</v>
      </c>
      <c r="N936" t="s">
        <v>726</v>
      </c>
      <c r="O936" s="3" t="str">
        <f>TEXT(Ticket_Table[[#This Row],[raised_date]],"YYYY-MM")</f>
        <v>2022-09</v>
      </c>
      <c r="P936" s="3" t="str">
        <f>IF(Ticket_Table[[#This Row],[resolution_hrs]]&lt;=4,"Fast",IF(Ticket_Table[[#This Row],[resolution_hrs]]&lt;=24,"Normal",IF(Ticket_Table[[#This Row],[resolution_hrs]]&lt;=48,"Slow","Very Slow")))</f>
        <v>Very Slow</v>
      </c>
      <c r="Q936" s="3">
        <f>YEAR(Ticket_Table[[#This Row],[raised_date]])</f>
        <v>2022</v>
      </c>
    </row>
    <row r="937" spans="1:17">
      <c r="A937" t="s">
        <v>1488</v>
      </c>
      <c r="B937" t="s">
        <v>192</v>
      </c>
      <c r="C937" t="s">
        <v>60</v>
      </c>
      <c r="D937" t="s">
        <v>36</v>
      </c>
      <c r="E937" t="s">
        <v>21</v>
      </c>
      <c r="F937" t="s">
        <v>22</v>
      </c>
      <c r="G937" t="s">
        <v>31</v>
      </c>
      <c r="H937" s="1">
        <v>45125</v>
      </c>
      <c r="I937" s="2">
        <v>45128.7041666667</v>
      </c>
      <c r="J937">
        <v>88.9</v>
      </c>
      <c r="K937" t="s">
        <v>32</v>
      </c>
      <c r="L937">
        <v>0</v>
      </c>
      <c r="M937">
        <v>1</v>
      </c>
      <c r="N937" t="s">
        <v>947</v>
      </c>
      <c r="O937" s="3" t="str">
        <f>TEXT(Ticket_Table[[#This Row],[raised_date]],"YYYY-MM")</f>
        <v>2023-07</v>
      </c>
      <c r="P937" s="3" t="str">
        <f>IF(Ticket_Table[[#This Row],[resolution_hrs]]&lt;=4,"Fast",IF(Ticket_Table[[#This Row],[resolution_hrs]]&lt;=24,"Normal",IF(Ticket_Table[[#This Row],[resolution_hrs]]&lt;=48,"Slow","Very Slow")))</f>
        <v>Very Slow</v>
      </c>
      <c r="Q937" s="3">
        <f>YEAR(Ticket_Table[[#This Row],[raised_date]])</f>
        <v>2023</v>
      </c>
    </row>
    <row r="938" spans="1:17">
      <c r="A938" t="s">
        <v>1489</v>
      </c>
      <c r="B938" t="s">
        <v>464</v>
      </c>
      <c r="C938" t="s">
        <v>133</v>
      </c>
      <c r="D938" t="s">
        <v>20</v>
      </c>
      <c r="E938" t="s">
        <v>44</v>
      </c>
      <c r="F938" t="s">
        <v>38</v>
      </c>
      <c r="G938" t="s">
        <v>46</v>
      </c>
      <c r="H938" s="1">
        <v>44346</v>
      </c>
      <c r="I938" s="2">
        <v>44346.0708333333</v>
      </c>
      <c r="J938">
        <v>1.7</v>
      </c>
      <c r="K938" t="s">
        <v>24</v>
      </c>
      <c r="L938">
        <v>0</v>
      </c>
      <c r="M938">
        <v>2</v>
      </c>
      <c r="N938" t="s">
        <v>35</v>
      </c>
      <c r="O938" s="3" t="str">
        <f>TEXT(Ticket_Table[[#This Row],[raised_date]],"YYYY-MM")</f>
        <v>2021-05</v>
      </c>
      <c r="P938" s="3" t="str">
        <f>IF(Ticket_Table[[#This Row],[resolution_hrs]]&lt;=4,"Fast",IF(Ticket_Table[[#This Row],[resolution_hrs]]&lt;=24,"Normal",IF(Ticket_Table[[#This Row],[resolution_hrs]]&lt;=48,"Slow","Very Slow")))</f>
        <v>Fast</v>
      </c>
      <c r="Q938" s="3">
        <f>YEAR(Ticket_Table[[#This Row],[raised_date]])</f>
        <v>2021</v>
      </c>
    </row>
    <row r="939" spans="1:17">
      <c r="A939" t="s">
        <v>1490</v>
      </c>
      <c r="B939" t="s">
        <v>560</v>
      </c>
      <c r="C939" t="s">
        <v>82</v>
      </c>
      <c r="D939" t="s">
        <v>20</v>
      </c>
      <c r="E939" t="s">
        <v>166</v>
      </c>
      <c r="F939" t="s">
        <v>70</v>
      </c>
      <c r="G939" t="s">
        <v>74</v>
      </c>
      <c r="H939" s="1">
        <v>44319</v>
      </c>
      <c r="I939" s="2">
        <v>44321.9</v>
      </c>
      <c r="J939">
        <v>69.6</v>
      </c>
      <c r="K939" t="s">
        <v>32</v>
      </c>
      <c r="L939">
        <v>0</v>
      </c>
      <c r="M939">
        <v>4</v>
      </c>
      <c r="N939" t="s">
        <v>599</v>
      </c>
      <c r="O939" s="3" t="str">
        <f>TEXT(Ticket_Table[[#This Row],[raised_date]],"YYYY-MM")</f>
        <v>2021-05</v>
      </c>
      <c r="P939" s="3" t="str">
        <f>IF(Ticket_Table[[#This Row],[resolution_hrs]]&lt;=4,"Fast",IF(Ticket_Table[[#This Row],[resolution_hrs]]&lt;=24,"Normal",IF(Ticket_Table[[#This Row],[resolution_hrs]]&lt;=48,"Slow","Very Slow")))</f>
        <v>Very Slow</v>
      </c>
      <c r="Q939" s="3">
        <f>YEAR(Ticket_Table[[#This Row],[raised_date]])</f>
        <v>2021</v>
      </c>
    </row>
    <row r="940" spans="1:17">
      <c r="A940" t="s">
        <v>1491</v>
      </c>
      <c r="B940" t="s">
        <v>169</v>
      </c>
      <c r="C940" t="s">
        <v>201</v>
      </c>
      <c r="D940" t="s">
        <v>90</v>
      </c>
      <c r="E940" t="s">
        <v>51</v>
      </c>
      <c r="F940" t="s">
        <v>38</v>
      </c>
      <c r="G940" t="s">
        <v>31</v>
      </c>
      <c r="H940" s="1">
        <v>44520</v>
      </c>
      <c r="I940" s="2">
        <v>44520.925</v>
      </c>
      <c r="J940">
        <v>22.2</v>
      </c>
      <c r="K940" t="s">
        <v>24</v>
      </c>
      <c r="L940">
        <v>0</v>
      </c>
      <c r="M940">
        <v>4</v>
      </c>
      <c r="N940" t="s">
        <v>284</v>
      </c>
      <c r="O940" s="3" t="str">
        <f>TEXT(Ticket_Table[[#This Row],[raised_date]],"YYYY-MM")</f>
        <v>2021-11</v>
      </c>
      <c r="P940" s="3" t="str">
        <f>IF(Ticket_Table[[#This Row],[resolution_hrs]]&lt;=4,"Fast",IF(Ticket_Table[[#This Row],[resolution_hrs]]&lt;=24,"Normal",IF(Ticket_Table[[#This Row],[resolution_hrs]]&lt;=48,"Slow","Very Slow")))</f>
        <v>Normal</v>
      </c>
      <c r="Q940" s="3">
        <f>YEAR(Ticket_Table[[#This Row],[raised_date]])</f>
        <v>2021</v>
      </c>
    </row>
    <row r="941" spans="1:17">
      <c r="A941" t="s">
        <v>1492</v>
      </c>
      <c r="B941" t="s">
        <v>817</v>
      </c>
      <c r="C941" t="s">
        <v>175</v>
      </c>
      <c r="D941" t="s">
        <v>90</v>
      </c>
      <c r="E941" t="s">
        <v>21</v>
      </c>
      <c r="F941" t="s">
        <v>22</v>
      </c>
      <c r="G941" t="s">
        <v>31</v>
      </c>
      <c r="H941" s="1">
        <v>45097</v>
      </c>
      <c r="I941" s="2">
        <v>45100.7916666667</v>
      </c>
      <c r="J941">
        <v>91</v>
      </c>
      <c r="K941" t="s">
        <v>32</v>
      </c>
      <c r="L941">
        <v>0</v>
      </c>
      <c r="M941">
        <v>4</v>
      </c>
      <c r="N941" t="s">
        <v>198</v>
      </c>
      <c r="O941" s="3" t="str">
        <f>TEXT(Ticket_Table[[#This Row],[raised_date]],"YYYY-MM")</f>
        <v>2023-06</v>
      </c>
      <c r="P941" s="3" t="str">
        <f>IF(Ticket_Table[[#This Row],[resolution_hrs]]&lt;=4,"Fast",IF(Ticket_Table[[#This Row],[resolution_hrs]]&lt;=24,"Normal",IF(Ticket_Table[[#This Row],[resolution_hrs]]&lt;=48,"Slow","Very Slow")))</f>
        <v>Very Slow</v>
      </c>
      <c r="Q941" s="3">
        <f>YEAR(Ticket_Table[[#This Row],[raised_date]])</f>
        <v>2023</v>
      </c>
    </row>
    <row r="942" spans="1:17">
      <c r="A942" t="s">
        <v>1493</v>
      </c>
      <c r="B942" t="s">
        <v>538</v>
      </c>
      <c r="C942" t="s">
        <v>102</v>
      </c>
      <c r="D942" t="s">
        <v>36</v>
      </c>
      <c r="E942" t="s">
        <v>37</v>
      </c>
      <c r="F942" t="s">
        <v>38</v>
      </c>
      <c r="G942" t="s">
        <v>23</v>
      </c>
      <c r="H942" s="1">
        <v>45048</v>
      </c>
      <c r="I942" s="2">
        <v>45049.0083333333</v>
      </c>
      <c r="J942">
        <v>24.2</v>
      </c>
      <c r="K942" t="s">
        <v>32</v>
      </c>
      <c r="L942">
        <v>0</v>
      </c>
      <c r="M942">
        <v>4</v>
      </c>
      <c r="N942" t="s">
        <v>981</v>
      </c>
      <c r="O942" s="3" t="str">
        <f>TEXT(Ticket_Table[[#This Row],[raised_date]],"YYYY-MM")</f>
        <v>2023-05</v>
      </c>
      <c r="P942" s="3" t="str">
        <f>IF(Ticket_Table[[#This Row],[resolution_hrs]]&lt;=4,"Fast",IF(Ticket_Table[[#This Row],[resolution_hrs]]&lt;=24,"Normal",IF(Ticket_Table[[#This Row],[resolution_hrs]]&lt;=48,"Slow","Very Slow")))</f>
        <v>Slow</v>
      </c>
      <c r="Q942" s="3">
        <f>YEAR(Ticket_Table[[#This Row],[raised_date]])</f>
        <v>2023</v>
      </c>
    </row>
    <row r="943" spans="1:17">
      <c r="A943" t="s">
        <v>1494</v>
      </c>
      <c r="B943" t="s">
        <v>272</v>
      </c>
      <c r="C943" t="s">
        <v>175</v>
      </c>
      <c r="D943" t="s">
        <v>20</v>
      </c>
      <c r="E943" t="s">
        <v>166</v>
      </c>
      <c r="F943" t="s">
        <v>70</v>
      </c>
      <c r="G943" t="s">
        <v>23</v>
      </c>
      <c r="H943" s="1">
        <v>45188</v>
      </c>
      <c r="I943" s="2">
        <v>45190.825</v>
      </c>
      <c r="J943">
        <v>67.8</v>
      </c>
      <c r="K943" t="s">
        <v>32</v>
      </c>
      <c r="L943">
        <v>0</v>
      </c>
      <c r="M943">
        <v>4</v>
      </c>
      <c r="N943" t="s">
        <v>817</v>
      </c>
      <c r="O943" s="3" t="str">
        <f>TEXT(Ticket_Table[[#This Row],[raised_date]],"YYYY-MM")</f>
        <v>2023-09</v>
      </c>
      <c r="P943" s="3" t="str">
        <f>IF(Ticket_Table[[#This Row],[resolution_hrs]]&lt;=4,"Fast",IF(Ticket_Table[[#This Row],[resolution_hrs]]&lt;=24,"Normal",IF(Ticket_Table[[#This Row],[resolution_hrs]]&lt;=48,"Slow","Very Slow")))</f>
        <v>Very Slow</v>
      </c>
      <c r="Q943" s="3">
        <f>YEAR(Ticket_Table[[#This Row],[raised_date]])</f>
        <v>2023</v>
      </c>
    </row>
    <row r="944" spans="1:17">
      <c r="A944" t="s">
        <v>1495</v>
      </c>
      <c r="B944" t="s">
        <v>525</v>
      </c>
      <c r="C944" t="s">
        <v>213</v>
      </c>
      <c r="D944" t="s">
        <v>29</v>
      </c>
      <c r="E944" t="s">
        <v>37</v>
      </c>
      <c r="F944" t="s">
        <v>22</v>
      </c>
      <c r="G944" t="s">
        <v>23</v>
      </c>
      <c r="H944" s="1">
        <v>45148</v>
      </c>
      <c r="I944" s="2">
        <v>45151.1208333333</v>
      </c>
      <c r="J944">
        <v>74.9</v>
      </c>
      <c r="K944" t="s">
        <v>32</v>
      </c>
      <c r="L944">
        <v>0</v>
      </c>
      <c r="M944">
        <v>1</v>
      </c>
      <c r="N944" t="s">
        <v>772</v>
      </c>
      <c r="O944" s="3" t="str">
        <f>TEXT(Ticket_Table[[#This Row],[raised_date]],"YYYY-MM")</f>
        <v>2023-08</v>
      </c>
      <c r="P944" s="3" t="str">
        <f>IF(Ticket_Table[[#This Row],[resolution_hrs]]&lt;=4,"Fast",IF(Ticket_Table[[#This Row],[resolution_hrs]]&lt;=24,"Normal",IF(Ticket_Table[[#This Row],[resolution_hrs]]&lt;=48,"Slow","Very Slow")))</f>
        <v>Very Slow</v>
      </c>
      <c r="Q944" s="3">
        <f>YEAR(Ticket_Table[[#This Row],[raised_date]])</f>
        <v>2023</v>
      </c>
    </row>
    <row r="945" spans="1:17">
      <c r="A945" t="s">
        <v>1496</v>
      </c>
      <c r="B945" t="s">
        <v>75</v>
      </c>
      <c r="C945" t="s">
        <v>133</v>
      </c>
      <c r="D945" t="s">
        <v>43</v>
      </c>
      <c r="E945" t="s">
        <v>106</v>
      </c>
      <c r="F945" t="s">
        <v>70</v>
      </c>
      <c r="G945" t="s">
        <v>23</v>
      </c>
      <c r="H945" s="1">
        <v>44614</v>
      </c>
      <c r="I945" s="2">
        <v>44616.375</v>
      </c>
      <c r="J945">
        <v>57</v>
      </c>
      <c r="K945" t="s">
        <v>32</v>
      </c>
      <c r="L945">
        <v>0</v>
      </c>
      <c r="M945">
        <v>5</v>
      </c>
      <c r="N945" t="s">
        <v>664</v>
      </c>
      <c r="O945" s="3" t="str">
        <f>TEXT(Ticket_Table[[#This Row],[raised_date]],"YYYY-MM")</f>
        <v>2022-02</v>
      </c>
      <c r="P945" s="3" t="str">
        <f>IF(Ticket_Table[[#This Row],[resolution_hrs]]&lt;=4,"Fast",IF(Ticket_Table[[#This Row],[resolution_hrs]]&lt;=24,"Normal",IF(Ticket_Table[[#This Row],[resolution_hrs]]&lt;=48,"Slow","Very Slow")))</f>
        <v>Very Slow</v>
      </c>
      <c r="Q945" s="3">
        <f>YEAR(Ticket_Table[[#This Row],[raised_date]])</f>
        <v>2022</v>
      </c>
    </row>
    <row r="946" spans="1:17">
      <c r="A946" t="s">
        <v>1497</v>
      </c>
      <c r="B946" t="s">
        <v>487</v>
      </c>
      <c r="C946" t="s">
        <v>19</v>
      </c>
      <c r="D946" t="s">
        <v>36</v>
      </c>
      <c r="E946" t="s">
        <v>30</v>
      </c>
      <c r="F946" t="s">
        <v>22</v>
      </c>
      <c r="G946" t="s">
        <v>74</v>
      </c>
      <c r="H946" s="1">
        <v>44893</v>
      </c>
      <c r="I946" s="2">
        <v>44894.1083333333</v>
      </c>
      <c r="J946">
        <v>26.6</v>
      </c>
      <c r="K946" t="s">
        <v>24</v>
      </c>
      <c r="L946">
        <v>1</v>
      </c>
      <c r="M946">
        <v>5</v>
      </c>
      <c r="N946" t="s">
        <v>937</v>
      </c>
      <c r="O946" s="3" t="str">
        <f>TEXT(Ticket_Table[[#This Row],[raised_date]],"YYYY-MM")</f>
        <v>2022-11</v>
      </c>
      <c r="P946" s="3" t="str">
        <f>IF(Ticket_Table[[#This Row],[resolution_hrs]]&lt;=4,"Fast",IF(Ticket_Table[[#This Row],[resolution_hrs]]&lt;=24,"Normal",IF(Ticket_Table[[#This Row],[resolution_hrs]]&lt;=48,"Slow","Very Slow")))</f>
        <v>Slow</v>
      </c>
      <c r="Q946" s="3">
        <f>YEAR(Ticket_Table[[#This Row],[raised_date]])</f>
        <v>2022</v>
      </c>
    </row>
    <row r="947" spans="1:17">
      <c r="A947" t="s">
        <v>1498</v>
      </c>
      <c r="B947" t="s">
        <v>627</v>
      </c>
      <c r="C947" t="s">
        <v>28</v>
      </c>
      <c r="D947" t="s">
        <v>43</v>
      </c>
      <c r="E947" t="s">
        <v>44</v>
      </c>
      <c r="F947" t="s">
        <v>70</v>
      </c>
      <c r="G947" t="s">
        <v>23</v>
      </c>
      <c r="H947" s="1">
        <v>44491</v>
      </c>
      <c r="I947" s="2">
        <v>44492.675</v>
      </c>
      <c r="J947">
        <v>40.2</v>
      </c>
      <c r="K947" t="s">
        <v>24</v>
      </c>
      <c r="L947">
        <v>0</v>
      </c>
      <c r="M947">
        <v>4</v>
      </c>
      <c r="N947" t="s">
        <v>1252</v>
      </c>
      <c r="O947" s="3" t="str">
        <f>TEXT(Ticket_Table[[#This Row],[raised_date]],"YYYY-MM")</f>
        <v>2021-10</v>
      </c>
      <c r="P947" s="3" t="str">
        <f>IF(Ticket_Table[[#This Row],[resolution_hrs]]&lt;=4,"Fast",IF(Ticket_Table[[#This Row],[resolution_hrs]]&lt;=24,"Normal",IF(Ticket_Table[[#This Row],[resolution_hrs]]&lt;=48,"Slow","Very Slow")))</f>
        <v>Slow</v>
      </c>
      <c r="Q947" s="3">
        <f>YEAR(Ticket_Table[[#This Row],[raised_date]])</f>
        <v>2021</v>
      </c>
    </row>
    <row r="948" spans="1:17">
      <c r="A948" t="s">
        <v>1499</v>
      </c>
      <c r="B948" t="s">
        <v>981</v>
      </c>
      <c r="C948" t="s">
        <v>60</v>
      </c>
      <c r="D948" t="s">
        <v>29</v>
      </c>
      <c r="E948" t="s">
        <v>166</v>
      </c>
      <c r="F948" t="s">
        <v>22</v>
      </c>
      <c r="G948" t="s">
        <v>46</v>
      </c>
      <c r="H948" s="1">
        <v>44837</v>
      </c>
      <c r="I948" s="2">
        <v>44838.4208333333</v>
      </c>
      <c r="J948">
        <v>34.1</v>
      </c>
      <c r="K948" t="s">
        <v>24</v>
      </c>
      <c r="L948">
        <v>0</v>
      </c>
      <c r="M948">
        <v>3</v>
      </c>
      <c r="N948" t="s">
        <v>450</v>
      </c>
      <c r="O948" s="3" t="str">
        <f>TEXT(Ticket_Table[[#This Row],[raised_date]],"YYYY-MM")</f>
        <v>2022-10</v>
      </c>
      <c r="P948" s="3" t="str">
        <f>IF(Ticket_Table[[#This Row],[resolution_hrs]]&lt;=4,"Fast",IF(Ticket_Table[[#This Row],[resolution_hrs]]&lt;=24,"Normal",IF(Ticket_Table[[#This Row],[resolution_hrs]]&lt;=48,"Slow","Very Slow")))</f>
        <v>Slow</v>
      </c>
      <c r="Q948" s="3">
        <f>YEAR(Ticket_Table[[#This Row],[raised_date]])</f>
        <v>2022</v>
      </c>
    </row>
    <row r="949" spans="1:17">
      <c r="A949" t="s">
        <v>1500</v>
      </c>
      <c r="B949" t="s">
        <v>39</v>
      </c>
      <c r="C949" t="s">
        <v>82</v>
      </c>
      <c r="D949" t="s">
        <v>29</v>
      </c>
      <c r="E949" t="s">
        <v>30</v>
      </c>
      <c r="F949" t="s">
        <v>22</v>
      </c>
      <c r="G949" t="s">
        <v>31</v>
      </c>
      <c r="H949" s="1">
        <v>44850</v>
      </c>
      <c r="I949" s="2">
        <v>44854.3166666667</v>
      </c>
      <c r="J949">
        <v>103.6</v>
      </c>
      <c r="K949" t="s">
        <v>32</v>
      </c>
      <c r="L949">
        <v>0</v>
      </c>
      <c r="M949">
        <v>4</v>
      </c>
      <c r="N949" t="s">
        <v>434</v>
      </c>
      <c r="O949" s="3" t="str">
        <f>TEXT(Ticket_Table[[#This Row],[raised_date]],"YYYY-MM")</f>
        <v>2022-10</v>
      </c>
      <c r="P949" s="3" t="str">
        <f>IF(Ticket_Table[[#This Row],[resolution_hrs]]&lt;=4,"Fast",IF(Ticket_Table[[#This Row],[resolution_hrs]]&lt;=24,"Normal",IF(Ticket_Table[[#This Row],[resolution_hrs]]&lt;=48,"Slow","Very Slow")))</f>
        <v>Very Slow</v>
      </c>
      <c r="Q949" s="3">
        <f>YEAR(Ticket_Table[[#This Row],[raised_date]])</f>
        <v>2022</v>
      </c>
    </row>
    <row r="950" spans="1:17">
      <c r="A950" t="s">
        <v>1501</v>
      </c>
      <c r="B950" t="s">
        <v>214</v>
      </c>
      <c r="C950" t="s">
        <v>95</v>
      </c>
      <c r="D950" t="s">
        <v>43</v>
      </c>
      <c r="E950" t="s">
        <v>69</v>
      </c>
      <c r="F950" t="s">
        <v>22</v>
      </c>
      <c r="G950" t="s">
        <v>23</v>
      </c>
      <c r="H950" s="1">
        <v>44904</v>
      </c>
      <c r="I950" s="2">
        <v>44905.6583333333</v>
      </c>
      <c r="J950">
        <v>39.8</v>
      </c>
      <c r="K950" t="s">
        <v>24</v>
      </c>
      <c r="L950">
        <v>1</v>
      </c>
      <c r="M950">
        <v>4</v>
      </c>
      <c r="N950" t="s">
        <v>1502</v>
      </c>
      <c r="O950" s="3" t="str">
        <f>TEXT(Ticket_Table[[#This Row],[raised_date]],"YYYY-MM")</f>
        <v>2022-12</v>
      </c>
      <c r="P950" s="3" t="str">
        <f>IF(Ticket_Table[[#This Row],[resolution_hrs]]&lt;=4,"Fast",IF(Ticket_Table[[#This Row],[resolution_hrs]]&lt;=24,"Normal",IF(Ticket_Table[[#This Row],[resolution_hrs]]&lt;=48,"Slow","Very Slow")))</f>
        <v>Slow</v>
      </c>
      <c r="Q950" s="3">
        <f>YEAR(Ticket_Table[[#This Row],[raised_date]])</f>
        <v>2022</v>
      </c>
    </row>
    <row r="951" spans="1:17">
      <c r="A951" t="s">
        <v>1503</v>
      </c>
      <c r="B951" t="s">
        <v>683</v>
      </c>
      <c r="C951" t="s">
        <v>68</v>
      </c>
      <c r="D951" t="s">
        <v>36</v>
      </c>
      <c r="E951" t="s">
        <v>21</v>
      </c>
      <c r="F951" t="s">
        <v>22</v>
      </c>
      <c r="G951" t="s">
        <v>23</v>
      </c>
      <c r="H951" s="1">
        <v>45013</v>
      </c>
      <c r="I951" s="2">
        <v>45016.6625</v>
      </c>
      <c r="J951">
        <v>87.9</v>
      </c>
      <c r="K951" t="s">
        <v>32</v>
      </c>
      <c r="L951">
        <v>0</v>
      </c>
      <c r="M951">
        <v>3</v>
      </c>
      <c r="N951" t="s">
        <v>1265</v>
      </c>
      <c r="O951" s="3" t="str">
        <f>TEXT(Ticket_Table[[#This Row],[raised_date]],"YYYY-MM")</f>
        <v>2023-03</v>
      </c>
      <c r="P951" s="3" t="str">
        <f>IF(Ticket_Table[[#This Row],[resolution_hrs]]&lt;=4,"Fast",IF(Ticket_Table[[#This Row],[resolution_hrs]]&lt;=24,"Normal",IF(Ticket_Table[[#This Row],[resolution_hrs]]&lt;=48,"Slow","Very Slow")))</f>
        <v>Very Slow</v>
      </c>
      <c r="Q951" s="3">
        <f>YEAR(Ticket_Table[[#This Row],[raised_date]])</f>
        <v>2023</v>
      </c>
    </row>
    <row r="952" spans="1:17">
      <c r="A952" t="s">
        <v>1504</v>
      </c>
      <c r="B952" t="s">
        <v>358</v>
      </c>
      <c r="C952" t="s">
        <v>55</v>
      </c>
      <c r="D952" t="s">
        <v>43</v>
      </c>
      <c r="E952" t="s">
        <v>83</v>
      </c>
      <c r="F952" t="s">
        <v>45</v>
      </c>
      <c r="G952" t="s">
        <v>74</v>
      </c>
      <c r="H952" s="1">
        <v>44464</v>
      </c>
      <c r="I952" s="2">
        <v>44464.0666666667</v>
      </c>
      <c r="J952">
        <v>1.6</v>
      </c>
      <c r="K952" t="s">
        <v>24</v>
      </c>
      <c r="L952">
        <v>0</v>
      </c>
      <c r="M952">
        <v>4</v>
      </c>
      <c r="N952" t="s">
        <v>160</v>
      </c>
      <c r="O952" s="3" t="str">
        <f>TEXT(Ticket_Table[[#This Row],[raised_date]],"YYYY-MM")</f>
        <v>2021-09</v>
      </c>
      <c r="P952" s="3" t="str">
        <f>IF(Ticket_Table[[#This Row],[resolution_hrs]]&lt;=4,"Fast",IF(Ticket_Table[[#This Row],[resolution_hrs]]&lt;=24,"Normal",IF(Ticket_Table[[#This Row],[resolution_hrs]]&lt;=48,"Slow","Very Slow")))</f>
        <v>Fast</v>
      </c>
      <c r="Q952" s="3">
        <f>YEAR(Ticket_Table[[#This Row],[raised_date]])</f>
        <v>2021</v>
      </c>
    </row>
    <row r="953" spans="1:17">
      <c r="A953" t="s">
        <v>1505</v>
      </c>
      <c r="B953" t="s">
        <v>605</v>
      </c>
      <c r="C953" t="s">
        <v>287</v>
      </c>
      <c r="D953" t="s">
        <v>36</v>
      </c>
      <c r="E953" t="s">
        <v>106</v>
      </c>
      <c r="F953" t="s">
        <v>22</v>
      </c>
      <c r="G953" t="s">
        <v>74</v>
      </c>
      <c r="H953" s="1">
        <v>44955</v>
      </c>
      <c r="I953" s="2">
        <v>44958.9083333333</v>
      </c>
      <c r="J953">
        <v>93.8</v>
      </c>
      <c r="K953" t="s">
        <v>32</v>
      </c>
      <c r="L953">
        <v>0</v>
      </c>
      <c r="M953">
        <v>4</v>
      </c>
      <c r="N953" t="s">
        <v>666</v>
      </c>
      <c r="O953" s="3" t="str">
        <f>TEXT(Ticket_Table[[#This Row],[raised_date]],"YYYY-MM")</f>
        <v>2023-01</v>
      </c>
      <c r="P953" s="3" t="str">
        <f>IF(Ticket_Table[[#This Row],[resolution_hrs]]&lt;=4,"Fast",IF(Ticket_Table[[#This Row],[resolution_hrs]]&lt;=24,"Normal",IF(Ticket_Table[[#This Row],[resolution_hrs]]&lt;=48,"Slow","Very Slow")))</f>
        <v>Very Slow</v>
      </c>
      <c r="Q953" s="3">
        <f>YEAR(Ticket_Table[[#This Row],[raised_date]])</f>
        <v>2023</v>
      </c>
    </row>
    <row r="954" spans="1:17">
      <c r="A954" t="s">
        <v>1506</v>
      </c>
      <c r="B954" t="s">
        <v>47</v>
      </c>
      <c r="C954" t="s">
        <v>201</v>
      </c>
      <c r="D954" t="s">
        <v>36</v>
      </c>
      <c r="E954" t="s">
        <v>69</v>
      </c>
      <c r="F954" t="s">
        <v>70</v>
      </c>
      <c r="G954" t="s">
        <v>31</v>
      </c>
      <c r="H954" s="1">
        <v>45251</v>
      </c>
      <c r="I954" s="2">
        <v>45253.5791666667</v>
      </c>
      <c r="J954">
        <v>61.9</v>
      </c>
      <c r="K954" t="s">
        <v>32</v>
      </c>
      <c r="L954">
        <v>0</v>
      </c>
      <c r="M954">
        <v>5</v>
      </c>
      <c r="N954" t="s">
        <v>155</v>
      </c>
      <c r="O954" s="3" t="str">
        <f>TEXT(Ticket_Table[[#This Row],[raised_date]],"YYYY-MM")</f>
        <v>2023-11</v>
      </c>
      <c r="P954" s="3" t="str">
        <f>IF(Ticket_Table[[#This Row],[resolution_hrs]]&lt;=4,"Fast",IF(Ticket_Table[[#This Row],[resolution_hrs]]&lt;=24,"Normal",IF(Ticket_Table[[#This Row],[resolution_hrs]]&lt;=48,"Slow","Very Slow")))</f>
        <v>Very Slow</v>
      </c>
      <c r="Q954" s="3">
        <f>YEAR(Ticket_Table[[#This Row],[raised_date]])</f>
        <v>2023</v>
      </c>
    </row>
    <row r="955" spans="1:17">
      <c r="A955" t="s">
        <v>1507</v>
      </c>
      <c r="B955" t="s">
        <v>152</v>
      </c>
      <c r="C955" t="s">
        <v>42</v>
      </c>
      <c r="D955" t="s">
        <v>90</v>
      </c>
      <c r="E955" t="s">
        <v>69</v>
      </c>
      <c r="F955" t="s">
        <v>22</v>
      </c>
      <c r="G955" t="s">
        <v>31</v>
      </c>
      <c r="H955" s="1">
        <v>44414</v>
      </c>
      <c r="I955" s="2">
        <v>44415.775</v>
      </c>
      <c r="J955">
        <v>42.6</v>
      </c>
      <c r="K955" t="s">
        <v>24</v>
      </c>
      <c r="L955">
        <v>1</v>
      </c>
      <c r="M955">
        <v>2</v>
      </c>
      <c r="N955" t="s">
        <v>269</v>
      </c>
      <c r="O955" s="3" t="str">
        <f>TEXT(Ticket_Table[[#This Row],[raised_date]],"YYYY-MM")</f>
        <v>2021-08</v>
      </c>
      <c r="P955" s="3" t="str">
        <f>IF(Ticket_Table[[#This Row],[resolution_hrs]]&lt;=4,"Fast",IF(Ticket_Table[[#This Row],[resolution_hrs]]&lt;=24,"Normal",IF(Ticket_Table[[#This Row],[resolution_hrs]]&lt;=48,"Slow","Very Slow")))</f>
        <v>Slow</v>
      </c>
      <c r="Q955" s="3">
        <f>YEAR(Ticket_Table[[#This Row],[raised_date]])</f>
        <v>2021</v>
      </c>
    </row>
    <row r="956" spans="1:17">
      <c r="A956" t="s">
        <v>1508</v>
      </c>
      <c r="B956" t="s">
        <v>138</v>
      </c>
      <c r="C956" t="s">
        <v>102</v>
      </c>
      <c r="D956" t="s">
        <v>20</v>
      </c>
      <c r="E956" t="s">
        <v>106</v>
      </c>
      <c r="F956" t="s">
        <v>70</v>
      </c>
      <c r="G956" t="s">
        <v>31</v>
      </c>
      <c r="H956" s="1">
        <v>44850</v>
      </c>
      <c r="I956" s="2">
        <v>44852.7333333333</v>
      </c>
      <c r="J956">
        <v>65.6</v>
      </c>
      <c r="K956" t="s">
        <v>32</v>
      </c>
      <c r="L956">
        <v>0</v>
      </c>
      <c r="M956">
        <v>3</v>
      </c>
      <c r="N956" t="s">
        <v>470</v>
      </c>
      <c r="O956" s="3" t="str">
        <f>TEXT(Ticket_Table[[#This Row],[raised_date]],"YYYY-MM")</f>
        <v>2022-10</v>
      </c>
      <c r="P956" s="3" t="str">
        <f>IF(Ticket_Table[[#This Row],[resolution_hrs]]&lt;=4,"Fast",IF(Ticket_Table[[#This Row],[resolution_hrs]]&lt;=24,"Normal",IF(Ticket_Table[[#This Row],[resolution_hrs]]&lt;=48,"Slow","Very Slow")))</f>
        <v>Very Slow</v>
      </c>
      <c r="Q956" s="3">
        <f>YEAR(Ticket_Table[[#This Row],[raised_date]])</f>
        <v>2022</v>
      </c>
    </row>
    <row r="957" spans="1:17">
      <c r="A957" t="s">
        <v>1509</v>
      </c>
      <c r="B957" t="s">
        <v>790</v>
      </c>
      <c r="C957" t="s">
        <v>68</v>
      </c>
      <c r="D957" t="s">
        <v>20</v>
      </c>
      <c r="E957" t="s">
        <v>37</v>
      </c>
      <c r="F957" t="s">
        <v>45</v>
      </c>
      <c r="G957" t="s">
        <v>31</v>
      </c>
      <c r="H957" s="1">
        <v>44692</v>
      </c>
      <c r="I957" s="2">
        <v>44692.125</v>
      </c>
      <c r="J957">
        <v>3</v>
      </c>
      <c r="K957" t="s">
        <v>24</v>
      </c>
      <c r="L957">
        <v>1</v>
      </c>
      <c r="M957">
        <v>4</v>
      </c>
      <c r="N957" t="s">
        <v>919</v>
      </c>
      <c r="O957" s="3" t="str">
        <f>TEXT(Ticket_Table[[#This Row],[raised_date]],"YYYY-MM")</f>
        <v>2022-05</v>
      </c>
      <c r="P957" s="3" t="str">
        <f>IF(Ticket_Table[[#This Row],[resolution_hrs]]&lt;=4,"Fast",IF(Ticket_Table[[#This Row],[resolution_hrs]]&lt;=24,"Normal",IF(Ticket_Table[[#This Row],[resolution_hrs]]&lt;=48,"Slow","Very Slow")))</f>
        <v>Fast</v>
      </c>
      <c r="Q957" s="3">
        <f>YEAR(Ticket_Table[[#This Row],[raised_date]])</f>
        <v>2022</v>
      </c>
    </row>
    <row r="958" spans="1:17">
      <c r="A958" t="s">
        <v>1510</v>
      </c>
      <c r="B958" t="s">
        <v>298</v>
      </c>
      <c r="C958" t="s">
        <v>82</v>
      </c>
      <c r="D958" t="s">
        <v>29</v>
      </c>
      <c r="E958" t="s">
        <v>166</v>
      </c>
      <c r="F958" t="s">
        <v>22</v>
      </c>
      <c r="G958" t="s">
        <v>46</v>
      </c>
      <c r="H958" s="1">
        <v>45152</v>
      </c>
      <c r="I958" s="2">
        <v>45156.4</v>
      </c>
      <c r="J958">
        <v>105.6</v>
      </c>
      <c r="K958" t="s">
        <v>32</v>
      </c>
      <c r="L958">
        <v>0</v>
      </c>
      <c r="M958">
        <v>5</v>
      </c>
      <c r="N958" t="s">
        <v>158</v>
      </c>
      <c r="O958" s="3" t="str">
        <f>TEXT(Ticket_Table[[#This Row],[raised_date]],"YYYY-MM")</f>
        <v>2023-08</v>
      </c>
      <c r="P958" s="3" t="str">
        <f>IF(Ticket_Table[[#This Row],[resolution_hrs]]&lt;=4,"Fast",IF(Ticket_Table[[#This Row],[resolution_hrs]]&lt;=24,"Normal",IF(Ticket_Table[[#This Row],[resolution_hrs]]&lt;=48,"Slow","Very Slow")))</f>
        <v>Very Slow</v>
      </c>
      <c r="Q958" s="3">
        <f>YEAR(Ticket_Table[[#This Row],[raised_date]])</f>
        <v>2023</v>
      </c>
    </row>
    <row r="959" spans="1:17">
      <c r="A959" t="s">
        <v>1511</v>
      </c>
      <c r="B959" t="s">
        <v>94</v>
      </c>
      <c r="C959" t="s">
        <v>28</v>
      </c>
      <c r="D959" t="s">
        <v>90</v>
      </c>
      <c r="E959" t="s">
        <v>56</v>
      </c>
      <c r="F959" t="s">
        <v>45</v>
      </c>
      <c r="G959" t="s">
        <v>31</v>
      </c>
      <c r="H959" s="1">
        <v>44447</v>
      </c>
      <c r="I959" s="2">
        <v>44447.0958333333</v>
      </c>
      <c r="J959">
        <v>2.3</v>
      </c>
      <c r="K959" t="s">
        <v>24</v>
      </c>
      <c r="L959">
        <v>3</v>
      </c>
      <c r="M959">
        <v>4</v>
      </c>
      <c r="N959" t="s">
        <v>99</v>
      </c>
      <c r="O959" s="3" t="str">
        <f>TEXT(Ticket_Table[[#This Row],[raised_date]],"YYYY-MM")</f>
        <v>2021-09</v>
      </c>
      <c r="P959" s="3" t="str">
        <f>IF(Ticket_Table[[#This Row],[resolution_hrs]]&lt;=4,"Fast",IF(Ticket_Table[[#This Row],[resolution_hrs]]&lt;=24,"Normal",IF(Ticket_Table[[#This Row],[resolution_hrs]]&lt;=48,"Slow","Very Slow")))</f>
        <v>Fast</v>
      </c>
      <c r="Q959" s="3">
        <f>YEAR(Ticket_Table[[#This Row],[raised_date]])</f>
        <v>2021</v>
      </c>
    </row>
    <row r="960" spans="1:17">
      <c r="A960" t="s">
        <v>1512</v>
      </c>
      <c r="B960" t="s">
        <v>327</v>
      </c>
      <c r="C960" t="s">
        <v>82</v>
      </c>
      <c r="D960" t="s">
        <v>20</v>
      </c>
      <c r="E960" t="s">
        <v>44</v>
      </c>
      <c r="F960" t="s">
        <v>22</v>
      </c>
      <c r="G960" t="s">
        <v>46</v>
      </c>
      <c r="H960" s="1">
        <v>44744</v>
      </c>
      <c r="I960" s="2">
        <v>44744.4458333333</v>
      </c>
      <c r="J960">
        <v>10.7</v>
      </c>
      <c r="K960" t="s">
        <v>24</v>
      </c>
      <c r="L960">
        <v>0</v>
      </c>
      <c r="M960">
        <v>4</v>
      </c>
      <c r="N960" t="s">
        <v>1226</v>
      </c>
      <c r="O960" s="3" t="str">
        <f>TEXT(Ticket_Table[[#This Row],[raised_date]],"YYYY-MM")</f>
        <v>2022-07</v>
      </c>
      <c r="P960" s="3" t="str">
        <f>IF(Ticket_Table[[#This Row],[resolution_hrs]]&lt;=4,"Fast",IF(Ticket_Table[[#This Row],[resolution_hrs]]&lt;=24,"Normal",IF(Ticket_Table[[#This Row],[resolution_hrs]]&lt;=48,"Slow","Very Slow")))</f>
        <v>Normal</v>
      </c>
      <c r="Q960" s="3">
        <f>YEAR(Ticket_Table[[#This Row],[raised_date]])</f>
        <v>2022</v>
      </c>
    </row>
    <row r="961" spans="1:17">
      <c r="A961" t="s">
        <v>1513</v>
      </c>
      <c r="B961" t="s">
        <v>432</v>
      </c>
      <c r="C961" t="s">
        <v>133</v>
      </c>
      <c r="D961" t="s">
        <v>36</v>
      </c>
      <c r="E961" t="s">
        <v>21</v>
      </c>
      <c r="F961" t="s">
        <v>38</v>
      </c>
      <c r="G961" t="s">
        <v>74</v>
      </c>
      <c r="H961" s="1">
        <v>45117</v>
      </c>
      <c r="I961" s="2">
        <v>45118.2416666667</v>
      </c>
      <c r="J961">
        <v>29.8</v>
      </c>
      <c r="K961" t="s">
        <v>32</v>
      </c>
      <c r="L961">
        <v>1</v>
      </c>
      <c r="M961">
        <v>1</v>
      </c>
      <c r="N961" t="s">
        <v>499</v>
      </c>
      <c r="O961" s="3" t="str">
        <f>TEXT(Ticket_Table[[#This Row],[raised_date]],"YYYY-MM")</f>
        <v>2023-07</v>
      </c>
      <c r="P961" s="3" t="str">
        <f>IF(Ticket_Table[[#This Row],[resolution_hrs]]&lt;=4,"Fast",IF(Ticket_Table[[#This Row],[resolution_hrs]]&lt;=24,"Normal",IF(Ticket_Table[[#This Row],[resolution_hrs]]&lt;=48,"Slow","Very Slow")))</f>
        <v>Slow</v>
      </c>
      <c r="Q961" s="3">
        <f>YEAR(Ticket_Table[[#This Row],[raised_date]])</f>
        <v>2023</v>
      </c>
    </row>
    <row r="962" spans="1:17">
      <c r="A962" t="s">
        <v>1514</v>
      </c>
      <c r="B962" t="s">
        <v>124</v>
      </c>
      <c r="C962" t="s">
        <v>68</v>
      </c>
      <c r="D962" t="s">
        <v>36</v>
      </c>
      <c r="E962" t="s">
        <v>51</v>
      </c>
      <c r="F962" t="s">
        <v>70</v>
      </c>
      <c r="G962" t="s">
        <v>31</v>
      </c>
      <c r="H962" s="1">
        <v>44704</v>
      </c>
      <c r="I962" s="2">
        <v>44704.7375</v>
      </c>
      <c r="J962">
        <v>17.7</v>
      </c>
      <c r="K962" t="s">
        <v>24</v>
      </c>
      <c r="L962">
        <v>0</v>
      </c>
      <c r="M962">
        <v>4</v>
      </c>
      <c r="N962" t="s">
        <v>621</v>
      </c>
      <c r="O962" s="3" t="str">
        <f>TEXT(Ticket_Table[[#This Row],[raised_date]],"YYYY-MM")</f>
        <v>2022-05</v>
      </c>
      <c r="P962" s="3" t="str">
        <f>IF(Ticket_Table[[#This Row],[resolution_hrs]]&lt;=4,"Fast",IF(Ticket_Table[[#This Row],[resolution_hrs]]&lt;=24,"Normal",IF(Ticket_Table[[#This Row],[resolution_hrs]]&lt;=48,"Slow","Very Slow")))</f>
        <v>Normal</v>
      </c>
      <c r="Q962" s="3">
        <f>YEAR(Ticket_Table[[#This Row],[raised_date]])</f>
        <v>2022</v>
      </c>
    </row>
    <row r="963" spans="1:17">
      <c r="A963" t="s">
        <v>1515</v>
      </c>
      <c r="B963" t="s">
        <v>232</v>
      </c>
      <c r="C963" t="s">
        <v>64</v>
      </c>
      <c r="D963" t="s">
        <v>43</v>
      </c>
      <c r="E963" t="s">
        <v>166</v>
      </c>
      <c r="F963" t="s">
        <v>38</v>
      </c>
      <c r="G963" t="s">
        <v>31</v>
      </c>
      <c r="H963" s="1">
        <v>44485</v>
      </c>
      <c r="I963" s="2">
        <v>44485.35</v>
      </c>
      <c r="J963">
        <v>8.4</v>
      </c>
      <c r="K963" t="s">
        <v>24</v>
      </c>
      <c r="L963">
        <v>0</v>
      </c>
      <c r="M963">
        <v>5</v>
      </c>
      <c r="N963" t="s">
        <v>618</v>
      </c>
      <c r="O963" s="3" t="str">
        <f>TEXT(Ticket_Table[[#This Row],[raised_date]],"YYYY-MM")</f>
        <v>2021-10</v>
      </c>
      <c r="P963" s="3" t="str">
        <f>IF(Ticket_Table[[#This Row],[resolution_hrs]]&lt;=4,"Fast",IF(Ticket_Table[[#This Row],[resolution_hrs]]&lt;=24,"Normal",IF(Ticket_Table[[#This Row],[resolution_hrs]]&lt;=48,"Slow","Very Slow")))</f>
        <v>Normal</v>
      </c>
      <c r="Q963" s="3">
        <f>YEAR(Ticket_Table[[#This Row],[raised_date]])</f>
        <v>2021</v>
      </c>
    </row>
    <row r="964" spans="1:17">
      <c r="A964" t="s">
        <v>1516</v>
      </c>
      <c r="B964" t="s">
        <v>77</v>
      </c>
      <c r="C964" t="s">
        <v>50</v>
      </c>
      <c r="D964" t="s">
        <v>43</v>
      </c>
      <c r="E964" t="s">
        <v>44</v>
      </c>
      <c r="F964" t="s">
        <v>70</v>
      </c>
      <c r="G964" t="s">
        <v>31</v>
      </c>
      <c r="H964" s="1">
        <v>44395</v>
      </c>
      <c r="I964" s="2">
        <v>44397.675</v>
      </c>
      <c r="J964">
        <v>64.2</v>
      </c>
      <c r="K964" t="s">
        <v>32</v>
      </c>
      <c r="L964">
        <v>0</v>
      </c>
      <c r="M964">
        <v>4</v>
      </c>
      <c r="N964" t="s">
        <v>466</v>
      </c>
      <c r="O964" s="3" t="str">
        <f>TEXT(Ticket_Table[[#This Row],[raised_date]],"YYYY-MM")</f>
        <v>2021-07</v>
      </c>
      <c r="P964" s="3" t="str">
        <f>IF(Ticket_Table[[#This Row],[resolution_hrs]]&lt;=4,"Fast",IF(Ticket_Table[[#This Row],[resolution_hrs]]&lt;=24,"Normal",IF(Ticket_Table[[#This Row],[resolution_hrs]]&lt;=48,"Slow","Very Slow")))</f>
        <v>Very Slow</v>
      </c>
      <c r="Q964" s="3">
        <f>YEAR(Ticket_Table[[#This Row],[raised_date]])</f>
        <v>2021</v>
      </c>
    </row>
    <row r="965" spans="1:17">
      <c r="A965" t="s">
        <v>1517</v>
      </c>
      <c r="B965" t="s">
        <v>320</v>
      </c>
      <c r="C965" t="s">
        <v>19</v>
      </c>
      <c r="D965" t="s">
        <v>36</v>
      </c>
      <c r="E965" t="s">
        <v>166</v>
      </c>
      <c r="F965" t="s">
        <v>70</v>
      </c>
      <c r="G965" t="s">
        <v>31</v>
      </c>
      <c r="H965" s="1">
        <v>44300</v>
      </c>
      <c r="I965" s="2">
        <v>44302.75</v>
      </c>
      <c r="J965">
        <v>66</v>
      </c>
      <c r="K965" t="s">
        <v>32</v>
      </c>
      <c r="L965">
        <v>1</v>
      </c>
      <c r="M965">
        <v>5</v>
      </c>
      <c r="N965" t="s">
        <v>192</v>
      </c>
      <c r="O965" s="3" t="str">
        <f>TEXT(Ticket_Table[[#This Row],[raised_date]],"YYYY-MM")</f>
        <v>2021-04</v>
      </c>
      <c r="P965" s="3" t="str">
        <f>IF(Ticket_Table[[#This Row],[resolution_hrs]]&lt;=4,"Fast",IF(Ticket_Table[[#This Row],[resolution_hrs]]&lt;=24,"Normal",IF(Ticket_Table[[#This Row],[resolution_hrs]]&lt;=48,"Slow","Very Slow")))</f>
        <v>Very Slow</v>
      </c>
      <c r="Q965" s="3">
        <f>YEAR(Ticket_Table[[#This Row],[raised_date]])</f>
        <v>2021</v>
      </c>
    </row>
    <row r="966" spans="1:17">
      <c r="A966" t="s">
        <v>1518</v>
      </c>
      <c r="B966" t="s">
        <v>1123</v>
      </c>
      <c r="C966" t="s">
        <v>78</v>
      </c>
      <c r="D966" t="s">
        <v>36</v>
      </c>
      <c r="E966" t="s">
        <v>69</v>
      </c>
      <c r="F966" t="s">
        <v>22</v>
      </c>
      <c r="G966" t="s">
        <v>91</v>
      </c>
      <c r="H966" s="1">
        <v>44791</v>
      </c>
      <c r="I966" s="2">
        <v>44793.8583333333</v>
      </c>
      <c r="J966">
        <v>68.6</v>
      </c>
      <c r="K966" t="s">
        <v>24</v>
      </c>
      <c r="L966">
        <v>0</v>
      </c>
      <c r="M966">
        <v>4</v>
      </c>
      <c r="N966" t="s">
        <v>656</v>
      </c>
      <c r="O966" s="3" t="str">
        <f>TEXT(Ticket_Table[[#This Row],[raised_date]],"YYYY-MM")</f>
        <v>2022-08</v>
      </c>
      <c r="P966" s="3" t="str">
        <f>IF(Ticket_Table[[#This Row],[resolution_hrs]]&lt;=4,"Fast",IF(Ticket_Table[[#This Row],[resolution_hrs]]&lt;=24,"Normal",IF(Ticket_Table[[#This Row],[resolution_hrs]]&lt;=48,"Slow","Very Slow")))</f>
        <v>Very Slow</v>
      </c>
      <c r="Q966" s="3">
        <f>YEAR(Ticket_Table[[#This Row],[raised_date]])</f>
        <v>2022</v>
      </c>
    </row>
    <row r="967" spans="1:17">
      <c r="A967" t="s">
        <v>1519</v>
      </c>
      <c r="B967" t="s">
        <v>419</v>
      </c>
      <c r="C967" t="s">
        <v>64</v>
      </c>
      <c r="D967" t="s">
        <v>43</v>
      </c>
      <c r="E967" t="s">
        <v>56</v>
      </c>
      <c r="F967" t="s">
        <v>22</v>
      </c>
      <c r="G967" t="s">
        <v>46</v>
      </c>
      <c r="H967" s="1">
        <v>44983</v>
      </c>
      <c r="I967" s="2">
        <v>44986.9625</v>
      </c>
      <c r="J967">
        <v>95.1</v>
      </c>
      <c r="K967" t="s">
        <v>32</v>
      </c>
      <c r="L967">
        <v>0</v>
      </c>
      <c r="M967">
        <v>5</v>
      </c>
      <c r="N967" t="s">
        <v>227</v>
      </c>
      <c r="O967" s="3" t="str">
        <f>TEXT(Ticket_Table[[#This Row],[raised_date]],"YYYY-MM")</f>
        <v>2023-02</v>
      </c>
      <c r="P967" s="3" t="str">
        <f>IF(Ticket_Table[[#This Row],[resolution_hrs]]&lt;=4,"Fast",IF(Ticket_Table[[#This Row],[resolution_hrs]]&lt;=24,"Normal",IF(Ticket_Table[[#This Row],[resolution_hrs]]&lt;=48,"Slow","Very Slow")))</f>
        <v>Very Slow</v>
      </c>
      <c r="Q967" s="3">
        <f>YEAR(Ticket_Table[[#This Row],[raised_date]])</f>
        <v>2023</v>
      </c>
    </row>
    <row r="968" spans="1:17">
      <c r="A968" t="s">
        <v>1520</v>
      </c>
      <c r="B968" t="s">
        <v>334</v>
      </c>
      <c r="C968" t="s">
        <v>133</v>
      </c>
      <c r="D968" t="s">
        <v>20</v>
      </c>
      <c r="E968" t="s">
        <v>51</v>
      </c>
      <c r="F968" t="s">
        <v>45</v>
      </c>
      <c r="G968" t="s">
        <v>91</v>
      </c>
      <c r="H968" s="1">
        <v>45053</v>
      </c>
      <c r="I968" s="2">
        <v>45053.2</v>
      </c>
      <c r="J968">
        <v>4.8</v>
      </c>
      <c r="K968" t="s">
        <v>32</v>
      </c>
      <c r="L968">
        <v>0</v>
      </c>
      <c r="M968">
        <v>2</v>
      </c>
      <c r="N968" t="s">
        <v>956</v>
      </c>
      <c r="O968" s="3" t="str">
        <f>TEXT(Ticket_Table[[#This Row],[raised_date]],"YYYY-MM")</f>
        <v>2023-05</v>
      </c>
      <c r="P968" s="3" t="str">
        <f>IF(Ticket_Table[[#This Row],[resolution_hrs]]&lt;=4,"Fast",IF(Ticket_Table[[#This Row],[resolution_hrs]]&lt;=24,"Normal",IF(Ticket_Table[[#This Row],[resolution_hrs]]&lt;=48,"Slow","Very Slow")))</f>
        <v>Normal</v>
      </c>
      <c r="Q968" s="3">
        <f>YEAR(Ticket_Table[[#This Row],[raised_date]])</f>
        <v>2023</v>
      </c>
    </row>
    <row r="969" spans="1:17">
      <c r="A969" t="s">
        <v>1521</v>
      </c>
      <c r="B969" t="s">
        <v>603</v>
      </c>
      <c r="C969" t="s">
        <v>78</v>
      </c>
      <c r="D969" t="s">
        <v>29</v>
      </c>
      <c r="E969" t="s">
        <v>166</v>
      </c>
      <c r="F969" t="s">
        <v>70</v>
      </c>
      <c r="G969" t="s">
        <v>23</v>
      </c>
      <c r="H969" s="1">
        <v>44705</v>
      </c>
      <c r="I969" s="2">
        <v>44706.2416666667</v>
      </c>
      <c r="J969">
        <v>29.8</v>
      </c>
      <c r="K969" t="s">
        <v>24</v>
      </c>
      <c r="L969">
        <v>2</v>
      </c>
      <c r="M969">
        <v>2</v>
      </c>
      <c r="N969" t="s">
        <v>204</v>
      </c>
      <c r="O969" s="3" t="str">
        <f>TEXT(Ticket_Table[[#This Row],[raised_date]],"YYYY-MM")</f>
        <v>2022-05</v>
      </c>
      <c r="P969" s="3" t="str">
        <f>IF(Ticket_Table[[#This Row],[resolution_hrs]]&lt;=4,"Fast",IF(Ticket_Table[[#This Row],[resolution_hrs]]&lt;=24,"Normal",IF(Ticket_Table[[#This Row],[resolution_hrs]]&lt;=48,"Slow","Very Slow")))</f>
        <v>Slow</v>
      </c>
      <c r="Q969" s="3">
        <f>YEAR(Ticket_Table[[#This Row],[raised_date]])</f>
        <v>2022</v>
      </c>
    </row>
    <row r="970" spans="1:17">
      <c r="A970" t="s">
        <v>1522</v>
      </c>
      <c r="B970" t="s">
        <v>314</v>
      </c>
      <c r="C970" t="s">
        <v>19</v>
      </c>
      <c r="D970" t="s">
        <v>43</v>
      </c>
      <c r="E970" t="s">
        <v>44</v>
      </c>
      <c r="F970" t="s">
        <v>70</v>
      </c>
      <c r="G970" t="s">
        <v>31</v>
      </c>
      <c r="H970" s="1">
        <v>44524</v>
      </c>
      <c r="I970" s="2">
        <v>44524.1416666667</v>
      </c>
      <c r="J970">
        <v>3.4</v>
      </c>
      <c r="K970" t="s">
        <v>24</v>
      </c>
      <c r="L970">
        <v>0</v>
      </c>
      <c r="M970">
        <v>2</v>
      </c>
      <c r="N970" t="s">
        <v>178</v>
      </c>
      <c r="O970" s="3" t="str">
        <f>TEXT(Ticket_Table[[#This Row],[raised_date]],"YYYY-MM")</f>
        <v>2021-11</v>
      </c>
      <c r="P970" s="3" t="str">
        <f>IF(Ticket_Table[[#This Row],[resolution_hrs]]&lt;=4,"Fast",IF(Ticket_Table[[#This Row],[resolution_hrs]]&lt;=24,"Normal",IF(Ticket_Table[[#This Row],[resolution_hrs]]&lt;=48,"Slow","Very Slow")))</f>
        <v>Fast</v>
      </c>
      <c r="Q970" s="3">
        <f>YEAR(Ticket_Table[[#This Row],[raised_date]])</f>
        <v>2021</v>
      </c>
    </row>
    <row r="971" spans="1:17">
      <c r="A971" t="s">
        <v>1523</v>
      </c>
      <c r="B971" t="s">
        <v>123</v>
      </c>
      <c r="C971" t="s">
        <v>60</v>
      </c>
      <c r="D971" t="s">
        <v>20</v>
      </c>
      <c r="E971" t="s">
        <v>51</v>
      </c>
      <c r="F971" t="s">
        <v>38</v>
      </c>
      <c r="G971" t="s">
        <v>31</v>
      </c>
      <c r="H971" s="1">
        <v>44867</v>
      </c>
      <c r="I971" s="2">
        <v>44868.3041666667</v>
      </c>
      <c r="J971">
        <v>31.3</v>
      </c>
      <c r="K971" t="s">
        <v>32</v>
      </c>
      <c r="L971">
        <v>0</v>
      </c>
      <c r="M971">
        <v>4</v>
      </c>
      <c r="N971" t="s">
        <v>653</v>
      </c>
      <c r="O971" s="3" t="str">
        <f>TEXT(Ticket_Table[[#This Row],[raised_date]],"YYYY-MM")</f>
        <v>2022-11</v>
      </c>
      <c r="P971" s="3" t="str">
        <f>IF(Ticket_Table[[#This Row],[resolution_hrs]]&lt;=4,"Fast",IF(Ticket_Table[[#This Row],[resolution_hrs]]&lt;=24,"Normal",IF(Ticket_Table[[#This Row],[resolution_hrs]]&lt;=48,"Slow","Very Slow")))</f>
        <v>Slow</v>
      </c>
      <c r="Q971" s="3">
        <f>YEAR(Ticket_Table[[#This Row],[raised_date]])</f>
        <v>2022</v>
      </c>
    </row>
    <row r="972" spans="1:17">
      <c r="A972" t="s">
        <v>1524</v>
      </c>
      <c r="B972" t="s">
        <v>321</v>
      </c>
      <c r="C972" t="s">
        <v>133</v>
      </c>
      <c r="D972" t="s">
        <v>20</v>
      </c>
      <c r="E972" t="s">
        <v>51</v>
      </c>
      <c r="F972" t="s">
        <v>70</v>
      </c>
      <c r="G972" t="s">
        <v>23</v>
      </c>
      <c r="H972" s="1">
        <v>44837</v>
      </c>
      <c r="I972" s="2">
        <v>44839.475</v>
      </c>
      <c r="J972">
        <v>59.4</v>
      </c>
      <c r="K972" t="s">
        <v>32</v>
      </c>
      <c r="L972">
        <v>2</v>
      </c>
      <c r="M972">
        <v>3</v>
      </c>
      <c r="N972" t="s">
        <v>284</v>
      </c>
      <c r="O972" s="3" t="str">
        <f>TEXT(Ticket_Table[[#This Row],[raised_date]],"YYYY-MM")</f>
        <v>2022-10</v>
      </c>
      <c r="P972" s="3" t="str">
        <f>IF(Ticket_Table[[#This Row],[resolution_hrs]]&lt;=4,"Fast",IF(Ticket_Table[[#This Row],[resolution_hrs]]&lt;=24,"Normal",IF(Ticket_Table[[#This Row],[resolution_hrs]]&lt;=48,"Slow","Very Slow")))</f>
        <v>Very Slow</v>
      </c>
      <c r="Q972" s="3">
        <f>YEAR(Ticket_Table[[#This Row],[raised_date]])</f>
        <v>2022</v>
      </c>
    </row>
    <row r="973" spans="1:17">
      <c r="A973" t="s">
        <v>1525</v>
      </c>
      <c r="B973" t="s">
        <v>367</v>
      </c>
      <c r="C973" t="s">
        <v>102</v>
      </c>
      <c r="D973" t="s">
        <v>20</v>
      </c>
      <c r="E973" t="s">
        <v>83</v>
      </c>
      <c r="F973" t="s">
        <v>45</v>
      </c>
      <c r="G973" t="s">
        <v>31</v>
      </c>
      <c r="H973" s="1">
        <v>44585</v>
      </c>
      <c r="I973" s="2">
        <v>44585.2375</v>
      </c>
      <c r="J973">
        <v>5.7</v>
      </c>
      <c r="K973" t="s">
        <v>32</v>
      </c>
      <c r="L973">
        <v>2</v>
      </c>
      <c r="M973">
        <v>4</v>
      </c>
      <c r="N973" t="s">
        <v>897</v>
      </c>
      <c r="O973" s="3" t="str">
        <f>TEXT(Ticket_Table[[#This Row],[raised_date]],"YYYY-MM")</f>
        <v>2022-01</v>
      </c>
      <c r="P973" s="3" t="str">
        <f>IF(Ticket_Table[[#This Row],[resolution_hrs]]&lt;=4,"Fast",IF(Ticket_Table[[#This Row],[resolution_hrs]]&lt;=24,"Normal",IF(Ticket_Table[[#This Row],[resolution_hrs]]&lt;=48,"Slow","Very Slow")))</f>
        <v>Normal</v>
      </c>
      <c r="Q973" s="3">
        <f>YEAR(Ticket_Table[[#This Row],[raised_date]])</f>
        <v>2022</v>
      </c>
    </row>
    <row r="974" spans="1:17">
      <c r="A974" t="s">
        <v>1526</v>
      </c>
      <c r="B974" t="s">
        <v>828</v>
      </c>
      <c r="C974" t="s">
        <v>82</v>
      </c>
      <c r="D974" t="s">
        <v>90</v>
      </c>
      <c r="E974" t="s">
        <v>21</v>
      </c>
      <c r="F974" t="s">
        <v>38</v>
      </c>
      <c r="G974" t="s">
        <v>23</v>
      </c>
      <c r="H974" s="1">
        <v>44523</v>
      </c>
      <c r="I974" s="2">
        <v>44523.7291666667</v>
      </c>
      <c r="J974">
        <v>17.5</v>
      </c>
      <c r="K974" t="s">
        <v>24</v>
      </c>
      <c r="L974">
        <v>0</v>
      </c>
      <c r="M974">
        <v>5</v>
      </c>
      <c r="N974" t="s">
        <v>312</v>
      </c>
      <c r="O974" s="3" t="str">
        <f>TEXT(Ticket_Table[[#This Row],[raised_date]],"YYYY-MM")</f>
        <v>2021-11</v>
      </c>
      <c r="P974" s="3" t="str">
        <f>IF(Ticket_Table[[#This Row],[resolution_hrs]]&lt;=4,"Fast",IF(Ticket_Table[[#This Row],[resolution_hrs]]&lt;=24,"Normal",IF(Ticket_Table[[#This Row],[resolution_hrs]]&lt;=48,"Slow","Very Slow")))</f>
        <v>Normal</v>
      </c>
      <c r="Q974" s="3">
        <f>YEAR(Ticket_Table[[#This Row],[raised_date]])</f>
        <v>2021</v>
      </c>
    </row>
    <row r="975" spans="1:17">
      <c r="A975" t="s">
        <v>1527</v>
      </c>
      <c r="B975" t="s">
        <v>383</v>
      </c>
      <c r="C975" t="s">
        <v>117</v>
      </c>
      <c r="D975" t="s">
        <v>90</v>
      </c>
      <c r="E975" t="s">
        <v>69</v>
      </c>
      <c r="F975" t="s">
        <v>70</v>
      </c>
      <c r="G975" t="s">
        <v>31</v>
      </c>
      <c r="H975" s="1">
        <v>45217</v>
      </c>
      <c r="I975" s="2">
        <v>45218.2625</v>
      </c>
      <c r="J975">
        <v>30.3</v>
      </c>
      <c r="K975" t="s">
        <v>24</v>
      </c>
      <c r="L975">
        <v>1</v>
      </c>
      <c r="M975">
        <v>4</v>
      </c>
      <c r="N975" t="s">
        <v>35</v>
      </c>
      <c r="O975" s="3" t="str">
        <f>TEXT(Ticket_Table[[#This Row],[raised_date]],"YYYY-MM")</f>
        <v>2023-10</v>
      </c>
      <c r="P975" s="3" t="str">
        <f>IF(Ticket_Table[[#This Row],[resolution_hrs]]&lt;=4,"Fast",IF(Ticket_Table[[#This Row],[resolution_hrs]]&lt;=24,"Normal",IF(Ticket_Table[[#This Row],[resolution_hrs]]&lt;=48,"Slow","Very Slow")))</f>
        <v>Slow</v>
      </c>
      <c r="Q975" s="3">
        <f>YEAR(Ticket_Table[[#This Row],[raised_date]])</f>
        <v>2023</v>
      </c>
    </row>
    <row r="976" spans="1:17">
      <c r="A976" t="s">
        <v>1528</v>
      </c>
      <c r="B976" t="s">
        <v>630</v>
      </c>
      <c r="C976" t="s">
        <v>55</v>
      </c>
      <c r="D976" t="s">
        <v>20</v>
      </c>
      <c r="E976" t="s">
        <v>83</v>
      </c>
      <c r="F976" t="s">
        <v>38</v>
      </c>
      <c r="G976" t="s">
        <v>46</v>
      </c>
      <c r="H976" s="1">
        <v>45251</v>
      </c>
      <c r="I976" s="2">
        <v>45252.2666666667</v>
      </c>
      <c r="J976">
        <v>30.4</v>
      </c>
      <c r="K976" t="s">
        <v>32</v>
      </c>
      <c r="L976">
        <v>0</v>
      </c>
      <c r="M976">
        <v>3</v>
      </c>
      <c r="N976" t="s">
        <v>578</v>
      </c>
      <c r="O976" s="3" t="str">
        <f>TEXT(Ticket_Table[[#This Row],[raised_date]],"YYYY-MM")</f>
        <v>2023-11</v>
      </c>
      <c r="P976" s="3" t="str">
        <f>IF(Ticket_Table[[#This Row],[resolution_hrs]]&lt;=4,"Fast",IF(Ticket_Table[[#This Row],[resolution_hrs]]&lt;=24,"Normal",IF(Ticket_Table[[#This Row],[resolution_hrs]]&lt;=48,"Slow","Very Slow")))</f>
        <v>Slow</v>
      </c>
      <c r="Q976" s="3">
        <f>YEAR(Ticket_Table[[#This Row],[raised_date]])</f>
        <v>2023</v>
      </c>
    </row>
    <row r="977" spans="1:17">
      <c r="A977" t="s">
        <v>1529</v>
      </c>
      <c r="B977" t="s">
        <v>944</v>
      </c>
      <c r="C977" t="s">
        <v>64</v>
      </c>
      <c r="D977" t="s">
        <v>36</v>
      </c>
      <c r="E977" t="s">
        <v>44</v>
      </c>
      <c r="F977" t="s">
        <v>22</v>
      </c>
      <c r="G977" t="s">
        <v>23</v>
      </c>
      <c r="H977" s="1">
        <v>45153</v>
      </c>
      <c r="I977" s="2">
        <v>45156.2416666667</v>
      </c>
      <c r="J977">
        <v>77.8</v>
      </c>
      <c r="K977" t="s">
        <v>32</v>
      </c>
      <c r="L977">
        <v>0</v>
      </c>
      <c r="M977">
        <v>5</v>
      </c>
      <c r="N977" t="s">
        <v>382</v>
      </c>
      <c r="O977" s="3" t="str">
        <f>TEXT(Ticket_Table[[#This Row],[raised_date]],"YYYY-MM")</f>
        <v>2023-08</v>
      </c>
      <c r="P977" s="3" t="str">
        <f>IF(Ticket_Table[[#This Row],[resolution_hrs]]&lt;=4,"Fast",IF(Ticket_Table[[#This Row],[resolution_hrs]]&lt;=24,"Normal",IF(Ticket_Table[[#This Row],[resolution_hrs]]&lt;=48,"Slow","Very Slow")))</f>
        <v>Very Slow</v>
      </c>
      <c r="Q977" s="3">
        <f>YEAR(Ticket_Table[[#This Row],[raised_date]])</f>
        <v>2023</v>
      </c>
    </row>
    <row r="978" spans="1:17">
      <c r="A978" t="s">
        <v>1530</v>
      </c>
      <c r="B978" t="s">
        <v>158</v>
      </c>
      <c r="C978" t="s">
        <v>175</v>
      </c>
      <c r="D978" t="s">
        <v>90</v>
      </c>
      <c r="E978" t="s">
        <v>44</v>
      </c>
      <c r="F978" t="s">
        <v>22</v>
      </c>
      <c r="G978" t="s">
        <v>74</v>
      </c>
      <c r="H978" s="1">
        <v>45218</v>
      </c>
      <c r="I978" s="2">
        <v>45221.95</v>
      </c>
      <c r="J978">
        <v>94.8</v>
      </c>
      <c r="K978" t="s">
        <v>32</v>
      </c>
      <c r="L978">
        <v>1</v>
      </c>
      <c r="M978">
        <v>4</v>
      </c>
      <c r="N978" t="s">
        <v>194</v>
      </c>
      <c r="O978" s="3" t="str">
        <f>TEXT(Ticket_Table[[#This Row],[raised_date]],"YYYY-MM")</f>
        <v>2023-10</v>
      </c>
      <c r="P978" s="3" t="str">
        <f>IF(Ticket_Table[[#This Row],[resolution_hrs]]&lt;=4,"Fast",IF(Ticket_Table[[#This Row],[resolution_hrs]]&lt;=24,"Normal",IF(Ticket_Table[[#This Row],[resolution_hrs]]&lt;=48,"Slow","Very Slow")))</f>
        <v>Very Slow</v>
      </c>
      <c r="Q978" s="3">
        <f>YEAR(Ticket_Table[[#This Row],[raised_date]])</f>
        <v>2023</v>
      </c>
    </row>
    <row r="979" spans="1:17">
      <c r="A979" t="s">
        <v>1531</v>
      </c>
      <c r="B979" t="s">
        <v>886</v>
      </c>
      <c r="C979" t="s">
        <v>261</v>
      </c>
      <c r="D979" t="s">
        <v>43</v>
      </c>
      <c r="E979" t="s">
        <v>37</v>
      </c>
      <c r="F979" t="s">
        <v>70</v>
      </c>
      <c r="G979" t="s">
        <v>23</v>
      </c>
      <c r="H979" s="1">
        <v>44828</v>
      </c>
      <c r="I979" s="2">
        <v>44830.4666666667</v>
      </c>
      <c r="J979">
        <v>59.2</v>
      </c>
      <c r="K979" t="s">
        <v>32</v>
      </c>
      <c r="L979">
        <v>1</v>
      </c>
      <c r="M979">
        <v>4</v>
      </c>
      <c r="N979" t="s">
        <v>968</v>
      </c>
      <c r="O979" s="3" t="str">
        <f>TEXT(Ticket_Table[[#This Row],[raised_date]],"YYYY-MM")</f>
        <v>2022-09</v>
      </c>
      <c r="P979" s="3" t="str">
        <f>IF(Ticket_Table[[#This Row],[resolution_hrs]]&lt;=4,"Fast",IF(Ticket_Table[[#This Row],[resolution_hrs]]&lt;=24,"Normal",IF(Ticket_Table[[#This Row],[resolution_hrs]]&lt;=48,"Slow","Very Slow")))</f>
        <v>Very Slow</v>
      </c>
      <c r="Q979" s="3">
        <f>YEAR(Ticket_Table[[#This Row],[raised_date]])</f>
        <v>2022</v>
      </c>
    </row>
    <row r="980" spans="1:17">
      <c r="A980" t="s">
        <v>1532</v>
      </c>
      <c r="B980" t="s">
        <v>600</v>
      </c>
      <c r="C980" t="s">
        <v>82</v>
      </c>
      <c r="D980" t="s">
        <v>90</v>
      </c>
      <c r="E980" t="s">
        <v>166</v>
      </c>
      <c r="F980" t="s">
        <v>22</v>
      </c>
      <c r="G980" t="s">
        <v>46</v>
      </c>
      <c r="H980" s="1">
        <v>45215</v>
      </c>
      <c r="I980" s="2">
        <v>45218.7166666667</v>
      </c>
      <c r="J980">
        <v>89.2</v>
      </c>
      <c r="K980" t="s">
        <v>32</v>
      </c>
      <c r="L980">
        <v>0</v>
      </c>
      <c r="M980">
        <v>5</v>
      </c>
      <c r="N980" t="s">
        <v>1533</v>
      </c>
      <c r="O980" s="3" t="str">
        <f>TEXT(Ticket_Table[[#This Row],[raised_date]],"YYYY-MM")</f>
        <v>2023-10</v>
      </c>
      <c r="P980" s="3" t="str">
        <f>IF(Ticket_Table[[#This Row],[resolution_hrs]]&lt;=4,"Fast",IF(Ticket_Table[[#This Row],[resolution_hrs]]&lt;=24,"Normal",IF(Ticket_Table[[#This Row],[resolution_hrs]]&lt;=48,"Slow","Very Slow")))</f>
        <v>Very Slow</v>
      </c>
      <c r="Q980" s="3">
        <f>YEAR(Ticket_Table[[#This Row],[raised_date]])</f>
        <v>2023</v>
      </c>
    </row>
    <row r="981" spans="1:17">
      <c r="A981" t="s">
        <v>1534</v>
      </c>
      <c r="B981" t="s">
        <v>787</v>
      </c>
      <c r="C981" t="s">
        <v>102</v>
      </c>
      <c r="D981" t="s">
        <v>36</v>
      </c>
      <c r="E981" t="s">
        <v>166</v>
      </c>
      <c r="F981" t="s">
        <v>38</v>
      </c>
      <c r="G981" t="s">
        <v>74</v>
      </c>
      <c r="H981" s="1">
        <v>44244</v>
      </c>
      <c r="I981" s="2">
        <v>44245.0583333333</v>
      </c>
      <c r="J981">
        <v>25.4</v>
      </c>
      <c r="K981" t="s">
        <v>32</v>
      </c>
      <c r="L981">
        <v>0</v>
      </c>
      <c r="M981">
        <v>5</v>
      </c>
      <c r="N981" t="s">
        <v>161</v>
      </c>
      <c r="O981" s="3" t="str">
        <f>TEXT(Ticket_Table[[#This Row],[raised_date]],"YYYY-MM")</f>
        <v>2021-02</v>
      </c>
      <c r="P981" s="3" t="str">
        <f>IF(Ticket_Table[[#This Row],[resolution_hrs]]&lt;=4,"Fast",IF(Ticket_Table[[#This Row],[resolution_hrs]]&lt;=24,"Normal",IF(Ticket_Table[[#This Row],[resolution_hrs]]&lt;=48,"Slow","Very Slow")))</f>
        <v>Slow</v>
      </c>
      <c r="Q981" s="3">
        <f>YEAR(Ticket_Table[[#This Row],[raised_date]])</f>
        <v>2021</v>
      </c>
    </row>
    <row r="982" spans="1:17">
      <c r="A982" t="s">
        <v>1535</v>
      </c>
      <c r="B982" t="s">
        <v>431</v>
      </c>
      <c r="C982" t="s">
        <v>201</v>
      </c>
      <c r="D982" t="s">
        <v>29</v>
      </c>
      <c r="E982" t="s">
        <v>37</v>
      </c>
      <c r="F982" t="s">
        <v>45</v>
      </c>
      <c r="G982" t="s">
        <v>23</v>
      </c>
      <c r="H982" s="1">
        <v>44381</v>
      </c>
      <c r="I982" s="2">
        <v>44381.1458333333</v>
      </c>
      <c r="J982">
        <v>3.5</v>
      </c>
      <c r="K982" t="s">
        <v>24</v>
      </c>
      <c r="L982">
        <v>0</v>
      </c>
      <c r="M982">
        <v>4</v>
      </c>
      <c r="N982" t="s">
        <v>858</v>
      </c>
      <c r="O982" s="3" t="str">
        <f>TEXT(Ticket_Table[[#This Row],[raised_date]],"YYYY-MM")</f>
        <v>2021-07</v>
      </c>
      <c r="P982" s="3" t="str">
        <f>IF(Ticket_Table[[#This Row],[resolution_hrs]]&lt;=4,"Fast",IF(Ticket_Table[[#This Row],[resolution_hrs]]&lt;=24,"Normal",IF(Ticket_Table[[#This Row],[resolution_hrs]]&lt;=48,"Slow","Very Slow")))</f>
        <v>Fast</v>
      </c>
      <c r="Q982" s="3">
        <f>YEAR(Ticket_Table[[#This Row],[raised_date]])</f>
        <v>2021</v>
      </c>
    </row>
    <row r="983" spans="1:17">
      <c r="A983" t="s">
        <v>1536</v>
      </c>
      <c r="B983" t="s">
        <v>255</v>
      </c>
      <c r="C983" t="s">
        <v>117</v>
      </c>
      <c r="D983" t="s">
        <v>90</v>
      </c>
      <c r="E983" t="s">
        <v>30</v>
      </c>
      <c r="F983" t="s">
        <v>70</v>
      </c>
      <c r="G983" t="s">
        <v>23</v>
      </c>
      <c r="H983" s="1">
        <v>45002</v>
      </c>
      <c r="I983" s="2">
        <v>45003.0833333333</v>
      </c>
      <c r="J983">
        <v>26</v>
      </c>
      <c r="K983" t="s">
        <v>24</v>
      </c>
      <c r="L983">
        <v>1</v>
      </c>
      <c r="M983">
        <v>5</v>
      </c>
      <c r="N983" t="s">
        <v>491</v>
      </c>
      <c r="O983" s="3" t="str">
        <f>TEXT(Ticket_Table[[#This Row],[raised_date]],"YYYY-MM")</f>
        <v>2023-03</v>
      </c>
      <c r="P983" s="3" t="str">
        <f>IF(Ticket_Table[[#This Row],[resolution_hrs]]&lt;=4,"Fast",IF(Ticket_Table[[#This Row],[resolution_hrs]]&lt;=24,"Normal",IF(Ticket_Table[[#This Row],[resolution_hrs]]&lt;=48,"Slow","Very Slow")))</f>
        <v>Slow</v>
      </c>
      <c r="Q983" s="3">
        <f>YEAR(Ticket_Table[[#This Row],[raised_date]])</f>
        <v>2023</v>
      </c>
    </row>
    <row r="984" spans="1:17">
      <c r="A984" t="s">
        <v>1537</v>
      </c>
      <c r="B984" t="s">
        <v>720</v>
      </c>
      <c r="C984" t="s">
        <v>82</v>
      </c>
      <c r="D984" t="s">
        <v>20</v>
      </c>
      <c r="E984" t="s">
        <v>106</v>
      </c>
      <c r="F984" t="s">
        <v>70</v>
      </c>
      <c r="G984" t="s">
        <v>74</v>
      </c>
      <c r="H984" s="1">
        <v>45232</v>
      </c>
      <c r="I984" s="2">
        <v>45233.825</v>
      </c>
      <c r="J984">
        <v>43.8</v>
      </c>
      <c r="K984" t="s">
        <v>24</v>
      </c>
      <c r="L984">
        <v>2</v>
      </c>
      <c r="M984">
        <v>4</v>
      </c>
      <c r="N984" t="s">
        <v>643</v>
      </c>
      <c r="O984" s="3" t="str">
        <f>TEXT(Ticket_Table[[#This Row],[raised_date]],"YYYY-MM")</f>
        <v>2023-11</v>
      </c>
      <c r="P984" s="3" t="str">
        <f>IF(Ticket_Table[[#This Row],[resolution_hrs]]&lt;=4,"Fast",IF(Ticket_Table[[#This Row],[resolution_hrs]]&lt;=24,"Normal",IF(Ticket_Table[[#This Row],[resolution_hrs]]&lt;=48,"Slow","Very Slow")))</f>
        <v>Slow</v>
      </c>
      <c r="Q984" s="3">
        <f>YEAR(Ticket_Table[[#This Row],[raised_date]])</f>
        <v>2023</v>
      </c>
    </row>
    <row r="985" spans="1:17">
      <c r="A985" t="s">
        <v>1538</v>
      </c>
      <c r="B985" t="s">
        <v>376</v>
      </c>
      <c r="C985" t="s">
        <v>213</v>
      </c>
      <c r="D985" t="s">
        <v>20</v>
      </c>
      <c r="E985" t="s">
        <v>166</v>
      </c>
      <c r="F985" t="s">
        <v>45</v>
      </c>
      <c r="G985" t="s">
        <v>23</v>
      </c>
      <c r="H985" s="1">
        <v>45133</v>
      </c>
      <c r="I985" s="2">
        <v>45133.2125</v>
      </c>
      <c r="J985">
        <v>5.1</v>
      </c>
      <c r="K985" t="s">
        <v>32</v>
      </c>
      <c r="L985">
        <v>0</v>
      </c>
      <c r="M985">
        <v>4</v>
      </c>
      <c r="N985" t="s">
        <v>658</v>
      </c>
      <c r="O985" s="3" t="str">
        <f>TEXT(Ticket_Table[[#This Row],[raised_date]],"YYYY-MM")</f>
        <v>2023-07</v>
      </c>
      <c r="P985" s="3" t="str">
        <f>IF(Ticket_Table[[#This Row],[resolution_hrs]]&lt;=4,"Fast",IF(Ticket_Table[[#This Row],[resolution_hrs]]&lt;=24,"Normal",IF(Ticket_Table[[#This Row],[resolution_hrs]]&lt;=48,"Slow","Very Slow")))</f>
        <v>Normal</v>
      </c>
      <c r="Q985" s="3">
        <f>YEAR(Ticket_Table[[#This Row],[raised_date]])</f>
        <v>2023</v>
      </c>
    </row>
    <row r="986" spans="1:17">
      <c r="A986" t="s">
        <v>1539</v>
      </c>
      <c r="B986" t="s">
        <v>165</v>
      </c>
      <c r="C986" t="s">
        <v>287</v>
      </c>
      <c r="D986" t="s">
        <v>20</v>
      </c>
      <c r="E986" t="s">
        <v>106</v>
      </c>
      <c r="F986" t="s">
        <v>70</v>
      </c>
      <c r="G986" t="s">
        <v>91</v>
      </c>
      <c r="H986" s="1">
        <v>44690</v>
      </c>
      <c r="I986" s="2">
        <v>44692.225</v>
      </c>
      <c r="J986">
        <v>53.4</v>
      </c>
      <c r="K986" t="s">
        <v>32</v>
      </c>
      <c r="L986">
        <v>1</v>
      </c>
      <c r="M986">
        <v>4</v>
      </c>
      <c r="N986" t="s">
        <v>455</v>
      </c>
      <c r="O986" s="3" t="str">
        <f>TEXT(Ticket_Table[[#This Row],[raised_date]],"YYYY-MM")</f>
        <v>2022-05</v>
      </c>
      <c r="P986" s="3" t="str">
        <f>IF(Ticket_Table[[#This Row],[resolution_hrs]]&lt;=4,"Fast",IF(Ticket_Table[[#This Row],[resolution_hrs]]&lt;=24,"Normal",IF(Ticket_Table[[#This Row],[resolution_hrs]]&lt;=48,"Slow","Very Slow")))</f>
        <v>Very Slow</v>
      </c>
      <c r="Q986" s="3">
        <f>YEAR(Ticket_Table[[#This Row],[raised_date]])</f>
        <v>2022</v>
      </c>
    </row>
    <row r="987" spans="1:17">
      <c r="A987" t="s">
        <v>1540</v>
      </c>
      <c r="B987" t="s">
        <v>529</v>
      </c>
      <c r="C987" t="s">
        <v>50</v>
      </c>
      <c r="D987" t="s">
        <v>29</v>
      </c>
      <c r="E987" t="s">
        <v>166</v>
      </c>
      <c r="F987" t="s">
        <v>70</v>
      </c>
      <c r="G987" t="s">
        <v>46</v>
      </c>
      <c r="H987" s="1">
        <v>44637</v>
      </c>
      <c r="I987" s="2">
        <v>44638.3833333333</v>
      </c>
      <c r="J987">
        <v>33.2</v>
      </c>
      <c r="K987" t="s">
        <v>24</v>
      </c>
      <c r="L987">
        <v>0</v>
      </c>
      <c r="M987">
        <v>4</v>
      </c>
      <c r="N987" t="s">
        <v>1252</v>
      </c>
      <c r="O987" s="3" t="str">
        <f>TEXT(Ticket_Table[[#This Row],[raised_date]],"YYYY-MM")</f>
        <v>2022-03</v>
      </c>
      <c r="P987" s="3" t="str">
        <f>IF(Ticket_Table[[#This Row],[resolution_hrs]]&lt;=4,"Fast",IF(Ticket_Table[[#This Row],[resolution_hrs]]&lt;=24,"Normal",IF(Ticket_Table[[#This Row],[resolution_hrs]]&lt;=48,"Slow","Very Slow")))</f>
        <v>Slow</v>
      </c>
      <c r="Q987" s="3">
        <f>YEAR(Ticket_Table[[#This Row],[raised_date]])</f>
        <v>2022</v>
      </c>
    </row>
    <row r="988" spans="1:17">
      <c r="A988" t="s">
        <v>1541</v>
      </c>
      <c r="B988" t="s">
        <v>835</v>
      </c>
      <c r="C988" t="s">
        <v>19</v>
      </c>
      <c r="D988" t="s">
        <v>36</v>
      </c>
      <c r="E988" t="s">
        <v>21</v>
      </c>
      <c r="F988" t="s">
        <v>70</v>
      </c>
      <c r="G988" t="s">
        <v>23</v>
      </c>
      <c r="H988" s="1">
        <v>44919</v>
      </c>
      <c r="I988" s="2">
        <v>44919.1208333333</v>
      </c>
      <c r="J988">
        <v>2.9</v>
      </c>
      <c r="K988" t="s">
        <v>24</v>
      </c>
      <c r="L988">
        <v>0</v>
      </c>
      <c r="M988">
        <v>4</v>
      </c>
      <c r="N988" t="s">
        <v>950</v>
      </c>
      <c r="O988" s="3" t="str">
        <f>TEXT(Ticket_Table[[#This Row],[raised_date]],"YYYY-MM")</f>
        <v>2022-12</v>
      </c>
      <c r="P988" s="3" t="str">
        <f>IF(Ticket_Table[[#This Row],[resolution_hrs]]&lt;=4,"Fast",IF(Ticket_Table[[#This Row],[resolution_hrs]]&lt;=24,"Normal",IF(Ticket_Table[[#This Row],[resolution_hrs]]&lt;=48,"Slow","Very Slow")))</f>
        <v>Fast</v>
      </c>
      <c r="Q988" s="3">
        <f>YEAR(Ticket_Table[[#This Row],[raised_date]])</f>
        <v>2022</v>
      </c>
    </row>
    <row r="989" spans="1:17">
      <c r="A989" t="s">
        <v>1542</v>
      </c>
      <c r="B989" t="s">
        <v>710</v>
      </c>
      <c r="C989" t="s">
        <v>64</v>
      </c>
      <c r="D989" t="s">
        <v>43</v>
      </c>
      <c r="E989" t="s">
        <v>30</v>
      </c>
      <c r="F989" t="s">
        <v>45</v>
      </c>
      <c r="G989" t="s">
        <v>74</v>
      </c>
      <c r="H989" s="1">
        <v>44296</v>
      </c>
      <c r="I989" s="2">
        <v>44296.0541666667</v>
      </c>
      <c r="J989">
        <v>1.3</v>
      </c>
      <c r="K989" t="s">
        <v>24</v>
      </c>
      <c r="L989">
        <v>0</v>
      </c>
      <c r="M989">
        <v>4</v>
      </c>
      <c r="N989" t="s">
        <v>454</v>
      </c>
      <c r="O989" s="3" t="str">
        <f>TEXT(Ticket_Table[[#This Row],[raised_date]],"YYYY-MM")</f>
        <v>2021-04</v>
      </c>
      <c r="P989" s="3" t="str">
        <f>IF(Ticket_Table[[#This Row],[resolution_hrs]]&lt;=4,"Fast",IF(Ticket_Table[[#This Row],[resolution_hrs]]&lt;=24,"Normal",IF(Ticket_Table[[#This Row],[resolution_hrs]]&lt;=48,"Slow","Very Slow")))</f>
        <v>Fast</v>
      </c>
      <c r="Q989" s="3">
        <f>YEAR(Ticket_Table[[#This Row],[raised_date]])</f>
        <v>2021</v>
      </c>
    </row>
    <row r="990" spans="1:17">
      <c r="A990" t="s">
        <v>1543</v>
      </c>
      <c r="B990" t="s">
        <v>320</v>
      </c>
      <c r="C990" t="s">
        <v>42</v>
      </c>
      <c r="D990" t="s">
        <v>36</v>
      </c>
      <c r="E990" t="s">
        <v>56</v>
      </c>
      <c r="F990" t="s">
        <v>70</v>
      </c>
      <c r="G990" t="s">
        <v>46</v>
      </c>
      <c r="H990" s="1">
        <v>44300</v>
      </c>
      <c r="I990" s="2">
        <v>44301.9416666667</v>
      </c>
      <c r="J990">
        <v>46.6</v>
      </c>
      <c r="K990" t="s">
        <v>24</v>
      </c>
      <c r="L990">
        <v>0</v>
      </c>
      <c r="M990">
        <v>3</v>
      </c>
      <c r="N990" t="s">
        <v>235</v>
      </c>
      <c r="O990" s="3" t="str">
        <f>TEXT(Ticket_Table[[#This Row],[raised_date]],"YYYY-MM")</f>
        <v>2021-04</v>
      </c>
      <c r="P990" s="3" t="str">
        <f>IF(Ticket_Table[[#This Row],[resolution_hrs]]&lt;=4,"Fast",IF(Ticket_Table[[#This Row],[resolution_hrs]]&lt;=24,"Normal",IF(Ticket_Table[[#This Row],[resolution_hrs]]&lt;=48,"Slow","Very Slow")))</f>
        <v>Slow</v>
      </c>
      <c r="Q990" s="3">
        <f>YEAR(Ticket_Table[[#This Row],[raised_date]])</f>
        <v>2021</v>
      </c>
    </row>
    <row r="991" spans="1:17">
      <c r="A991" t="s">
        <v>1544</v>
      </c>
      <c r="B991" t="s">
        <v>680</v>
      </c>
      <c r="C991" t="s">
        <v>287</v>
      </c>
      <c r="D991" t="s">
        <v>29</v>
      </c>
      <c r="E991" t="s">
        <v>30</v>
      </c>
      <c r="F991" t="s">
        <v>38</v>
      </c>
      <c r="G991" t="s">
        <v>31</v>
      </c>
      <c r="H991" s="1">
        <v>44773</v>
      </c>
      <c r="I991" s="2">
        <v>44773.9625</v>
      </c>
      <c r="J991">
        <v>23.1</v>
      </c>
      <c r="K991" t="s">
        <v>24</v>
      </c>
      <c r="L991">
        <v>0</v>
      </c>
      <c r="M991">
        <v>4</v>
      </c>
      <c r="N991" t="s">
        <v>1112</v>
      </c>
      <c r="O991" s="3" t="str">
        <f>TEXT(Ticket_Table[[#This Row],[raised_date]],"YYYY-MM")</f>
        <v>2022-07</v>
      </c>
      <c r="P991" s="3" t="str">
        <f>IF(Ticket_Table[[#This Row],[resolution_hrs]]&lt;=4,"Fast",IF(Ticket_Table[[#This Row],[resolution_hrs]]&lt;=24,"Normal",IF(Ticket_Table[[#This Row],[resolution_hrs]]&lt;=48,"Slow","Very Slow")))</f>
        <v>Normal</v>
      </c>
      <c r="Q991" s="3">
        <f>YEAR(Ticket_Table[[#This Row],[raised_date]])</f>
        <v>2022</v>
      </c>
    </row>
    <row r="992" spans="1:17">
      <c r="A992" t="s">
        <v>1545</v>
      </c>
      <c r="B992" t="s">
        <v>458</v>
      </c>
      <c r="C992" t="s">
        <v>287</v>
      </c>
      <c r="D992" t="s">
        <v>20</v>
      </c>
      <c r="E992" t="s">
        <v>44</v>
      </c>
      <c r="F992" t="s">
        <v>38</v>
      </c>
      <c r="G992" t="s">
        <v>23</v>
      </c>
      <c r="H992" s="1">
        <v>45210</v>
      </c>
      <c r="I992" s="2">
        <v>45211.1958333333</v>
      </c>
      <c r="J992">
        <v>28.7</v>
      </c>
      <c r="K992" t="s">
        <v>32</v>
      </c>
      <c r="L992">
        <v>2</v>
      </c>
      <c r="M992">
        <v>4</v>
      </c>
      <c r="N992" t="s">
        <v>275</v>
      </c>
      <c r="O992" s="3" t="str">
        <f>TEXT(Ticket_Table[[#This Row],[raised_date]],"YYYY-MM")</f>
        <v>2023-10</v>
      </c>
      <c r="P992" s="3" t="str">
        <f>IF(Ticket_Table[[#This Row],[resolution_hrs]]&lt;=4,"Fast",IF(Ticket_Table[[#This Row],[resolution_hrs]]&lt;=24,"Normal",IF(Ticket_Table[[#This Row],[resolution_hrs]]&lt;=48,"Slow","Very Slow")))</f>
        <v>Slow</v>
      </c>
      <c r="Q992" s="3">
        <f>YEAR(Ticket_Table[[#This Row],[raised_date]])</f>
        <v>2023</v>
      </c>
    </row>
    <row r="993" spans="1:17">
      <c r="A993" t="s">
        <v>1546</v>
      </c>
      <c r="B993" t="s">
        <v>950</v>
      </c>
      <c r="C993" t="s">
        <v>28</v>
      </c>
      <c r="D993" t="s">
        <v>36</v>
      </c>
      <c r="E993" t="s">
        <v>37</v>
      </c>
      <c r="F993" t="s">
        <v>70</v>
      </c>
      <c r="G993" t="s">
        <v>23</v>
      </c>
      <c r="H993" s="1">
        <v>45160</v>
      </c>
      <c r="I993" s="2">
        <v>45160.4458333333</v>
      </c>
      <c r="J993">
        <v>10.7</v>
      </c>
      <c r="K993" t="s">
        <v>24</v>
      </c>
      <c r="L993">
        <v>0</v>
      </c>
      <c r="M993">
        <v>5</v>
      </c>
      <c r="N993" t="s">
        <v>61</v>
      </c>
      <c r="O993" s="3" t="str">
        <f>TEXT(Ticket_Table[[#This Row],[raised_date]],"YYYY-MM")</f>
        <v>2023-08</v>
      </c>
      <c r="P993" s="3" t="str">
        <f>IF(Ticket_Table[[#This Row],[resolution_hrs]]&lt;=4,"Fast",IF(Ticket_Table[[#This Row],[resolution_hrs]]&lt;=24,"Normal",IF(Ticket_Table[[#This Row],[resolution_hrs]]&lt;=48,"Slow","Very Slow")))</f>
        <v>Normal</v>
      </c>
      <c r="Q993" s="3">
        <f>YEAR(Ticket_Table[[#This Row],[raised_date]])</f>
        <v>2023</v>
      </c>
    </row>
    <row r="994" spans="1:17">
      <c r="A994" t="s">
        <v>1547</v>
      </c>
      <c r="B994" t="s">
        <v>833</v>
      </c>
      <c r="C994" t="s">
        <v>213</v>
      </c>
      <c r="D994" t="s">
        <v>43</v>
      </c>
      <c r="E994" t="s">
        <v>44</v>
      </c>
      <c r="F994" t="s">
        <v>70</v>
      </c>
      <c r="G994" t="s">
        <v>46</v>
      </c>
      <c r="H994" s="1">
        <v>44782</v>
      </c>
      <c r="I994" s="2">
        <v>44783.225</v>
      </c>
      <c r="J994">
        <v>29.4</v>
      </c>
      <c r="K994" t="s">
        <v>24</v>
      </c>
      <c r="L994">
        <v>0</v>
      </c>
      <c r="M994">
        <v>3</v>
      </c>
      <c r="N994" t="s">
        <v>434</v>
      </c>
      <c r="O994" s="3" t="str">
        <f>TEXT(Ticket_Table[[#This Row],[raised_date]],"YYYY-MM")</f>
        <v>2022-08</v>
      </c>
      <c r="P994" s="3" t="str">
        <f>IF(Ticket_Table[[#This Row],[resolution_hrs]]&lt;=4,"Fast",IF(Ticket_Table[[#This Row],[resolution_hrs]]&lt;=24,"Normal",IF(Ticket_Table[[#This Row],[resolution_hrs]]&lt;=48,"Slow","Very Slow")))</f>
        <v>Slow</v>
      </c>
      <c r="Q994" s="3">
        <f>YEAR(Ticket_Table[[#This Row],[raised_date]])</f>
        <v>2022</v>
      </c>
    </row>
    <row r="995" spans="1:17">
      <c r="A995" t="s">
        <v>1548</v>
      </c>
      <c r="B995" t="s">
        <v>471</v>
      </c>
      <c r="C995" t="s">
        <v>78</v>
      </c>
      <c r="D995" t="s">
        <v>20</v>
      </c>
      <c r="E995" t="s">
        <v>56</v>
      </c>
      <c r="F995" t="s">
        <v>38</v>
      </c>
      <c r="G995" t="s">
        <v>31</v>
      </c>
      <c r="H995" s="1">
        <v>44213</v>
      </c>
      <c r="I995" s="2">
        <v>44213.9583333333</v>
      </c>
      <c r="J995">
        <v>23</v>
      </c>
      <c r="K995" t="s">
        <v>24</v>
      </c>
      <c r="L995">
        <v>1</v>
      </c>
      <c r="M995">
        <v>5</v>
      </c>
      <c r="N995" t="s">
        <v>510</v>
      </c>
      <c r="O995" s="3" t="str">
        <f>TEXT(Ticket_Table[[#This Row],[raised_date]],"YYYY-MM")</f>
        <v>2021-01</v>
      </c>
      <c r="P995" s="3" t="str">
        <f>IF(Ticket_Table[[#This Row],[resolution_hrs]]&lt;=4,"Fast",IF(Ticket_Table[[#This Row],[resolution_hrs]]&lt;=24,"Normal",IF(Ticket_Table[[#This Row],[resolution_hrs]]&lt;=48,"Slow","Very Slow")))</f>
        <v>Normal</v>
      </c>
      <c r="Q995" s="3">
        <f>YEAR(Ticket_Table[[#This Row],[raised_date]])</f>
        <v>2021</v>
      </c>
    </row>
    <row r="996" spans="1:17">
      <c r="A996" t="s">
        <v>1549</v>
      </c>
      <c r="B996" t="s">
        <v>405</v>
      </c>
      <c r="C996" t="s">
        <v>50</v>
      </c>
      <c r="D996" t="s">
        <v>43</v>
      </c>
      <c r="E996" t="s">
        <v>83</v>
      </c>
      <c r="F996" t="s">
        <v>70</v>
      </c>
      <c r="G996" t="s">
        <v>31</v>
      </c>
      <c r="H996" s="1">
        <v>44417</v>
      </c>
      <c r="I996" s="2">
        <v>44417.9708333333</v>
      </c>
      <c r="J996">
        <v>23.3</v>
      </c>
      <c r="K996" t="s">
        <v>24</v>
      </c>
      <c r="L996">
        <v>0</v>
      </c>
      <c r="M996">
        <v>5</v>
      </c>
      <c r="N996" t="s">
        <v>849</v>
      </c>
      <c r="O996" s="3" t="str">
        <f>TEXT(Ticket_Table[[#This Row],[raised_date]],"YYYY-MM")</f>
        <v>2021-08</v>
      </c>
      <c r="P996" s="3" t="str">
        <f>IF(Ticket_Table[[#This Row],[resolution_hrs]]&lt;=4,"Fast",IF(Ticket_Table[[#This Row],[resolution_hrs]]&lt;=24,"Normal",IF(Ticket_Table[[#This Row],[resolution_hrs]]&lt;=48,"Slow","Very Slow")))</f>
        <v>Normal</v>
      </c>
      <c r="Q996" s="3">
        <f>YEAR(Ticket_Table[[#This Row],[raised_date]])</f>
        <v>2021</v>
      </c>
    </row>
    <row r="997" spans="1:17">
      <c r="A997" t="s">
        <v>1550</v>
      </c>
      <c r="B997" t="s">
        <v>935</v>
      </c>
      <c r="C997" t="s">
        <v>42</v>
      </c>
      <c r="D997" t="s">
        <v>90</v>
      </c>
      <c r="E997" t="s">
        <v>44</v>
      </c>
      <c r="F997" t="s">
        <v>38</v>
      </c>
      <c r="G997" t="s">
        <v>46</v>
      </c>
      <c r="H997" s="1">
        <v>45079</v>
      </c>
      <c r="I997" s="2">
        <v>45079.1625</v>
      </c>
      <c r="J997">
        <v>3.9</v>
      </c>
      <c r="K997" t="s">
        <v>24</v>
      </c>
      <c r="L997">
        <v>0</v>
      </c>
      <c r="M997">
        <v>4</v>
      </c>
      <c r="N997" t="s">
        <v>931</v>
      </c>
      <c r="O997" s="3" t="str">
        <f>TEXT(Ticket_Table[[#This Row],[raised_date]],"YYYY-MM")</f>
        <v>2023-06</v>
      </c>
      <c r="P997" s="3" t="str">
        <f>IF(Ticket_Table[[#This Row],[resolution_hrs]]&lt;=4,"Fast",IF(Ticket_Table[[#This Row],[resolution_hrs]]&lt;=24,"Normal",IF(Ticket_Table[[#This Row],[resolution_hrs]]&lt;=48,"Slow","Very Slow")))</f>
        <v>Fast</v>
      </c>
      <c r="Q997" s="3">
        <f>YEAR(Ticket_Table[[#This Row],[raised_date]])</f>
        <v>2023</v>
      </c>
    </row>
    <row r="998" spans="1:17">
      <c r="A998" t="s">
        <v>1551</v>
      </c>
      <c r="B998" t="s">
        <v>146</v>
      </c>
      <c r="C998" t="s">
        <v>50</v>
      </c>
      <c r="D998" t="s">
        <v>43</v>
      </c>
      <c r="E998" t="s">
        <v>44</v>
      </c>
      <c r="F998" t="s">
        <v>45</v>
      </c>
      <c r="G998" t="s">
        <v>74</v>
      </c>
      <c r="H998" s="1">
        <v>44471</v>
      </c>
      <c r="I998" s="2">
        <v>44471.075</v>
      </c>
      <c r="J998">
        <v>1.8</v>
      </c>
      <c r="K998" t="s">
        <v>24</v>
      </c>
      <c r="L998">
        <v>0</v>
      </c>
      <c r="M998">
        <v>4</v>
      </c>
      <c r="N998" t="s">
        <v>86</v>
      </c>
      <c r="O998" s="3" t="str">
        <f>TEXT(Ticket_Table[[#This Row],[raised_date]],"YYYY-MM")</f>
        <v>2021-10</v>
      </c>
      <c r="P998" s="3" t="str">
        <f>IF(Ticket_Table[[#This Row],[resolution_hrs]]&lt;=4,"Fast",IF(Ticket_Table[[#This Row],[resolution_hrs]]&lt;=24,"Normal",IF(Ticket_Table[[#This Row],[resolution_hrs]]&lt;=48,"Slow","Very Slow")))</f>
        <v>Fast</v>
      </c>
      <c r="Q998" s="3">
        <f>YEAR(Ticket_Table[[#This Row],[raised_date]])</f>
        <v>2021</v>
      </c>
    </row>
    <row r="999" spans="1:17">
      <c r="A999" t="s">
        <v>1552</v>
      </c>
      <c r="B999" t="s">
        <v>460</v>
      </c>
      <c r="C999" t="s">
        <v>140</v>
      </c>
      <c r="D999" t="s">
        <v>20</v>
      </c>
      <c r="E999" t="s">
        <v>44</v>
      </c>
      <c r="F999" t="s">
        <v>70</v>
      </c>
      <c r="G999" t="s">
        <v>74</v>
      </c>
      <c r="H999" s="1">
        <v>44738</v>
      </c>
      <c r="I999" s="2">
        <v>44739.5708333333</v>
      </c>
      <c r="J999">
        <v>37.7</v>
      </c>
      <c r="K999" t="s">
        <v>24</v>
      </c>
      <c r="L999">
        <v>1</v>
      </c>
      <c r="M999">
        <v>4</v>
      </c>
      <c r="N999" t="s">
        <v>826</v>
      </c>
      <c r="O999" s="3" t="str">
        <f>TEXT(Ticket_Table[[#This Row],[raised_date]],"YYYY-MM")</f>
        <v>2022-06</v>
      </c>
      <c r="P999" s="3" t="str">
        <f>IF(Ticket_Table[[#This Row],[resolution_hrs]]&lt;=4,"Fast",IF(Ticket_Table[[#This Row],[resolution_hrs]]&lt;=24,"Normal",IF(Ticket_Table[[#This Row],[resolution_hrs]]&lt;=48,"Slow","Very Slow")))</f>
        <v>Slow</v>
      </c>
      <c r="Q999" s="3">
        <f>YEAR(Ticket_Table[[#This Row],[raised_date]])</f>
        <v>2022</v>
      </c>
    </row>
    <row r="1000" spans="1:17">
      <c r="A1000" t="s">
        <v>1553</v>
      </c>
      <c r="B1000" t="s">
        <v>238</v>
      </c>
      <c r="C1000" t="s">
        <v>102</v>
      </c>
      <c r="D1000" t="s">
        <v>90</v>
      </c>
      <c r="E1000" t="s">
        <v>51</v>
      </c>
      <c r="F1000" t="s">
        <v>38</v>
      </c>
      <c r="G1000" t="s">
        <v>31</v>
      </c>
      <c r="H1000" s="1">
        <v>44946</v>
      </c>
      <c r="I1000" s="2">
        <v>44947.4541666667</v>
      </c>
      <c r="J1000">
        <v>34.9</v>
      </c>
      <c r="K1000" t="s">
        <v>32</v>
      </c>
      <c r="L1000">
        <v>0</v>
      </c>
      <c r="M1000">
        <v>5</v>
      </c>
      <c r="N1000" t="s">
        <v>349</v>
      </c>
      <c r="O1000" s="3" t="str">
        <f>TEXT(Ticket_Table[[#This Row],[raised_date]],"YYYY-MM")</f>
        <v>2023-01</v>
      </c>
      <c r="P1000" s="3" t="str">
        <f>IF(Ticket_Table[[#This Row],[resolution_hrs]]&lt;=4,"Fast",IF(Ticket_Table[[#This Row],[resolution_hrs]]&lt;=24,"Normal",IF(Ticket_Table[[#This Row],[resolution_hrs]]&lt;=48,"Slow","Very Slow")))</f>
        <v>Slow</v>
      </c>
      <c r="Q1000" s="3">
        <f>YEAR(Ticket_Table[[#This Row],[raised_date]])</f>
        <v>2023</v>
      </c>
    </row>
    <row r="1001" spans="1:17">
      <c r="A1001" t="s">
        <v>1554</v>
      </c>
      <c r="B1001" t="s">
        <v>1013</v>
      </c>
      <c r="C1001" t="s">
        <v>102</v>
      </c>
      <c r="D1001" t="s">
        <v>20</v>
      </c>
      <c r="E1001" t="s">
        <v>106</v>
      </c>
      <c r="F1001" t="s">
        <v>38</v>
      </c>
      <c r="G1001" t="s">
        <v>46</v>
      </c>
      <c r="H1001" s="1">
        <v>45022</v>
      </c>
      <c r="I1001" s="2">
        <v>45023.2541666667</v>
      </c>
      <c r="J1001">
        <v>30.1</v>
      </c>
      <c r="K1001" t="s">
        <v>32</v>
      </c>
      <c r="L1001">
        <v>0</v>
      </c>
      <c r="M1001">
        <v>4</v>
      </c>
      <c r="N1001" t="s">
        <v>944</v>
      </c>
      <c r="O1001" s="3" t="str">
        <f>TEXT(Ticket_Table[[#This Row],[raised_date]],"YYYY-MM")</f>
        <v>2023-04</v>
      </c>
      <c r="P1001" s="3" t="str">
        <f>IF(Ticket_Table[[#This Row],[resolution_hrs]]&lt;=4,"Fast",IF(Ticket_Table[[#This Row],[resolution_hrs]]&lt;=24,"Normal",IF(Ticket_Table[[#This Row],[resolution_hrs]]&lt;=48,"Slow","Very Slow")))</f>
        <v>Slow</v>
      </c>
      <c r="Q1001" s="3">
        <f>YEAR(Ticket_Table[[#This Row],[raised_date]])</f>
        <v>2023</v>
      </c>
    </row>
    <row r="1002" spans="1:17">
      <c r="A1002" t="s">
        <v>1555</v>
      </c>
      <c r="B1002" t="s">
        <v>637</v>
      </c>
      <c r="C1002" t="s">
        <v>60</v>
      </c>
      <c r="D1002" t="s">
        <v>20</v>
      </c>
      <c r="E1002" t="s">
        <v>30</v>
      </c>
      <c r="F1002" t="s">
        <v>38</v>
      </c>
      <c r="G1002" t="s">
        <v>23</v>
      </c>
      <c r="H1002" s="1">
        <v>44946</v>
      </c>
      <c r="I1002" s="2">
        <v>44947.1541666667</v>
      </c>
      <c r="J1002">
        <v>27.7</v>
      </c>
      <c r="K1002" t="s">
        <v>32</v>
      </c>
      <c r="L1002">
        <v>0</v>
      </c>
      <c r="M1002">
        <v>3</v>
      </c>
      <c r="N1002" t="s">
        <v>161</v>
      </c>
      <c r="O1002" s="3" t="str">
        <f>TEXT(Ticket_Table[[#This Row],[raised_date]],"YYYY-MM")</f>
        <v>2023-01</v>
      </c>
      <c r="P1002" s="3" t="str">
        <f>IF(Ticket_Table[[#This Row],[resolution_hrs]]&lt;=4,"Fast",IF(Ticket_Table[[#This Row],[resolution_hrs]]&lt;=24,"Normal",IF(Ticket_Table[[#This Row],[resolution_hrs]]&lt;=48,"Slow","Very Slow")))</f>
        <v>Slow</v>
      </c>
      <c r="Q1002" s="3">
        <f>YEAR(Ticket_Table[[#This Row],[raised_date]])</f>
        <v>2023</v>
      </c>
    </row>
    <row r="1003" spans="1:17">
      <c r="A1003" t="s">
        <v>1556</v>
      </c>
      <c r="B1003" t="s">
        <v>552</v>
      </c>
      <c r="C1003" t="s">
        <v>68</v>
      </c>
      <c r="D1003" t="s">
        <v>90</v>
      </c>
      <c r="E1003" t="s">
        <v>83</v>
      </c>
      <c r="F1003" t="s">
        <v>70</v>
      </c>
      <c r="G1003" t="s">
        <v>46</v>
      </c>
      <c r="H1003" s="1">
        <v>44289</v>
      </c>
      <c r="I1003" s="2">
        <v>44291.5458333333</v>
      </c>
      <c r="J1003">
        <v>61.1</v>
      </c>
      <c r="K1003" t="s">
        <v>32</v>
      </c>
      <c r="L1003">
        <v>2</v>
      </c>
      <c r="M1003">
        <v>4</v>
      </c>
      <c r="N1003" t="s">
        <v>403</v>
      </c>
      <c r="O1003" s="3" t="str">
        <f>TEXT(Ticket_Table[[#This Row],[raised_date]],"YYYY-MM")</f>
        <v>2021-04</v>
      </c>
      <c r="P1003" s="3" t="str">
        <f>IF(Ticket_Table[[#This Row],[resolution_hrs]]&lt;=4,"Fast",IF(Ticket_Table[[#This Row],[resolution_hrs]]&lt;=24,"Normal",IF(Ticket_Table[[#This Row],[resolution_hrs]]&lt;=48,"Slow","Very Slow")))</f>
        <v>Very Slow</v>
      </c>
      <c r="Q1003" s="3">
        <f>YEAR(Ticket_Table[[#This Row],[raised_date]])</f>
        <v>2021</v>
      </c>
    </row>
    <row r="1004" spans="1:17">
      <c r="A1004" t="s">
        <v>1557</v>
      </c>
      <c r="B1004" t="s">
        <v>562</v>
      </c>
      <c r="C1004" t="s">
        <v>287</v>
      </c>
      <c r="D1004" t="s">
        <v>43</v>
      </c>
      <c r="E1004" t="s">
        <v>30</v>
      </c>
      <c r="F1004" t="s">
        <v>22</v>
      </c>
      <c r="G1004" t="s">
        <v>46</v>
      </c>
      <c r="H1004" s="1">
        <v>45017</v>
      </c>
      <c r="I1004" s="2">
        <v>45020.1</v>
      </c>
      <c r="J1004">
        <v>74.4</v>
      </c>
      <c r="K1004" t="s">
        <v>32</v>
      </c>
      <c r="L1004">
        <v>0</v>
      </c>
      <c r="M1004">
        <v>4</v>
      </c>
      <c r="N1004" t="s">
        <v>434</v>
      </c>
      <c r="O1004" s="3" t="str">
        <f>TEXT(Ticket_Table[[#This Row],[raised_date]],"YYYY-MM")</f>
        <v>2023-04</v>
      </c>
      <c r="P1004" s="3" t="str">
        <f>IF(Ticket_Table[[#This Row],[resolution_hrs]]&lt;=4,"Fast",IF(Ticket_Table[[#This Row],[resolution_hrs]]&lt;=24,"Normal",IF(Ticket_Table[[#This Row],[resolution_hrs]]&lt;=48,"Slow","Very Slow")))</f>
        <v>Very Slow</v>
      </c>
      <c r="Q1004" s="3">
        <f>YEAR(Ticket_Table[[#This Row],[raised_date]])</f>
        <v>2023</v>
      </c>
    </row>
    <row r="1005" spans="1:17">
      <c r="A1005" t="s">
        <v>1558</v>
      </c>
      <c r="B1005" t="s">
        <v>647</v>
      </c>
      <c r="C1005" t="s">
        <v>28</v>
      </c>
      <c r="D1005" t="s">
        <v>29</v>
      </c>
      <c r="E1005" t="s">
        <v>21</v>
      </c>
      <c r="F1005" t="s">
        <v>70</v>
      </c>
      <c r="G1005" t="s">
        <v>74</v>
      </c>
      <c r="H1005" s="1">
        <v>44301</v>
      </c>
      <c r="I1005" s="2">
        <v>44303.3875</v>
      </c>
      <c r="J1005">
        <v>57.3</v>
      </c>
      <c r="K1005" t="s">
        <v>32</v>
      </c>
      <c r="L1005">
        <v>0</v>
      </c>
      <c r="M1005">
        <v>3</v>
      </c>
      <c r="N1005" t="s">
        <v>749</v>
      </c>
      <c r="O1005" s="3" t="str">
        <f>TEXT(Ticket_Table[[#This Row],[raised_date]],"YYYY-MM")</f>
        <v>2021-04</v>
      </c>
      <c r="P1005" s="3" t="str">
        <f>IF(Ticket_Table[[#This Row],[resolution_hrs]]&lt;=4,"Fast",IF(Ticket_Table[[#This Row],[resolution_hrs]]&lt;=24,"Normal",IF(Ticket_Table[[#This Row],[resolution_hrs]]&lt;=48,"Slow","Very Slow")))</f>
        <v>Very Slow</v>
      </c>
      <c r="Q1005" s="3">
        <f>YEAR(Ticket_Table[[#This Row],[raised_date]])</f>
        <v>2021</v>
      </c>
    </row>
    <row r="1006" spans="1:17">
      <c r="A1006" t="s">
        <v>1559</v>
      </c>
      <c r="B1006" t="s">
        <v>149</v>
      </c>
      <c r="C1006" t="s">
        <v>261</v>
      </c>
      <c r="D1006" t="s">
        <v>29</v>
      </c>
      <c r="E1006" t="s">
        <v>106</v>
      </c>
      <c r="F1006" t="s">
        <v>38</v>
      </c>
      <c r="G1006" t="s">
        <v>23</v>
      </c>
      <c r="H1006" s="1">
        <v>44595</v>
      </c>
      <c r="I1006" s="2">
        <v>44595.5083333333</v>
      </c>
      <c r="J1006">
        <v>12.2</v>
      </c>
      <c r="K1006" t="s">
        <v>24</v>
      </c>
      <c r="L1006">
        <v>0</v>
      </c>
      <c r="M1006">
        <v>4</v>
      </c>
      <c r="N1006" t="s">
        <v>485</v>
      </c>
      <c r="O1006" s="3" t="str">
        <f>TEXT(Ticket_Table[[#This Row],[raised_date]],"YYYY-MM")</f>
        <v>2022-02</v>
      </c>
      <c r="P1006" s="3" t="str">
        <f>IF(Ticket_Table[[#This Row],[resolution_hrs]]&lt;=4,"Fast",IF(Ticket_Table[[#This Row],[resolution_hrs]]&lt;=24,"Normal",IF(Ticket_Table[[#This Row],[resolution_hrs]]&lt;=48,"Slow","Very Slow")))</f>
        <v>Normal</v>
      </c>
      <c r="Q1006" s="3">
        <f>YEAR(Ticket_Table[[#This Row],[raised_date]])</f>
        <v>2022</v>
      </c>
    </row>
    <row r="1007" spans="1:17">
      <c r="A1007" t="s">
        <v>1560</v>
      </c>
      <c r="B1007" t="s">
        <v>315</v>
      </c>
      <c r="C1007" t="s">
        <v>117</v>
      </c>
      <c r="D1007" t="s">
        <v>29</v>
      </c>
      <c r="E1007" t="s">
        <v>83</v>
      </c>
      <c r="F1007" t="s">
        <v>70</v>
      </c>
      <c r="G1007" t="s">
        <v>74</v>
      </c>
      <c r="H1007" s="1">
        <v>44939</v>
      </c>
      <c r="I1007" s="2">
        <v>44940.4583333333</v>
      </c>
      <c r="J1007">
        <v>35</v>
      </c>
      <c r="K1007" t="s">
        <v>24</v>
      </c>
      <c r="L1007">
        <v>0</v>
      </c>
      <c r="M1007">
        <v>3</v>
      </c>
      <c r="N1007" t="s">
        <v>143</v>
      </c>
      <c r="O1007" s="3" t="str">
        <f>TEXT(Ticket_Table[[#This Row],[raised_date]],"YYYY-MM")</f>
        <v>2023-01</v>
      </c>
      <c r="P1007" s="3" t="str">
        <f>IF(Ticket_Table[[#This Row],[resolution_hrs]]&lt;=4,"Fast",IF(Ticket_Table[[#This Row],[resolution_hrs]]&lt;=24,"Normal",IF(Ticket_Table[[#This Row],[resolution_hrs]]&lt;=48,"Slow","Very Slow")))</f>
        <v>Slow</v>
      </c>
      <c r="Q1007" s="3">
        <f>YEAR(Ticket_Table[[#This Row],[raised_date]])</f>
        <v>2023</v>
      </c>
    </row>
    <row r="1008" spans="1:17">
      <c r="A1008" t="s">
        <v>1561</v>
      </c>
      <c r="B1008" t="s">
        <v>39</v>
      </c>
      <c r="C1008" t="s">
        <v>28</v>
      </c>
      <c r="D1008" t="s">
        <v>29</v>
      </c>
      <c r="E1008" t="s">
        <v>21</v>
      </c>
      <c r="F1008" t="s">
        <v>38</v>
      </c>
      <c r="G1008" t="s">
        <v>23</v>
      </c>
      <c r="H1008" s="1">
        <v>44788</v>
      </c>
      <c r="I1008" s="2">
        <v>44789.1125</v>
      </c>
      <c r="J1008">
        <v>26.7</v>
      </c>
      <c r="K1008" t="s">
        <v>32</v>
      </c>
      <c r="L1008">
        <v>0</v>
      </c>
      <c r="M1008">
        <v>4</v>
      </c>
      <c r="N1008" t="s">
        <v>420</v>
      </c>
      <c r="O1008" s="3" t="str">
        <f>TEXT(Ticket_Table[[#This Row],[raised_date]],"YYYY-MM")</f>
        <v>2022-08</v>
      </c>
      <c r="P1008" s="3" t="str">
        <f>IF(Ticket_Table[[#This Row],[resolution_hrs]]&lt;=4,"Fast",IF(Ticket_Table[[#This Row],[resolution_hrs]]&lt;=24,"Normal",IF(Ticket_Table[[#This Row],[resolution_hrs]]&lt;=48,"Slow","Very Slow")))</f>
        <v>Slow</v>
      </c>
      <c r="Q1008" s="3">
        <f>YEAR(Ticket_Table[[#This Row],[raised_date]])</f>
        <v>2022</v>
      </c>
    </row>
    <row r="1009" spans="1:17">
      <c r="A1009" t="s">
        <v>1562</v>
      </c>
      <c r="B1009" t="s">
        <v>361</v>
      </c>
      <c r="C1009" t="s">
        <v>261</v>
      </c>
      <c r="D1009" t="s">
        <v>36</v>
      </c>
      <c r="E1009" t="s">
        <v>69</v>
      </c>
      <c r="F1009" t="s">
        <v>70</v>
      </c>
      <c r="G1009" t="s">
        <v>23</v>
      </c>
      <c r="H1009" s="1">
        <v>44347</v>
      </c>
      <c r="I1009" s="2">
        <v>44347.8125</v>
      </c>
      <c r="J1009">
        <v>19.5</v>
      </c>
      <c r="K1009" t="s">
        <v>24</v>
      </c>
      <c r="L1009">
        <v>2</v>
      </c>
      <c r="M1009">
        <v>4</v>
      </c>
      <c r="N1009" t="s">
        <v>956</v>
      </c>
      <c r="O1009" s="3" t="str">
        <f>TEXT(Ticket_Table[[#This Row],[raised_date]],"YYYY-MM")</f>
        <v>2021-05</v>
      </c>
      <c r="P1009" s="3" t="str">
        <f>IF(Ticket_Table[[#This Row],[resolution_hrs]]&lt;=4,"Fast",IF(Ticket_Table[[#This Row],[resolution_hrs]]&lt;=24,"Normal",IF(Ticket_Table[[#This Row],[resolution_hrs]]&lt;=48,"Slow","Very Slow")))</f>
        <v>Normal</v>
      </c>
      <c r="Q1009" s="3">
        <f>YEAR(Ticket_Table[[#This Row],[raised_date]])</f>
        <v>2021</v>
      </c>
    </row>
    <row r="1010" spans="1:17">
      <c r="A1010" t="s">
        <v>1563</v>
      </c>
      <c r="B1010" t="s">
        <v>216</v>
      </c>
      <c r="C1010" t="s">
        <v>287</v>
      </c>
      <c r="D1010" t="s">
        <v>29</v>
      </c>
      <c r="E1010" t="s">
        <v>51</v>
      </c>
      <c r="F1010" t="s">
        <v>70</v>
      </c>
      <c r="G1010" t="s">
        <v>23</v>
      </c>
      <c r="H1010" s="1">
        <v>44988</v>
      </c>
      <c r="I1010" s="2">
        <v>44990.075</v>
      </c>
      <c r="J1010">
        <v>49.8</v>
      </c>
      <c r="K1010" t="s">
        <v>32</v>
      </c>
      <c r="L1010">
        <v>0</v>
      </c>
      <c r="M1010">
        <v>5</v>
      </c>
      <c r="N1010" t="s">
        <v>592</v>
      </c>
      <c r="O1010" s="3" t="str">
        <f>TEXT(Ticket_Table[[#This Row],[raised_date]],"YYYY-MM")</f>
        <v>2023-03</v>
      </c>
      <c r="P1010" s="3" t="str">
        <f>IF(Ticket_Table[[#This Row],[resolution_hrs]]&lt;=4,"Fast",IF(Ticket_Table[[#This Row],[resolution_hrs]]&lt;=24,"Normal",IF(Ticket_Table[[#This Row],[resolution_hrs]]&lt;=48,"Slow","Very Slow")))</f>
        <v>Very Slow</v>
      </c>
      <c r="Q1010" s="3">
        <f>YEAR(Ticket_Table[[#This Row],[raised_date]])</f>
        <v>2023</v>
      </c>
    </row>
    <row r="1011" spans="1:17">
      <c r="A1011" t="s">
        <v>1564</v>
      </c>
      <c r="B1011" t="s">
        <v>562</v>
      </c>
      <c r="C1011" t="s">
        <v>261</v>
      </c>
      <c r="D1011" t="s">
        <v>90</v>
      </c>
      <c r="E1011" t="s">
        <v>44</v>
      </c>
      <c r="F1011" t="s">
        <v>22</v>
      </c>
      <c r="G1011" t="s">
        <v>31</v>
      </c>
      <c r="H1011" s="1">
        <v>45229</v>
      </c>
      <c r="I1011" s="2">
        <v>45232.7291666667</v>
      </c>
      <c r="J1011">
        <v>89.5</v>
      </c>
      <c r="K1011" t="s">
        <v>32</v>
      </c>
      <c r="L1011">
        <v>1</v>
      </c>
      <c r="M1011">
        <v>4</v>
      </c>
      <c r="N1011" t="s">
        <v>722</v>
      </c>
      <c r="O1011" s="3" t="str">
        <f>TEXT(Ticket_Table[[#This Row],[raised_date]],"YYYY-MM")</f>
        <v>2023-10</v>
      </c>
      <c r="P1011" s="3" t="str">
        <f>IF(Ticket_Table[[#This Row],[resolution_hrs]]&lt;=4,"Fast",IF(Ticket_Table[[#This Row],[resolution_hrs]]&lt;=24,"Normal",IF(Ticket_Table[[#This Row],[resolution_hrs]]&lt;=48,"Slow","Very Slow")))</f>
        <v>Very Slow</v>
      </c>
      <c r="Q1011" s="3">
        <f>YEAR(Ticket_Table[[#This Row],[raised_date]])</f>
        <v>2023</v>
      </c>
    </row>
    <row r="1012" spans="1:17">
      <c r="A1012" t="s">
        <v>1565</v>
      </c>
      <c r="B1012" t="s">
        <v>988</v>
      </c>
      <c r="C1012" t="s">
        <v>201</v>
      </c>
      <c r="D1012" t="s">
        <v>29</v>
      </c>
      <c r="E1012" t="s">
        <v>51</v>
      </c>
      <c r="F1012" t="s">
        <v>38</v>
      </c>
      <c r="G1012" t="s">
        <v>31</v>
      </c>
      <c r="H1012" s="1">
        <v>45119</v>
      </c>
      <c r="I1012" s="2">
        <v>45120.2083333333</v>
      </c>
      <c r="J1012">
        <v>29</v>
      </c>
      <c r="K1012" t="s">
        <v>32</v>
      </c>
      <c r="L1012">
        <v>1</v>
      </c>
      <c r="M1012">
        <v>4</v>
      </c>
      <c r="N1012" t="s">
        <v>135</v>
      </c>
      <c r="O1012" s="3" t="str">
        <f>TEXT(Ticket_Table[[#This Row],[raised_date]],"YYYY-MM")</f>
        <v>2023-07</v>
      </c>
      <c r="P1012" s="3" t="str">
        <f>IF(Ticket_Table[[#This Row],[resolution_hrs]]&lt;=4,"Fast",IF(Ticket_Table[[#This Row],[resolution_hrs]]&lt;=24,"Normal",IF(Ticket_Table[[#This Row],[resolution_hrs]]&lt;=48,"Slow","Very Slow")))</f>
        <v>Slow</v>
      </c>
      <c r="Q1012" s="3">
        <f>YEAR(Ticket_Table[[#This Row],[raised_date]])</f>
        <v>2023</v>
      </c>
    </row>
    <row r="1013" spans="1:17">
      <c r="A1013" t="s">
        <v>1566</v>
      </c>
      <c r="B1013" t="s">
        <v>564</v>
      </c>
      <c r="C1013" t="s">
        <v>117</v>
      </c>
      <c r="D1013" t="s">
        <v>20</v>
      </c>
      <c r="E1013" t="s">
        <v>30</v>
      </c>
      <c r="F1013" t="s">
        <v>70</v>
      </c>
      <c r="G1013" t="s">
        <v>31</v>
      </c>
      <c r="H1013" s="1">
        <v>44769</v>
      </c>
      <c r="I1013" s="2">
        <v>44769.6291666667</v>
      </c>
      <c r="J1013">
        <v>15.1</v>
      </c>
      <c r="K1013" t="s">
        <v>24</v>
      </c>
      <c r="L1013">
        <v>0</v>
      </c>
      <c r="M1013">
        <v>5</v>
      </c>
      <c r="N1013" t="s">
        <v>866</v>
      </c>
      <c r="O1013" s="3" t="str">
        <f>TEXT(Ticket_Table[[#This Row],[raised_date]],"YYYY-MM")</f>
        <v>2022-07</v>
      </c>
      <c r="P1013" s="3" t="str">
        <f>IF(Ticket_Table[[#This Row],[resolution_hrs]]&lt;=4,"Fast",IF(Ticket_Table[[#This Row],[resolution_hrs]]&lt;=24,"Normal",IF(Ticket_Table[[#This Row],[resolution_hrs]]&lt;=48,"Slow","Very Slow")))</f>
        <v>Normal</v>
      </c>
      <c r="Q1013" s="3">
        <f>YEAR(Ticket_Table[[#This Row],[raised_date]])</f>
        <v>2022</v>
      </c>
    </row>
    <row r="1014" spans="1:17">
      <c r="A1014" t="s">
        <v>1567</v>
      </c>
      <c r="B1014" t="s">
        <v>503</v>
      </c>
      <c r="C1014" t="s">
        <v>42</v>
      </c>
      <c r="D1014" t="s">
        <v>29</v>
      </c>
      <c r="E1014" t="s">
        <v>83</v>
      </c>
      <c r="F1014" t="s">
        <v>22</v>
      </c>
      <c r="G1014" t="s">
        <v>31</v>
      </c>
      <c r="H1014" s="1">
        <v>44440</v>
      </c>
      <c r="I1014" s="2">
        <v>44441.8916666667</v>
      </c>
      <c r="J1014">
        <v>45.4</v>
      </c>
      <c r="K1014" t="s">
        <v>24</v>
      </c>
      <c r="L1014">
        <v>0</v>
      </c>
      <c r="M1014">
        <v>4</v>
      </c>
      <c r="N1014" t="s">
        <v>1123</v>
      </c>
      <c r="O1014" s="3" t="str">
        <f>TEXT(Ticket_Table[[#This Row],[raised_date]],"YYYY-MM")</f>
        <v>2021-09</v>
      </c>
      <c r="P1014" s="3" t="str">
        <f>IF(Ticket_Table[[#This Row],[resolution_hrs]]&lt;=4,"Fast",IF(Ticket_Table[[#This Row],[resolution_hrs]]&lt;=24,"Normal",IF(Ticket_Table[[#This Row],[resolution_hrs]]&lt;=48,"Slow","Very Slow")))</f>
        <v>Slow</v>
      </c>
      <c r="Q1014" s="3">
        <f>YEAR(Ticket_Table[[#This Row],[raised_date]])</f>
        <v>2021</v>
      </c>
    </row>
    <row r="1015" spans="1:17">
      <c r="A1015" t="s">
        <v>1568</v>
      </c>
      <c r="B1015" t="s">
        <v>109</v>
      </c>
      <c r="C1015" t="s">
        <v>28</v>
      </c>
      <c r="D1015" t="s">
        <v>43</v>
      </c>
      <c r="E1015" t="s">
        <v>21</v>
      </c>
      <c r="F1015" t="s">
        <v>22</v>
      </c>
      <c r="G1015" t="s">
        <v>46</v>
      </c>
      <c r="H1015" s="1">
        <v>44460</v>
      </c>
      <c r="I1015" s="2">
        <v>44460.8541666667</v>
      </c>
      <c r="J1015">
        <v>20.5</v>
      </c>
      <c r="K1015" t="s">
        <v>24</v>
      </c>
      <c r="L1015">
        <v>2</v>
      </c>
      <c r="M1015">
        <v>5</v>
      </c>
      <c r="N1015" t="s">
        <v>398</v>
      </c>
      <c r="O1015" s="3" t="str">
        <f>TEXT(Ticket_Table[[#This Row],[raised_date]],"YYYY-MM")</f>
        <v>2021-09</v>
      </c>
      <c r="P1015" s="3" t="str">
        <f>IF(Ticket_Table[[#This Row],[resolution_hrs]]&lt;=4,"Fast",IF(Ticket_Table[[#This Row],[resolution_hrs]]&lt;=24,"Normal",IF(Ticket_Table[[#This Row],[resolution_hrs]]&lt;=48,"Slow","Very Slow")))</f>
        <v>Normal</v>
      </c>
      <c r="Q1015" s="3">
        <f>YEAR(Ticket_Table[[#This Row],[raised_date]])</f>
        <v>2021</v>
      </c>
    </row>
    <row r="1016" spans="1:17">
      <c r="A1016" t="s">
        <v>1569</v>
      </c>
      <c r="B1016" t="s">
        <v>1041</v>
      </c>
      <c r="C1016" t="s">
        <v>68</v>
      </c>
      <c r="D1016" t="s">
        <v>90</v>
      </c>
      <c r="E1016" t="s">
        <v>56</v>
      </c>
      <c r="F1016" t="s">
        <v>38</v>
      </c>
      <c r="G1016" t="s">
        <v>46</v>
      </c>
      <c r="H1016" s="1">
        <v>44395</v>
      </c>
      <c r="I1016" s="2">
        <v>44396.3208333333</v>
      </c>
      <c r="J1016">
        <v>31.7</v>
      </c>
      <c r="K1016" t="s">
        <v>32</v>
      </c>
      <c r="L1016">
        <v>1</v>
      </c>
      <c r="M1016">
        <v>3</v>
      </c>
      <c r="N1016" t="s">
        <v>114</v>
      </c>
      <c r="O1016" s="3" t="str">
        <f>TEXT(Ticket_Table[[#This Row],[raised_date]],"YYYY-MM")</f>
        <v>2021-07</v>
      </c>
      <c r="P1016" s="3" t="str">
        <f>IF(Ticket_Table[[#This Row],[resolution_hrs]]&lt;=4,"Fast",IF(Ticket_Table[[#This Row],[resolution_hrs]]&lt;=24,"Normal",IF(Ticket_Table[[#This Row],[resolution_hrs]]&lt;=48,"Slow","Very Slow")))</f>
        <v>Slow</v>
      </c>
      <c r="Q1016" s="3">
        <f>YEAR(Ticket_Table[[#This Row],[raised_date]])</f>
        <v>2021</v>
      </c>
    </row>
    <row r="1017" spans="1:17">
      <c r="A1017" t="s">
        <v>1570</v>
      </c>
      <c r="B1017" t="s">
        <v>141</v>
      </c>
      <c r="C1017" t="s">
        <v>213</v>
      </c>
      <c r="D1017" t="s">
        <v>90</v>
      </c>
      <c r="E1017" t="s">
        <v>21</v>
      </c>
      <c r="F1017" t="s">
        <v>70</v>
      </c>
      <c r="G1017" t="s">
        <v>23</v>
      </c>
      <c r="H1017" s="1">
        <v>45003</v>
      </c>
      <c r="I1017" s="2">
        <v>45005.8375</v>
      </c>
      <c r="J1017">
        <v>68.1</v>
      </c>
      <c r="K1017" t="s">
        <v>32</v>
      </c>
      <c r="L1017">
        <v>0</v>
      </c>
      <c r="M1017">
        <v>5</v>
      </c>
      <c r="N1017" t="s">
        <v>109</v>
      </c>
      <c r="O1017" s="3" t="str">
        <f>TEXT(Ticket_Table[[#This Row],[raised_date]],"YYYY-MM")</f>
        <v>2023-03</v>
      </c>
      <c r="P1017" s="3" t="str">
        <f>IF(Ticket_Table[[#This Row],[resolution_hrs]]&lt;=4,"Fast",IF(Ticket_Table[[#This Row],[resolution_hrs]]&lt;=24,"Normal",IF(Ticket_Table[[#This Row],[resolution_hrs]]&lt;=48,"Slow","Very Slow")))</f>
        <v>Very Slow</v>
      </c>
      <c r="Q1017" s="3">
        <f>YEAR(Ticket_Table[[#This Row],[raised_date]])</f>
        <v>2023</v>
      </c>
    </row>
    <row r="1018" spans="1:17">
      <c r="A1018" t="s">
        <v>1571</v>
      </c>
      <c r="B1018" t="s">
        <v>491</v>
      </c>
      <c r="C1018" t="s">
        <v>95</v>
      </c>
      <c r="D1018" t="s">
        <v>36</v>
      </c>
      <c r="E1018" t="s">
        <v>51</v>
      </c>
      <c r="F1018" t="s">
        <v>22</v>
      </c>
      <c r="G1018" t="s">
        <v>23</v>
      </c>
      <c r="H1018" s="1">
        <v>44961</v>
      </c>
      <c r="I1018" s="2">
        <v>44964.9833333333</v>
      </c>
      <c r="J1018">
        <v>95.6</v>
      </c>
      <c r="K1018" t="s">
        <v>32</v>
      </c>
      <c r="L1018">
        <v>0</v>
      </c>
      <c r="M1018">
        <v>3</v>
      </c>
      <c r="N1018" t="s">
        <v>94</v>
      </c>
      <c r="O1018" s="3" t="str">
        <f>TEXT(Ticket_Table[[#This Row],[raised_date]],"YYYY-MM")</f>
        <v>2023-02</v>
      </c>
      <c r="P1018" s="3" t="str">
        <f>IF(Ticket_Table[[#This Row],[resolution_hrs]]&lt;=4,"Fast",IF(Ticket_Table[[#This Row],[resolution_hrs]]&lt;=24,"Normal",IF(Ticket_Table[[#This Row],[resolution_hrs]]&lt;=48,"Slow","Very Slow")))</f>
        <v>Very Slow</v>
      </c>
      <c r="Q1018" s="3">
        <f>YEAR(Ticket_Table[[#This Row],[raised_date]])</f>
        <v>2023</v>
      </c>
    </row>
    <row r="1019" spans="1:17">
      <c r="A1019" t="s">
        <v>1572</v>
      </c>
      <c r="B1019" t="s">
        <v>756</v>
      </c>
      <c r="C1019" t="s">
        <v>102</v>
      </c>
      <c r="D1019" t="s">
        <v>20</v>
      </c>
      <c r="E1019" t="s">
        <v>44</v>
      </c>
      <c r="F1019" t="s">
        <v>45</v>
      </c>
      <c r="G1019" t="s">
        <v>23</v>
      </c>
      <c r="H1019" s="1">
        <v>44891</v>
      </c>
      <c r="I1019" s="2">
        <v>44891.0875</v>
      </c>
      <c r="J1019">
        <v>2.1</v>
      </c>
      <c r="K1019" t="s">
        <v>24</v>
      </c>
      <c r="L1019">
        <v>0</v>
      </c>
      <c r="M1019">
        <v>5</v>
      </c>
      <c r="N1019" t="s">
        <v>329</v>
      </c>
      <c r="O1019" s="3" t="str">
        <f>TEXT(Ticket_Table[[#This Row],[raised_date]],"YYYY-MM")</f>
        <v>2022-11</v>
      </c>
      <c r="P1019" s="3" t="str">
        <f>IF(Ticket_Table[[#This Row],[resolution_hrs]]&lt;=4,"Fast",IF(Ticket_Table[[#This Row],[resolution_hrs]]&lt;=24,"Normal",IF(Ticket_Table[[#This Row],[resolution_hrs]]&lt;=48,"Slow","Very Slow")))</f>
        <v>Fast</v>
      </c>
      <c r="Q1019" s="3">
        <f>YEAR(Ticket_Table[[#This Row],[raised_date]])</f>
        <v>2022</v>
      </c>
    </row>
    <row r="1020" spans="1:17">
      <c r="A1020" t="s">
        <v>1573</v>
      </c>
      <c r="B1020" t="s">
        <v>18</v>
      </c>
      <c r="C1020" t="s">
        <v>42</v>
      </c>
      <c r="D1020" t="s">
        <v>90</v>
      </c>
      <c r="E1020" t="s">
        <v>56</v>
      </c>
      <c r="F1020" t="s">
        <v>38</v>
      </c>
      <c r="G1020" t="s">
        <v>74</v>
      </c>
      <c r="H1020" s="1">
        <v>44945</v>
      </c>
      <c r="I1020" s="2">
        <v>44946.425</v>
      </c>
      <c r="J1020">
        <v>34.2</v>
      </c>
      <c r="K1020" t="s">
        <v>32</v>
      </c>
      <c r="L1020">
        <v>0</v>
      </c>
      <c r="M1020">
        <v>3</v>
      </c>
      <c r="N1020" t="s">
        <v>401</v>
      </c>
      <c r="O1020" s="3" t="str">
        <f>TEXT(Ticket_Table[[#This Row],[raised_date]],"YYYY-MM")</f>
        <v>2023-01</v>
      </c>
      <c r="P1020" s="3" t="str">
        <f>IF(Ticket_Table[[#This Row],[resolution_hrs]]&lt;=4,"Fast",IF(Ticket_Table[[#This Row],[resolution_hrs]]&lt;=24,"Normal",IF(Ticket_Table[[#This Row],[resolution_hrs]]&lt;=48,"Slow","Very Slow")))</f>
        <v>Slow</v>
      </c>
      <c r="Q1020" s="3">
        <f>YEAR(Ticket_Table[[#This Row],[raised_date]])</f>
        <v>2023</v>
      </c>
    </row>
    <row r="1021" spans="1:17">
      <c r="A1021" t="s">
        <v>1574</v>
      </c>
      <c r="B1021" t="s">
        <v>167</v>
      </c>
      <c r="C1021" t="s">
        <v>175</v>
      </c>
      <c r="D1021" t="s">
        <v>43</v>
      </c>
      <c r="E1021" t="s">
        <v>30</v>
      </c>
      <c r="F1021" t="s">
        <v>45</v>
      </c>
      <c r="G1021" t="s">
        <v>23</v>
      </c>
      <c r="H1021" s="1">
        <v>44492</v>
      </c>
      <c r="I1021" s="2">
        <v>44492.2333333333</v>
      </c>
      <c r="J1021">
        <v>5.6</v>
      </c>
      <c r="K1021" t="s">
        <v>32</v>
      </c>
      <c r="L1021">
        <v>0</v>
      </c>
      <c r="M1021">
        <v>3</v>
      </c>
      <c r="N1021" t="s">
        <v>284</v>
      </c>
      <c r="O1021" s="3" t="str">
        <f>TEXT(Ticket_Table[[#This Row],[raised_date]],"YYYY-MM")</f>
        <v>2021-10</v>
      </c>
      <c r="P1021" s="3" t="str">
        <f>IF(Ticket_Table[[#This Row],[resolution_hrs]]&lt;=4,"Fast",IF(Ticket_Table[[#This Row],[resolution_hrs]]&lt;=24,"Normal",IF(Ticket_Table[[#This Row],[resolution_hrs]]&lt;=48,"Slow","Very Slow")))</f>
        <v>Normal</v>
      </c>
      <c r="Q1021" s="3">
        <f>YEAR(Ticket_Table[[#This Row],[raised_date]])</f>
        <v>2021</v>
      </c>
    </row>
    <row r="1022" spans="1:17">
      <c r="A1022" t="s">
        <v>1575</v>
      </c>
      <c r="B1022" t="s">
        <v>135</v>
      </c>
      <c r="C1022" t="s">
        <v>213</v>
      </c>
      <c r="D1022" t="s">
        <v>29</v>
      </c>
      <c r="E1022" t="s">
        <v>56</v>
      </c>
      <c r="F1022" t="s">
        <v>70</v>
      </c>
      <c r="G1022" t="s">
        <v>31</v>
      </c>
      <c r="H1022" s="1">
        <v>44604</v>
      </c>
      <c r="I1022" s="2">
        <v>44605.9541666667</v>
      </c>
      <c r="J1022">
        <v>46.9</v>
      </c>
      <c r="K1022" t="s">
        <v>24</v>
      </c>
      <c r="L1022">
        <v>2</v>
      </c>
      <c r="M1022">
        <v>2</v>
      </c>
      <c r="N1022" t="s">
        <v>1022</v>
      </c>
      <c r="O1022" s="3" t="str">
        <f>TEXT(Ticket_Table[[#This Row],[raised_date]],"YYYY-MM")</f>
        <v>2022-02</v>
      </c>
      <c r="P1022" s="3" t="str">
        <f>IF(Ticket_Table[[#This Row],[resolution_hrs]]&lt;=4,"Fast",IF(Ticket_Table[[#This Row],[resolution_hrs]]&lt;=24,"Normal",IF(Ticket_Table[[#This Row],[resolution_hrs]]&lt;=48,"Slow","Very Slow")))</f>
        <v>Slow</v>
      </c>
      <c r="Q1022" s="3">
        <f>YEAR(Ticket_Table[[#This Row],[raised_date]])</f>
        <v>2022</v>
      </c>
    </row>
    <row r="1023" spans="1:17">
      <c r="A1023" t="s">
        <v>1576</v>
      </c>
      <c r="B1023" t="s">
        <v>212</v>
      </c>
      <c r="C1023" t="s">
        <v>140</v>
      </c>
      <c r="D1023" t="s">
        <v>90</v>
      </c>
      <c r="E1023" t="s">
        <v>106</v>
      </c>
      <c r="F1023" t="s">
        <v>70</v>
      </c>
      <c r="G1023" t="s">
        <v>23</v>
      </c>
      <c r="H1023" s="1">
        <v>45239</v>
      </c>
      <c r="I1023" s="2">
        <v>45240.8958333333</v>
      </c>
      <c r="J1023">
        <v>45.5</v>
      </c>
      <c r="K1023" t="s">
        <v>24</v>
      </c>
      <c r="L1023">
        <v>0</v>
      </c>
      <c r="M1023">
        <v>3</v>
      </c>
      <c r="N1023" t="s">
        <v>98</v>
      </c>
      <c r="O1023" s="3" t="str">
        <f>TEXT(Ticket_Table[[#This Row],[raised_date]],"YYYY-MM")</f>
        <v>2023-11</v>
      </c>
      <c r="P1023" s="3" t="str">
        <f>IF(Ticket_Table[[#This Row],[resolution_hrs]]&lt;=4,"Fast",IF(Ticket_Table[[#This Row],[resolution_hrs]]&lt;=24,"Normal",IF(Ticket_Table[[#This Row],[resolution_hrs]]&lt;=48,"Slow","Very Slow")))</f>
        <v>Slow</v>
      </c>
      <c r="Q1023" s="3">
        <f>YEAR(Ticket_Table[[#This Row],[raised_date]])</f>
        <v>2023</v>
      </c>
    </row>
    <row r="1024" spans="1:17">
      <c r="A1024" t="s">
        <v>1577</v>
      </c>
      <c r="B1024" t="s">
        <v>491</v>
      </c>
      <c r="C1024" t="s">
        <v>64</v>
      </c>
      <c r="D1024" t="s">
        <v>43</v>
      </c>
      <c r="E1024" t="s">
        <v>69</v>
      </c>
      <c r="F1024" t="s">
        <v>38</v>
      </c>
      <c r="G1024" t="s">
        <v>91</v>
      </c>
      <c r="H1024" s="1">
        <v>45019</v>
      </c>
      <c r="I1024" s="2">
        <v>45020.3625</v>
      </c>
      <c r="J1024">
        <v>32.7</v>
      </c>
      <c r="K1024" t="s">
        <v>32</v>
      </c>
      <c r="L1024">
        <v>1</v>
      </c>
      <c r="M1024">
        <v>4</v>
      </c>
      <c r="N1024" t="s">
        <v>1578</v>
      </c>
      <c r="O1024" s="3" t="str">
        <f>TEXT(Ticket_Table[[#This Row],[raised_date]],"YYYY-MM")</f>
        <v>2023-04</v>
      </c>
      <c r="P1024" s="3" t="str">
        <f>IF(Ticket_Table[[#This Row],[resolution_hrs]]&lt;=4,"Fast",IF(Ticket_Table[[#This Row],[resolution_hrs]]&lt;=24,"Normal",IF(Ticket_Table[[#This Row],[resolution_hrs]]&lt;=48,"Slow","Very Slow")))</f>
        <v>Slow</v>
      </c>
      <c r="Q1024" s="3">
        <f>YEAR(Ticket_Table[[#This Row],[raised_date]])</f>
        <v>2023</v>
      </c>
    </row>
    <row r="1025" spans="1:17">
      <c r="A1025" t="s">
        <v>1579</v>
      </c>
      <c r="B1025" t="s">
        <v>937</v>
      </c>
      <c r="C1025" t="s">
        <v>95</v>
      </c>
      <c r="D1025" t="s">
        <v>29</v>
      </c>
      <c r="E1025" t="s">
        <v>44</v>
      </c>
      <c r="F1025" t="s">
        <v>70</v>
      </c>
      <c r="G1025" t="s">
        <v>23</v>
      </c>
      <c r="H1025" s="1">
        <v>45221</v>
      </c>
      <c r="I1025" s="2">
        <v>45223.925</v>
      </c>
      <c r="J1025">
        <v>70.2</v>
      </c>
      <c r="K1025" t="s">
        <v>32</v>
      </c>
      <c r="L1025">
        <v>0</v>
      </c>
      <c r="M1025">
        <v>4</v>
      </c>
      <c r="N1025" t="s">
        <v>300</v>
      </c>
      <c r="O1025" s="3" t="str">
        <f>TEXT(Ticket_Table[[#This Row],[raised_date]],"YYYY-MM")</f>
        <v>2023-10</v>
      </c>
      <c r="P1025" s="3" t="str">
        <f>IF(Ticket_Table[[#This Row],[resolution_hrs]]&lt;=4,"Fast",IF(Ticket_Table[[#This Row],[resolution_hrs]]&lt;=24,"Normal",IF(Ticket_Table[[#This Row],[resolution_hrs]]&lt;=48,"Slow","Very Slow")))</f>
        <v>Very Slow</v>
      </c>
      <c r="Q1025" s="3">
        <f>YEAR(Ticket_Table[[#This Row],[raised_date]])</f>
        <v>2023</v>
      </c>
    </row>
    <row r="1026" spans="1:17">
      <c r="A1026" t="s">
        <v>1580</v>
      </c>
      <c r="B1026" t="s">
        <v>1143</v>
      </c>
      <c r="C1026" t="s">
        <v>175</v>
      </c>
      <c r="D1026" t="s">
        <v>36</v>
      </c>
      <c r="E1026" t="s">
        <v>51</v>
      </c>
      <c r="F1026" t="s">
        <v>38</v>
      </c>
      <c r="G1026" t="s">
        <v>46</v>
      </c>
      <c r="H1026" s="1">
        <v>44279</v>
      </c>
      <c r="I1026" s="2">
        <v>44279.3291666667</v>
      </c>
      <c r="J1026">
        <v>7.9</v>
      </c>
      <c r="K1026" t="s">
        <v>24</v>
      </c>
      <c r="L1026">
        <v>0</v>
      </c>
      <c r="M1026">
        <v>5</v>
      </c>
      <c r="N1026" t="s">
        <v>431</v>
      </c>
      <c r="O1026" s="3" t="str">
        <f>TEXT(Ticket_Table[[#This Row],[raised_date]],"YYYY-MM")</f>
        <v>2021-03</v>
      </c>
      <c r="P1026" s="3" t="str">
        <f>IF(Ticket_Table[[#This Row],[resolution_hrs]]&lt;=4,"Fast",IF(Ticket_Table[[#This Row],[resolution_hrs]]&lt;=24,"Normal",IF(Ticket_Table[[#This Row],[resolution_hrs]]&lt;=48,"Slow","Very Slow")))</f>
        <v>Normal</v>
      </c>
      <c r="Q1026" s="3">
        <f>YEAR(Ticket_Table[[#This Row],[raised_date]])</f>
        <v>2021</v>
      </c>
    </row>
    <row r="1027" spans="1:17">
      <c r="A1027" t="s">
        <v>1581</v>
      </c>
      <c r="B1027" t="s">
        <v>227</v>
      </c>
      <c r="C1027" t="s">
        <v>55</v>
      </c>
      <c r="D1027" t="s">
        <v>90</v>
      </c>
      <c r="E1027" t="s">
        <v>83</v>
      </c>
      <c r="F1027" t="s">
        <v>22</v>
      </c>
      <c r="G1027" t="s">
        <v>23</v>
      </c>
      <c r="H1027" s="1">
        <v>44289</v>
      </c>
      <c r="I1027" s="2">
        <v>44292.1666666667</v>
      </c>
      <c r="J1027">
        <v>76</v>
      </c>
      <c r="K1027" t="s">
        <v>32</v>
      </c>
      <c r="L1027">
        <v>1</v>
      </c>
      <c r="M1027">
        <v>3</v>
      </c>
      <c r="N1027" t="s">
        <v>1582</v>
      </c>
      <c r="O1027" s="3" t="str">
        <f>TEXT(Ticket_Table[[#This Row],[raised_date]],"YYYY-MM")</f>
        <v>2021-04</v>
      </c>
      <c r="P1027" s="3" t="str">
        <f>IF(Ticket_Table[[#This Row],[resolution_hrs]]&lt;=4,"Fast",IF(Ticket_Table[[#This Row],[resolution_hrs]]&lt;=24,"Normal",IF(Ticket_Table[[#This Row],[resolution_hrs]]&lt;=48,"Slow","Very Slow")))</f>
        <v>Very Slow</v>
      </c>
      <c r="Q1027" s="3">
        <f>YEAR(Ticket_Table[[#This Row],[raised_date]])</f>
        <v>2021</v>
      </c>
    </row>
    <row r="1028" spans="1:17">
      <c r="A1028" t="s">
        <v>1583</v>
      </c>
      <c r="B1028" t="s">
        <v>200</v>
      </c>
      <c r="C1028" t="s">
        <v>213</v>
      </c>
      <c r="D1028" t="s">
        <v>90</v>
      </c>
      <c r="E1028" t="s">
        <v>37</v>
      </c>
      <c r="F1028" t="s">
        <v>70</v>
      </c>
      <c r="G1028" t="s">
        <v>23</v>
      </c>
      <c r="H1028" s="1">
        <v>44276</v>
      </c>
      <c r="I1028" s="2">
        <v>44276.5416666667</v>
      </c>
      <c r="J1028">
        <v>13</v>
      </c>
      <c r="K1028" t="s">
        <v>24</v>
      </c>
      <c r="L1028">
        <v>0</v>
      </c>
      <c r="M1028">
        <v>3</v>
      </c>
      <c r="N1028" t="s">
        <v>289</v>
      </c>
      <c r="O1028" s="3" t="str">
        <f>TEXT(Ticket_Table[[#This Row],[raised_date]],"YYYY-MM")</f>
        <v>2021-03</v>
      </c>
      <c r="P1028" s="3" t="str">
        <f>IF(Ticket_Table[[#This Row],[resolution_hrs]]&lt;=4,"Fast",IF(Ticket_Table[[#This Row],[resolution_hrs]]&lt;=24,"Normal",IF(Ticket_Table[[#This Row],[resolution_hrs]]&lt;=48,"Slow","Very Slow")))</f>
        <v>Normal</v>
      </c>
      <c r="Q1028" s="3">
        <f>YEAR(Ticket_Table[[#This Row],[raised_date]])</f>
        <v>2021</v>
      </c>
    </row>
    <row r="1029" spans="1:17">
      <c r="A1029" t="s">
        <v>1584</v>
      </c>
      <c r="B1029" t="s">
        <v>337</v>
      </c>
      <c r="C1029" t="s">
        <v>64</v>
      </c>
      <c r="D1029" t="s">
        <v>43</v>
      </c>
      <c r="E1029" t="s">
        <v>56</v>
      </c>
      <c r="F1029" t="s">
        <v>22</v>
      </c>
      <c r="G1029" t="s">
        <v>23</v>
      </c>
      <c r="H1029" s="1">
        <v>44477</v>
      </c>
      <c r="I1029" s="2">
        <v>44478.8291666667</v>
      </c>
      <c r="J1029">
        <v>43.9</v>
      </c>
      <c r="K1029" t="s">
        <v>24</v>
      </c>
      <c r="L1029">
        <v>0</v>
      </c>
      <c r="M1029">
        <v>4</v>
      </c>
      <c r="N1029" t="s">
        <v>266</v>
      </c>
      <c r="O1029" s="3" t="str">
        <f>TEXT(Ticket_Table[[#This Row],[raised_date]],"YYYY-MM")</f>
        <v>2021-10</v>
      </c>
      <c r="P1029" s="3" t="str">
        <f>IF(Ticket_Table[[#This Row],[resolution_hrs]]&lt;=4,"Fast",IF(Ticket_Table[[#This Row],[resolution_hrs]]&lt;=24,"Normal",IF(Ticket_Table[[#This Row],[resolution_hrs]]&lt;=48,"Slow","Very Slow")))</f>
        <v>Slow</v>
      </c>
      <c r="Q1029" s="3">
        <f>YEAR(Ticket_Table[[#This Row],[raised_date]])</f>
        <v>2021</v>
      </c>
    </row>
    <row r="1030" spans="1:17">
      <c r="A1030" t="s">
        <v>1585</v>
      </c>
      <c r="B1030" t="s">
        <v>54</v>
      </c>
      <c r="C1030" t="s">
        <v>19</v>
      </c>
      <c r="D1030" t="s">
        <v>20</v>
      </c>
      <c r="E1030" t="s">
        <v>166</v>
      </c>
      <c r="F1030" t="s">
        <v>22</v>
      </c>
      <c r="G1030" t="s">
        <v>23</v>
      </c>
      <c r="H1030" s="1">
        <v>44879</v>
      </c>
      <c r="I1030" s="2">
        <v>44880.9541666667</v>
      </c>
      <c r="J1030">
        <v>46.9</v>
      </c>
      <c r="K1030" t="s">
        <v>24</v>
      </c>
      <c r="L1030">
        <v>0</v>
      </c>
      <c r="M1030">
        <v>2</v>
      </c>
      <c r="N1030" t="s">
        <v>1502</v>
      </c>
      <c r="O1030" s="3" t="str">
        <f>TEXT(Ticket_Table[[#This Row],[raised_date]],"YYYY-MM")</f>
        <v>2022-11</v>
      </c>
      <c r="P1030" s="3" t="str">
        <f>IF(Ticket_Table[[#This Row],[resolution_hrs]]&lt;=4,"Fast",IF(Ticket_Table[[#This Row],[resolution_hrs]]&lt;=24,"Normal",IF(Ticket_Table[[#This Row],[resolution_hrs]]&lt;=48,"Slow","Very Slow")))</f>
        <v>Slow</v>
      </c>
      <c r="Q1030" s="3">
        <f>YEAR(Ticket_Table[[#This Row],[raised_date]])</f>
        <v>2022</v>
      </c>
    </row>
    <row r="1031" spans="1:17">
      <c r="A1031" t="s">
        <v>1586</v>
      </c>
      <c r="B1031" t="s">
        <v>428</v>
      </c>
      <c r="C1031" t="s">
        <v>78</v>
      </c>
      <c r="D1031" t="s">
        <v>36</v>
      </c>
      <c r="E1031" t="s">
        <v>37</v>
      </c>
      <c r="F1031" t="s">
        <v>22</v>
      </c>
      <c r="G1031" t="s">
        <v>23</v>
      </c>
      <c r="H1031" s="1">
        <v>45167</v>
      </c>
      <c r="I1031" s="2">
        <v>45168.2</v>
      </c>
      <c r="J1031">
        <v>28.8</v>
      </c>
      <c r="K1031" t="s">
        <v>24</v>
      </c>
      <c r="L1031">
        <v>0</v>
      </c>
      <c r="M1031">
        <v>5</v>
      </c>
      <c r="N1031" t="s">
        <v>419</v>
      </c>
      <c r="O1031" s="3" t="str">
        <f>TEXT(Ticket_Table[[#This Row],[raised_date]],"YYYY-MM")</f>
        <v>2023-08</v>
      </c>
      <c r="P1031" s="3" t="str">
        <f>IF(Ticket_Table[[#This Row],[resolution_hrs]]&lt;=4,"Fast",IF(Ticket_Table[[#This Row],[resolution_hrs]]&lt;=24,"Normal",IF(Ticket_Table[[#This Row],[resolution_hrs]]&lt;=48,"Slow","Very Slow")))</f>
        <v>Slow</v>
      </c>
      <c r="Q1031" s="3">
        <f>YEAR(Ticket_Table[[#This Row],[raised_date]])</f>
        <v>2023</v>
      </c>
    </row>
    <row r="1032" spans="1:17">
      <c r="A1032" t="s">
        <v>1587</v>
      </c>
      <c r="B1032" t="s">
        <v>250</v>
      </c>
      <c r="C1032" t="s">
        <v>133</v>
      </c>
      <c r="D1032" t="s">
        <v>20</v>
      </c>
      <c r="E1032" t="s">
        <v>30</v>
      </c>
      <c r="F1032" t="s">
        <v>22</v>
      </c>
      <c r="G1032" t="s">
        <v>74</v>
      </c>
      <c r="H1032" s="1">
        <v>45260</v>
      </c>
      <c r="I1032" s="2">
        <v>45260.4375</v>
      </c>
      <c r="J1032">
        <v>10.5</v>
      </c>
      <c r="K1032" t="s">
        <v>24</v>
      </c>
      <c r="L1032">
        <v>0</v>
      </c>
      <c r="M1032">
        <v>4</v>
      </c>
      <c r="N1032" t="s">
        <v>452</v>
      </c>
      <c r="O1032" s="3" t="str">
        <f>TEXT(Ticket_Table[[#This Row],[raised_date]],"YYYY-MM")</f>
        <v>2023-11</v>
      </c>
      <c r="P1032" s="3" t="str">
        <f>IF(Ticket_Table[[#This Row],[resolution_hrs]]&lt;=4,"Fast",IF(Ticket_Table[[#This Row],[resolution_hrs]]&lt;=24,"Normal",IF(Ticket_Table[[#This Row],[resolution_hrs]]&lt;=48,"Slow","Very Slow")))</f>
        <v>Normal</v>
      </c>
      <c r="Q1032" s="3">
        <f>YEAR(Ticket_Table[[#This Row],[raised_date]])</f>
        <v>2023</v>
      </c>
    </row>
    <row r="1033" spans="1:17">
      <c r="A1033" t="s">
        <v>1588</v>
      </c>
      <c r="B1033" t="s">
        <v>209</v>
      </c>
      <c r="C1033" t="s">
        <v>175</v>
      </c>
      <c r="D1033" t="s">
        <v>90</v>
      </c>
      <c r="E1033" t="s">
        <v>166</v>
      </c>
      <c r="F1033" t="s">
        <v>45</v>
      </c>
      <c r="G1033" t="s">
        <v>23</v>
      </c>
      <c r="H1033" s="1">
        <v>45132</v>
      </c>
      <c r="I1033" s="2">
        <v>45132.1166666667</v>
      </c>
      <c r="J1033">
        <v>2.8</v>
      </c>
      <c r="K1033" t="s">
        <v>24</v>
      </c>
      <c r="L1033">
        <v>2</v>
      </c>
      <c r="M1033">
        <v>4</v>
      </c>
      <c r="N1033" t="s">
        <v>985</v>
      </c>
      <c r="O1033" s="3" t="str">
        <f>TEXT(Ticket_Table[[#This Row],[raised_date]],"YYYY-MM")</f>
        <v>2023-07</v>
      </c>
      <c r="P1033" s="3" t="str">
        <f>IF(Ticket_Table[[#This Row],[resolution_hrs]]&lt;=4,"Fast",IF(Ticket_Table[[#This Row],[resolution_hrs]]&lt;=24,"Normal",IF(Ticket_Table[[#This Row],[resolution_hrs]]&lt;=48,"Slow","Very Slow")))</f>
        <v>Fast</v>
      </c>
      <c r="Q1033" s="3">
        <f>YEAR(Ticket_Table[[#This Row],[raised_date]])</f>
        <v>2023</v>
      </c>
    </row>
    <row r="1034" spans="1:17">
      <c r="A1034" t="s">
        <v>1589</v>
      </c>
      <c r="B1034" t="s">
        <v>722</v>
      </c>
      <c r="C1034" t="s">
        <v>42</v>
      </c>
      <c r="D1034" t="s">
        <v>20</v>
      </c>
      <c r="E1034" t="s">
        <v>166</v>
      </c>
      <c r="F1034" t="s">
        <v>22</v>
      </c>
      <c r="G1034" t="s">
        <v>23</v>
      </c>
      <c r="H1034" s="1">
        <v>44502</v>
      </c>
      <c r="I1034" s="2">
        <v>44506.2666666667</v>
      </c>
      <c r="J1034">
        <v>102.4</v>
      </c>
      <c r="K1034" t="s">
        <v>32</v>
      </c>
      <c r="L1034">
        <v>1</v>
      </c>
      <c r="M1034">
        <v>3</v>
      </c>
      <c r="N1034" t="s">
        <v>509</v>
      </c>
      <c r="O1034" s="3" t="str">
        <f>TEXT(Ticket_Table[[#This Row],[raised_date]],"YYYY-MM")</f>
        <v>2021-11</v>
      </c>
      <c r="P1034" s="3" t="str">
        <f>IF(Ticket_Table[[#This Row],[resolution_hrs]]&lt;=4,"Fast",IF(Ticket_Table[[#This Row],[resolution_hrs]]&lt;=24,"Normal",IF(Ticket_Table[[#This Row],[resolution_hrs]]&lt;=48,"Slow","Very Slow")))</f>
        <v>Very Slow</v>
      </c>
      <c r="Q1034" s="3">
        <f>YEAR(Ticket_Table[[#This Row],[raised_date]])</f>
        <v>2021</v>
      </c>
    </row>
    <row r="1035" spans="1:17">
      <c r="A1035" t="s">
        <v>1590</v>
      </c>
      <c r="B1035" t="s">
        <v>712</v>
      </c>
      <c r="C1035" t="s">
        <v>117</v>
      </c>
      <c r="D1035" t="s">
        <v>29</v>
      </c>
      <c r="E1035" t="s">
        <v>166</v>
      </c>
      <c r="F1035" t="s">
        <v>38</v>
      </c>
      <c r="G1035" t="s">
        <v>91</v>
      </c>
      <c r="H1035" s="1">
        <v>45252</v>
      </c>
      <c r="I1035" s="2">
        <v>45252.2125</v>
      </c>
      <c r="J1035">
        <v>5.1</v>
      </c>
      <c r="K1035" t="s">
        <v>24</v>
      </c>
      <c r="L1035">
        <v>0</v>
      </c>
      <c r="M1035">
        <v>2</v>
      </c>
      <c r="N1035" t="s">
        <v>280</v>
      </c>
      <c r="O1035" s="3" t="str">
        <f>TEXT(Ticket_Table[[#This Row],[raised_date]],"YYYY-MM")</f>
        <v>2023-11</v>
      </c>
      <c r="P1035" s="3" t="str">
        <f>IF(Ticket_Table[[#This Row],[resolution_hrs]]&lt;=4,"Fast",IF(Ticket_Table[[#This Row],[resolution_hrs]]&lt;=24,"Normal",IF(Ticket_Table[[#This Row],[resolution_hrs]]&lt;=48,"Slow","Very Slow")))</f>
        <v>Normal</v>
      </c>
      <c r="Q1035" s="3">
        <f>YEAR(Ticket_Table[[#This Row],[raised_date]])</f>
        <v>2023</v>
      </c>
    </row>
    <row r="1036" spans="1:17">
      <c r="A1036" t="s">
        <v>1591</v>
      </c>
      <c r="B1036" t="s">
        <v>98</v>
      </c>
      <c r="C1036" t="s">
        <v>201</v>
      </c>
      <c r="D1036" t="s">
        <v>36</v>
      </c>
      <c r="E1036" t="s">
        <v>21</v>
      </c>
      <c r="F1036" t="s">
        <v>38</v>
      </c>
      <c r="G1036" t="s">
        <v>23</v>
      </c>
      <c r="H1036" s="1">
        <v>44483</v>
      </c>
      <c r="I1036" s="2">
        <v>44484.0916666667</v>
      </c>
      <c r="J1036">
        <v>26.2</v>
      </c>
      <c r="K1036" t="s">
        <v>32</v>
      </c>
      <c r="L1036">
        <v>1</v>
      </c>
      <c r="M1036">
        <v>4</v>
      </c>
      <c r="N1036" t="s">
        <v>491</v>
      </c>
      <c r="O1036" s="3" t="str">
        <f>TEXT(Ticket_Table[[#This Row],[raised_date]],"YYYY-MM")</f>
        <v>2021-10</v>
      </c>
      <c r="P1036" s="3" t="str">
        <f>IF(Ticket_Table[[#This Row],[resolution_hrs]]&lt;=4,"Fast",IF(Ticket_Table[[#This Row],[resolution_hrs]]&lt;=24,"Normal",IF(Ticket_Table[[#This Row],[resolution_hrs]]&lt;=48,"Slow","Very Slow")))</f>
        <v>Slow</v>
      </c>
      <c r="Q1036" s="3">
        <f>YEAR(Ticket_Table[[#This Row],[raised_date]])</f>
        <v>2021</v>
      </c>
    </row>
    <row r="1037" spans="1:17">
      <c r="A1037" t="s">
        <v>1592</v>
      </c>
      <c r="B1037" t="s">
        <v>627</v>
      </c>
      <c r="C1037" t="s">
        <v>201</v>
      </c>
      <c r="D1037" t="s">
        <v>20</v>
      </c>
      <c r="E1037" t="s">
        <v>37</v>
      </c>
      <c r="F1037" t="s">
        <v>70</v>
      </c>
      <c r="G1037" t="s">
        <v>31</v>
      </c>
      <c r="H1037" s="1">
        <v>44868</v>
      </c>
      <c r="I1037" s="2">
        <v>44869.3291666667</v>
      </c>
      <c r="J1037">
        <v>31.9</v>
      </c>
      <c r="K1037" t="s">
        <v>24</v>
      </c>
      <c r="L1037">
        <v>0</v>
      </c>
      <c r="M1037">
        <v>4</v>
      </c>
      <c r="N1037" t="s">
        <v>129</v>
      </c>
      <c r="O1037" s="3" t="str">
        <f>TEXT(Ticket_Table[[#This Row],[raised_date]],"YYYY-MM")</f>
        <v>2022-11</v>
      </c>
      <c r="P1037" s="3" t="str">
        <f>IF(Ticket_Table[[#This Row],[resolution_hrs]]&lt;=4,"Fast",IF(Ticket_Table[[#This Row],[resolution_hrs]]&lt;=24,"Normal",IF(Ticket_Table[[#This Row],[resolution_hrs]]&lt;=48,"Slow","Very Slow")))</f>
        <v>Slow</v>
      </c>
      <c r="Q1037" s="3">
        <f>YEAR(Ticket_Table[[#This Row],[raised_date]])</f>
        <v>2022</v>
      </c>
    </row>
    <row r="1038" spans="1:17">
      <c r="A1038" t="s">
        <v>1593</v>
      </c>
      <c r="B1038" t="s">
        <v>315</v>
      </c>
      <c r="C1038" t="s">
        <v>19</v>
      </c>
      <c r="D1038" t="s">
        <v>29</v>
      </c>
      <c r="E1038" t="s">
        <v>30</v>
      </c>
      <c r="F1038" t="s">
        <v>22</v>
      </c>
      <c r="G1038" t="s">
        <v>23</v>
      </c>
      <c r="H1038" s="1">
        <v>44849</v>
      </c>
      <c r="I1038" s="2">
        <v>44853.1416666667</v>
      </c>
      <c r="J1038">
        <v>99.4</v>
      </c>
      <c r="K1038" t="s">
        <v>32</v>
      </c>
      <c r="L1038">
        <v>0</v>
      </c>
      <c r="M1038">
        <v>5</v>
      </c>
      <c r="N1038" t="s">
        <v>1265</v>
      </c>
      <c r="O1038" s="3" t="str">
        <f>TEXT(Ticket_Table[[#This Row],[raised_date]],"YYYY-MM")</f>
        <v>2022-10</v>
      </c>
      <c r="P1038" s="3" t="str">
        <f>IF(Ticket_Table[[#This Row],[resolution_hrs]]&lt;=4,"Fast",IF(Ticket_Table[[#This Row],[resolution_hrs]]&lt;=24,"Normal",IF(Ticket_Table[[#This Row],[resolution_hrs]]&lt;=48,"Slow","Very Slow")))</f>
        <v>Very Slow</v>
      </c>
      <c r="Q1038" s="3">
        <f>YEAR(Ticket_Table[[#This Row],[raised_date]])</f>
        <v>2022</v>
      </c>
    </row>
    <row r="1039" spans="1:17">
      <c r="A1039" t="s">
        <v>1594</v>
      </c>
      <c r="B1039" t="s">
        <v>588</v>
      </c>
      <c r="C1039" t="s">
        <v>19</v>
      </c>
      <c r="D1039" t="s">
        <v>43</v>
      </c>
      <c r="E1039" t="s">
        <v>51</v>
      </c>
      <c r="F1039" t="s">
        <v>38</v>
      </c>
      <c r="G1039" t="s">
        <v>74</v>
      </c>
      <c r="H1039" s="1">
        <v>44529</v>
      </c>
      <c r="I1039" s="2">
        <v>44529.7041666667</v>
      </c>
      <c r="J1039">
        <v>16.9</v>
      </c>
      <c r="K1039" t="s">
        <v>24</v>
      </c>
      <c r="L1039">
        <v>0</v>
      </c>
      <c r="M1039">
        <v>4</v>
      </c>
      <c r="N1039" t="s">
        <v>148</v>
      </c>
      <c r="O1039" s="3" t="str">
        <f>TEXT(Ticket_Table[[#This Row],[raised_date]],"YYYY-MM")</f>
        <v>2021-11</v>
      </c>
      <c r="P1039" s="3" t="str">
        <f>IF(Ticket_Table[[#This Row],[resolution_hrs]]&lt;=4,"Fast",IF(Ticket_Table[[#This Row],[resolution_hrs]]&lt;=24,"Normal",IF(Ticket_Table[[#This Row],[resolution_hrs]]&lt;=48,"Slow","Very Slow")))</f>
        <v>Normal</v>
      </c>
      <c r="Q1039" s="3">
        <f>YEAR(Ticket_Table[[#This Row],[raised_date]])</f>
        <v>2021</v>
      </c>
    </row>
    <row r="1040" spans="1:17">
      <c r="A1040" t="s">
        <v>1595</v>
      </c>
      <c r="B1040" t="s">
        <v>65</v>
      </c>
      <c r="C1040" t="s">
        <v>82</v>
      </c>
      <c r="D1040" t="s">
        <v>20</v>
      </c>
      <c r="E1040" t="s">
        <v>69</v>
      </c>
      <c r="F1040" t="s">
        <v>70</v>
      </c>
      <c r="G1040" t="s">
        <v>46</v>
      </c>
      <c r="H1040" s="1">
        <v>45001</v>
      </c>
      <c r="I1040" s="2">
        <v>45003.0333333333</v>
      </c>
      <c r="J1040">
        <v>48.8</v>
      </c>
      <c r="K1040" t="s">
        <v>32</v>
      </c>
      <c r="L1040">
        <v>0</v>
      </c>
      <c r="M1040">
        <v>5</v>
      </c>
      <c r="N1040" t="s">
        <v>395</v>
      </c>
      <c r="O1040" s="3" t="str">
        <f>TEXT(Ticket_Table[[#This Row],[raised_date]],"YYYY-MM")</f>
        <v>2023-03</v>
      </c>
      <c r="P1040" s="3" t="str">
        <f>IF(Ticket_Table[[#This Row],[resolution_hrs]]&lt;=4,"Fast",IF(Ticket_Table[[#This Row],[resolution_hrs]]&lt;=24,"Normal",IF(Ticket_Table[[#This Row],[resolution_hrs]]&lt;=48,"Slow","Very Slow")))</f>
        <v>Very Slow</v>
      </c>
      <c r="Q1040" s="3">
        <f>YEAR(Ticket_Table[[#This Row],[raised_date]])</f>
        <v>2023</v>
      </c>
    </row>
    <row r="1041" spans="1:17">
      <c r="A1041" t="s">
        <v>1596</v>
      </c>
      <c r="B1041" t="s">
        <v>123</v>
      </c>
      <c r="C1041" t="s">
        <v>287</v>
      </c>
      <c r="D1041" t="s">
        <v>36</v>
      </c>
      <c r="E1041" t="s">
        <v>30</v>
      </c>
      <c r="F1041" t="s">
        <v>38</v>
      </c>
      <c r="G1041" t="s">
        <v>23</v>
      </c>
      <c r="H1041" s="1">
        <v>44809</v>
      </c>
      <c r="I1041" s="2">
        <v>44809.2125</v>
      </c>
      <c r="J1041">
        <v>5.1</v>
      </c>
      <c r="K1041" t="s">
        <v>24</v>
      </c>
      <c r="L1041">
        <v>0</v>
      </c>
      <c r="M1041">
        <v>5</v>
      </c>
      <c r="N1041" t="s">
        <v>264</v>
      </c>
      <c r="O1041" s="3" t="str">
        <f>TEXT(Ticket_Table[[#This Row],[raised_date]],"YYYY-MM")</f>
        <v>2022-09</v>
      </c>
      <c r="P1041" s="3" t="str">
        <f>IF(Ticket_Table[[#This Row],[resolution_hrs]]&lt;=4,"Fast",IF(Ticket_Table[[#This Row],[resolution_hrs]]&lt;=24,"Normal",IF(Ticket_Table[[#This Row],[resolution_hrs]]&lt;=48,"Slow","Very Slow")))</f>
        <v>Normal</v>
      </c>
      <c r="Q1041" s="3">
        <f>YEAR(Ticket_Table[[#This Row],[raised_date]])</f>
        <v>2022</v>
      </c>
    </row>
    <row r="1042" spans="1:17">
      <c r="A1042" t="s">
        <v>1597</v>
      </c>
      <c r="B1042" t="s">
        <v>154</v>
      </c>
      <c r="C1042" t="s">
        <v>117</v>
      </c>
      <c r="D1042" t="s">
        <v>29</v>
      </c>
      <c r="E1042" t="s">
        <v>51</v>
      </c>
      <c r="F1042" t="s">
        <v>38</v>
      </c>
      <c r="G1042" t="s">
        <v>91</v>
      </c>
      <c r="H1042" s="1">
        <v>44885</v>
      </c>
      <c r="I1042" s="2">
        <v>44886.0833333333</v>
      </c>
      <c r="J1042">
        <v>26</v>
      </c>
      <c r="K1042" t="s">
        <v>32</v>
      </c>
      <c r="L1042">
        <v>0</v>
      </c>
      <c r="M1042">
        <v>3</v>
      </c>
      <c r="N1042" t="s">
        <v>556</v>
      </c>
      <c r="O1042" s="3" t="str">
        <f>TEXT(Ticket_Table[[#This Row],[raised_date]],"YYYY-MM")</f>
        <v>2022-11</v>
      </c>
      <c r="P1042" s="3" t="str">
        <f>IF(Ticket_Table[[#This Row],[resolution_hrs]]&lt;=4,"Fast",IF(Ticket_Table[[#This Row],[resolution_hrs]]&lt;=24,"Normal",IF(Ticket_Table[[#This Row],[resolution_hrs]]&lt;=48,"Slow","Very Slow")))</f>
        <v>Slow</v>
      </c>
      <c r="Q1042" s="3">
        <f>YEAR(Ticket_Table[[#This Row],[raised_date]])</f>
        <v>2022</v>
      </c>
    </row>
    <row r="1043" spans="1:17">
      <c r="A1043" t="s">
        <v>1598</v>
      </c>
      <c r="B1043" t="s">
        <v>988</v>
      </c>
      <c r="C1043" t="s">
        <v>82</v>
      </c>
      <c r="D1043" t="s">
        <v>20</v>
      </c>
      <c r="E1043" t="s">
        <v>51</v>
      </c>
      <c r="F1043" t="s">
        <v>45</v>
      </c>
      <c r="G1043" t="s">
        <v>31</v>
      </c>
      <c r="H1043" s="1">
        <v>45235</v>
      </c>
      <c r="I1043" s="2">
        <v>45235.0833333333</v>
      </c>
      <c r="J1043">
        <v>2</v>
      </c>
      <c r="K1043" t="s">
        <v>24</v>
      </c>
      <c r="L1043">
        <v>0</v>
      </c>
      <c r="M1043">
        <v>5</v>
      </c>
      <c r="N1043" t="s">
        <v>782</v>
      </c>
      <c r="O1043" s="3" t="str">
        <f>TEXT(Ticket_Table[[#This Row],[raised_date]],"YYYY-MM")</f>
        <v>2023-11</v>
      </c>
      <c r="P1043" s="3" t="str">
        <f>IF(Ticket_Table[[#This Row],[resolution_hrs]]&lt;=4,"Fast",IF(Ticket_Table[[#This Row],[resolution_hrs]]&lt;=24,"Normal",IF(Ticket_Table[[#This Row],[resolution_hrs]]&lt;=48,"Slow","Very Slow")))</f>
        <v>Fast</v>
      </c>
      <c r="Q1043" s="3">
        <f>YEAR(Ticket_Table[[#This Row],[raised_date]])</f>
        <v>2023</v>
      </c>
    </row>
    <row r="1044" spans="1:17">
      <c r="A1044" t="s">
        <v>1599</v>
      </c>
      <c r="B1044" t="s">
        <v>470</v>
      </c>
      <c r="C1044" t="s">
        <v>42</v>
      </c>
      <c r="D1044" t="s">
        <v>43</v>
      </c>
      <c r="E1044" t="s">
        <v>166</v>
      </c>
      <c r="F1044" t="s">
        <v>70</v>
      </c>
      <c r="G1044" t="s">
        <v>31</v>
      </c>
      <c r="H1044" s="1">
        <v>45240</v>
      </c>
      <c r="I1044" s="2">
        <v>45242.5916666667</v>
      </c>
      <c r="J1044">
        <v>62.2</v>
      </c>
      <c r="K1044" t="s">
        <v>32</v>
      </c>
      <c r="L1044">
        <v>0</v>
      </c>
      <c r="M1044">
        <v>1</v>
      </c>
      <c r="N1044" t="s">
        <v>828</v>
      </c>
      <c r="O1044" s="3" t="str">
        <f>TEXT(Ticket_Table[[#This Row],[raised_date]],"YYYY-MM")</f>
        <v>2023-11</v>
      </c>
      <c r="P1044" s="3" t="str">
        <f>IF(Ticket_Table[[#This Row],[resolution_hrs]]&lt;=4,"Fast",IF(Ticket_Table[[#This Row],[resolution_hrs]]&lt;=24,"Normal",IF(Ticket_Table[[#This Row],[resolution_hrs]]&lt;=48,"Slow","Very Slow")))</f>
        <v>Very Slow</v>
      </c>
      <c r="Q1044" s="3">
        <f>YEAR(Ticket_Table[[#This Row],[raised_date]])</f>
        <v>2023</v>
      </c>
    </row>
    <row r="1045" spans="1:17">
      <c r="A1045" t="s">
        <v>1600</v>
      </c>
      <c r="B1045" t="s">
        <v>77</v>
      </c>
      <c r="C1045" t="s">
        <v>78</v>
      </c>
      <c r="D1045" t="s">
        <v>20</v>
      </c>
      <c r="E1045" t="s">
        <v>44</v>
      </c>
      <c r="F1045" t="s">
        <v>70</v>
      </c>
      <c r="G1045" t="s">
        <v>31</v>
      </c>
      <c r="H1045" s="1">
        <v>45287</v>
      </c>
      <c r="I1045" s="2">
        <v>45289.3541666667</v>
      </c>
      <c r="J1045">
        <v>56.5</v>
      </c>
      <c r="K1045" t="s">
        <v>32</v>
      </c>
      <c r="L1045">
        <v>2</v>
      </c>
      <c r="M1045">
        <v>4</v>
      </c>
      <c r="N1045" t="s">
        <v>87</v>
      </c>
      <c r="O1045" s="3" t="str">
        <f>TEXT(Ticket_Table[[#This Row],[raised_date]],"YYYY-MM")</f>
        <v>2023-12</v>
      </c>
      <c r="P1045" s="3" t="str">
        <f>IF(Ticket_Table[[#This Row],[resolution_hrs]]&lt;=4,"Fast",IF(Ticket_Table[[#This Row],[resolution_hrs]]&lt;=24,"Normal",IF(Ticket_Table[[#This Row],[resolution_hrs]]&lt;=48,"Slow","Very Slow")))</f>
        <v>Very Slow</v>
      </c>
      <c r="Q1045" s="3">
        <f>YEAR(Ticket_Table[[#This Row],[raised_date]])</f>
        <v>2023</v>
      </c>
    </row>
    <row r="1046" spans="1:17">
      <c r="A1046" t="s">
        <v>1601</v>
      </c>
      <c r="B1046" t="s">
        <v>966</v>
      </c>
      <c r="C1046" t="s">
        <v>140</v>
      </c>
      <c r="D1046" t="s">
        <v>29</v>
      </c>
      <c r="E1046" t="s">
        <v>37</v>
      </c>
      <c r="F1046" t="s">
        <v>70</v>
      </c>
      <c r="G1046" t="s">
        <v>23</v>
      </c>
      <c r="H1046" s="1">
        <v>45200</v>
      </c>
      <c r="I1046" s="2">
        <v>45200.8916666667</v>
      </c>
      <c r="J1046">
        <v>21.4</v>
      </c>
      <c r="K1046" t="s">
        <v>24</v>
      </c>
      <c r="L1046">
        <v>3</v>
      </c>
      <c r="M1046">
        <v>4</v>
      </c>
      <c r="N1046" t="s">
        <v>172</v>
      </c>
      <c r="O1046" s="3" t="str">
        <f>TEXT(Ticket_Table[[#This Row],[raised_date]],"YYYY-MM")</f>
        <v>2023-10</v>
      </c>
      <c r="P1046" s="3" t="str">
        <f>IF(Ticket_Table[[#This Row],[resolution_hrs]]&lt;=4,"Fast",IF(Ticket_Table[[#This Row],[resolution_hrs]]&lt;=24,"Normal",IF(Ticket_Table[[#This Row],[resolution_hrs]]&lt;=48,"Slow","Very Slow")))</f>
        <v>Normal</v>
      </c>
      <c r="Q1046" s="3">
        <f>YEAR(Ticket_Table[[#This Row],[raised_date]])</f>
        <v>2023</v>
      </c>
    </row>
    <row r="1047" spans="1:17">
      <c r="A1047" t="s">
        <v>1602</v>
      </c>
      <c r="B1047" t="s">
        <v>1578</v>
      </c>
      <c r="C1047" t="s">
        <v>140</v>
      </c>
      <c r="D1047" t="s">
        <v>20</v>
      </c>
      <c r="E1047" t="s">
        <v>51</v>
      </c>
      <c r="F1047" t="s">
        <v>22</v>
      </c>
      <c r="G1047" t="s">
        <v>31</v>
      </c>
      <c r="H1047" s="1">
        <v>44810</v>
      </c>
      <c r="I1047" s="2">
        <v>44812.2458333333</v>
      </c>
      <c r="J1047">
        <v>53.9</v>
      </c>
      <c r="K1047" t="s">
        <v>24</v>
      </c>
      <c r="L1047">
        <v>0</v>
      </c>
      <c r="M1047">
        <v>4</v>
      </c>
      <c r="N1047" t="s">
        <v>358</v>
      </c>
      <c r="O1047" s="3" t="str">
        <f>TEXT(Ticket_Table[[#This Row],[raised_date]],"YYYY-MM")</f>
        <v>2022-09</v>
      </c>
      <c r="P1047" s="3" t="str">
        <f>IF(Ticket_Table[[#This Row],[resolution_hrs]]&lt;=4,"Fast",IF(Ticket_Table[[#This Row],[resolution_hrs]]&lt;=24,"Normal",IF(Ticket_Table[[#This Row],[resolution_hrs]]&lt;=48,"Slow","Very Slow")))</f>
        <v>Very Slow</v>
      </c>
      <c r="Q1047" s="3">
        <f>YEAR(Ticket_Table[[#This Row],[raised_date]])</f>
        <v>2022</v>
      </c>
    </row>
    <row r="1048" spans="1:17">
      <c r="A1048" t="s">
        <v>1603</v>
      </c>
      <c r="B1048" t="s">
        <v>99</v>
      </c>
      <c r="C1048" t="s">
        <v>68</v>
      </c>
      <c r="D1048" t="s">
        <v>36</v>
      </c>
      <c r="E1048" t="s">
        <v>37</v>
      </c>
      <c r="F1048" t="s">
        <v>38</v>
      </c>
      <c r="G1048" t="s">
        <v>23</v>
      </c>
      <c r="H1048" s="1">
        <v>45169</v>
      </c>
      <c r="I1048" s="2">
        <v>45169.2333333333</v>
      </c>
      <c r="J1048">
        <v>5.6</v>
      </c>
      <c r="K1048" t="s">
        <v>24</v>
      </c>
      <c r="L1048">
        <v>0</v>
      </c>
      <c r="M1048">
        <v>3</v>
      </c>
      <c r="N1048" t="s">
        <v>767</v>
      </c>
      <c r="O1048" s="3" t="str">
        <f>TEXT(Ticket_Table[[#This Row],[raised_date]],"YYYY-MM")</f>
        <v>2023-08</v>
      </c>
      <c r="P1048" s="3" t="str">
        <f>IF(Ticket_Table[[#This Row],[resolution_hrs]]&lt;=4,"Fast",IF(Ticket_Table[[#This Row],[resolution_hrs]]&lt;=24,"Normal",IF(Ticket_Table[[#This Row],[resolution_hrs]]&lt;=48,"Slow","Very Slow")))</f>
        <v>Normal</v>
      </c>
      <c r="Q1048" s="3">
        <f>YEAR(Ticket_Table[[#This Row],[raised_date]])</f>
        <v>2023</v>
      </c>
    </row>
    <row r="1049" spans="1:17">
      <c r="A1049" t="s">
        <v>1604</v>
      </c>
      <c r="B1049" t="s">
        <v>487</v>
      </c>
      <c r="C1049" t="s">
        <v>261</v>
      </c>
      <c r="D1049" t="s">
        <v>90</v>
      </c>
      <c r="E1049" t="s">
        <v>106</v>
      </c>
      <c r="F1049" t="s">
        <v>22</v>
      </c>
      <c r="G1049" t="s">
        <v>31</v>
      </c>
      <c r="H1049" s="1">
        <v>44231</v>
      </c>
      <c r="I1049" s="2">
        <v>44234.8583333333</v>
      </c>
      <c r="J1049">
        <v>92.6</v>
      </c>
      <c r="K1049" t="s">
        <v>32</v>
      </c>
      <c r="L1049">
        <v>1</v>
      </c>
      <c r="M1049">
        <v>4</v>
      </c>
      <c r="N1049" t="s">
        <v>358</v>
      </c>
      <c r="O1049" s="3" t="str">
        <f>TEXT(Ticket_Table[[#This Row],[raised_date]],"YYYY-MM")</f>
        <v>2021-02</v>
      </c>
      <c r="P1049" s="3" t="str">
        <f>IF(Ticket_Table[[#This Row],[resolution_hrs]]&lt;=4,"Fast",IF(Ticket_Table[[#This Row],[resolution_hrs]]&lt;=24,"Normal",IF(Ticket_Table[[#This Row],[resolution_hrs]]&lt;=48,"Slow","Very Slow")))</f>
        <v>Very Slow</v>
      </c>
      <c r="Q1049" s="3">
        <f>YEAR(Ticket_Table[[#This Row],[raised_date]])</f>
        <v>2021</v>
      </c>
    </row>
    <row r="1050" spans="1:17">
      <c r="A1050" t="s">
        <v>1605</v>
      </c>
      <c r="B1050" t="s">
        <v>668</v>
      </c>
      <c r="C1050" t="s">
        <v>175</v>
      </c>
      <c r="D1050" t="s">
        <v>29</v>
      </c>
      <c r="E1050" t="s">
        <v>21</v>
      </c>
      <c r="F1050" t="s">
        <v>70</v>
      </c>
      <c r="G1050" t="s">
        <v>23</v>
      </c>
      <c r="H1050" s="1">
        <v>44951</v>
      </c>
      <c r="I1050" s="2">
        <v>44952.8166666667</v>
      </c>
      <c r="J1050">
        <v>43.6</v>
      </c>
      <c r="K1050" t="s">
        <v>24</v>
      </c>
      <c r="L1050">
        <v>1</v>
      </c>
      <c r="M1050">
        <v>5</v>
      </c>
      <c r="N1050" t="s">
        <v>323</v>
      </c>
      <c r="O1050" s="3" t="str">
        <f>TEXT(Ticket_Table[[#This Row],[raised_date]],"YYYY-MM")</f>
        <v>2023-01</v>
      </c>
      <c r="P1050" s="3" t="str">
        <f>IF(Ticket_Table[[#This Row],[resolution_hrs]]&lt;=4,"Fast",IF(Ticket_Table[[#This Row],[resolution_hrs]]&lt;=24,"Normal",IF(Ticket_Table[[#This Row],[resolution_hrs]]&lt;=48,"Slow","Very Slow")))</f>
        <v>Slow</v>
      </c>
      <c r="Q1050" s="3">
        <f>YEAR(Ticket_Table[[#This Row],[raised_date]])</f>
        <v>2023</v>
      </c>
    </row>
    <row r="1051" spans="1:17">
      <c r="A1051" t="s">
        <v>1606</v>
      </c>
      <c r="B1051" t="s">
        <v>592</v>
      </c>
      <c r="C1051" t="s">
        <v>42</v>
      </c>
      <c r="D1051" t="s">
        <v>29</v>
      </c>
      <c r="E1051" t="s">
        <v>69</v>
      </c>
      <c r="F1051" t="s">
        <v>38</v>
      </c>
      <c r="G1051" t="s">
        <v>23</v>
      </c>
      <c r="H1051" s="1">
        <v>44875</v>
      </c>
      <c r="I1051" s="2">
        <v>44876.4916666667</v>
      </c>
      <c r="J1051">
        <v>35.8</v>
      </c>
      <c r="K1051" t="s">
        <v>32</v>
      </c>
      <c r="L1051">
        <v>1</v>
      </c>
      <c r="M1051">
        <v>5</v>
      </c>
      <c r="N1051" t="s">
        <v>1195</v>
      </c>
      <c r="O1051" s="3" t="str">
        <f>TEXT(Ticket_Table[[#This Row],[raised_date]],"YYYY-MM")</f>
        <v>2022-11</v>
      </c>
      <c r="P1051" s="3" t="str">
        <f>IF(Ticket_Table[[#This Row],[resolution_hrs]]&lt;=4,"Fast",IF(Ticket_Table[[#This Row],[resolution_hrs]]&lt;=24,"Normal",IF(Ticket_Table[[#This Row],[resolution_hrs]]&lt;=48,"Slow","Very Slow")))</f>
        <v>Slow</v>
      </c>
      <c r="Q1051" s="3">
        <f>YEAR(Ticket_Table[[#This Row],[raised_date]])</f>
        <v>2022</v>
      </c>
    </row>
    <row r="1052" spans="1:17">
      <c r="A1052" t="s">
        <v>1607</v>
      </c>
      <c r="B1052" t="s">
        <v>985</v>
      </c>
      <c r="C1052" t="s">
        <v>19</v>
      </c>
      <c r="D1052" t="s">
        <v>29</v>
      </c>
      <c r="E1052" t="s">
        <v>106</v>
      </c>
      <c r="F1052" t="s">
        <v>70</v>
      </c>
      <c r="G1052" t="s">
        <v>23</v>
      </c>
      <c r="H1052" s="1">
        <v>44421</v>
      </c>
      <c r="I1052" s="2">
        <v>44421.8791666667</v>
      </c>
      <c r="J1052">
        <v>21.1</v>
      </c>
      <c r="K1052" t="s">
        <v>24</v>
      </c>
      <c r="L1052">
        <v>0</v>
      </c>
      <c r="M1052">
        <v>4</v>
      </c>
      <c r="N1052" t="s">
        <v>123</v>
      </c>
      <c r="O1052" s="3" t="str">
        <f>TEXT(Ticket_Table[[#This Row],[raised_date]],"YYYY-MM")</f>
        <v>2021-08</v>
      </c>
      <c r="P1052" s="3" t="str">
        <f>IF(Ticket_Table[[#This Row],[resolution_hrs]]&lt;=4,"Fast",IF(Ticket_Table[[#This Row],[resolution_hrs]]&lt;=24,"Normal",IF(Ticket_Table[[#This Row],[resolution_hrs]]&lt;=48,"Slow","Very Slow")))</f>
        <v>Normal</v>
      </c>
      <c r="Q1052" s="3">
        <f>YEAR(Ticket_Table[[#This Row],[raised_date]])</f>
        <v>2021</v>
      </c>
    </row>
    <row r="1053" spans="1:17">
      <c r="A1053" t="s">
        <v>1608</v>
      </c>
      <c r="B1053" t="s">
        <v>165</v>
      </c>
      <c r="C1053" t="s">
        <v>82</v>
      </c>
      <c r="D1053" t="s">
        <v>29</v>
      </c>
      <c r="E1053" t="s">
        <v>51</v>
      </c>
      <c r="F1053" t="s">
        <v>70</v>
      </c>
      <c r="G1053" t="s">
        <v>74</v>
      </c>
      <c r="H1053" s="1">
        <v>45050</v>
      </c>
      <c r="I1053" s="2">
        <v>45052.0458333333</v>
      </c>
      <c r="J1053">
        <v>49.1</v>
      </c>
      <c r="K1053" t="s">
        <v>32</v>
      </c>
      <c r="L1053">
        <v>0</v>
      </c>
      <c r="M1053">
        <v>3</v>
      </c>
      <c r="N1053" t="s">
        <v>903</v>
      </c>
      <c r="O1053" s="3" t="str">
        <f>TEXT(Ticket_Table[[#This Row],[raised_date]],"YYYY-MM")</f>
        <v>2023-05</v>
      </c>
      <c r="P1053" s="3" t="str">
        <f>IF(Ticket_Table[[#This Row],[resolution_hrs]]&lt;=4,"Fast",IF(Ticket_Table[[#This Row],[resolution_hrs]]&lt;=24,"Normal",IF(Ticket_Table[[#This Row],[resolution_hrs]]&lt;=48,"Slow","Very Slow")))</f>
        <v>Very Slow</v>
      </c>
      <c r="Q1053" s="3">
        <f>YEAR(Ticket_Table[[#This Row],[raised_date]])</f>
        <v>2023</v>
      </c>
    </row>
    <row r="1054" spans="1:17">
      <c r="A1054" t="s">
        <v>1609</v>
      </c>
      <c r="B1054" t="s">
        <v>931</v>
      </c>
      <c r="C1054" t="s">
        <v>60</v>
      </c>
      <c r="D1054" t="s">
        <v>20</v>
      </c>
      <c r="E1054" t="s">
        <v>30</v>
      </c>
      <c r="F1054" t="s">
        <v>70</v>
      </c>
      <c r="G1054" t="s">
        <v>23</v>
      </c>
      <c r="H1054" s="1">
        <v>44827</v>
      </c>
      <c r="I1054" s="2">
        <v>44828.2791666667</v>
      </c>
      <c r="J1054">
        <v>30.7</v>
      </c>
      <c r="K1054" t="s">
        <v>24</v>
      </c>
      <c r="L1054">
        <v>0</v>
      </c>
      <c r="M1054">
        <v>5</v>
      </c>
      <c r="N1054" t="s">
        <v>878</v>
      </c>
      <c r="O1054" s="3" t="str">
        <f>TEXT(Ticket_Table[[#This Row],[raised_date]],"YYYY-MM")</f>
        <v>2022-09</v>
      </c>
      <c r="P1054" s="3" t="str">
        <f>IF(Ticket_Table[[#This Row],[resolution_hrs]]&lt;=4,"Fast",IF(Ticket_Table[[#This Row],[resolution_hrs]]&lt;=24,"Normal",IF(Ticket_Table[[#This Row],[resolution_hrs]]&lt;=48,"Slow","Very Slow")))</f>
        <v>Slow</v>
      </c>
      <c r="Q1054" s="3">
        <f>YEAR(Ticket_Table[[#This Row],[raised_date]])</f>
        <v>2022</v>
      </c>
    </row>
    <row r="1055" spans="1:17">
      <c r="A1055" t="s">
        <v>1610</v>
      </c>
      <c r="B1055" t="s">
        <v>163</v>
      </c>
      <c r="C1055" t="s">
        <v>175</v>
      </c>
      <c r="D1055" t="s">
        <v>36</v>
      </c>
      <c r="E1055" t="s">
        <v>37</v>
      </c>
      <c r="F1055" t="s">
        <v>38</v>
      </c>
      <c r="G1055" t="s">
        <v>31</v>
      </c>
      <c r="H1055" s="1">
        <v>44251</v>
      </c>
      <c r="I1055" s="2">
        <v>44251.6375</v>
      </c>
      <c r="J1055">
        <v>15.3</v>
      </c>
      <c r="K1055" t="s">
        <v>24</v>
      </c>
      <c r="L1055">
        <v>0</v>
      </c>
      <c r="M1055">
        <v>5</v>
      </c>
      <c r="N1055" t="s">
        <v>950</v>
      </c>
      <c r="O1055" s="3" t="str">
        <f>TEXT(Ticket_Table[[#This Row],[raised_date]],"YYYY-MM")</f>
        <v>2021-02</v>
      </c>
      <c r="P1055" s="3" t="str">
        <f>IF(Ticket_Table[[#This Row],[resolution_hrs]]&lt;=4,"Fast",IF(Ticket_Table[[#This Row],[resolution_hrs]]&lt;=24,"Normal",IF(Ticket_Table[[#This Row],[resolution_hrs]]&lt;=48,"Slow","Very Slow")))</f>
        <v>Normal</v>
      </c>
      <c r="Q1055" s="3">
        <f>YEAR(Ticket_Table[[#This Row],[raised_date]])</f>
        <v>2021</v>
      </c>
    </row>
    <row r="1056" spans="1:17">
      <c r="A1056" t="s">
        <v>1611</v>
      </c>
      <c r="B1056" t="s">
        <v>155</v>
      </c>
      <c r="C1056" t="s">
        <v>50</v>
      </c>
      <c r="D1056" t="s">
        <v>43</v>
      </c>
      <c r="E1056" t="s">
        <v>106</v>
      </c>
      <c r="F1056" t="s">
        <v>70</v>
      </c>
      <c r="G1056" t="s">
        <v>23</v>
      </c>
      <c r="H1056" s="1">
        <v>45168</v>
      </c>
      <c r="I1056" s="2">
        <v>45168.475</v>
      </c>
      <c r="J1056">
        <v>11.4</v>
      </c>
      <c r="K1056" t="s">
        <v>24</v>
      </c>
      <c r="L1056">
        <v>0</v>
      </c>
      <c r="M1056">
        <v>3</v>
      </c>
      <c r="N1056" t="s">
        <v>349</v>
      </c>
      <c r="O1056" s="3" t="str">
        <f>TEXT(Ticket_Table[[#This Row],[raised_date]],"YYYY-MM")</f>
        <v>2023-08</v>
      </c>
      <c r="P1056" s="3" t="str">
        <f>IF(Ticket_Table[[#This Row],[resolution_hrs]]&lt;=4,"Fast",IF(Ticket_Table[[#This Row],[resolution_hrs]]&lt;=24,"Normal",IF(Ticket_Table[[#This Row],[resolution_hrs]]&lt;=48,"Slow","Very Slow")))</f>
        <v>Normal</v>
      </c>
      <c r="Q1056" s="3">
        <f>YEAR(Ticket_Table[[#This Row],[raised_date]])</f>
        <v>2023</v>
      </c>
    </row>
    <row r="1057" spans="1:17">
      <c r="A1057" t="s">
        <v>1612</v>
      </c>
      <c r="B1057" t="s">
        <v>259</v>
      </c>
      <c r="C1057" t="s">
        <v>102</v>
      </c>
      <c r="D1057" t="s">
        <v>36</v>
      </c>
      <c r="E1057" t="s">
        <v>37</v>
      </c>
      <c r="F1057" t="s">
        <v>38</v>
      </c>
      <c r="G1057" t="s">
        <v>23</v>
      </c>
      <c r="H1057" s="1">
        <v>44740</v>
      </c>
      <c r="I1057" s="2">
        <v>44740.4666666667</v>
      </c>
      <c r="J1057">
        <v>11.2</v>
      </c>
      <c r="K1057" t="s">
        <v>24</v>
      </c>
      <c r="L1057">
        <v>1</v>
      </c>
      <c r="M1057">
        <v>3</v>
      </c>
      <c r="N1057" t="s">
        <v>935</v>
      </c>
      <c r="O1057" s="3" t="str">
        <f>TEXT(Ticket_Table[[#This Row],[raised_date]],"YYYY-MM")</f>
        <v>2022-06</v>
      </c>
      <c r="P1057" s="3" t="str">
        <f>IF(Ticket_Table[[#This Row],[resolution_hrs]]&lt;=4,"Fast",IF(Ticket_Table[[#This Row],[resolution_hrs]]&lt;=24,"Normal",IF(Ticket_Table[[#This Row],[resolution_hrs]]&lt;=48,"Slow","Very Slow")))</f>
        <v>Normal</v>
      </c>
      <c r="Q1057" s="3">
        <f>YEAR(Ticket_Table[[#This Row],[raised_date]])</f>
        <v>2022</v>
      </c>
    </row>
    <row r="1058" spans="1:17">
      <c r="A1058" t="s">
        <v>1613</v>
      </c>
      <c r="B1058" t="s">
        <v>1154</v>
      </c>
      <c r="C1058" t="s">
        <v>117</v>
      </c>
      <c r="D1058" t="s">
        <v>29</v>
      </c>
      <c r="E1058" t="s">
        <v>21</v>
      </c>
      <c r="F1058" t="s">
        <v>22</v>
      </c>
      <c r="G1058" t="s">
        <v>46</v>
      </c>
      <c r="H1058" s="1">
        <v>44663</v>
      </c>
      <c r="I1058" s="2">
        <v>44664.2083333333</v>
      </c>
      <c r="J1058">
        <v>29</v>
      </c>
      <c r="K1058" t="s">
        <v>24</v>
      </c>
      <c r="L1058">
        <v>1</v>
      </c>
      <c r="M1058">
        <v>5</v>
      </c>
      <c r="N1058" t="s">
        <v>218</v>
      </c>
      <c r="O1058" s="3" t="str">
        <f>TEXT(Ticket_Table[[#This Row],[raised_date]],"YYYY-MM")</f>
        <v>2022-04</v>
      </c>
      <c r="P1058" s="3" t="str">
        <f>IF(Ticket_Table[[#This Row],[resolution_hrs]]&lt;=4,"Fast",IF(Ticket_Table[[#This Row],[resolution_hrs]]&lt;=24,"Normal",IF(Ticket_Table[[#This Row],[resolution_hrs]]&lt;=48,"Slow","Very Slow")))</f>
        <v>Slow</v>
      </c>
      <c r="Q1058" s="3">
        <f>YEAR(Ticket_Table[[#This Row],[raised_date]])</f>
        <v>2022</v>
      </c>
    </row>
    <row r="1059" spans="1:17">
      <c r="A1059" t="s">
        <v>1614</v>
      </c>
      <c r="B1059" t="s">
        <v>630</v>
      </c>
      <c r="C1059" t="s">
        <v>60</v>
      </c>
      <c r="D1059" t="s">
        <v>20</v>
      </c>
      <c r="E1059" t="s">
        <v>30</v>
      </c>
      <c r="F1059" t="s">
        <v>38</v>
      </c>
      <c r="G1059" t="s">
        <v>31</v>
      </c>
      <c r="H1059" s="1">
        <v>44302</v>
      </c>
      <c r="I1059" s="2">
        <v>44302.9416666667</v>
      </c>
      <c r="J1059">
        <v>22.6</v>
      </c>
      <c r="K1059" t="s">
        <v>24</v>
      </c>
      <c r="L1059">
        <v>0</v>
      </c>
      <c r="M1059">
        <v>5</v>
      </c>
      <c r="N1059" t="s">
        <v>105</v>
      </c>
      <c r="O1059" s="3" t="str">
        <f>TEXT(Ticket_Table[[#This Row],[raised_date]],"YYYY-MM")</f>
        <v>2021-04</v>
      </c>
      <c r="P1059" s="3" t="str">
        <f>IF(Ticket_Table[[#This Row],[resolution_hrs]]&lt;=4,"Fast",IF(Ticket_Table[[#This Row],[resolution_hrs]]&lt;=24,"Normal",IF(Ticket_Table[[#This Row],[resolution_hrs]]&lt;=48,"Slow","Very Slow")))</f>
        <v>Normal</v>
      </c>
      <c r="Q1059" s="3">
        <f>YEAR(Ticket_Table[[#This Row],[raised_date]])</f>
        <v>2021</v>
      </c>
    </row>
    <row r="1060" spans="1:17">
      <c r="A1060" t="s">
        <v>1615</v>
      </c>
      <c r="B1060" t="s">
        <v>293</v>
      </c>
      <c r="C1060" t="s">
        <v>42</v>
      </c>
      <c r="D1060" t="s">
        <v>20</v>
      </c>
      <c r="E1060" t="s">
        <v>106</v>
      </c>
      <c r="F1060" t="s">
        <v>38</v>
      </c>
      <c r="G1060" t="s">
        <v>23</v>
      </c>
      <c r="H1060" s="1">
        <v>45180</v>
      </c>
      <c r="I1060" s="2">
        <v>45181.3666666667</v>
      </c>
      <c r="J1060">
        <v>32.8</v>
      </c>
      <c r="K1060" t="s">
        <v>32</v>
      </c>
      <c r="L1060">
        <v>0</v>
      </c>
      <c r="M1060">
        <v>2</v>
      </c>
      <c r="N1060" t="s">
        <v>584</v>
      </c>
      <c r="O1060" s="3" t="str">
        <f>TEXT(Ticket_Table[[#This Row],[raised_date]],"YYYY-MM")</f>
        <v>2023-09</v>
      </c>
      <c r="P1060" s="3" t="str">
        <f>IF(Ticket_Table[[#This Row],[resolution_hrs]]&lt;=4,"Fast",IF(Ticket_Table[[#This Row],[resolution_hrs]]&lt;=24,"Normal",IF(Ticket_Table[[#This Row],[resolution_hrs]]&lt;=48,"Slow","Very Slow")))</f>
        <v>Slow</v>
      </c>
      <c r="Q1060" s="3">
        <f>YEAR(Ticket_Table[[#This Row],[raised_date]])</f>
        <v>2023</v>
      </c>
    </row>
    <row r="1061" spans="1:17">
      <c r="A1061" t="s">
        <v>1616</v>
      </c>
      <c r="B1061" t="s">
        <v>707</v>
      </c>
      <c r="C1061" t="s">
        <v>55</v>
      </c>
      <c r="D1061" t="s">
        <v>29</v>
      </c>
      <c r="E1061" t="s">
        <v>37</v>
      </c>
      <c r="F1061" t="s">
        <v>22</v>
      </c>
      <c r="G1061" t="s">
        <v>91</v>
      </c>
      <c r="H1061" s="1">
        <v>44546</v>
      </c>
      <c r="I1061" s="2">
        <v>44547.6916666667</v>
      </c>
      <c r="J1061">
        <v>40.6</v>
      </c>
      <c r="K1061" t="s">
        <v>24</v>
      </c>
      <c r="L1061">
        <v>0</v>
      </c>
      <c r="M1061">
        <v>5</v>
      </c>
      <c r="N1061" t="s">
        <v>310</v>
      </c>
      <c r="O1061" s="3" t="str">
        <f>TEXT(Ticket_Table[[#This Row],[raised_date]],"YYYY-MM")</f>
        <v>2021-12</v>
      </c>
      <c r="P1061" s="3" t="str">
        <f>IF(Ticket_Table[[#This Row],[resolution_hrs]]&lt;=4,"Fast",IF(Ticket_Table[[#This Row],[resolution_hrs]]&lt;=24,"Normal",IF(Ticket_Table[[#This Row],[resolution_hrs]]&lt;=48,"Slow","Very Slow")))</f>
        <v>Slow</v>
      </c>
      <c r="Q1061" s="3">
        <f>YEAR(Ticket_Table[[#This Row],[raised_date]])</f>
        <v>2021</v>
      </c>
    </row>
    <row r="1062" spans="1:17">
      <c r="A1062" t="s">
        <v>1617</v>
      </c>
      <c r="B1062" t="s">
        <v>138</v>
      </c>
      <c r="C1062" t="s">
        <v>287</v>
      </c>
      <c r="D1062" t="s">
        <v>20</v>
      </c>
      <c r="E1062" t="s">
        <v>30</v>
      </c>
      <c r="F1062" t="s">
        <v>70</v>
      </c>
      <c r="G1062" t="s">
        <v>91</v>
      </c>
      <c r="H1062" s="1">
        <v>45270</v>
      </c>
      <c r="I1062" s="2">
        <v>45272.0666666667</v>
      </c>
      <c r="J1062">
        <v>49.6</v>
      </c>
      <c r="K1062" t="s">
        <v>32</v>
      </c>
      <c r="L1062">
        <v>0</v>
      </c>
      <c r="M1062">
        <v>4</v>
      </c>
      <c r="N1062" t="s">
        <v>1578</v>
      </c>
      <c r="O1062" s="3" t="str">
        <f>TEXT(Ticket_Table[[#This Row],[raised_date]],"YYYY-MM")</f>
        <v>2023-12</v>
      </c>
      <c r="P1062" s="3" t="str">
        <f>IF(Ticket_Table[[#This Row],[resolution_hrs]]&lt;=4,"Fast",IF(Ticket_Table[[#This Row],[resolution_hrs]]&lt;=24,"Normal",IF(Ticket_Table[[#This Row],[resolution_hrs]]&lt;=48,"Slow","Very Slow")))</f>
        <v>Very Slow</v>
      </c>
      <c r="Q1062" s="3">
        <f>YEAR(Ticket_Table[[#This Row],[raised_date]])</f>
        <v>2023</v>
      </c>
    </row>
    <row r="1063" spans="1:17">
      <c r="A1063" t="s">
        <v>1618</v>
      </c>
      <c r="B1063" t="s">
        <v>129</v>
      </c>
      <c r="C1063" t="s">
        <v>201</v>
      </c>
      <c r="D1063" t="s">
        <v>29</v>
      </c>
      <c r="E1063" t="s">
        <v>166</v>
      </c>
      <c r="F1063" t="s">
        <v>22</v>
      </c>
      <c r="G1063" t="s">
        <v>31</v>
      </c>
      <c r="H1063" s="1">
        <v>44975</v>
      </c>
      <c r="I1063" s="2">
        <v>44977.0833333333</v>
      </c>
      <c r="J1063">
        <v>50</v>
      </c>
      <c r="K1063" t="s">
        <v>24</v>
      </c>
      <c r="L1063">
        <v>0</v>
      </c>
      <c r="M1063">
        <v>5</v>
      </c>
      <c r="N1063" t="s">
        <v>157</v>
      </c>
      <c r="O1063" s="3" t="str">
        <f>TEXT(Ticket_Table[[#This Row],[raised_date]],"YYYY-MM")</f>
        <v>2023-02</v>
      </c>
      <c r="P1063" s="3" t="str">
        <f>IF(Ticket_Table[[#This Row],[resolution_hrs]]&lt;=4,"Fast",IF(Ticket_Table[[#This Row],[resolution_hrs]]&lt;=24,"Normal",IF(Ticket_Table[[#This Row],[resolution_hrs]]&lt;=48,"Slow","Very Slow")))</f>
        <v>Very Slow</v>
      </c>
      <c r="Q1063" s="3">
        <f>YEAR(Ticket_Table[[#This Row],[raised_date]])</f>
        <v>2023</v>
      </c>
    </row>
    <row r="1064" spans="1:17">
      <c r="A1064" t="s">
        <v>1619</v>
      </c>
      <c r="B1064" t="s">
        <v>1129</v>
      </c>
      <c r="C1064" t="s">
        <v>140</v>
      </c>
      <c r="D1064" t="s">
        <v>36</v>
      </c>
      <c r="E1064" t="s">
        <v>56</v>
      </c>
      <c r="F1064" t="s">
        <v>38</v>
      </c>
      <c r="G1064" t="s">
        <v>74</v>
      </c>
      <c r="H1064" s="1">
        <v>44499</v>
      </c>
      <c r="I1064" s="2">
        <v>44499.0583333333</v>
      </c>
      <c r="J1064">
        <v>1.4</v>
      </c>
      <c r="K1064" t="s">
        <v>24</v>
      </c>
      <c r="L1064">
        <v>1</v>
      </c>
      <c r="M1064">
        <v>4</v>
      </c>
      <c r="N1064" t="s">
        <v>968</v>
      </c>
      <c r="O1064" s="3" t="str">
        <f>TEXT(Ticket_Table[[#This Row],[raised_date]],"YYYY-MM")</f>
        <v>2021-10</v>
      </c>
      <c r="P1064" s="3" t="str">
        <f>IF(Ticket_Table[[#This Row],[resolution_hrs]]&lt;=4,"Fast",IF(Ticket_Table[[#This Row],[resolution_hrs]]&lt;=24,"Normal",IF(Ticket_Table[[#This Row],[resolution_hrs]]&lt;=48,"Slow","Very Slow")))</f>
        <v>Fast</v>
      </c>
      <c r="Q1064" s="3">
        <f>YEAR(Ticket_Table[[#This Row],[raised_date]])</f>
        <v>2021</v>
      </c>
    </row>
    <row r="1065" spans="1:17">
      <c r="A1065" t="s">
        <v>1620</v>
      </c>
      <c r="B1065" t="s">
        <v>481</v>
      </c>
      <c r="C1065" t="s">
        <v>140</v>
      </c>
      <c r="D1065" t="s">
        <v>90</v>
      </c>
      <c r="E1065" t="s">
        <v>166</v>
      </c>
      <c r="F1065" t="s">
        <v>70</v>
      </c>
      <c r="G1065" t="s">
        <v>23</v>
      </c>
      <c r="H1065" s="1">
        <v>44693</v>
      </c>
      <c r="I1065" s="2">
        <v>44693.4375</v>
      </c>
      <c r="J1065">
        <v>10.5</v>
      </c>
      <c r="K1065" t="s">
        <v>24</v>
      </c>
      <c r="L1065">
        <v>0</v>
      </c>
      <c r="M1065">
        <v>4</v>
      </c>
      <c r="N1065" t="s">
        <v>398</v>
      </c>
      <c r="O1065" s="3" t="str">
        <f>TEXT(Ticket_Table[[#This Row],[raised_date]],"YYYY-MM")</f>
        <v>2022-05</v>
      </c>
      <c r="P1065" s="3" t="str">
        <f>IF(Ticket_Table[[#This Row],[resolution_hrs]]&lt;=4,"Fast",IF(Ticket_Table[[#This Row],[resolution_hrs]]&lt;=24,"Normal",IF(Ticket_Table[[#This Row],[resolution_hrs]]&lt;=48,"Slow","Very Slow")))</f>
        <v>Normal</v>
      </c>
      <c r="Q1065" s="3">
        <f>YEAR(Ticket_Table[[#This Row],[raised_date]])</f>
        <v>2022</v>
      </c>
    </row>
    <row r="1066" spans="1:17">
      <c r="A1066" t="s">
        <v>1621</v>
      </c>
      <c r="B1066" t="s">
        <v>968</v>
      </c>
      <c r="C1066" t="s">
        <v>140</v>
      </c>
      <c r="D1066" t="s">
        <v>20</v>
      </c>
      <c r="E1066" t="s">
        <v>69</v>
      </c>
      <c r="F1066" t="s">
        <v>70</v>
      </c>
      <c r="G1066" t="s">
        <v>31</v>
      </c>
      <c r="H1066" s="1">
        <v>44261</v>
      </c>
      <c r="I1066" s="2">
        <v>44262</v>
      </c>
      <c r="J1066">
        <v>24</v>
      </c>
      <c r="K1066" t="s">
        <v>24</v>
      </c>
      <c r="L1066">
        <v>1</v>
      </c>
      <c r="M1066">
        <v>3</v>
      </c>
      <c r="N1066" t="s">
        <v>974</v>
      </c>
      <c r="O1066" s="3" t="str">
        <f>TEXT(Ticket_Table[[#This Row],[raised_date]],"YYYY-MM")</f>
        <v>2021-03</v>
      </c>
      <c r="P1066" s="3" t="str">
        <f>IF(Ticket_Table[[#This Row],[resolution_hrs]]&lt;=4,"Fast",IF(Ticket_Table[[#This Row],[resolution_hrs]]&lt;=24,"Normal",IF(Ticket_Table[[#This Row],[resolution_hrs]]&lt;=48,"Slow","Very Slow")))</f>
        <v>Normal</v>
      </c>
      <c r="Q1066" s="3">
        <f>YEAR(Ticket_Table[[#This Row],[raised_date]])</f>
        <v>2021</v>
      </c>
    </row>
    <row r="1067" spans="1:17">
      <c r="A1067" t="s">
        <v>1622</v>
      </c>
      <c r="B1067" t="s">
        <v>374</v>
      </c>
      <c r="C1067" t="s">
        <v>64</v>
      </c>
      <c r="D1067" t="s">
        <v>29</v>
      </c>
      <c r="E1067" t="s">
        <v>51</v>
      </c>
      <c r="F1067" t="s">
        <v>22</v>
      </c>
      <c r="G1067" t="s">
        <v>31</v>
      </c>
      <c r="H1067" s="1">
        <v>44422</v>
      </c>
      <c r="I1067" s="2">
        <v>44425.1333333333</v>
      </c>
      <c r="J1067">
        <v>75.2</v>
      </c>
      <c r="K1067" t="s">
        <v>32</v>
      </c>
      <c r="L1067">
        <v>1</v>
      </c>
      <c r="M1067">
        <v>5</v>
      </c>
      <c r="N1067" t="s">
        <v>671</v>
      </c>
      <c r="O1067" s="3" t="str">
        <f>TEXT(Ticket_Table[[#This Row],[raised_date]],"YYYY-MM")</f>
        <v>2021-08</v>
      </c>
      <c r="P1067" s="3" t="str">
        <f>IF(Ticket_Table[[#This Row],[resolution_hrs]]&lt;=4,"Fast",IF(Ticket_Table[[#This Row],[resolution_hrs]]&lt;=24,"Normal",IF(Ticket_Table[[#This Row],[resolution_hrs]]&lt;=48,"Slow","Very Slow")))</f>
        <v>Very Slow</v>
      </c>
      <c r="Q1067" s="3">
        <f>YEAR(Ticket_Table[[#This Row],[raised_date]])</f>
        <v>2021</v>
      </c>
    </row>
    <row r="1068" spans="1:17">
      <c r="A1068" t="s">
        <v>1623</v>
      </c>
      <c r="B1068" t="s">
        <v>811</v>
      </c>
      <c r="C1068" t="s">
        <v>287</v>
      </c>
      <c r="D1068" t="s">
        <v>29</v>
      </c>
      <c r="E1068" t="s">
        <v>44</v>
      </c>
      <c r="F1068" t="s">
        <v>22</v>
      </c>
      <c r="G1068" t="s">
        <v>31</v>
      </c>
      <c r="H1068" s="1">
        <v>44587</v>
      </c>
      <c r="I1068" s="2">
        <v>44590.1041666667</v>
      </c>
      <c r="J1068">
        <v>74.5</v>
      </c>
      <c r="K1068" t="s">
        <v>32</v>
      </c>
      <c r="L1068">
        <v>1</v>
      </c>
      <c r="M1068">
        <v>4</v>
      </c>
      <c r="N1068" t="s">
        <v>438</v>
      </c>
      <c r="O1068" s="3" t="str">
        <f>TEXT(Ticket_Table[[#This Row],[raised_date]],"YYYY-MM")</f>
        <v>2022-01</v>
      </c>
      <c r="P1068" s="3" t="str">
        <f>IF(Ticket_Table[[#This Row],[resolution_hrs]]&lt;=4,"Fast",IF(Ticket_Table[[#This Row],[resolution_hrs]]&lt;=24,"Normal",IF(Ticket_Table[[#This Row],[resolution_hrs]]&lt;=48,"Slow","Very Slow")))</f>
        <v>Very Slow</v>
      </c>
      <c r="Q1068" s="3">
        <f>YEAR(Ticket_Table[[#This Row],[raised_date]])</f>
        <v>2022</v>
      </c>
    </row>
    <row r="1069" spans="1:17">
      <c r="A1069" t="s">
        <v>1624</v>
      </c>
      <c r="B1069" t="s">
        <v>726</v>
      </c>
      <c r="C1069" t="s">
        <v>55</v>
      </c>
      <c r="D1069" t="s">
        <v>20</v>
      </c>
      <c r="E1069" t="s">
        <v>56</v>
      </c>
      <c r="F1069" t="s">
        <v>22</v>
      </c>
      <c r="G1069" t="s">
        <v>23</v>
      </c>
      <c r="H1069" s="1">
        <v>44235</v>
      </c>
      <c r="I1069" s="2">
        <v>44238.2208333333</v>
      </c>
      <c r="J1069">
        <v>77.3</v>
      </c>
      <c r="K1069" t="s">
        <v>32</v>
      </c>
      <c r="L1069">
        <v>0</v>
      </c>
      <c r="M1069">
        <v>5</v>
      </c>
      <c r="N1069" t="s">
        <v>420</v>
      </c>
      <c r="O1069" s="3" t="str">
        <f>TEXT(Ticket_Table[[#This Row],[raised_date]],"YYYY-MM")</f>
        <v>2021-02</v>
      </c>
      <c r="P1069" s="3" t="str">
        <f>IF(Ticket_Table[[#This Row],[resolution_hrs]]&lt;=4,"Fast",IF(Ticket_Table[[#This Row],[resolution_hrs]]&lt;=24,"Normal",IF(Ticket_Table[[#This Row],[resolution_hrs]]&lt;=48,"Slow","Very Slow")))</f>
        <v>Very Slow</v>
      </c>
      <c r="Q1069" s="3">
        <f>YEAR(Ticket_Table[[#This Row],[raised_date]])</f>
        <v>2021</v>
      </c>
    </row>
    <row r="1070" spans="1:17">
      <c r="A1070" t="s">
        <v>1625</v>
      </c>
      <c r="B1070" t="s">
        <v>653</v>
      </c>
      <c r="C1070" t="s">
        <v>201</v>
      </c>
      <c r="D1070" t="s">
        <v>43</v>
      </c>
      <c r="E1070" t="s">
        <v>51</v>
      </c>
      <c r="F1070" t="s">
        <v>70</v>
      </c>
      <c r="G1070" t="s">
        <v>23</v>
      </c>
      <c r="H1070" s="1">
        <v>45100</v>
      </c>
      <c r="I1070" s="2">
        <v>45102.1375</v>
      </c>
      <c r="J1070">
        <v>51.3</v>
      </c>
      <c r="K1070" t="s">
        <v>32</v>
      </c>
      <c r="L1070">
        <v>0</v>
      </c>
      <c r="M1070">
        <v>2</v>
      </c>
      <c r="N1070" t="s">
        <v>237</v>
      </c>
      <c r="O1070" s="3" t="str">
        <f>TEXT(Ticket_Table[[#This Row],[raised_date]],"YYYY-MM")</f>
        <v>2023-06</v>
      </c>
      <c r="P1070" s="3" t="str">
        <f>IF(Ticket_Table[[#This Row],[resolution_hrs]]&lt;=4,"Fast",IF(Ticket_Table[[#This Row],[resolution_hrs]]&lt;=24,"Normal",IF(Ticket_Table[[#This Row],[resolution_hrs]]&lt;=48,"Slow","Very Slow")))</f>
        <v>Very Slow</v>
      </c>
      <c r="Q1070" s="3">
        <f>YEAR(Ticket_Table[[#This Row],[raised_date]])</f>
        <v>2023</v>
      </c>
    </row>
    <row r="1071" spans="1:17">
      <c r="A1071" t="s">
        <v>1626</v>
      </c>
      <c r="B1071" t="s">
        <v>243</v>
      </c>
      <c r="C1071" t="s">
        <v>82</v>
      </c>
      <c r="D1071" t="s">
        <v>29</v>
      </c>
      <c r="E1071" t="s">
        <v>106</v>
      </c>
      <c r="F1071" t="s">
        <v>70</v>
      </c>
      <c r="G1071" t="s">
        <v>46</v>
      </c>
      <c r="H1071" s="1">
        <v>44839</v>
      </c>
      <c r="I1071" s="2">
        <v>44841.2208333333</v>
      </c>
      <c r="J1071">
        <v>53.3</v>
      </c>
      <c r="K1071" t="s">
        <v>32</v>
      </c>
      <c r="L1071">
        <v>0</v>
      </c>
      <c r="M1071">
        <v>4</v>
      </c>
      <c r="N1071" t="s">
        <v>457</v>
      </c>
      <c r="O1071" s="3" t="str">
        <f>TEXT(Ticket_Table[[#This Row],[raised_date]],"YYYY-MM")</f>
        <v>2022-10</v>
      </c>
      <c r="P1071" s="3" t="str">
        <f>IF(Ticket_Table[[#This Row],[resolution_hrs]]&lt;=4,"Fast",IF(Ticket_Table[[#This Row],[resolution_hrs]]&lt;=24,"Normal",IF(Ticket_Table[[#This Row],[resolution_hrs]]&lt;=48,"Slow","Very Slow")))</f>
        <v>Very Slow</v>
      </c>
      <c r="Q1071" s="3">
        <f>YEAR(Ticket_Table[[#This Row],[raised_date]])</f>
        <v>2022</v>
      </c>
    </row>
    <row r="1072" spans="1:17">
      <c r="A1072" t="s">
        <v>1627</v>
      </c>
      <c r="B1072" t="s">
        <v>361</v>
      </c>
      <c r="C1072" t="s">
        <v>133</v>
      </c>
      <c r="D1072" t="s">
        <v>20</v>
      </c>
      <c r="E1072" t="s">
        <v>69</v>
      </c>
      <c r="F1072" t="s">
        <v>38</v>
      </c>
      <c r="G1072" t="s">
        <v>31</v>
      </c>
      <c r="H1072" s="1">
        <v>45054</v>
      </c>
      <c r="I1072" s="2">
        <v>45054.4166666667</v>
      </c>
      <c r="J1072">
        <v>10</v>
      </c>
      <c r="K1072" t="s">
        <v>24</v>
      </c>
      <c r="L1072">
        <v>0</v>
      </c>
      <c r="M1072">
        <v>4</v>
      </c>
      <c r="N1072" t="s">
        <v>89</v>
      </c>
      <c r="O1072" s="3" t="str">
        <f>TEXT(Ticket_Table[[#This Row],[raised_date]],"YYYY-MM")</f>
        <v>2023-05</v>
      </c>
      <c r="P1072" s="3" t="str">
        <f>IF(Ticket_Table[[#This Row],[resolution_hrs]]&lt;=4,"Fast",IF(Ticket_Table[[#This Row],[resolution_hrs]]&lt;=24,"Normal",IF(Ticket_Table[[#This Row],[resolution_hrs]]&lt;=48,"Slow","Very Slow")))</f>
        <v>Normal</v>
      </c>
      <c r="Q1072" s="3">
        <f>YEAR(Ticket_Table[[#This Row],[raised_date]])</f>
        <v>2023</v>
      </c>
    </row>
    <row r="1073" spans="1:17">
      <c r="A1073" t="s">
        <v>1628</v>
      </c>
      <c r="B1073" t="s">
        <v>431</v>
      </c>
      <c r="C1073" t="s">
        <v>261</v>
      </c>
      <c r="D1073" t="s">
        <v>29</v>
      </c>
      <c r="E1073" t="s">
        <v>21</v>
      </c>
      <c r="F1073" t="s">
        <v>38</v>
      </c>
      <c r="G1073" t="s">
        <v>31</v>
      </c>
      <c r="H1073" s="1">
        <v>44507</v>
      </c>
      <c r="I1073" s="2">
        <v>44507.1791666667</v>
      </c>
      <c r="J1073">
        <v>4.3</v>
      </c>
      <c r="K1073" t="s">
        <v>24</v>
      </c>
      <c r="L1073">
        <v>0</v>
      </c>
      <c r="M1073">
        <v>1</v>
      </c>
      <c r="N1073" t="s">
        <v>637</v>
      </c>
      <c r="O1073" s="3" t="str">
        <f>TEXT(Ticket_Table[[#This Row],[raised_date]],"YYYY-MM")</f>
        <v>2021-11</v>
      </c>
      <c r="P1073" s="3" t="str">
        <f>IF(Ticket_Table[[#This Row],[resolution_hrs]]&lt;=4,"Fast",IF(Ticket_Table[[#This Row],[resolution_hrs]]&lt;=24,"Normal",IF(Ticket_Table[[#This Row],[resolution_hrs]]&lt;=48,"Slow","Very Slow")))</f>
        <v>Normal</v>
      </c>
      <c r="Q1073" s="3">
        <f>YEAR(Ticket_Table[[#This Row],[raised_date]])</f>
        <v>2021</v>
      </c>
    </row>
    <row r="1074" spans="1:17">
      <c r="A1074" t="s">
        <v>1629</v>
      </c>
      <c r="B1074" t="s">
        <v>701</v>
      </c>
      <c r="C1074" t="s">
        <v>50</v>
      </c>
      <c r="D1074" t="s">
        <v>43</v>
      </c>
      <c r="E1074" t="s">
        <v>69</v>
      </c>
      <c r="F1074" t="s">
        <v>70</v>
      </c>
      <c r="G1074" t="s">
        <v>74</v>
      </c>
      <c r="H1074" s="1">
        <v>45042</v>
      </c>
      <c r="I1074" s="2">
        <v>45042.2166666667</v>
      </c>
      <c r="J1074">
        <v>5.2</v>
      </c>
      <c r="K1074" t="s">
        <v>24</v>
      </c>
      <c r="L1074">
        <v>1</v>
      </c>
      <c r="M1074">
        <v>3</v>
      </c>
      <c r="N1074" t="s">
        <v>135</v>
      </c>
      <c r="O1074" s="3" t="str">
        <f>TEXT(Ticket_Table[[#This Row],[raised_date]],"YYYY-MM")</f>
        <v>2023-04</v>
      </c>
      <c r="P1074" s="3" t="str">
        <f>IF(Ticket_Table[[#This Row],[resolution_hrs]]&lt;=4,"Fast",IF(Ticket_Table[[#This Row],[resolution_hrs]]&lt;=24,"Normal",IF(Ticket_Table[[#This Row],[resolution_hrs]]&lt;=48,"Slow","Very Slow")))</f>
        <v>Normal</v>
      </c>
      <c r="Q1074" s="3">
        <f>YEAR(Ticket_Table[[#This Row],[raised_date]])</f>
        <v>2023</v>
      </c>
    </row>
    <row r="1075" spans="1:17">
      <c r="A1075" t="s">
        <v>1630</v>
      </c>
      <c r="B1075" t="s">
        <v>571</v>
      </c>
      <c r="C1075" t="s">
        <v>261</v>
      </c>
      <c r="D1075" t="s">
        <v>90</v>
      </c>
      <c r="E1075" t="s">
        <v>37</v>
      </c>
      <c r="F1075" t="s">
        <v>45</v>
      </c>
      <c r="G1075" t="s">
        <v>46</v>
      </c>
      <c r="H1075" s="1">
        <v>44614</v>
      </c>
      <c r="I1075" s="2">
        <v>44614.1125</v>
      </c>
      <c r="J1075">
        <v>2.7</v>
      </c>
      <c r="K1075" t="s">
        <v>24</v>
      </c>
      <c r="L1075">
        <v>2</v>
      </c>
      <c r="M1075">
        <v>3</v>
      </c>
      <c r="N1075" t="s">
        <v>810</v>
      </c>
      <c r="O1075" s="3" t="str">
        <f>TEXT(Ticket_Table[[#This Row],[raised_date]],"YYYY-MM")</f>
        <v>2022-02</v>
      </c>
      <c r="P1075" s="3" t="str">
        <f>IF(Ticket_Table[[#This Row],[resolution_hrs]]&lt;=4,"Fast",IF(Ticket_Table[[#This Row],[resolution_hrs]]&lt;=24,"Normal",IF(Ticket_Table[[#This Row],[resolution_hrs]]&lt;=48,"Slow","Very Slow")))</f>
        <v>Fast</v>
      </c>
      <c r="Q1075" s="3">
        <f>YEAR(Ticket_Table[[#This Row],[raised_date]])</f>
        <v>2022</v>
      </c>
    </row>
    <row r="1076" spans="1:17">
      <c r="A1076" t="s">
        <v>1631</v>
      </c>
      <c r="B1076" t="s">
        <v>245</v>
      </c>
      <c r="C1076" t="s">
        <v>117</v>
      </c>
      <c r="D1076" t="s">
        <v>43</v>
      </c>
      <c r="E1076" t="s">
        <v>69</v>
      </c>
      <c r="F1076" t="s">
        <v>38</v>
      </c>
      <c r="G1076" t="s">
        <v>23</v>
      </c>
      <c r="H1076" s="1">
        <v>45037</v>
      </c>
      <c r="I1076" s="2">
        <v>45037.3833333333</v>
      </c>
      <c r="J1076">
        <v>9.2</v>
      </c>
      <c r="K1076" t="s">
        <v>24</v>
      </c>
      <c r="L1076">
        <v>1</v>
      </c>
      <c r="M1076">
        <v>4</v>
      </c>
      <c r="N1076" t="s">
        <v>146</v>
      </c>
      <c r="O1076" s="3" t="str">
        <f>TEXT(Ticket_Table[[#This Row],[raised_date]],"YYYY-MM")</f>
        <v>2023-04</v>
      </c>
      <c r="P1076" s="3" t="str">
        <f>IF(Ticket_Table[[#This Row],[resolution_hrs]]&lt;=4,"Fast",IF(Ticket_Table[[#This Row],[resolution_hrs]]&lt;=24,"Normal",IF(Ticket_Table[[#This Row],[resolution_hrs]]&lt;=48,"Slow","Very Slow")))</f>
        <v>Normal</v>
      </c>
      <c r="Q1076" s="3">
        <f>YEAR(Ticket_Table[[#This Row],[raised_date]])</f>
        <v>2023</v>
      </c>
    </row>
    <row r="1077" spans="1:17">
      <c r="A1077" t="s">
        <v>1632</v>
      </c>
      <c r="B1077" t="s">
        <v>496</v>
      </c>
      <c r="C1077" t="s">
        <v>19</v>
      </c>
      <c r="D1077" t="s">
        <v>36</v>
      </c>
      <c r="E1077" t="s">
        <v>106</v>
      </c>
      <c r="F1077" t="s">
        <v>45</v>
      </c>
      <c r="G1077" t="s">
        <v>31</v>
      </c>
      <c r="H1077" s="1">
        <v>45224</v>
      </c>
      <c r="I1077" s="2">
        <v>45224.2291666667</v>
      </c>
      <c r="J1077">
        <v>5.5</v>
      </c>
      <c r="K1077" t="s">
        <v>32</v>
      </c>
      <c r="L1077">
        <v>0</v>
      </c>
      <c r="M1077">
        <v>4</v>
      </c>
      <c r="N1077" t="s">
        <v>981</v>
      </c>
      <c r="O1077" s="3" t="str">
        <f>TEXT(Ticket_Table[[#This Row],[raised_date]],"YYYY-MM")</f>
        <v>2023-10</v>
      </c>
      <c r="P1077" s="3" t="str">
        <f>IF(Ticket_Table[[#This Row],[resolution_hrs]]&lt;=4,"Fast",IF(Ticket_Table[[#This Row],[resolution_hrs]]&lt;=24,"Normal",IF(Ticket_Table[[#This Row],[resolution_hrs]]&lt;=48,"Slow","Very Slow")))</f>
        <v>Normal</v>
      </c>
      <c r="Q1077" s="3">
        <f>YEAR(Ticket_Table[[#This Row],[raised_date]])</f>
        <v>2023</v>
      </c>
    </row>
    <row r="1078" spans="1:17">
      <c r="A1078" t="s">
        <v>1633</v>
      </c>
      <c r="B1078" t="s">
        <v>103</v>
      </c>
      <c r="C1078" t="s">
        <v>60</v>
      </c>
      <c r="D1078" t="s">
        <v>20</v>
      </c>
      <c r="E1078" t="s">
        <v>21</v>
      </c>
      <c r="F1078" t="s">
        <v>70</v>
      </c>
      <c r="G1078" t="s">
        <v>46</v>
      </c>
      <c r="H1078" s="1">
        <v>45162</v>
      </c>
      <c r="I1078" s="2">
        <v>45164.9916666667</v>
      </c>
      <c r="J1078">
        <v>71.8</v>
      </c>
      <c r="K1078" t="s">
        <v>32</v>
      </c>
      <c r="L1078">
        <v>0</v>
      </c>
      <c r="M1078">
        <v>3</v>
      </c>
      <c r="N1078" t="s">
        <v>112</v>
      </c>
      <c r="O1078" s="3" t="str">
        <f>TEXT(Ticket_Table[[#This Row],[raised_date]],"YYYY-MM")</f>
        <v>2023-08</v>
      </c>
      <c r="P1078" s="3" t="str">
        <f>IF(Ticket_Table[[#This Row],[resolution_hrs]]&lt;=4,"Fast",IF(Ticket_Table[[#This Row],[resolution_hrs]]&lt;=24,"Normal",IF(Ticket_Table[[#This Row],[resolution_hrs]]&lt;=48,"Slow","Very Slow")))</f>
        <v>Very Slow</v>
      </c>
      <c r="Q1078" s="3">
        <f>YEAR(Ticket_Table[[#This Row],[raised_date]])</f>
        <v>2023</v>
      </c>
    </row>
    <row r="1079" spans="1:17">
      <c r="A1079" t="s">
        <v>1634</v>
      </c>
      <c r="B1079" t="s">
        <v>650</v>
      </c>
      <c r="C1079" t="s">
        <v>213</v>
      </c>
      <c r="D1079" t="s">
        <v>43</v>
      </c>
      <c r="E1079" t="s">
        <v>21</v>
      </c>
      <c r="F1079" t="s">
        <v>22</v>
      </c>
      <c r="G1079" t="s">
        <v>46</v>
      </c>
      <c r="H1079" s="1">
        <v>44324</v>
      </c>
      <c r="I1079" s="2">
        <v>44328.2291666667</v>
      </c>
      <c r="J1079">
        <v>101.5</v>
      </c>
      <c r="K1079" t="s">
        <v>32</v>
      </c>
      <c r="L1079">
        <v>0</v>
      </c>
      <c r="M1079">
        <v>3</v>
      </c>
      <c r="N1079" t="s">
        <v>331</v>
      </c>
      <c r="O1079" s="3" t="str">
        <f>TEXT(Ticket_Table[[#This Row],[raised_date]],"YYYY-MM")</f>
        <v>2021-05</v>
      </c>
      <c r="P1079" s="3" t="str">
        <f>IF(Ticket_Table[[#This Row],[resolution_hrs]]&lt;=4,"Fast",IF(Ticket_Table[[#This Row],[resolution_hrs]]&lt;=24,"Normal",IF(Ticket_Table[[#This Row],[resolution_hrs]]&lt;=48,"Slow","Very Slow")))</f>
        <v>Very Slow</v>
      </c>
      <c r="Q1079" s="3">
        <f>YEAR(Ticket_Table[[#This Row],[raised_date]])</f>
        <v>2021</v>
      </c>
    </row>
    <row r="1080" spans="1:17">
      <c r="A1080" t="s">
        <v>1635</v>
      </c>
      <c r="B1080" t="s">
        <v>98</v>
      </c>
      <c r="C1080" t="s">
        <v>140</v>
      </c>
      <c r="D1080" t="s">
        <v>90</v>
      </c>
      <c r="E1080" t="s">
        <v>83</v>
      </c>
      <c r="F1080" t="s">
        <v>22</v>
      </c>
      <c r="G1080" t="s">
        <v>46</v>
      </c>
      <c r="H1080" s="1">
        <v>44479</v>
      </c>
      <c r="I1080" s="2">
        <v>44483.3541666667</v>
      </c>
      <c r="J1080">
        <v>104.5</v>
      </c>
      <c r="K1080" t="s">
        <v>32</v>
      </c>
      <c r="L1080">
        <v>0</v>
      </c>
      <c r="M1080">
        <v>4</v>
      </c>
      <c r="N1080" t="s">
        <v>1533</v>
      </c>
      <c r="O1080" s="3" t="str">
        <f>TEXT(Ticket_Table[[#This Row],[raised_date]],"YYYY-MM")</f>
        <v>2021-10</v>
      </c>
      <c r="P1080" s="3" t="str">
        <f>IF(Ticket_Table[[#This Row],[resolution_hrs]]&lt;=4,"Fast",IF(Ticket_Table[[#This Row],[resolution_hrs]]&lt;=24,"Normal",IF(Ticket_Table[[#This Row],[resolution_hrs]]&lt;=48,"Slow","Very Slow")))</f>
        <v>Very Slow</v>
      </c>
      <c r="Q1080" s="3">
        <f>YEAR(Ticket_Table[[#This Row],[raised_date]])</f>
        <v>2021</v>
      </c>
    </row>
    <row r="1081" spans="1:17">
      <c r="A1081" t="s">
        <v>1636</v>
      </c>
      <c r="B1081" t="s">
        <v>485</v>
      </c>
      <c r="C1081" t="s">
        <v>95</v>
      </c>
      <c r="D1081" t="s">
        <v>29</v>
      </c>
      <c r="E1081" t="s">
        <v>69</v>
      </c>
      <c r="F1081" t="s">
        <v>38</v>
      </c>
      <c r="G1081" t="s">
        <v>46</v>
      </c>
      <c r="H1081" s="1">
        <v>45259</v>
      </c>
      <c r="I1081" s="2">
        <v>45259.9125</v>
      </c>
      <c r="J1081">
        <v>21.9</v>
      </c>
      <c r="K1081" t="s">
        <v>24</v>
      </c>
      <c r="L1081">
        <v>1</v>
      </c>
      <c r="M1081">
        <v>1</v>
      </c>
      <c r="N1081" t="s">
        <v>1180</v>
      </c>
      <c r="O1081" s="3" t="str">
        <f>TEXT(Ticket_Table[[#This Row],[raised_date]],"YYYY-MM")</f>
        <v>2023-11</v>
      </c>
      <c r="P1081" s="3" t="str">
        <f>IF(Ticket_Table[[#This Row],[resolution_hrs]]&lt;=4,"Fast",IF(Ticket_Table[[#This Row],[resolution_hrs]]&lt;=24,"Normal",IF(Ticket_Table[[#This Row],[resolution_hrs]]&lt;=48,"Slow","Very Slow")))</f>
        <v>Normal</v>
      </c>
      <c r="Q1081" s="3">
        <f>YEAR(Ticket_Table[[#This Row],[raised_date]])</f>
        <v>2023</v>
      </c>
    </row>
    <row r="1082" spans="1:17">
      <c r="A1082" t="s">
        <v>1637</v>
      </c>
      <c r="B1082" t="s">
        <v>57</v>
      </c>
      <c r="C1082" t="s">
        <v>78</v>
      </c>
      <c r="D1082" t="s">
        <v>20</v>
      </c>
      <c r="E1082" t="s">
        <v>166</v>
      </c>
      <c r="F1082" t="s">
        <v>22</v>
      </c>
      <c r="G1082" t="s">
        <v>31</v>
      </c>
      <c r="H1082" s="1">
        <v>44621</v>
      </c>
      <c r="I1082" s="2">
        <v>44624.3791666667</v>
      </c>
      <c r="J1082">
        <v>81.1</v>
      </c>
      <c r="K1082" t="s">
        <v>32</v>
      </c>
      <c r="L1082">
        <v>0</v>
      </c>
      <c r="M1082">
        <v>4</v>
      </c>
      <c r="N1082" t="s">
        <v>370</v>
      </c>
      <c r="O1082" s="3" t="str">
        <f>TEXT(Ticket_Table[[#This Row],[raised_date]],"YYYY-MM")</f>
        <v>2022-03</v>
      </c>
      <c r="P1082" s="3" t="str">
        <f>IF(Ticket_Table[[#This Row],[resolution_hrs]]&lt;=4,"Fast",IF(Ticket_Table[[#This Row],[resolution_hrs]]&lt;=24,"Normal",IF(Ticket_Table[[#This Row],[resolution_hrs]]&lt;=48,"Slow","Very Slow")))</f>
        <v>Very Slow</v>
      </c>
      <c r="Q1082" s="3">
        <f>YEAR(Ticket_Table[[#This Row],[raised_date]])</f>
        <v>2022</v>
      </c>
    </row>
    <row r="1083" spans="1:17">
      <c r="A1083" t="s">
        <v>1638</v>
      </c>
      <c r="B1083" t="s">
        <v>532</v>
      </c>
      <c r="C1083" t="s">
        <v>175</v>
      </c>
      <c r="D1083" t="s">
        <v>43</v>
      </c>
      <c r="E1083" t="s">
        <v>83</v>
      </c>
      <c r="F1083" t="s">
        <v>70</v>
      </c>
      <c r="G1083" t="s">
        <v>31</v>
      </c>
      <c r="H1083" s="1">
        <v>44862</v>
      </c>
      <c r="I1083" s="2">
        <v>44862.175</v>
      </c>
      <c r="J1083">
        <v>4.2</v>
      </c>
      <c r="K1083" t="s">
        <v>24</v>
      </c>
      <c r="L1083">
        <v>0</v>
      </c>
      <c r="M1083">
        <v>4</v>
      </c>
      <c r="N1083" t="s">
        <v>944</v>
      </c>
      <c r="O1083" s="3" t="str">
        <f>TEXT(Ticket_Table[[#This Row],[raised_date]],"YYYY-MM")</f>
        <v>2022-10</v>
      </c>
      <c r="P1083" s="3" t="str">
        <f>IF(Ticket_Table[[#This Row],[resolution_hrs]]&lt;=4,"Fast",IF(Ticket_Table[[#This Row],[resolution_hrs]]&lt;=24,"Normal",IF(Ticket_Table[[#This Row],[resolution_hrs]]&lt;=48,"Slow","Very Slow")))</f>
        <v>Normal</v>
      </c>
      <c r="Q1083" s="3">
        <f>YEAR(Ticket_Table[[#This Row],[raised_date]])</f>
        <v>2022</v>
      </c>
    </row>
    <row r="1084" spans="1:17">
      <c r="A1084" t="s">
        <v>1639</v>
      </c>
      <c r="B1084" t="s">
        <v>167</v>
      </c>
      <c r="C1084" t="s">
        <v>213</v>
      </c>
      <c r="D1084" t="s">
        <v>90</v>
      </c>
      <c r="E1084" t="s">
        <v>83</v>
      </c>
      <c r="F1084" t="s">
        <v>70</v>
      </c>
      <c r="G1084" t="s">
        <v>31</v>
      </c>
      <c r="H1084" s="1">
        <v>45176</v>
      </c>
      <c r="I1084" s="2">
        <v>45176.7916666667</v>
      </c>
      <c r="J1084">
        <v>19</v>
      </c>
      <c r="K1084" t="s">
        <v>24</v>
      </c>
      <c r="L1084">
        <v>1</v>
      </c>
      <c r="M1084">
        <v>4</v>
      </c>
      <c r="N1084" t="s">
        <v>956</v>
      </c>
      <c r="O1084" s="3" t="str">
        <f>TEXT(Ticket_Table[[#This Row],[raised_date]],"YYYY-MM")</f>
        <v>2023-09</v>
      </c>
      <c r="P1084" s="3" t="str">
        <f>IF(Ticket_Table[[#This Row],[resolution_hrs]]&lt;=4,"Fast",IF(Ticket_Table[[#This Row],[resolution_hrs]]&lt;=24,"Normal",IF(Ticket_Table[[#This Row],[resolution_hrs]]&lt;=48,"Slow","Very Slow")))</f>
        <v>Normal</v>
      </c>
      <c r="Q1084" s="3">
        <f>YEAR(Ticket_Table[[#This Row],[raised_date]])</f>
        <v>2023</v>
      </c>
    </row>
    <row r="1085" spans="1:17">
      <c r="A1085" t="s">
        <v>1640</v>
      </c>
      <c r="B1085" t="s">
        <v>209</v>
      </c>
      <c r="C1085" t="s">
        <v>19</v>
      </c>
      <c r="D1085" t="s">
        <v>43</v>
      </c>
      <c r="E1085" t="s">
        <v>106</v>
      </c>
      <c r="F1085" t="s">
        <v>70</v>
      </c>
      <c r="G1085" t="s">
        <v>31</v>
      </c>
      <c r="H1085" s="1">
        <v>45273</v>
      </c>
      <c r="I1085" s="2">
        <v>45274.875</v>
      </c>
      <c r="J1085">
        <v>45</v>
      </c>
      <c r="K1085" t="s">
        <v>24</v>
      </c>
      <c r="L1085">
        <v>0</v>
      </c>
      <c r="M1085">
        <v>4</v>
      </c>
      <c r="N1085" t="s">
        <v>824</v>
      </c>
      <c r="O1085" s="3" t="str">
        <f>TEXT(Ticket_Table[[#This Row],[raised_date]],"YYYY-MM")</f>
        <v>2023-12</v>
      </c>
      <c r="P1085" s="3" t="str">
        <f>IF(Ticket_Table[[#This Row],[resolution_hrs]]&lt;=4,"Fast",IF(Ticket_Table[[#This Row],[resolution_hrs]]&lt;=24,"Normal",IF(Ticket_Table[[#This Row],[resolution_hrs]]&lt;=48,"Slow","Very Slow")))</f>
        <v>Slow</v>
      </c>
      <c r="Q1085" s="3">
        <f>YEAR(Ticket_Table[[#This Row],[raised_date]])</f>
        <v>2023</v>
      </c>
    </row>
    <row r="1086" spans="1:17">
      <c r="A1086" t="s">
        <v>1641</v>
      </c>
      <c r="B1086" t="s">
        <v>919</v>
      </c>
      <c r="C1086" t="s">
        <v>102</v>
      </c>
      <c r="D1086" t="s">
        <v>36</v>
      </c>
      <c r="E1086" t="s">
        <v>56</v>
      </c>
      <c r="F1086" t="s">
        <v>70</v>
      </c>
      <c r="G1086" t="s">
        <v>23</v>
      </c>
      <c r="H1086" s="1">
        <v>44968</v>
      </c>
      <c r="I1086" s="2">
        <v>44968.9375</v>
      </c>
      <c r="J1086">
        <v>22.5</v>
      </c>
      <c r="K1086" t="s">
        <v>24</v>
      </c>
      <c r="L1086">
        <v>3</v>
      </c>
      <c r="M1086">
        <v>3</v>
      </c>
      <c r="N1086" t="s">
        <v>87</v>
      </c>
      <c r="O1086" s="3" t="str">
        <f>TEXT(Ticket_Table[[#This Row],[raised_date]],"YYYY-MM")</f>
        <v>2023-02</v>
      </c>
      <c r="P1086" s="3" t="str">
        <f>IF(Ticket_Table[[#This Row],[resolution_hrs]]&lt;=4,"Fast",IF(Ticket_Table[[#This Row],[resolution_hrs]]&lt;=24,"Normal",IF(Ticket_Table[[#This Row],[resolution_hrs]]&lt;=48,"Slow","Very Slow")))</f>
        <v>Normal</v>
      </c>
      <c r="Q1086" s="3">
        <f>YEAR(Ticket_Table[[#This Row],[raised_date]])</f>
        <v>2023</v>
      </c>
    </row>
    <row r="1087" spans="1:17">
      <c r="A1087" t="s">
        <v>1642</v>
      </c>
      <c r="B1087" t="s">
        <v>1643</v>
      </c>
      <c r="C1087" t="s">
        <v>261</v>
      </c>
      <c r="D1087" t="s">
        <v>20</v>
      </c>
      <c r="E1087" t="s">
        <v>166</v>
      </c>
      <c r="F1087" t="s">
        <v>22</v>
      </c>
      <c r="G1087" t="s">
        <v>31</v>
      </c>
      <c r="H1087" s="1">
        <v>44839</v>
      </c>
      <c r="I1087" s="2">
        <v>44840.8</v>
      </c>
      <c r="J1087">
        <v>43.2</v>
      </c>
      <c r="K1087" t="s">
        <v>24</v>
      </c>
      <c r="L1087">
        <v>0</v>
      </c>
      <c r="M1087">
        <v>3</v>
      </c>
      <c r="N1087" t="s">
        <v>165</v>
      </c>
      <c r="O1087" s="3" t="str">
        <f>TEXT(Ticket_Table[[#This Row],[raised_date]],"YYYY-MM")</f>
        <v>2022-10</v>
      </c>
      <c r="P1087" s="3" t="str">
        <f>IF(Ticket_Table[[#This Row],[resolution_hrs]]&lt;=4,"Fast",IF(Ticket_Table[[#This Row],[resolution_hrs]]&lt;=24,"Normal",IF(Ticket_Table[[#This Row],[resolution_hrs]]&lt;=48,"Slow","Very Slow")))</f>
        <v>Slow</v>
      </c>
      <c r="Q1087" s="3">
        <f>YEAR(Ticket_Table[[#This Row],[raised_date]])</f>
        <v>2022</v>
      </c>
    </row>
    <row r="1088" spans="1:17">
      <c r="A1088" t="s">
        <v>1644</v>
      </c>
      <c r="B1088" t="s">
        <v>172</v>
      </c>
      <c r="C1088" t="s">
        <v>50</v>
      </c>
      <c r="D1088" t="s">
        <v>29</v>
      </c>
      <c r="E1088" t="s">
        <v>21</v>
      </c>
      <c r="F1088" t="s">
        <v>70</v>
      </c>
      <c r="G1088" t="s">
        <v>91</v>
      </c>
      <c r="H1088" s="1">
        <v>44551</v>
      </c>
      <c r="I1088" s="2">
        <v>44552.1375</v>
      </c>
      <c r="J1088">
        <v>27.3</v>
      </c>
      <c r="K1088" t="s">
        <v>24</v>
      </c>
      <c r="L1088">
        <v>1</v>
      </c>
      <c r="M1088">
        <v>5</v>
      </c>
      <c r="N1088" t="s">
        <v>158</v>
      </c>
      <c r="O1088" s="3" t="str">
        <f>TEXT(Ticket_Table[[#This Row],[raised_date]],"YYYY-MM")</f>
        <v>2021-12</v>
      </c>
      <c r="P1088" s="3" t="str">
        <f>IF(Ticket_Table[[#This Row],[resolution_hrs]]&lt;=4,"Fast",IF(Ticket_Table[[#This Row],[resolution_hrs]]&lt;=24,"Normal",IF(Ticket_Table[[#This Row],[resolution_hrs]]&lt;=48,"Slow","Very Slow")))</f>
        <v>Slow</v>
      </c>
      <c r="Q1088" s="3">
        <f>YEAR(Ticket_Table[[#This Row],[raised_date]])</f>
        <v>2021</v>
      </c>
    </row>
    <row r="1089" spans="1:17">
      <c r="A1089" t="s">
        <v>1645</v>
      </c>
      <c r="B1089" t="s">
        <v>206</v>
      </c>
      <c r="C1089" t="s">
        <v>261</v>
      </c>
      <c r="D1089" t="s">
        <v>90</v>
      </c>
      <c r="E1089" t="s">
        <v>69</v>
      </c>
      <c r="F1089" t="s">
        <v>70</v>
      </c>
      <c r="G1089" t="s">
        <v>31</v>
      </c>
      <c r="H1089" s="1">
        <v>45138</v>
      </c>
      <c r="I1089" s="2">
        <v>45140.9041666667</v>
      </c>
      <c r="J1089">
        <v>69.7</v>
      </c>
      <c r="K1089" t="s">
        <v>32</v>
      </c>
      <c r="L1089">
        <v>0</v>
      </c>
      <c r="M1089">
        <v>5</v>
      </c>
      <c r="N1089" t="s">
        <v>652</v>
      </c>
      <c r="O1089" s="3" t="str">
        <f>TEXT(Ticket_Table[[#This Row],[raised_date]],"YYYY-MM")</f>
        <v>2023-07</v>
      </c>
      <c r="P1089" s="3" t="str">
        <f>IF(Ticket_Table[[#This Row],[resolution_hrs]]&lt;=4,"Fast",IF(Ticket_Table[[#This Row],[resolution_hrs]]&lt;=24,"Normal",IF(Ticket_Table[[#This Row],[resolution_hrs]]&lt;=48,"Slow","Very Slow")))</f>
        <v>Very Slow</v>
      </c>
      <c r="Q1089" s="3">
        <f>YEAR(Ticket_Table[[#This Row],[raised_date]])</f>
        <v>2023</v>
      </c>
    </row>
    <row r="1090" spans="1:17">
      <c r="A1090" t="s">
        <v>1646</v>
      </c>
      <c r="B1090" t="s">
        <v>521</v>
      </c>
      <c r="C1090" t="s">
        <v>287</v>
      </c>
      <c r="D1090" t="s">
        <v>43</v>
      </c>
      <c r="E1090" t="s">
        <v>83</v>
      </c>
      <c r="F1090" t="s">
        <v>45</v>
      </c>
      <c r="G1090" t="s">
        <v>23</v>
      </c>
      <c r="H1090" s="1">
        <v>45288</v>
      </c>
      <c r="I1090" s="2">
        <v>45288.1583333333</v>
      </c>
      <c r="J1090">
        <v>3.8</v>
      </c>
      <c r="K1090" t="s">
        <v>24</v>
      </c>
      <c r="L1090">
        <v>0</v>
      </c>
      <c r="M1090">
        <v>4</v>
      </c>
      <c r="N1090" t="s">
        <v>485</v>
      </c>
      <c r="O1090" s="3" t="str">
        <f>TEXT(Ticket_Table[[#This Row],[raised_date]],"YYYY-MM")</f>
        <v>2023-12</v>
      </c>
      <c r="P1090" s="3" t="str">
        <f>IF(Ticket_Table[[#This Row],[resolution_hrs]]&lt;=4,"Fast",IF(Ticket_Table[[#This Row],[resolution_hrs]]&lt;=24,"Normal",IF(Ticket_Table[[#This Row],[resolution_hrs]]&lt;=48,"Slow","Very Slow")))</f>
        <v>Fast</v>
      </c>
      <c r="Q1090" s="3">
        <f>YEAR(Ticket_Table[[#This Row],[raised_date]])</f>
        <v>2023</v>
      </c>
    </row>
    <row r="1091" spans="1:17">
      <c r="A1091" t="s">
        <v>1647</v>
      </c>
      <c r="B1091" t="s">
        <v>579</v>
      </c>
      <c r="C1091" t="s">
        <v>261</v>
      </c>
      <c r="D1091" t="s">
        <v>20</v>
      </c>
      <c r="E1091" t="s">
        <v>51</v>
      </c>
      <c r="F1091" t="s">
        <v>38</v>
      </c>
      <c r="G1091" t="s">
        <v>31</v>
      </c>
      <c r="H1091" s="1">
        <v>44898</v>
      </c>
      <c r="I1091" s="2">
        <v>44898.8875</v>
      </c>
      <c r="J1091">
        <v>21.3</v>
      </c>
      <c r="K1091" t="s">
        <v>24</v>
      </c>
      <c r="L1091">
        <v>0</v>
      </c>
      <c r="M1091">
        <v>3</v>
      </c>
      <c r="N1091" t="s">
        <v>1200</v>
      </c>
      <c r="O1091" s="3" t="str">
        <f>TEXT(Ticket_Table[[#This Row],[raised_date]],"YYYY-MM")</f>
        <v>2022-12</v>
      </c>
      <c r="P1091" s="3" t="str">
        <f>IF(Ticket_Table[[#This Row],[resolution_hrs]]&lt;=4,"Fast",IF(Ticket_Table[[#This Row],[resolution_hrs]]&lt;=24,"Normal",IF(Ticket_Table[[#This Row],[resolution_hrs]]&lt;=48,"Slow","Very Slow")))</f>
        <v>Normal</v>
      </c>
      <c r="Q1091" s="3">
        <f>YEAR(Ticket_Table[[#This Row],[raised_date]])</f>
        <v>2022</v>
      </c>
    </row>
    <row r="1092" spans="1:17">
      <c r="A1092" t="s">
        <v>1648</v>
      </c>
      <c r="B1092" t="s">
        <v>445</v>
      </c>
      <c r="C1092" t="s">
        <v>175</v>
      </c>
      <c r="D1092" t="s">
        <v>43</v>
      </c>
      <c r="E1092" t="s">
        <v>51</v>
      </c>
      <c r="F1092" t="s">
        <v>45</v>
      </c>
      <c r="G1092" t="s">
        <v>31</v>
      </c>
      <c r="H1092" s="1">
        <v>44922</v>
      </c>
      <c r="I1092" s="2">
        <v>44922.0958333333</v>
      </c>
      <c r="J1092">
        <v>2.3</v>
      </c>
      <c r="K1092" t="s">
        <v>24</v>
      </c>
      <c r="L1092">
        <v>1</v>
      </c>
      <c r="M1092">
        <v>4</v>
      </c>
      <c r="N1092" t="s">
        <v>1502</v>
      </c>
      <c r="O1092" s="3" t="str">
        <f>TEXT(Ticket_Table[[#This Row],[raised_date]],"YYYY-MM")</f>
        <v>2022-12</v>
      </c>
      <c r="P1092" s="3" t="str">
        <f>IF(Ticket_Table[[#This Row],[resolution_hrs]]&lt;=4,"Fast",IF(Ticket_Table[[#This Row],[resolution_hrs]]&lt;=24,"Normal",IF(Ticket_Table[[#This Row],[resolution_hrs]]&lt;=48,"Slow","Very Slow")))</f>
        <v>Fast</v>
      </c>
      <c r="Q1092" s="3">
        <f>YEAR(Ticket_Table[[#This Row],[raised_date]])</f>
        <v>2022</v>
      </c>
    </row>
    <row r="1093" spans="1:17">
      <c r="A1093" t="s">
        <v>1649</v>
      </c>
      <c r="B1093" t="s">
        <v>592</v>
      </c>
      <c r="C1093" t="s">
        <v>68</v>
      </c>
      <c r="D1093" t="s">
        <v>20</v>
      </c>
      <c r="E1093" t="s">
        <v>83</v>
      </c>
      <c r="F1093" t="s">
        <v>38</v>
      </c>
      <c r="G1093" t="s">
        <v>46</v>
      </c>
      <c r="H1093" s="1">
        <v>44738</v>
      </c>
      <c r="I1093" s="2">
        <v>44738.775</v>
      </c>
      <c r="J1093">
        <v>18.6</v>
      </c>
      <c r="K1093" t="s">
        <v>24</v>
      </c>
      <c r="L1093">
        <v>1</v>
      </c>
      <c r="M1093">
        <v>5</v>
      </c>
      <c r="N1093" t="s">
        <v>567</v>
      </c>
      <c r="O1093" s="3" t="str">
        <f>TEXT(Ticket_Table[[#This Row],[raised_date]],"YYYY-MM")</f>
        <v>2022-06</v>
      </c>
      <c r="P1093" s="3" t="str">
        <f>IF(Ticket_Table[[#This Row],[resolution_hrs]]&lt;=4,"Fast",IF(Ticket_Table[[#This Row],[resolution_hrs]]&lt;=24,"Normal",IF(Ticket_Table[[#This Row],[resolution_hrs]]&lt;=48,"Slow","Very Slow")))</f>
        <v>Normal</v>
      </c>
      <c r="Q1093" s="3">
        <f>YEAR(Ticket_Table[[#This Row],[raised_date]])</f>
        <v>2022</v>
      </c>
    </row>
    <row r="1094" spans="1:17">
      <c r="A1094" t="s">
        <v>1650</v>
      </c>
      <c r="B1094" t="s">
        <v>817</v>
      </c>
      <c r="C1094" t="s">
        <v>19</v>
      </c>
      <c r="D1094" t="s">
        <v>36</v>
      </c>
      <c r="E1094" t="s">
        <v>37</v>
      </c>
      <c r="F1094" t="s">
        <v>70</v>
      </c>
      <c r="G1094" t="s">
        <v>23</v>
      </c>
      <c r="H1094" s="1">
        <v>45188</v>
      </c>
      <c r="I1094" s="2">
        <v>45190.7958333333</v>
      </c>
      <c r="J1094">
        <v>67.1</v>
      </c>
      <c r="K1094" t="s">
        <v>32</v>
      </c>
      <c r="L1094">
        <v>0</v>
      </c>
      <c r="M1094">
        <v>4</v>
      </c>
      <c r="N1094" t="s">
        <v>1252</v>
      </c>
      <c r="O1094" s="3" t="str">
        <f>TEXT(Ticket_Table[[#This Row],[raised_date]],"YYYY-MM")</f>
        <v>2023-09</v>
      </c>
      <c r="P1094" s="3" t="str">
        <f>IF(Ticket_Table[[#This Row],[resolution_hrs]]&lt;=4,"Fast",IF(Ticket_Table[[#This Row],[resolution_hrs]]&lt;=24,"Normal",IF(Ticket_Table[[#This Row],[resolution_hrs]]&lt;=48,"Slow","Very Slow")))</f>
        <v>Very Slow</v>
      </c>
      <c r="Q1094" s="3">
        <f>YEAR(Ticket_Table[[#This Row],[raised_date]])</f>
        <v>2023</v>
      </c>
    </row>
    <row r="1095" spans="1:17">
      <c r="A1095" t="s">
        <v>1651</v>
      </c>
      <c r="B1095" t="s">
        <v>129</v>
      </c>
      <c r="C1095" t="s">
        <v>133</v>
      </c>
      <c r="D1095" t="s">
        <v>43</v>
      </c>
      <c r="E1095" t="s">
        <v>69</v>
      </c>
      <c r="F1095" t="s">
        <v>22</v>
      </c>
      <c r="G1095" t="s">
        <v>31</v>
      </c>
      <c r="H1095" s="1">
        <v>44590</v>
      </c>
      <c r="I1095" s="2">
        <v>44593.9541666667</v>
      </c>
      <c r="J1095">
        <v>94.9</v>
      </c>
      <c r="K1095" t="s">
        <v>32</v>
      </c>
      <c r="L1095">
        <v>2</v>
      </c>
      <c r="M1095">
        <v>5</v>
      </c>
      <c r="N1095" t="s">
        <v>223</v>
      </c>
      <c r="O1095" s="3" t="str">
        <f>TEXT(Ticket_Table[[#This Row],[raised_date]],"YYYY-MM")</f>
        <v>2022-01</v>
      </c>
      <c r="P1095" s="3" t="str">
        <f>IF(Ticket_Table[[#This Row],[resolution_hrs]]&lt;=4,"Fast",IF(Ticket_Table[[#This Row],[resolution_hrs]]&lt;=24,"Normal",IF(Ticket_Table[[#This Row],[resolution_hrs]]&lt;=48,"Slow","Very Slow")))</f>
        <v>Very Slow</v>
      </c>
      <c r="Q1095" s="3">
        <f>YEAR(Ticket_Table[[#This Row],[raised_date]])</f>
        <v>2022</v>
      </c>
    </row>
    <row r="1096" spans="1:17">
      <c r="A1096" t="s">
        <v>1652</v>
      </c>
      <c r="B1096" t="s">
        <v>956</v>
      </c>
      <c r="C1096" t="s">
        <v>55</v>
      </c>
      <c r="D1096" t="s">
        <v>36</v>
      </c>
      <c r="E1096" t="s">
        <v>106</v>
      </c>
      <c r="F1096" t="s">
        <v>38</v>
      </c>
      <c r="G1096" t="s">
        <v>31</v>
      </c>
      <c r="H1096" s="1">
        <v>44701</v>
      </c>
      <c r="I1096" s="2">
        <v>44701.2333333333</v>
      </c>
      <c r="J1096">
        <v>5.6</v>
      </c>
      <c r="K1096" t="s">
        <v>24</v>
      </c>
      <c r="L1096">
        <v>1</v>
      </c>
      <c r="M1096">
        <v>3</v>
      </c>
      <c r="N1096" t="s">
        <v>1582</v>
      </c>
      <c r="O1096" s="3" t="str">
        <f>TEXT(Ticket_Table[[#This Row],[raised_date]],"YYYY-MM")</f>
        <v>2022-05</v>
      </c>
      <c r="P1096" s="3" t="str">
        <f>IF(Ticket_Table[[#This Row],[resolution_hrs]]&lt;=4,"Fast",IF(Ticket_Table[[#This Row],[resolution_hrs]]&lt;=24,"Normal",IF(Ticket_Table[[#This Row],[resolution_hrs]]&lt;=48,"Slow","Very Slow")))</f>
        <v>Normal</v>
      </c>
      <c r="Q1096" s="3">
        <f>YEAR(Ticket_Table[[#This Row],[raised_date]])</f>
        <v>2022</v>
      </c>
    </row>
    <row r="1097" spans="1:17">
      <c r="A1097" t="s">
        <v>1653</v>
      </c>
      <c r="B1097" t="s">
        <v>746</v>
      </c>
      <c r="C1097" t="s">
        <v>60</v>
      </c>
      <c r="D1097" t="s">
        <v>90</v>
      </c>
      <c r="E1097" t="s">
        <v>21</v>
      </c>
      <c r="F1097" t="s">
        <v>70</v>
      </c>
      <c r="G1097" t="s">
        <v>23</v>
      </c>
      <c r="H1097" s="1">
        <v>44768</v>
      </c>
      <c r="I1097" s="2">
        <v>44768.9791666667</v>
      </c>
      <c r="J1097">
        <v>23.5</v>
      </c>
      <c r="K1097" t="s">
        <v>24</v>
      </c>
      <c r="L1097">
        <v>0</v>
      </c>
      <c r="M1097">
        <v>4</v>
      </c>
      <c r="N1097" t="s">
        <v>658</v>
      </c>
      <c r="O1097" s="3" t="str">
        <f>TEXT(Ticket_Table[[#This Row],[raised_date]],"YYYY-MM")</f>
        <v>2022-07</v>
      </c>
      <c r="P1097" s="3" t="str">
        <f>IF(Ticket_Table[[#This Row],[resolution_hrs]]&lt;=4,"Fast",IF(Ticket_Table[[#This Row],[resolution_hrs]]&lt;=24,"Normal",IF(Ticket_Table[[#This Row],[resolution_hrs]]&lt;=48,"Slow","Very Slow")))</f>
        <v>Normal</v>
      </c>
      <c r="Q1097" s="3">
        <f>YEAR(Ticket_Table[[#This Row],[raised_date]])</f>
        <v>2022</v>
      </c>
    </row>
    <row r="1098" spans="1:17">
      <c r="A1098" t="s">
        <v>1654</v>
      </c>
      <c r="B1098" t="s">
        <v>698</v>
      </c>
      <c r="C1098" t="s">
        <v>140</v>
      </c>
      <c r="D1098" t="s">
        <v>36</v>
      </c>
      <c r="E1098" t="s">
        <v>83</v>
      </c>
      <c r="F1098" t="s">
        <v>70</v>
      </c>
      <c r="G1098" t="s">
        <v>23</v>
      </c>
      <c r="H1098" s="1">
        <v>44808</v>
      </c>
      <c r="I1098" s="2">
        <v>44809.6125</v>
      </c>
      <c r="J1098">
        <v>38.7</v>
      </c>
      <c r="K1098" t="s">
        <v>24</v>
      </c>
      <c r="L1098">
        <v>0</v>
      </c>
      <c r="M1098">
        <v>4</v>
      </c>
      <c r="N1098" t="s">
        <v>112</v>
      </c>
      <c r="O1098" s="3" t="str">
        <f>TEXT(Ticket_Table[[#This Row],[raised_date]],"YYYY-MM")</f>
        <v>2022-09</v>
      </c>
      <c r="P1098" s="3" t="str">
        <f>IF(Ticket_Table[[#This Row],[resolution_hrs]]&lt;=4,"Fast",IF(Ticket_Table[[#This Row],[resolution_hrs]]&lt;=24,"Normal",IF(Ticket_Table[[#This Row],[resolution_hrs]]&lt;=48,"Slow","Very Slow")))</f>
        <v>Slow</v>
      </c>
      <c r="Q1098" s="3">
        <f>YEAR(Ticket_Table[[#This Row],[raised_date]])</f>
        <v>2022</v>
      </c>
    </row>
    <row r="1099" spans="1:17">
      <c r="A1099" t="s">
        <v>1655</v>
      </c>
      <c r="B1099" t="s">
        <v>380</v>
      </c>
      <c r="C1099" t="s">
        <v>175</v>
      </c>
      <c r="D1099" t="s">
        <v>20</v>
      </c>
      <c r="E1099" t="s">
        <v>166</v>
      </c>
      <c r="F1099" t="s">
        <v>70</v>
      </c>
      <c r="G1099" t="s">
        <v>23</v>
      </c>
      <c r="H1099" s="1">
        <v>44657</v>
      </c>
      <c r="I1099" s="2">
        <v>44657.4625</v>
      </c>
      <c r="J1099">
        <v>11.1</v>
      </c>
      <c r="K1099" t="s">
        <v>24</v>
      </c>
      <c r="L1099">
        <v>0</v>
      </c>
      <c r="M1099">
        <v>4</v>
      </c>
      <c r="N1099" t="s">
        <v>1107</v>
      </c>
      <c r="O1099" s="3" t="str">
        <f>TEXT(Ticket_Table[[#This Row],[raised_date]],"YYYY-MM")</f>
        <v>2022-04</v>
      </c>
      <c r="P1099" s="3" t="str">
        <f>IF(Ticket_Table[[#This Row],[resolution_hrs]]&lt;=4,"Fast",IF(Ticket_Table[[#This Row],[resolution_hrs]]&lt;=24,"Normal",IF(Ticket_Table[[#This Row],[resolution_hrs]]&lt;=48,"Slow","Very Slow")))</f>
        <v>Normal</v>
      </c>
      <c r="Q1099" s="3">
        <f>YEAR(Ticket_Table[[#This Row],[raised_date]])</f>
        <v>2022</v>
      </c>
    </row>
    <row r="1100" spans="1:17">
      <c r="A1100" t="s">
        <v>1656</v>
      </c>
      <c r="B1100" t="s">
        <v>1093</v>
      </c>
      <c r="C1100" t="s">
        <v>175</v>
      </c>
      <c r="D1100" t="s">
        <v>90</v>
      </c>
      <c r="E1100" t="s">
        <v>83</v>
      </c>
      <c r="F1100" t="s">
        <v>70</v>
      </c>
      <c r="G1100" t="s">
        <v>23</v>
      </c>
      <c r="H1100" s="1">
        <v>44806</v>
      </c>
      <c r="I1100" s="2">
        <v>44806.3875</v>
      </c>
      <c r="J1100">
        <v>9.3</v>
      </c>
      <c r="K1100" t="s">
        <v>24</v>
      </c>
      <c r="L1100">
        <v>0</v>
      </c>
      <c r="M1100">
        <v>4</v>
      </c>
      <c r="N1100" t="s">
        <v>1180</v>
      </c>
      <c r="O1100" s="3" t="str">
        <f>TEXT(Ticket_Table[[#This Row],[raised_date]],"YYYY-MM")</f>
        <v>2022-09</v>
      </c>
      <c r="P1100" s="3" t="str">
        <f>IF(Ticket_Table[[#This Row],[resolution_hrs]]&lt;=4,"Fast",IF(Ticket_Table[[#This Row],[resolution_hrs]]&lt;=24,"Normal",IF(Ticket_Table[[#This Row],[resolution_hrs]]&lt;=48,"Slow","Very Slow")))</f>
        <v>Normal</v>
      </c>
      <c r="Q1100" s="3">
        <f>YEAR(Ticket_Table[[#This Row],[raised_date]])</f>
        <v>2022</v>
      </c>
    </row>
    <row r="1101" spans="1:17">
      <c r="A1101" t="s">
        <v>1657</v>
      </c>
      <c r="B1101" t="s">
        <v>148</v>
      </c>
      <c r="C1101" t="s">
        <v>50</v>
      </c>
      <c r="D1101" t="s">
        <v>43</v>
      </c>
      <c r="E1101" t="s">
        <v>30</v>
      </c>
      <c r="F1101" t="s">
        <v>70</v>
      </c>
      <c r="G1101" t="s">
        <v>31</v>
      </c>
      <c r="H1101" s="1">
        <v>44788</v>
      </c>
      <c r="I1101" s="2">
        <v>44788.1708333333</v>
      </c>
      <c r="J1101">
        <v>4.1</v>
      </c>
      <c r="K1101" t="s">
        <v>24</v>
      </c>
      <c r="L1101">
        <v>0</v>
      </c>
      <c r="M1101">
        <v>4</v>
      </c>
      <c r="N1101" t="s">
        <v>678</v>
      </c>
      <c r="O1101" s="3" t="str">
        <f>TEXT(Ticket_Table[[#This Row],[raised_date]],"YYYY-MM")</f>
        <v>2022-08</v>
      </c>
      <c r="P1101" s="3" t="str">
        <f>IF(Ticket_Table[[#This Row],[resolution_hrs]]&lt;=4,"Fast",IF(Ticket_Table[[#This Row],[resolution_hrs]]&lt;=24,"Normal",IF(Ticket_Table[[#This Row],[resolution_hrs]]&lt;=48,"Slow","Very Slow")))</f>
        <v>Normal</v>
      </c>
      <c r="Q1101" s="3">
        <f>YEAR(Ticket_Table[[#This Row],[raised_date]])</f>
        <v>2022</v>
      </c>
    </row>
    <row r="1102" spans="1:17">
      <c r="A1102" t="s">
        <v>1658</v>
      </c>
      <c r="B1102" t="s">
        <v>646</v>
      </c>
      <c r="C1102" t="s">
        <v>117</v>
      </c>
      <c r="D1102" t="s">
        <v>43</v>
      </c>
      <c r="E1102" t="s">
        <v>21</v>
      </c>
      <c r="F1102" t="s">
        <v>70</v>
      </c>
      <c r="G1102" t="s">
        <v>46</v>
      </c>
      <c r="H1102" s="1">
        <v>44621</v>
      </c>
      <c r="I1102" s="2">
        <v>44621.4208333333</v>
      </c>
      <c r="J1102">
        <v>10.1</v>
      </c>
      <c r="K1102" t="s">
        <v>24</v>
      </c>
      <c r="L1102">
        <v>0</v>
      </c>
      <c r="M1102">
        <v>5</v>
      </c>
      <c r="N1102" t="s">
        <v>876</v>
      </c>
      <c r="O1102" s="3" t="str">
        <f>TEXT(Ticket_Table[[#This Row],[raised_date]],"YYYY-MM")</f>
        <v>2022-03</v>
      </c>
      <c r="P1102" s="3" t="str">
        <f>IF(Ticket_Table[[#This Row],[resolution_hrs]]&lt;=4,"Fast",IF(Ticket_Table[[#This Row],[resolution_hrs]]&lt;=24,"Normal",IF(Ticket_Table[[#This Row],[resolution_hrs]]&lt;=48,"Slow","Very Slow")))</f>
        <v>Normal</v>
      </c>
      <c r="Q1102" s="3">
        <f>YEAR(Ticket_Table[[#This Row],[raised_date]])</f>
        <v>2022</v>
      </c>
    </row>
    <row r="1103" spans="1:17">
      <c r="A1103" t="s">
        <v>1659</v>
      </c>
      <c r="B1103" t="s">
        <v>123</v>
      </c>
      <c r="C1103" t="s">
        <v>28</v>
      </c>
      <c r="D1103" t="s">
        <v>20</v>
      </c>
      <c r="E1103" t="s">
        <v>56</v>
      </c>
      <c r="F1103" t="s">
        <v>22</v>
      </c>
      <c r="G1103" t="s">
        <v>23</v>
      </c>
      <c r="H1103" s="1">
        <v>45198</v>
      </c>
      <c r="I1103" s="2">
        <v>45201.9291666667</v>
      </c>
      <c r="J1103">
        <v>94.3</v>
      </c>
      <c r="K1103" t="s">
        <v>32</v>
      </c>
      <c r="L1103">
        <v>0</v>
      </c>
      <c r="M1103">
        <v>5</v>
      </c>
      <c r="N1103" t="s">
        <v>668</v>
      </c>
      <c r="O1103" s="3" t="str">
        <f>TEXT(Ticket_Table[[#This Row],[raised_date]],"YYYY-MM")</f>
        <v>2023-09</v>
      </c>
      <c r="P1103" s="3" t="str">
        <f>IF(Ticket_Table[[#This Row],[resolution_hrs]]&lt;=4,"Fast",IF(Ticket_Table[[#This Row],[resolution_hrs]]&lt;=24,"Normal",IF(Ticket_Table[[#This Row],[resolution_hrs]]&lt;=48,"Slow","Very Slow")))</f>
        <v>Very Slow</v>
      </c>
      <c r="Q1103" s="3">
        <f>YEAR(Ticket_Table[[#This Row],[raised_date]])</f>
        <v>2023</v>
      </c>
    </row>
    <row r="1104" spans="1:17">
      <c r="A1104" t="s">
        <v>1660</v>
      </c>
      <c r="B1104" t="s">
        <v>149</v>
      </c>
      <c r="C1104" t="s">
        <v>50</v>
      </c>
      <c r="D1104" t="s">
        <v>29</v>
      </c>
      <c r="E1104" t="s">
        <v>21</v>
      </c>
      <c r="F1104" t="s">
        <v>38</v>
      </c>
      <c r="G1104" t="s">
        <v>31</v>
      </c>
      <c r="H1104" s="1">
        <v>44846</v>
      </c>
      <c r="I1104" s="2">
        <v>44847.2583333333</v>
      </c>
      <c r="J1104">
        <v>30.2</v>
      </c>
      <c r="K1104" t="s">
        <v>32</v>
      </c>
      <c r="L1104">
        <v>0</v>
      </c>
      <c r="M1104">
        <v>2</v>
      </c>
      <c r="N1104" t="s">
        <v>121</v>
      </c>
      <c r="O1104" s="3" t="str">
        <f>TEXT(Ticket_Table[[#This Row],[raised_date]],"YYYY-MM")</f>
        <v>2022-10</v>
      </c>
      <c r="P1104" s="3" t="str">
        <f>IF(Ticket_Table[[#This Row],[resolution_hrs]]&lt;=4,"Fast",IF(Ticket_Table[[#This Row],[resolution_hrs]]&lt;=24,"Normal",IF(Ticket_Table[[#This Row],[resolution_hrs]]&lt;=48,"Slow","Very Slow")))</f>
        <v>Slow</v>
      </c>
      <c r="Q1104" s="3">
        <f>YEAR(Ticket_Table[[#This Row],[raised_date]])</f>
        <v>2022</v>
      </c>
    </row>
    <row r="1105" spans="1:17">
      <c r="A1105" t="s">
        <v>1661</v>
      </c>
      <c r="B1105" t="s">
        <v>394</v>
      </c>
      <c r="C1105" t="s">
        <v>261</v>
      </c>
      <c r="D1105" t="s">
        <v>29</v>
      </c>
      <c r="E1105" t="s">
        <v>166</v>
      </c>
      <c r="F1105" t="s">
        <v>22</v>
      </c>
      <c r="G1105" t="s">
        <v>23</v>
      </c>
      <c r="H1105" s="1">
        <v>45179</v>
      </c>
      <c r="I1105" s="2">
        <v>45182.375</v>
      </c>
      <c r="J1105">
        <v>81</v>
      </c>
      <c r="K1105" t="s">
        <v>32</v>
      </c>
      <c r="L1105">
        <v>0</v>
      </c>
      <c r="M1105">
        <v>4</v>
      </c>
      <c r="N1105" t="s">
        <v>630</v>
      </c>
      <c r="O1105" s="3" t="str">
        <f>TEXT(Ticket_Table[[#This Row],[raised_date]],"YYYY-MM")</f>
        <v>2023-09</v>
      </c>
      <c r="P1105" s="3" t="str">
        <f>IF(Ticket_Table[[#This Row],[resolution_hrs]]&lt;=4,"Fast",IF(Ticket_Table[[#This Row],[resolution_hrs]]&lt;=24,"Normal",IF(Ticket_Table[[#This Row],[resolution_hrs]]&lt;=48,"Slow","Very Slow")))</f>
        <v>Very Slow</v>
      </c>
      <c r="Q1105" s="3">
        <f>YEAR(Ticket_Table[[#This Row],[raised_date]])</f>
        <v>2023</v>
      </c>
    </row>
    <row r="1106" spans="1:17">
      <c r="A1106" t="s">
        <v>1662</v>
      </c>
      <c r="B1106" t="s">
        <v>552</v>
      </c>
      <c r="C1106" t="s">
        <v>140</v>
      </c>
      <c r="D1106" t="s">
        <v>43</v>
      </c>
      <c r="E1106" t="s">
        <v>30</v>
      </c>
      <c r="F1106" t="s">
        <v>22</v>
      </c>
      <c r="G1106" t="s">
        <v>31</v>
      </c>
      <c r="H1106" s="1">
        <v>44911</v>
      </c>
      <c r="I1106" s="2">
        <v>44915.1708333333</v>
      </c>
      <c r="J1106">
        <v>100.1</v>
      </c>
      <c r="K1106" t="s">
        <v>32</v>
      </c>
      <c r="L1106">
        <v>2</v>
      </c>
      <c r="M1106">
        <v>5</v>
      </c>
      <c r="N1106" t="s">
        <v>67</v>
      </c>
      <c r="O1106" s="3" t="str">
        <f>TEXT(Ticket_Table[[#This Row],[raised_date]],"YYYY-MM")</f>
        <v>2022-12</v>
      </c>
      <c r="P110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06" s="3">
        <f>YEAR(Ticket_Table[[#This Row],[raised_date]])</f>
        <v>2022</v>
      </c>
    </row>
    <row r="1107" spans="1:17">
      <c r="A1107" t="s">
        <v>1663</v>
      </c>
      <c r="B1107" t="s">
        <v>343</v>
      </c>
      <c r="C1107" t="s">
        <v>60</v>
      </c>
      <c r="D1107" t="s">
        <v>20</v>
      </c>
      <c r="E1107" t="s">
        <v>56</v>
      </c>
      <c r="F1107" t="s">
        <v>70</v>
      </c>
      <c r="G1107" t="s">
        <v>23</v>
      </c>
      <c r="H1107" s="1">
        <v>44757</v>
      </c>
      <c r="I1107" s="2">
        <v>44757.8791666667</v>
      </c>
      <c r="J1107">
        <v>21.1</v>
      </c>
      <c r="K1107" t="s">
        <v>24</v>
      </c>
      <c r="L1107">
        <v>0</v>
      </c>
      <c r="M1107">
        <v>2</v>
      </c>
      <c r="N1107" t="s">
        <v>1241</v>
      </c>
      <c r="O1107" s="3" t="str">
        <f>TEXT(Ticket_Table[[#This Row],[raised_date]],"YYYY-MM")</f>
        <v>2022-07</v>
      </c>
      <c r="P1107" s="3" t="str">
        <f>IF(Ticket_Table[[#This Row],[resolution_hrs]]&lt;=4,"Fast",IF(Ticket_Table[[#This Row],[resolution_hrs]]&lt;=24,"Normal",IF(Ticket_Table[[#This Row],[resolution_hrs]]&lt;=48,"Slow","Very Slow")))</f>
        <v>Normal</v>
      </c>
      <c r="Q1107" s="3">
        <f>YEAR(Ticket_Table[[#This Row],[raised_date]])</f>
        <v>2022</v>
      </c>
    </row>
    <row r="1108" spans="1:17">
      <c r="A1108" t="s">
        <v>1664</v>
      </c>
      <c r="B1108" t="s">
        <v>305</v>
      </c>
      <c r="C1108" t="s">
        <v>140</v>
      </c>
      <c r="D1108" t="s">
        <v>29</v>
      </c>
      <c r="E1108" t="s">
        <v>44</v>
      </c>
      <c r="F1108" t="s">
        <v>38</v>
      </c>
      <c r="G1108" t="s">
        <v>31</v>
      </c>
      <c r="H1108" s="1">
        <v>44786</v>
      </c>
      <c r="I1108" s="2">
        <v>44787.3208333333</v>
      </c>
      <c r="J1108">
        <v>31.7</v>
      </c>
      <c r="K1108" t="s">
        <v>32</v>
      </c>
      <c r="L1108">
        <v>1</v>
      </c>
      <c r="M1108">
        <v>4</v>
      </c>
      <c r="N1108" t="s">
        <v>857</v>
      </c>
      <c r="O1108" s="3" t="str">
        <f>TEXT(Ticket_Table[[#This Row],[raised_date]],"YYYY-MM")</f>
        <v>2022-08</v>
      </c>
      <c r="P1108" s="3" t="str">
        <f>IF(Ticket_Table[[#This Row],[resolution_hrs]]&lt;=4,"Fast",IF(Ticket_Table[[#This Row],[resolution_hrs]]&lt;=24,"Normal",IF(Ticket_Table[[#This Row],[resolution_hrs]]&lt;=48,"Slow","Very Slow")))</f>
        <v>Slow</v>
      </c>
      <c r="Q1108" s="3">
        <f>YEAR(Ticket_Table[[#This Row],[raised_date]])</f>
        <v>2022</v>
      </c>
    </row>
    <row r="1109" spans="1:17">
      <c r="A1109" t="s">
        <v>1665</v>
      </c>
      <c r="B1109" t="s">
        <v>1061</v>
      </c>
      <c r="C1109" t="s">
        <v>78</v>
      </c>
      <c r="D1109" t="s">
        <v>36</v>
      </c>
      <c r="E1109" t="s">
        <v>166</v>
      </c>
      <c r="F1109" t="s">
        <v>70</v>
      </c>
      <c r="G1109" t="s">
        <v>91</v>
      </c>
      <c r="H1109" s="1">
        <v>44446</v>
      </c>
      <c r="I1109" s="2">
        <v>44447.8541666667</v>
      </c>
      <c r="J1109">
        <v>44.5</v>
      </c>
      <c r="K1109" t="s">
        <v>24</v>
      </c>
      <c r="L1109">
        <v>0</v>
      </c>
      <c r="M1109">
        <v>2</v>
      </c>
      <c r="N1109" t="s">
        <v>675</v>
      </c>
      <c r="O1109" s="3" t="str">
        <f>TEXT(Ticket_Table[[#This Row],[raised_date]],"YYYY-MM")</f>
        <v>2021-09</v>
      </c>
      <c r="P1109" s="3" t="str">
        <f>IF(Ticket_Table[[#This Row],[resolution_hrs]]&lt;=4,"Fast",IF(Ticket_Table[[#This Row],[resolution_hrs]]&lt;=24,"Normal",IF(Ticket_Table[[#This Row],[resolution_hrs]]&lt;=48,"Slow","Very Slow")))</f>
        <v>Slow</v>
      </c>
      <c r="Q1109" s="3">
        <f>YEAR(Ticket_Table[[#This Row],[raised_date]])</f>
        <v>2021</v>
      </c>
    </row>
    <row r="1110" spans="1:17">
      <c r="A1110" t="s">
        <v>1666</v>
      </c>
      <c r="B1110" t="s">
        <v>589</v>
      </c>
      <c r="C1110" t="s">
        <v>95</v>
      </c>
      <c r="D1110" t="s">
        <v>43</v>
      </c>
      <c r="E1110" t="s">
        <v>51</v>
      </c>
      <c r="F1110" t="s">
        <v>22</v>
      </c>
      <c r="G1110" t="s">
        <v>23</v>
      </c>
      <c r="H1110" s="1">
        <v>44974</v>
      </c>
      <c r="I1110" s="2">
        <v>44977.4375</v>
      </c>
      <c r="J1110">
        <v>82.5</v>
      </c>
      <c r="K1110" t="s">
        <v>32</v>
      </c>
      <c r="L1110">
        <v>0</v>
      </c>
      <c r="M1110">
        <v>2</v>
      </c>
      <c r="N1110" t="s">
        <v>716</v>
      </c>
      <c r="O1110" s="3" t="str">
        <f>TEXT(Ticket_Table[[#This Row],[raised_date]],"YYYY-MM")</f>
        <v>2023-02</v>
      </c>
      <c r="P1110" s="3" t="str">
        <f>IF(Ticket_Table[[#This Row],[resolution_hrs]]&lt;=4,"Fast",IF(Ticket_Table[[#This Row],[resolution_hrs]]&lt;=24,"Normal",IF(Ticket_Table[[#This Row],[resolution_hrs]]&lt;=48,"Slow","Very Slow")))</f>
        <v>Very Slow</v>
      </c>
      <c r="Q1110" s="3">
        <f>YEAR(Ticket_Table[[#This Row],[raised_date]])</f>
        <v>2023</v>
      </c>
    </row>
    <row r="1111" spans="1:17">
      <c r="A1111" t="s">
        <v>1667</v>
      </c>
      <c r="B1111" t="s">
        <v>764</v>
      </c>
      <c r="C1111" t="s">
        <v>19</v>
      </c>
      <c r="D1111" t="s">
        <v>36</v>
      </c>
      <c r="E1111" t="s">
        <v>37</v>
      </c>
      <c r="F1111" t="s">
        <v>70</v>
      </c>
      <c r="G1111" t="s">
        <v>31</v>
      </c>
      <c r="H1111" s="1">
        <v>45005</v>
      </c>
      <c r="I1111" s="2">
        <v>45005.8208333333</v>
      </c>
      <c r="J1111">
        <v>19.7</v>
      </c>
      <c r="K1111" t="s">
        <v>24</v>
      </c>
      <c r="L1111">
        <v>1</v>
      </c>
      <c r="M1111">
        <v>5</v>
      </c>
      <c r="N1111" t="s">
        <v>264</v>
      </c>
      <c r="O1111" s="3" t="str">
        <f>TEXT(Ticket_Table[[#This Row],[raised_date]],"YYYY-MM")</f>
        <v>2023-03</v>
      </c>
      <c r="P1111" s="3" t="str">
        <f>IF(Ticket_Table[[#This Row],[resolution_hrs]]&lt;=4,"Fast",IF(Ticket_Table[[#This Row],[resolution_hrs]]&lt;=24,"Normal",IF(Ticket_Table[[#This Row],[resolution_hrs]]&lt;=48,"Slow","Very Slow")))</f>
        <v>Normal</v>
      </c>
      <c r="Q1111" s="3">
        <f>YEAR(Ticket_Table[[#This Row],[raised_date]])</f>
        <v>2023</v>
      </c>
    </row>
    <row r="1112" spans="1:17">
      <c r="A1112" t="s">
        <v>1668</v>
      </c>
      <c r="B1112" t="s">
        <v>195</v>
      </c>
      <c r="C1112" t="s">
        <v>95</v>
      </c>
      <c r="D1112" t="s">
        <v>20</v>
      </c>
      <c r="E1112" t="s">
        <v>21</v>
      </c>
      <c r="F1112" t="s">
        <v>70</v>
      </c>
      <c r="G1112" t="s">
        <v>91</v>
      </c>
      <c r="H1112" s="1">
        <v>44903</v>
      </c>
      <c r="I1112" s="2">
        <v>44903.9666666667</v>
      </c>
      <c r="J1112">
        <v>23.2</v>
      </c>
      <c r="K1112" t="s">
        <v>24</v>
      </c>
      <c r="L1112">
        <v>0</v>
      </c>
      <c r="M1112">
        <v>4</v>
      </c>
      <c r="N1112" t="s">
        <v>353</v>
      </c>
      <c r="O1112" s="3" t="str">
        <f>TEXT(Ticket_Table[[#This Row],[raised_date]],"YYYY-MM")</f>
        <v>2022-12</v>
      </c>
      <c r="P1112" s="3" t="str">
        <f>IF(Ticket_Table[[#This Row],[resolution_hrs]]&lt;=4,"Fast",IF(Ticket_Table[[#This Row],[resolution_hrs]]&lt;=24,"Normal",IF(Ticket_Table[[#This Row],[resolution_hrs]]&lt;=48,"Slow","Very Slow")))</f>
        <v>Normal</v>
      </c>
      <c r="Q1112" s="3">
        <f>YEAR(Ticket_Table[[#This Row],[raised_date]])</f>
        <v>2022</v>
      </c>
    </row>
    <row r="1113" spans="1:17">
      <c r="A1113" t="s">
        <v>1669</v>
      </c>
      <c r="B1113" t="s">
        <v>344</v>
      </c>
      <c r="C1113" t="s">
        <v>78</v>
      </c>
      <c r="D1113" t="s">
        <v>36</v>
      </c>
      <c r="E1113" t="s">
        <v>44</v>
      </c>
      <c r="F1113" t="s">
        <v>45</v>
      </c>
      <c r="G1113" t="s">
        <v>91</v>
      </c>
      <c r="H1113" s="1">
        <v>44496</v>
      </c>
      <c r="I1113" s="2">
        <v>44496.2291666667</v>
      </c>
      <c r="J1113">
        <v>5.5</v>
      </c>
      <c r="K1113" t="s">
        <v>32</v>
      </c>
      <c r="L1113">
        <v>0</v>
      </c>
      <c r="M1113">
        <v>4</v>
      </c>
      <c r="N1113" t="s">
        <v>1180</v>
      </c>
      <c r="O1113" s="3" t="str">
        <f>TEXT(Ticket_Table[[#This Row],[raised_date]],"YYYY-MM")</f>
        <v>2021-10</v>
      </c>
      <c r="P1113" s="3" t="str">
        <f>IF(Ticket_Table[[#This Row],[resolution_hrs]]&lt;=4,"Fast",IF(Ticket_Table[[#This Row],[resolution_hrs]]&lt;=24,"Normal",IF(Ticket_Table[[#This Row],[resolution_hrs]]&lt;=48,"Slow","Very Slow")))</f>
        <v>Normal</v>
      </c>
      <c r="Q1113" s="3">
        <f>YEAR(Ticket_Table[[#This Row],[raised_date]])</f>
        <v>2021</v>
      </c>
    </row>
    <row r="1114" spans="1:17">
      <c r="A1114" t="s">
        <v>1670</v>
      </c>
      <c r="B1114" t="s">
        <v>114</v>
      </c>
      <c r="C1114" t="s">
        <v>19</v>
      </c>
      <c r="D1114" t="s">
        <v>29</v>
      </c>
      <c r="E1114" t="s">
        <v>30</v>
      </c>
      <c r="F1114" t="s">
        <v>45</v>
      </c>
      <c r="G1114" t="s">
        <v>23</v>
      </c>
      <c r="H1114" s="1">
        <v>44791</v>
      </c>
      <c r="I1114" s="2">
        <v>44791.1083333333</v>
      </c>
      <c r="J1114">
        <v>2.6</v>
      </c>
      <c r="K1114" t="s">
        <v>24</v>
      </c>
      <c r="L1114">
        <v>0</v>
      </c>
      <c r="M1114">
        <v>2</v>
      </c>
      <c r="N1114" t="s">
        <v>188</v>
      </c>
      <c r="O1114" s="3" t="str">
        <f>TEXT(Ticket_Table[[#This Row],[raised_date]],"YYYY-MM")</f>
        <v>2022-08</v>
      </c>
      <c r="P1114" s="3" t="str">
        <f>IF(Ticket_Table[[#This Row],[resolution_hrs]]&lt;=4,"Fast",IF(Ticket_Table[[#This Row],[resolution_hrs]]&lt;=24,"Normal",IF(Ticket_Table[[#This Row],[resolution_hrs]]&lt;=48,"Slow","Very Slow")))</f>
        <v>Fast</v>
      </c>
      <c r="Q1114" s="3">
        <f>YEAR(Ticket_Table[[#This Row],[raised_date]])</f>
        <v>2022</v>
      </c>
    </row>
    <row r="1115" spans="1:17">
      <c r="A1115" t="s">
        <v>1671</v>
      </c>
      <c r="B1115" t="s">
        <v>135</v>
      </c>
      <c r="C1115" t="s">
        <v>117</v>
      </c>
      <c r="D1115" t="s">
        <v>29</v>
      </c>
      <c r="E1115" t="s">
        <v>44</v>
      </c>
      <c r="F1115" t="s">
        <v>70</v>
      </c>
      <c r="G1115" t="s">
        <v>23</v>
      </c>
      <c r="H1115" s="1">
        <v>44283</v>
      </c>
      <c r="I1115" s="2">
        <v>44285.9833333333</v>
      </c>
      <c r="J1115">
        <v>71.6</v>
      </c>
      <c r="K1115" t="s">
        <v>32</v>
      </c>
      <c r="L1115">
        <v>0</v>
      </c>
      <c r="M1115">
        <v>1</v>
      </c>
      <c r="N1115" t="s">
        <v>503</v>
      </c>
      <c r="O1115" s="3" t="str">
        <f>TEXT(Ticket_Table[[#This Row],[raised_date]],"YYYY-MM")</f>
        <v>2021-03</v>
      </c>
      <c r="P1115" s="3" t="str">
        <f>IF(Ticket_Table[[#This Row],[resolution_hrs]]&lt;=4,"Fast",IF(Ticket_Table[[#This Row],[resolution_hrs]]&lt;=24,"Normal",IF(Ticket_Table[[#This Row],[resolution_hrs]]&lt;=48,"Slow","Very Slow")))</f>
        <v>Very Slow</v>
      </c>
      <c r="Q1115" s="3">
        <f>YEAR(Ticket_Table[[#This Row],[raised_date]])</f>
        <v>2021</v>
      </c>
    </row>
    <row r="1116" spans="1:17">
      <c r="A1116" t="s">
        <v>1672</v>
      </c>
      <c r="B1116" t="s">
        <v>974</v>
      </c>
      <c r="C1116" t="s">
        <v>50</v>
      </c>
      <c r="D1116" t="s">
        <v>90</v>
      </c>
      <c r="E1116" t="s">
        <v>106</v>
      </c>
      <c r="F1116" t="s">
        <v>70</v>
      </c>
      <c r="G1116" t="s">
        <v>23</v>
      </c>
      <c r="H1116" s="1">
        <v>44786</v>
      </c>
      <c r="I1116" s="2">
        <v>44788.3</v>
      </c>
      <c r="J1116">
        <v>55.2</v>
      </c>
      <c r="K1116" t="s">
        <v>32</v>
      </c>
      <c r="L1116">
        <v>0</v>
      </c>
      <c r="M1116">
        <v>5</v>
      </c>
      <c r="N1116" t="s">
        <v>99</v>
      </c>
      <c r="O1116" s="3" t="str">
        <f>TEXT(Ticket_Table[[#This Row],[raised_date]],"YYYY-MM")</f>
        <v>2022-08</v>
      </c>
      <c r="P111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16" s="3">
        <f>YEAR(Ticket_Table[[#This Row],[raised_date]])</f>
        <v>2022</v>
      </c>
    </row>
    <row r="1117" spans="1:17">
      <c r="A1117" t="s">
        <v>1673</v>
      </c>
      <c r="B1117" t="s">
        <v>25</v>
      </c>
      <c r="C1117" t="s">
        <v>213</v>
      </c>
      <c r="D1117" t="s">
        <v>43</v>
      </c>
      <c r="E1117" t="s">
        <v>69</v>
      </c>
      <c r="F1117" t="s">
        <v>38</v>
      </c>
      <c r="G1117" t="s">
        <v>23</v>
      </c>
      <c r="H1117" s="1">
        <v>44358</v>
      </c>
      <c r="I1117" s="2">
        <v>44358.2625</v>
      </c>
      <c r="J1117">
        <v>6.3</v>
      </c>
      <c r="K1117" t="s">
        <v>24</v>
      </c>
      <c r="L1117">
        <v>0</v>
      </c>
      <c r="M1117">
        <v>4</v>
      </c>
      <c r="N1117" t="s">
        <v>188</v>
      </c>
      <c r="O1117" s="3" t="str">
        <f>TEXT(Ticket_Table[[#This Row],[raised_date]],"YYYY-MM")</f>
        <v>2021-06</v>
      </c>
      <c r="P1117" s="3" t="str">
        <f>IF(Ticket_Table[[#This Row],[resolution_hrs]]&lt;=4,"Fast",IF(Ticket_Table[[#This Row],[resolution_hrs]]&lt;=24,"Normal",IF(Ticket_Table[[#This Row],[resolution_hrs]]&lt;=48,"Slow","Very Slow")))</f>
        <v>Normal</v>
      </c>
      <c r="Q1117" s="3">
        <f>YEAR(Ticket_Table[[#This Row],[raised_date]])</f>
        <v>2021</v>
      </c>
    </row>
    <row r="1118" spans="1:17">
      <c r="A1118" t="s">
        <v>1674</v>
      </c>
      <c r="B1118" t="s">
        <v>496</v>
      </c>
      <c r="C1118" t="s">
        <v>55</v>
      </c>
      <c r="D1118" t="s">
        <v>20</v>
      </c>
      <c r="E1118" t="s">
        <v>21</v>
      </c>
      <c r="F1118" t="s">
        <v>22</v>
      </c>
      <c r="G1118" t="s">
        <v>23</v>
      </c>
      <c r="H1118" s="1">
        <v>44906</v>
      </c>
      <c r="I1118" s="2">
        <v>44909.8458333333</v>
      </c>
      <c r="J1118">
        <v>92.3</v>
      </c>
      <c r="K1118" t="s">
        <v>32</v>
      </c>
      <c r="L1118">
        <v>0</v>
      </c>
      <c r="M1118">
        <v>1</v>
      </c>
      <c r="N1118" t="s">
        <v>610</v>
      </c>
      <c r="O1118" s="3" t="str">
        <f>TEXT(Ticket_Table[[#This Row],[raised_date]],"YYYY-MM")</f>
        <v>2022-12</v>
      </c>
      <c r="P1118" s="3" t="str">
        <f>IF(Ticket_Table[[#This Row],[resolution_hrs]]&lt;=4,"Fast",IF(Ticket_Table[[#This Row],[resolution_hrs]]&lt;=24,"Normal",IF(Ticket_Table[[#This Row],[resolution_hrs]]&lt;=48,"Slow","Very Slow")))</f>
        <v>Very Slow</v>
      </c>
      <c r="Q1118" s="3">
        <f>YEAR(Ticket_Table[[#This Row],[raised_date]])</f>
        <v>2022</v>
      </c>
    </row>
    <row r="1119" spans="1:17">
      <c r="A1119" t="s">
        <v>1675</v>
      </c>
      <c r="B1119" t="s">
        <v>149</v>
      </c>
      <c r="C1119" t="s">
        <v>213</v>
      </c>
      <c r="D1119" t="s">
        <v>43</v>
      </c>
      <c r="E1119" t="s">
        <v>69</v>
      </c>
      <c r="F1119" t="s">
        <v>70</v>
      </c>
      <c r="G1119" t="s">
        <v>46</v>
      </c>
      <c r="H1119" s="1">
        <v>45102</v>
      </c>
      <c r="I1119" s="2">
        <v>45103.9875</v>
      </c>
      <c r="J1119">
        <v>47.7</v>
      </c>
      <c r="K1119" t="s">
        <v>24</v>
      </c>
      <c r="L1119">
        <v>1</v>
      </c>
      <c r="M1119">
        <v>5</v>
      </c>
      <c r="N1119" t="s">
        <v>308</v>
      </c>
      <c r="O1119" s="3" t="str">
        <f>TEXT(Ticket_Table[[#This Row],[raised_date]],"YYYY-MM")</f>
        <v>2023-06</v>
      </c>
      <c r="P1119" s="3" t="str">
        <f>IF(Ticket_Table[[#This Row],[resolution_hrs]]&lt;=4,"Fast",IF(Ticket_Table[[#This Row],[resolution_hrs]]&lt;=24,"Normal",IF(Ticket_Table[[#This Row],[resolution_hrs]]&lt;=48,"Slow","Very Slow")))</f>
        <v>Slow</v>
      </c>
      <c r="Q1119" s="3">
        <f>YEAR(Ticket_Table[[#This Row],[raised_date]])</f>
        <v>2023</v>
      </c>
    </row>
    <row r="1120" spans="1:17">
      <c r="A1120" t="s">
        <v>1676</v>
      </c>
      <c r="B1120" t="s">
        <v>1136</v>
      </c>
      <c r="C1120" t="s">
        <v>213</v>
      </c>
      <c r="D1120" t="s">
        <v>36</v>
      </c>
      <c r="E1120" t="s">
        <v>51</v>
      </c>
      <c r="F1120" t="s">
        <v>70</v>
      </c>
      <c r="G1120" t="s">
        <v>31</v>
      </c>
      <c r="H1120" s="1">
        <v>44722</v>
      </c>
      <c r="I1120" s="2">
        <v>44724.4041666667</v>
      </c>
      <c r="J1120">
        <v>57.7</v>
      </c>
      <c r="K1120" t="s">
        <v>32</v>
      </c>
      <c r="L1120">
        <v>1</v>
      </c>
      <c r="M1120">
        <v>4</v>
      </c>
      <c r="N1120" t="s">
        <v>298</v>
      </c>
      <c r="O1120" s="3" t="str">
        <f>TEXT(Ticket_Table[[#This Row],[raised_date]],"YYYY-MM")</f>
        <v>2022-06</v>
      </c>
      <c r="P1120" s="3" t="str">
        <f>IF(Ticket_Table[[#This Row],[resolution_hrs]]&lt;=4,"Fast",IF(Ticket_Table[[#This Row],[resolution_hrs]]&lt;=24,"Normal",IF(Ticket_Table[[#This Row],[resolution_hrs]]&lt;=48,"Slow","Very Slow")))</f>
        <v>Very Slow</v>
      </c>
      <c r="Q1120" s="3">
        <f>YEAR(Ticket_Table[[#This Row],[raised_date]])</f>
        <v>2022</v>
      </c>
    </row>
    <row r="1121" spans="1:17">
      <c r="A1121" t="s">
        <v>1677</v>
      </c>
      <c r="B1121" t="s">
        <v>355</v>
      </c>
      <c r="C1121" t="s">
        <v>68</v>
      </c>
      <c r="D1121" t="s">
        <v>20</v>
      </c>
      <c r="E1121" t="s">
        <v>44</v>
      </c>
      <c r="F1121" t="s">
        <v>45</v>
      </c>
      <c r="G1121" t="s">
        <v>23</v>
      </c>
      <c r="H1121" s="1">
        <v>45178</v>
      </c>
      <c r="I1121" s="2">
        <v>45178.0541666667</v>
      </c>
      <c r="J1121">
        <v>1.3</v>
      </c>
      <c r="K1121" t="s">
        <v>24</v>
      </c>
      <c r="L1121">
        <v>0</v>
      </c>
      <c r="M1121">
        <v>4</v>
      </c>
      <c r="N1121" t="s">
        <v>1582</v>
      </c>
      <c r="O1121" s="3" t="str">
        <f>TEXT(Ticket_Table[[#This Row],[raised_date]],"YYYY-MM")</f>
        <v>2023-09</v>
      </c>
      <c r="P1121" s="3" t="str">
        <f>IF(Ticket_Table[[#This Row],[resolution_hrs]]&lt;=4,"Fast",IF(Ticket_Table[[#This Row],[resolution_hrs]]&lt;=24,"Normal",IF(Ticket_Table[[#This Row],[resolution_hrs]]&lt;=48,"Slow","Very Slow")))</f>
        <v>Fast</v>
      </c>
      <c r="Q1121" s="3">
        <f>YEAR(Ticket_Table[[#This Row],[raised_date]])</f>
        <v>2023</v>
      </c>
    </row>
    <row r="1122" spans="1:17">
      <c r="A1122" t="s">
        <v>1678</v>
      </c>
      <c r="B1122" t="s">
        <v>237</v>
      </c>
      <c r="C1122" t="s">
        <v>287</v>
      </c>
      <c r="D1122" t="s">
        <v>20</v>
      </c>
      <c r="E1122" t="s">
        <v>30</v>
      </c>
      <c r="F1122" t="s">
        <v>22</v>
      </c>
      <c r="G1122" t="s">
        <v>31</v>
      </c>
      <c r="H1122" s="1">
        <v>44635</v>
      </c>
      <c r="I1122" s="2">
        <v>44635.7041666667</v>
      </c>
      <c r="J1122">
        <v>16.9</v>
      </c>
      <c r="K1122" t="s">
        <v>24</v>
      </c>
      <c r="L1122">
        <v>0</v>
      </c>
      <c r="M1122">
        <v>4</v>
      </c>
      <c r="N1122" t="s">
        <v>569</v>
      </c>
      <c r="O1122" s="3" t="str">
        <f>TEXT(Ticket_Table[[#This Row],[raised_date]],"YYYY-MM")</f>
        <v>2022-03</v>
      </c>
      <c r="P1122" s="3" t="str">
        <f>IF(Ticket_Table[[#This Row],[resolution_hrs]]&lt;=4,"Fast",IF(Ticket_Table[[#This Row],[resolution_hrs]]&lt;=24,"Normal",IF(Ticket_Table[[#This Row],[resolution_hrs]]&lt;=48,"Slow","Very Slow")))</f>
        <v>Normal</v>
      </c>
      <c r="Q1122" s="3">
        <f>YEAR(Ticket_Table[[#This Row],[raised_date]])</f>
        <v>2022</v>
      </c>
    </row>
    <row r="1123" spans="1:17">
      <c r="A1123" t="s">
        <v>1679</v>
      </c>
      <c r="B1123" t="s">
        <v>103</v>
      </c>
      <c r="C1123" t="s">
        <v>201</v>
      </c>
      <c r="D1123" t="s">
        <v>29</v>
      </c>
      <c r="E1123" t="s">
        <v>51</v>
      </c>
      <c r="F1123" t="s">
        <v>70</v>
      </c>
      <c r="G1123" t="s">
        <v>31</v>
      </c>
      <c r="H1123" s="1">
        <v>44610</v>
      </c>
      <c r="I1123" s="2">
        <v>44610.7208333333</v>
      </c>
      <c r="J1123">
        <v>17.3</v>
      </c>
      <c r="K1123" t="s">
        <v>24</v>
      </c>
      <c r="L1123">
        <v>0</v>
      </c>
      <c r="M1123">
        <v>1</v>
      </c>
      <c r="N1123" t="s">
        <v>924</v>
      </c>
      <c r="O1123" s="3" t="str">
        <f>TEXT(Ticket_Table[[#This Row],[raised_date]],"YYYY-MM")</f>
        <v>2022-02</v>
      </c>
      <c r="P1123" s="3" t="str">
        <f>IF(Ticket_Table[[#This Row],[resolution_hrs]]&lt;=4,"Fast",IF(Ticket_Table[[#This Row],[resolution_hrs]]&lt;=24,"Normal",IF(Ticket_Table[[#This Row],[resolution_hrs]]&lt;=48,"Slow","Very Slow")))</f>
        <v>Normal</v>
      </c>
      <c r="Q1123" s="3">
        <f>YEAR(Ticket_Table[[#This Row],[raised_date]])</f>
        <v>2022</v>
      </c>
    </row>
    <row r="1124" spans="1:17">
      <c r="A1124" t="s">
        <v>1680</v>
      </c>
      <c r="B1124" t="s">
        <v>124</v>
      </c>
      <c r="C1124" t="s">
        <v>261</v>
      </c>
      <c r="D1124" t="s">
        <v>36</v>
      </c>
      <c r="E1124" t="s">
        <v>69</v>
      </c>
      <c r="F1124" t="s">
        <v>38</v>
      </c>
      <c r="G1124" t="s">
        <v>23</v>
      </c>
      <c r="H1124" s="1">
        <v>44752</v>
      </c>
      <c r="I1124" s="2">
        <v>44752.0958333333</v>
      </c>
      <c r="J1124">
        <v>2.3</v>
      </c>
      <c r="K1124" t="s">
        <v>24</v>
      </c>
      <c r="L1124">
        <v>1</v>
      </c>
      <c r="M1124">
        <v>4</v>
      </c>
      <c r="N1124" t="s">
        <v>556</v>
      </c>
      <c r="O1124" s="3" t="str">
        <f>TEXT(Ticket_Table[[#This Row],[raised_date]],"YYYY-MM")</f>
        <v>2022-07</v>
      </c>
      <c r="P1124" s="3" t="str">
        <f>IF(Ticket_Table[[#This Row],[resolution_hrs]]&lt;=4,"Fast",IF(Ticket_Table[[#This Row],[resolution_hrs]]&lt;=24,"Normal",IF(Ticket_Table[[#This Row],[resolution_hrs]]&lt;=48,"Slow","Very Slow")))</f>
        <v>Fast</v>
      </c>
      <c r="Q1124" s="3">
        <f>YEAR(Ticket_Table[[#This Row],[raised_date]])</f>
        <v>2022</v>
      </c>
    </row>
    <row r="1125" spans="1:17">
      <c r="A1125" t="s">
        <v>1681</v>
      </c>
      <c r="B1125" t="s">
        <v>586</v>
      </c>
      <c r="C1125" t="s">
        <v>175</v>
      </c>
      <c r="D1125" t="s">
        <v>29</v>
      </c>
      <c r="E1125" t="s">
        <v>44</v>
      </c>
      <c r="F1125" t="s">
        <v>70</v>
      </c>
      <c r="G1125" t="s">
        <v>23</v>
      </c>
      <c r="H1125" s="1">
        <v>44753</v>
      </c>
      <c r="I1125" s="2">
        <v>44753.8125</v>
      </c>
      <c r="J1125">
        <v>19.5</v>
      </c>
      <c r="K1125" t="s">
        <v>24</v>
      </c>
      <c r="L1125">
        <v>0</v>
      </c>
      <c r="M1125">
        <v>4</v>
      </c>
      <c r="N1125" t="s">
        <v>25</v>
      </c>
      <c r="O1125" s="3" t="str">
        <f>TEXT(Ticket_Table[[#This Row],[raised_date]],"YYYY-MM")</f>
        <v>2022-07</v>
      </c>
      <c r="P1125" s="3" t="str">
        <f>IF(Ticket_Table[[#This Row],[resolution_hrs]]&lt;=4,"Fast",IF(Ticket_Table[[#This Row],[resolution_hrs]]&lt;=24,"Normal",IF(Ticket_Table[[#This Row],[resolution_hrs]]&lt;=48,"Slow","Very Slow")))</f>
        <v>Normal</v>
      </c>
      <c r="Q1125" s="3">
        <f>YEAR(Ticket_Table[[#This Row],[raised_date]])</f>
        <v>2022</v>
      </c>
    </row>
    <row r="1126" spans="1:17">
      <c r="A1126" t="s">
        <v>1682</v>
      </c>
      <c r="B1126" t="s">
        <v>464</v>
      </c>
      <c r="C1126" t="s">
        <v>213</v>
      </c>
      <c r="D1126" t="s">
        <v>29</v>
      </c>
      <c r="E1126" t="s">
        <v>51</v>
      </c>
      <c r="F1126" t="s">
        <v>22</v>
      </c>
      <c r="G1126" t="s">
        <v>31</v>
      </c>
      <c r="H1126" s="1">
        <v>44478</v>
      </c>
      <c r="I1126" s="2">
        <v>44481.1875</v>
      </c>
      <c r="J1126">
        <v>76.5</v>
      </c>
      <c r="K1126" t="s">
        <v>32</v>
      </c>
      <c r="L1126">
        <v>0</v>
      </c>
      <c r="M1126">
        <v>3</v>
      </c>
      <c r="N1126" t="s">
        <v>903</v>
      </c>
      <c r="O1126" s="3" t="str">
        <f>TEXT(Ticket_Table[[#This Row],[raised_date]],"YYYY-MM")</f>
        <v>2021-10</v>
      </c>
      <c r="P112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26" s="3">
        <f>YEAR(Ticket_Table[[#This Row],[raised_date]])</f>
        <v>2021</v>
      </c>
    </row>
    <row r="1127" spans="1:17">
      <c r="A1127" t="s">
        <v>1683</v>
      </c>
      <c r="B1127" t="s">
        <v>569</v>
      </c>
      <c r="C1127" t="s">
        <v>287</v>
      </c>
      <c r="D1127" t="s">
        <v>90</v>
      </c>
      <c r="E1127" t="s">
        <v>166</v>
      </c>
      <c r="F1127" t="s">
        <v>45</v>
      </c>
      <c r="G1127" t="s">
        <v>46</v>
      </c>
      <c r="H1127" s="1">
        <v>44420</v>
      </c>
      <c r="I1127" s="2">
        <v>44420.1333333333</v>
      </c>
      <c r="J1127">
        <v>3.2</v>
      </c>
      <c r="K1127" t="s">
        <v>24</v>
      </c>
      <c r="L1127">
        <v>0</v>
      </c>
      <c r="M1127">
        <v>4</v>
      </c>
      <c r="N1127" t="s">
        <v>47</v>
      </c>
      <c r="O1127" s="3" t="str">
        <f>TEXT(Ticket_Table[[#This Row],[raised_date]],"YYYY-MM")</f>
        <v>2021-08</v>
      </c>
      <c r="P1127" s="3" t="str">
        <f>IF(Ticket_Table[[#This Row],[resolution_hrs]]&lt;=4,"Fast",IF(Ticket_Table[[#This Row],[resolution_hrs]]&lt;=24,"Normal",IF(Ticket_Table[[#This Row],[resolution_hrs]]&lt;=48,"Slow","Very Slow")))</f>
        <v>Fast</v>
      </c>
      <c r="Q1127" s="3">
        <f>YEAR(Ticket_Table[[#This Row],[raised_date]])</f>
        <v>2021</v>
      </c>
    </row>
    <row r="1128" spans="1:17">
      <c r="A1128" t="s">
        <v>1684</v>
      </c>
      <c r="B1128" t="s">
        <v>567</v>
      </c>
      <c r="C1128" t="s">
        <v>102</v>
      </c>
      <c r="D1128" t="s">
        <v>29</v>
      </c>
      <c r="E1128" t="s">
        <v>83</v>
      </c>
      <c r="F1128" t="s">
        <v>70</v>
      </c>
      <c r="G1128" t="s">
        <v>74</v>
      </c>
      <c r="H1128" s="1">
        <v>44687</v>
      </c>
      <c r="I1128" s="2">
        <v>44689.9875</v>
      </c>
      <c r="J1128">
        <v>71.7</v>
      </c>
      <c r="K1128" t="s">
        <v>32</v>
      </c>
      <c r="L1128">
        <v>1</v>
      </c>
      <c r="M1128">
        <v>3</v>
      </c>
      <c r="N1128" t="s">
        <v>172</v>
      </c>
      <c r="O1128" s="3" t="str">
        <f>TEXT(Ticket_Table[[#This Row],[raised_date]],"YYYY-MM")</f>
        <v>2022-05</v>
      </c>
      <c r="P1128" s="3" t="str">
        <f>IF(Ticket_Table[[#This Row],[resolution_hrs]]&lt;=4,"Fast",IF(Ticket_Table[[#This Row],[resolution_hrs]]&lt;=24,"Normal",IF(Ticket_Table[[#This Row],[resolution_hrs]]&lt;=48,"Slow","Very Slow")))</f>
        <v>Very Slow</v>
      </c>
      <c r="Q1128" s="3">
        <f>YEAR(Ticket_Table[[#This Row],[raised_date]])</f>
        <v>2022</v>
      </c>
    </row>
    <row r="1129" spans="1:17">
      <c r="A1129" t="s">
        <v>1685</v>
      </c>
      <c r="B1129" t="s">
        <v>232</v>
      </c>
      <c r="C1129" t="s">
        <v>68</v>
      </c>
      <c r="D1129" t="s">
        <v>43</v>
      </c>
      <c r="E1129" t="s">
        <v>37</v>
      </c>
      <c r="F1129" t="s">
        <v>70</v>
      </c>
      <c r="G1129" t="s">
        <v>31</v>
      </c>
      <c r="H1129" s="1">
        <v>44693</v>
      </c>
      <c r="I1129" s="2">
        <v>44695.7833333333</v>
      </c>
      <c r="J1129">
        <v>66.8</v>
      </c>
      <c r="K1129" t="s">
        <v>32</v>
      </c>
      <c r="L1129">
        <v>0</v>
      </c>
      <c r="M1129">
        <v>4</v>
      </c>
      <c r="N1129" t="s">
        <v>735</v>
      </c>
      <c r="O1129" s="3" t="str">
        <f>TEXT(Ticket_Table[[#This Row],[raised_date]],"YYYY-MM")</f>
        <v>2022-05</v>
      </c>
      <c r="P1129" s="3" t="str">
        <f>IF(Ticket_Table[[#This Row],[resolution_hrs]]&lt;=4,"Fast",IF(Ticket_Table[[#This Row],[resolution_hrs]]&lt;=24,"Normal",IF(Ticket_Table[[#This Row],[resolution_hrs]]&lt;=48,"Slow","Very Slow")))</f>
        <v>Very Slow</v>
      </c>
      <c r="Q1129" s="3">
        <f>YEAR(Ticket_Table[[#This Row],[raised_date]])</f>
        <v>2022</v>
      </c>
    </row>
    <row r="1130" spans="1:17">
      <c r="A1130" t="s">
        <v>1686</v>
      </c>
      <c r="B1130" t="s">
        <v>1100</v>
      </c>
      <c r="C1130" t="s">
        <v>175</v>
      </c>
      <c r="D1130" t="s">
        <v>20</v>
      </c>
      <c r="E1130" t="s">
        <v>56</v>
      </c>
      <c r="F1130" t="s">
        <v>22</v>
      </c>
      <c r="G1130" t="s">
        <v>46</v>
      </c>
      <c r="H1130" s="1">
        <v>44300</v>
      </c>
      <c r="I1130" s="2">
        <v>44300.225</v>
      </c>
      <c r="J1130">
        <v>5.4</v>
      </c>
      <c r="K1130" t="s">
        <v>24</v>
      </c>
      <c r="L1130">
        <v>0</v>
      </c>
      <c r="M1130">
        <v>2</v>
      </c>
      <c r="N1130" t="s">
        <v>129</v>
      </c>
      <c r="O1130" s="3" t="str">
        <f>TEXT(Ticket_Table[[#This Row],[raised_date]],"YYYY-MM")</f>
        <v>2021-04</v>
      </c>
      <c r="P1130" s="3" t="str">
        <f>IF(Ticket_Table[[#This Row],[resolution_hrs]]&lt;=4,"Fast",IF(Ticket_Table[[#This Row],[resolution_hrs]]&lt;=24,"Normal",IF(Ticket_Table[[#This Row],[resolution_hrs]]&lt;=48,"Slow","Very Slow")))</f>
        <v>Normal</v>
      </c>
      <c r="Q1130" s="3">
        <f>YEAR(Ticket_Table[[#This Row],[raised_date]])</f>
        <v>2021</v>
      </c>
    </row>
    <row r="1131" spans="1:17">
      <c r="A1131" t="s">
        <v>1687</v>
      </c>
      <c r="B1131" t="s">
        <v>98</v>
      </c>
      <c r="C1131" t="s">
        <v>95</v>
      </c>
      <c r="D1131" t="s">
        <v>29</v>
      </c>
      <c r="E1131" t="s">
        <v>166</v>
      </c>
      <c r="F1131" t="s">
        <v>70</v>
      </c>
      <c r="G1131" t="s">
        <v>31</v>
      </c>
      <c r="H1131" s="1">
        <v>45284</v>
      </c>
      <c r="I1131" s="2">
        <v>45285.0958333333</v>
      </c>
      <c r="J1131">
        <v>26.3</v>
      </c>
      <c r="K1131" t="s">
        <v>24</v>
      </c>
      <c r="L1131">
        <v>0</v>
      </c>
      <c r="M1131">
        <v>5</v>
      </c>
      <c r="N1131" t="s">
        <v>320</v>
      </c>
      <c r="O1131" s="3" t="str">
        <f>TEXT(Ticket_Table[[#This Row],[raised_date]],"YYYY-MM")</f>
        <v>2023-12</v>
      </c>
      <c r="P1131" s="3" t="str">
        <f>IF(Ticket_Table[[#This Row],[resolution_hrs]]&lt;=4,"Fast",IF(Ticket_Table[[#This Row],[resolution_hrs]]&lt;=24,"Normal",IF(Ticket_Table[[#This Row],[resolution_hrs]]&lt;=48,"Slow","Very Slow")))</f>
        <v>Slow</v>
      </c>
      <c r="Q1131" s="3">
        <f>YEAR(Ticket_Table[[#This Row],[raised_date]])</f>
        <v>2023</v>
      </c>
    </row>
    <row r="1132" spans="1:17">
      <c r="A1132" t="s">
        <v>1688</v>
      </c>
      <c r="B1132" t="s">
        <v>1348</v>
      </c>
      <c r="C1132" t="s">
        <v>102</v>
      </c>
      <c r="D1132" t="s">
        <v>43</v>
      </c>
      <c r="E1132" t="s">
        <v>51</v>
      </c>
      <c r="F1132" t="s">
        <v>70</v>
      </c>
      <c r="G1132" t="s">
        <v>31</v>
      </c>
      <c r="H1132" s="1">
        <v>44659</v>
      </c>
      <c r="I1132" s="2">
        <v>44661.1375</v>
      </c>
      <c r="J1132">
        <v>51.3</v>
      </c>
      <c r="K1132" t="s">
        <v>32</v>
      </c>
      <c r="L1132">
        <v>0</v>
      </c>
      <c r="M1132">
        <v>5</v>
      </c>
      <c r="N1132" t="s">
        <v>584</v>
      </c>
      <c r="O1132" s="3" t="str">
        <f>TEXT(Ticket_Table[[#This Row],[raised_date]],"YYYY-MM")</f>
        <v>2022-04</v>
      </c>
      <c r="P1132" s="3" t="str">
        <f>IF(Ticket_Table[[#This Row],[resolution_hrs]]&lt;=4,"Fast",IF(Ticket_Table[[#This Row],[resolution_hrs]]&lt;=24,"Normal",IF(Ticket_Table[[#This Row],[resolution_hrs]]&lt;=48,"Slow","Very Slow")))</f>
        <v>Very Slow</v>
      </c>
      <c r="Q1132" s="3">
        <f>YEAR(Ticket_Table[[#This Row],[raised_date]])</f>
        <v>2022</v>
      </c>
    </row>
    <row r="1133" spans="1:17">
      <c r="A1133" t="s">
        <v>1689</v>
      </c>
      <c r="B1133" t="s">
        <v>470</v>
      </c>
      <c r="C1133" t="s">
        <v>287</v>
      </c>
      <c r="D1133" t="s">
        <v>36</v>
      </c>
      <c r="E1133" t="s">
        <v>30</v>
      </c>
      <c r="F1133" t="s">
        <v>22</v>
      </c>
      <c r="G1133" t="s">
        <v>23</v>
      </c>
      <c r="H1133" s="1">
        <v>44673</v>
      </c>
      <c r="I1133" s="2">
        <v>44675.2041666667</v>
      </c>
      <c r="J1133">
        <v>52.9</v>
      </c>
      <c r="K1133" t="s">
        <v>24</v>
      </c>
      <c r="L1133">
        <v>0</v>
      </c>
      <c r="M1133">
        <v>3</v>
      </c>
      <c r="N1133" t="s">
        <v>346</v>
      </c>
      <c r="O1133" s="3" t="str">
        <f>TEXT(Ticket_Table[[#This Row],[raised_date]],"YYYY-MM")</f>
        <v>2022-04</v>
      </c>
      <c r="P1133" s="3" t="str">
        <f>IF(Ticket_Table[[#This Row],[resolution_hrs]]&lt;=4,"Fast",IF(Ticket_Table[[#This Row],[resolution_hrs]]&lt;=24,"Normal",IF(Ticket_Table[[#This Row],[resolution_hrs]]&lt;=48,"Slow","Very Slow")))</f>
        <v>Very Slow</v>
      </c>
      <c r="Q1133" s="3">
        <f>YEAR(Ticket_Table[[#This Row],[raised_date]])</f>
        <v>2022</v>
      </c>
    </row>
    <row r="1134" spans="1:17">
      <c r="A1134" t="s">
        <v>1690</v>
      </c>
      <c r="B1134" t="s">
        <v>347</v>
      </c>
      <c r="C1134" t="s">
        <v>60</v>
      </c>
      <c r="D1134" t="s">
        <v>20</v>
      </c>
      <c r="E1134" t="s">
        <v>106</v>
      </c>
      <c r="F1134" t="s">
        <v>22</v>
      </c>
      <c r="G1134" t="s">
        <v>31</v>
      </c>
      <c r="H1134" s="1">
        <v>44304</v>
      </c>
      <c r="I1134" s="2">
        <v>44306.2375</v>
      </c>
      <c r="J1134">
        <v>53.7</v>
      </c>
      <c r="K1134" t="s">
        <v>24</v>
      </c>
      <c r="L1134">
        <v>0</v>
      </c>
      <c r="M1134">
        <v>5</v>
      </c>
      <c r="N1134" t="s">
        <v>822</v>
      </c>
      <c r="O1134" s="3" t="str">
        <f>TEXT(Ticket_Table[[#This Row],[raised_date]],"YYYY-MM")</f>
        <v>2021-04</v>
      </c>
      <c r="P1134" s="3" t="str">
        <f>IF(Ticket_Table[[#This Row],[resolution_hrs]]&lt;=4,"Fast",IF(Ticket_Table[[#This Row],[resolution_hrs]]&lt;=24,"Normal",IF(Ticket_Table[[#This Row],[resolution_hrs]]&lt;=48,"Slow","Very Slow")))</f>
        <v>Very Slow</v>
      </c>
      <c r="Q1134" s="3">
        <f>YEAR(Ticket_Table[[#This Row],[raised_date]])</f>
        <v>2021</v>
      </c>
    </row>
    <row r="1135" spans="1:17">
      <c r="A1135" t="s">
        <v>1691</v>
      </c>
      <c r="B1135" t="s">
        <v>101</v>
      </c>
      <c r="C1135" t="s">
        <v>133</v>
      </c>
      <c r="D1135" t="s">
        <v>36</v>
      </c>
      <c r="E1135" t="s">
        <v>83</v>
      </c>
      <c r="F1135" t="s">
        <v>38</v>
      </c>
      <c r="G1135" t="s">
        <v>23</v>
      </c>
      <c r="H1135" s="1">
        <v>44402</v>
      </c>
      <c r="I1135" s="2">
        <v>44403.275</v>
      </c>
      <c r="J1135">
        <v>30.6</v>
      </c>
      <c r="K1135" t="s">
        <v>32</v>
      </c>
      <c r="L1135">
        <v>1</v>
      </c>
      <c r="M1135">
        <v>4</v>
      </c>
      <c r="N1135" t="s">
        <v>523</v>
      </c>
      <c r="O1135" s="3" t="str">
        <f>TEXT(Ticket_Table[[#This Row],[raised_date]],"YYYY-MM")</f>
        <v>2021-07</v>
      </c>
      <c r="P1135" s="3" t="str">
        <f>IF(Ticket_Table[[#This Row],[resolution_hrs]]&lt;=4,"Fast",IF(Ticket_Table[[#This Row],[resolution_hrs]]&lt;=24,"Normal",IF(Ticket_Table[[#This Row],[resolution_hrs]]&lt;=48,"Slow","Very Slow")))</f>
        <v>Slow</v>
      </c>
      <c r="Q1135" s="3">
        <f>YEAR(Ticket_Table[[#This Row],[raised_date]])</f>
        <v>2021</v>
      </c>
    </row>
    <row r="1136" spans="1:17">
      <c r="A1136" t="s">
        <v>1692</v>
      </c>
      <c r="B1136" t="s">
        <v>300</v>
      </c>
      <c r="C1136" t="s">
        <v>133</v>
      </c>
      <c r="D1136" t="s">
        <v>43</v>
      </c>
      <c r="E1136" t="s">
        <v>56</v>
      </c>
      <c r="F1136" t="s">
        <v>22</v>
      </c>
      <c r="G1136" t="s">
        <v>31</v>
      </c>
      <c r="H1136" s="1">
        <v>45043</v>
      </c>
      <c r="I1136" s="2">
        <v>45046.9083333333</v>
      </c>
      <c r="J1136">
        <v>93.8</v>
      </c>
      <c r="K1136" t="s">
        <v>32</v>
      </c>
      <c r="L1136">
        <v>0</v>
      </c>
      <c r="M1136">
        <v>4</v>
      </c>
      <c r="N1136" t="s">
        <v>383</v>
      </c>
      <c r="O1136" s="3" t="str">
        <f>TEXT(Ticket_Table[[#This Row],[raised_date]],"YYYY-MM")</f>
        <v>2023-04</v>
      </c>
      <c r="P113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36" s="3">
        <f>YEAR(Ticket_Table[[#This Row],[raised_date]])</f>
        <v>2023</v>
      </c>
    </row>
    <row r="1137" spans="1:17">
      <c r="A1137" t="s">
        <v>1693</v>
      </c>
      <c r="B1137" t="s">
        <v>764</v>
      </c>
      <c r="C1137" t="s">
        <v>117</v>
      </c>
      <c r="D1137" t="s">
        <v>36</v>
      </c>
      <c r="E1137" t="s">
        <v>166</v>
      </c>
      <c r="F1137" t="s">
        <v>22</v>
      </c>
      <c r="G1137" t="s">
        <v>31</v>
      </c>
      <c r="H1137" s="1">
        <v>44873</v>
      </c>
      <c r="I1137" s="2">
        <v>44873.5916666667</v>
      </c>
      <c r="J1137">
        <v>14.2</v>
      </c>
      <c r="K1137" t="s">
        <v>24</v>
      </c>
      <c r="L1137">
        <v>0</v>
      </c>
      <c r="M1137">
        <v>5</v>
      </c>
      <c r="N1137" t="s">
        <v>161</v>
      </c>
      <c r="O1137" s="3" t="str">
        <f>TEXT(Ticket_Table[[#This Row],[raised_date]],"YYYY-MM")</f>
        <v>2022-11</v>
      </c>
      <c r="P1137" s="3" t="str">
        <f>IF(Ticket_Table[[#This Row],[resolution_hrs]]&lt;=4,"Fast",IF(Ticket_Table[[#This Row],[resolution_hrs]]&lt;=24,"Normal",IF(Ticket_Table[[#This Row],[resolution_hrs]]&lt;=48,"Slow","Very Slow")))</f>
        <v>Normal</v>
      </c>
      <c r="Q1137" s="3">
        <f>YEAR(Ticket_Table[[#This Row],[raised_date]])</f>
        <v>2022</v>
      </c>
    </row>
    <row r="1138" spans="1:17">
      <c r="A1138" t="s">
        <v>1694</v>
      </c>
      <c r="B1138" t="s">
        <v>314</v>
      </c>
      <c r="C1138" t="s">
        <v>213</v>
      </c>
      <c r="D1138" t="s">
        <v>36</v>
      </c>
      <c r="E1138" t="s">
        <v>106</v>
      </c>
      <c r="F1138" t="s">
        <v>70</v>
      </c>
      <c r="G1138" t="s">
        <v>74</v>
      </c>
      <c r="H1138" s="1">
        <v>45164</v>
      </c>
      <c r="I1138" s="2">
        <v>45164.3166666667</v>
      </c>
      <c r="J1138">
        <v>7.6</v>
      </c>
      <c r="K1138" t="s">
        <v>24</v>
      </c>
      <c r="L1138">
        <v>0</v>
      </c>
      <c r="M1138">
        <v>2</v>
      </c>
      <c r="N1138" t="s">
        <v>476</v>
      </c>
      <c r="O1138" s="3" t="str">
        <f>TEXT(Ticket_Table[[#This Row],[raised_date]],"YYYY-MM")</f>
        <v>2023-08</v>
      </c>
      <c r="P1138" s="3" t="str">
        <f>IF(Ticket_Table[[#This Row],[resolution_hrs]]&lt;=4,"Fast",IF(Ticket_Table[[#This Row],[resolution_hrs]]&lt;=24,"Normal",IF(Ticket_Table[[#This Row],[resolution_hrs]]&lt;=48,"Slow","Very Slow")))</f>
        <v>Normal</v>
      </c>
      <c r="Q1138" s="3">
        <f>YEAR(Ticket_Table[[#This Row],[raised_date]])</f>
        <v>2023</v>
      </c>
    </row>
    <row r="1139" spans="1:17">
      <c r="A1139" t="s">
        <v>1695</v>
      </c>
      <c r="B1139" t="s">
        <v>87</v>
      </c>
      <c r="C1139" t="s">
        <v>102</v>
      </c>
      <c r="D1139" t="s">
        <v>36</v>
      </c>
      <c r="E1139" t="s">
        <v>106</v>
      </c>
      <c r="F1139" t="s">
        <v>38</v>
      </c>
      <c r="G1139" t="s">
        <v>23</v>
      </c>
      <c r="H1139" s="1">
        <v>44402</v>
      </c>
      <c r="I1139" s="2">
        <v>44403.3083333333</v>
      </c>
      <c r="J1139">
        <v>31.4</v>
      </c>
      <c r="K1139" t="s">
        <v>32</v>
      </c>
      <c r="L1139">
        <v>0</v>
      </c>
      <c r="M1139">
        <v>3</v>
      </c>
      <c r="N1139" t="s">
        <v>398</v>
      </c>
      <c r="O1139" s="3" t="str">
        <f>TEXT(Ticket_Table[[#This Row],[raised_date]],"YYYY-MM")</f>
        <v>2021-07</v>
      </c>
      <c r="P1139" s="3" t="str">
        <f>IF(Ticket_Table[[#This Row],[resolution_hrs]]&lt;=4,"Fast",IF(Ticket_Table[[#This Row],[resolution_hrs]]&lt;=24,"Normal",IF(Ticket_Table[[#This Row],[resolution_hrs]]&lt;=48,"Slow","Very Slow")))</f>
        <v>Slow</v>
      </c>
      <c r="Q1139" s="3">
        <f>YEAR(Ticket_Table[[#This Row],[raised_date]])</f>
        <v>2021</v>
      </c>
    </row>
    <row r="1140" spans="1:17">
      <c r="A1140" t="s">
        <v>1696</v>
      </c>
      <c r="B1140" t="s">
        <v>544</v>
      </c>
      <c r="C1140" t="s">
        <v>95</v>
      </c>
      <c r="D1140" t="s">
        <v>29</v>
      </c>
      <c r="E1140" t="s">
        <v>106</v>
      </c>
      <c r="F1140" t="s">
        <v>22</v>
      </c>
      <c r="G1140" t="s">
        <v>23</v>
      </c>
      <c r="H1140" s="1">
        <v>44478</v>
      </c>
      <c r="I1140" s="2">
        <v>44478.8458333333</v>
      </c>
      <c r="J1140">
        <v>20.3</v>
      </c>
      <c r="K1140" t="s">
        <v>24</v>
      </c>
      <c r="L1140">
        <v>0</v>
      </c>
      <c r="M1140">
        <v>3</v>
      </c>
      <c r="N1140" t="s">
        <v>1278</v>
      </c>
      <c r="O1140" s="3" t="str">
        <f>TEXT(Ticket_Table[[#This Row],[raised_date]],"YYYY-MM")</f>
        <v>2021-10</v>
      </c>
      <c r="P1140" s="3" t="str">
        <f>IF(Ticket_Table[[#This Row],[resolution_hrs]]&lt;=4,"Fast",IF(Ticket_Table[[#This Row],[resolution_hrs]]&lt;=24,"Normal",IF(Ticket_Table[[#This Row],[resolution_hrs]]&lt;=48,"Slow","Very Slow")))</f>
        <v>Normal</v>
      </c>
      <c r="Q1140" s="3">
        <f>YEAR(Ticket_Table[[#This Row],[raised_date]])</f>
        <v>2021</v>
      </c>
    </row>
    <row r="1141" spans="1:17">
      <c r="A1141" t="s">
        <v>1697</v>
      </c>
      <c r="B1141" t="s">
        <v>708</v>
      </c>
      <c r="C1141" t="s">
        <v>60</v>
      </c>
      <c r="D1141" t="s">
        <v>29</v>
      </c>
      <c r="E1141" t="s">
        <v>83</v>
      </c>
      <c r="F1141" t="s">
        <v>70</v>
      </c>
      <c r="G1141" t="s">
        <v>74</v>
      </c>
      <c r="H1141" s="1">
        <v>44207</v>
      </c>
      <c r="I1141" s="2">
        <v>44207.5375</v>
      </c>
      <c r="J1141">
        <v>12.9</v>
      </c>
      <c r="K1141" t="s">
        <v>24</v>
      </c>
      <c r="L1141">
        <v>0</v>
      </c>
      <c r="M1141">
        <v>4</v>
      </c>
      <c r="N1141" t="s">
        <v>527</v>
      </c>
      <c r="O1141" s="3" t="str">
        <f>TEXT(Ticket_Table[[#This Row],[raised_date]],"YYYY-MM")</f>
        <v>2021-01</v>
      </c>
      <c r="P1141" s="3" t="str">
        <f>IF(Ticket_Table[[#This Row],[resolution_hrs]]&lt;=4,"Fast",IF(Ticket_Table[[#This Row],[resolution_hrs]]&lt;=24,"Normal",IF(Ticket_Table[[#This Row],[resolution_hrs]]&lt;=48,"Slow","Very Slow")))</f>
        <v>Normal</v>
      </c>
      <c r="Q1141" s="3">
        <f>YEAR(Ticket_Table[[#This Row],[raised_date]])</f>
        <v>2021</v>
      </c>
    </row>
    <row r="1142" spans="1:17">
      <c r="A1142" t="s">
        <v>1698</v>
      </c>
      <c r="B1142" t="s">
        <v>607</v>
      </c>
      <c r="C1142" t="s">
        <v>19</v>
      </c>
      <c r="D1142" t="s">
        <v>29</v>
      </c>
      <c r="E1142" t="s">
        <v>44</v>
      </c>
      <c r="F1142" t="s">
        <v>22</v>
      </c>
      <c r="G1142" t="s">
        <v>91</v>
      </c>
      <c r="H1142" s="1">
        <v>44520</v>
      </c>
      <c r="I1142" s="2">
        <v>44522.3083333333</v>
      </c>
      <c r="J1142">
        <v>55.4</v>
      </c>
      <c r="K1142" t="s">
        <v>24</v>
      </c>
      <c r="L1142">
        <v>0</v>
      </c>
      <c r="M1142">
        <v>3</v>
      </c>
      <c r="N1142" t="s">
        <v>599</v>
      </c>
      <c r="O1142" s="3" t="str">
        <f>TEXT(Ticket_Table[[#This Row],[raised_date]],"YYYY-MM")</f>
        <v>2021-11</v>
      </c>
      <c r="P1142" s="3" t="str">
        <f>IF(Ticket_Table[[#This Row],[resolution_hrs]]&lt;=4,"Fast",IF(Ticket_Table[[#This Row],[resolution_hrs]]&lt;=24,"Normal",IF(Ticket_Table[[#This Row],[resolution_hrs]]&lt;=48,"Slow","Very Slow")))</f>
        <v>Very Slow</v>
      </c>
      <c r="Q1142" s="3">
        <f>YEAR(Ticket_Table[[#This Row],[raised_date]])</f>
        <v>2021</v>
      </c>
    </row>
    <row r="1143" spans="1:17">
      <c r="A1143" t="s">
        <v>1699</v>
      </c>
      <c r="B1143" t="s">
        <v>279</v>
      </c>
      <c r="C1143" t="s">
        <v>55</v>
      </c>
      <c r="D1143" t="s">
        <v>20</v>
      </c>
      <c r="E1143" t="s">
        <v>166</v>
      </c>
      <c r="F1143" t="s">
        <v>22</v>
      </c>
      <c r="G1143" t="s">
        <v>23</v>
      </c>
      <c r="H1143" s="1">
        <v>45030</v>
      </c>
      <c r="I1143" s="2">
        <v>45031.2583333333</v>
      </c>
      <c r="J1143">
        <v>30.2</v>
      </c>
      <c r="K1143" t="s">
        <v>24</v>
      </c>
      <c r="L1143">
        <v>0</v>
      </c>
      <c r="M1143">
        <v>4</v>
      </c>
      <c r="N1143" t="s">
        <v>432</v>
      </c>
      <c r="O1143" s="3" t="str">
        <f>TEXT(Ticket_Table[[#This Row],[raised_date]],"YYYY-MM")</f>
        <v>2023-04</v>
      </c>
      <c r="P1143" s="3" t="str">
        <f>IF(Ticket_Table[[#This Row],[resolution_hrs]]&lt;=4,"Fast",IF(Ticket_Table[[#This Row],[resolution_hrs]]&lt;=24,"Normal",IF(Ticket_Table[[#This Row],[resolution_hrs]]&lt;=48,"Slow","Very Slow")))</f>
        <v>Slow</v>
      </c>
      <c r="Q1143" s="3">
        <f>YEAR(Ticket_Table[[#This Row],[raised_date]])</f>
        <v>2023</v>
      </c>
    </row>
    <row r="1144" spans="1:17">
      <c r="A1144" t="s">
        <v>1700</v>
      </c>
      <c r="B1144" t="s">
        <v>675</v>
      </c>
      <c r="C1144" t="s">
        <v>102</v>
      </c>
      <c r="D1144" t="s">
        <v>43</v>
      </c>
      <c r="E1144" t="s">
        <v>44</v>
      </c>
      <c r="F1144" t="s">
        <v>22</v>
      </c>
      <c r="G1144" t="s">
        <v>23</v>
      </c>
      <c r="H1144" s="1">
        <v>45171</v>
      </c>
      <c r="I1144" s="2">
        <v>45175.0125</v>
      </c>
      <c r="J1144">
        <v>96.3</v>
      </c>
      <c r="K1144" t="s">
        <v>32</v>
      </c>
      <c r="L1144">
        <v>1</v>
      </c>
      <c r="M1144">
        <v>3</v>
      </c>
      <c r="N1144" t="s">
        <v>124</v>
      </c>
      <c r="O1144" s="3" t="str">
        <f>TEXT(Ticket_Table[[#This Row],[raised_date]],"YYYY-MM")</f>
        <v>2023-09</v>
      </c>
      <c r="P1144" s="3" t="str">
        <f>IF(Ticket_Table[[#This Row],[resolution_hrs]]&lt;=4,"Fast",IF(Ticket_Table[[#This Row],[resolution_hrs]]&lt;=24,"Normal",IF(Ticket_Table[[#This Row],[resolution_hrs]]&lt;=48,"Slow","Very Slow")))</f>
        <v>Very Slow</v>
      </c>
      <c r="Q1144" s="3">
        <f>YEAR(Ticket_Table[[#This Row],[raised_date]])</f>
        <v>2023</v>
      </c>
    </row>
    <row r="1145" spans="1:17">
      <c r="A1145" t="s">
        <v>1701</v>
      </c>
      <c r="B1145" t="s">
        <v>1067</v>
      </c>
      <c r="C1145" t="s">
        <v>117</v>
      </c>
      <c r="D1145" t="s">
        <v>29</v>
      </c>
      <c r="E1145" t="s">
        <v>21</v>
      </c>
      <c r="F1145" t="s">
        <v>38</v>
      </c>
      <c r="G1145" t="s">
        <v>46</v>
      </c>
      <c r="H1145" s="1">
        <v>45174</v>
      </c>
      <c r="I1145" s="2">
        <v>45174.8958333333</v>
      </c>
      <c r="J1145">
        <v>21.5</v>
      </c>
      <c r="K1145" t="s">
        <v>24</v>
      </c>
      <c r="L1145">
        <v>0</v>
      </c>
      <c r="M1145">
        <v>4</v>
      </c>
      <c r="N1145" t="s">
        <v>1022</v>
      </c>
      <c r="O1145" s="3" t="str">
        <f>TEXT(Ticket_Table[[#This Row],[raised_date]],"YYYY-MM")</f>
        <v>2023-09</v>
      </c>
      <c r="P1145" s="3" t="str">
        <f>IF(Ticket_Table[[#This Row],[resolution_hrs]]&lt;=4,"Fast",IF(Ticket_Table[[#This Row],[resolution_hrs]]&lt;=24,"Normal",IF(Ticket_Table[[#This Row],[resolution_hrs]]&lt;=48,"Slow","Very Slow")))</f>
        <v>Normal</v>
      </c>
      <c r="Q1145" s="3">
        <f>YEAR(Ticket_Table[[#This Row],[raised_date]])</f>
        <v>2023</v>
      </c>
    </row>
    <row r="1146" spans="1:17">
      <c r="A1146" t="s">
        <v>1702</v>
      </c>
      <c r="B1146" t="s">
        <v>335</v>
      </c>
      <c r="C1146" t="s">
        <v>213</v>
      </c>
      <c r="D1146" t="s">
        <v>36</v>
      </c>
      <c r="E1146" t="s">
        <v>83</v>
      </c>
      <c r="F1146" t="s">
        <v>22</v>
      </c>
      <c r="G1146" t="s">
        <v>23</v>
      </c>
      <c r="H1146" s="1">
        <v>44605</v>
      </c>
      <c r="I1146" s="2">
        <v>44607.6416666667</v>
      </c>
      <c r="J1146">
        <v>63.4</v>
      </c>
      <c r="K1146" t="s">
        <v>24</v>
      </c>
      <c r="L1146">
        <v>2</v>
      </c>
      <c r="M1146">
        <v>2</v>
      </c>
      <c r="N1146" t="s">
        <v>63</v>
      </c>
      <c r="O1146" s="3" t="str">
        <f>TEXT(Ticket_Table[[#This Row],[raised_date]],"YYYY-MM")</f>
        <v>2022-02</v>
      </c>
      <c r="P114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46" s="3">
        <f>YEAR(Ticket_Table[[#This Row],[raised_date]])</f>
        <v>2022</v>
      </c>
    </row>
    <row r="1147" spans="1:17">
      <c r="A1147" t="s">
        <v>1703</v>
      </c>
      <c r="B1147" t="s">
        <v>405</v>
      </c>
      <c r="C1147" t="s">
        <v>102</v>
      </c>
      <c r="D1147" t="s">
        <v>36</v>
      </c>
      <c r="E1147" t="s">
        <v>106</v>
      </c>
      <c r="F1147" t="s">
        <v>22</v>
      </c>
      <c r="G1147" t="s">
        <v>31</v>
      </c>
      <c r="H1147" s="1">
        <v>44785</v>
      </c>
      <c r="I1147" s="2">
        <v>44789.375</v>
      </c>
      <c r="J1147">
        <v>105</v>
      </c>
      <c r="K1147" t="s">
        <v>32</v>
      </c>
      <c r="L1147">
        <v>0</v>
      </c>
      <c r="M1147">
        <v>3</v>
      </c>
      <c r="N1147" t="s">
        <v>484</v>
      </c>
      <c r="O1147" s="3" t="str">
        <f>TEXT(Ticket_Table[[#This Row],[raised_date]],"YYYY-MM")</f>
        <v>2022-08</v>
      </c>
      <c r="P1147" s="3" t="str">
        <f>IF(Ticket_Table[[#This Row],[resolution_hrs]]&lt;=4,"Fast",IF(Ticket_Table[[#This Row],[resolution_hrs]]&lt;=24,"Normal",IF(Ticket_Table[[#This Row],[resolution_hrs]]&lt;=48,"Slow","Very Slow")))</f>
        <v>Very Slow</v>
      </c>
      <c r="Q1147" s="3">
        <f>YEAR(Ticket_Table[[#This Row],[raised_date]])</f>
        <v>2022</v>
      </c>
    </row>
    <row r="1148" spans="1:17">
      <c r="A1148" t="s">
        <v>1704</v>
      </c>
      <c r="B1148" t="s">
        <v>588</v>
      </c>
      <c r="C1148" t="s">
        <v>78</v>
      </c>
      <c r="D1148" t="s">
        <v>36</v>
      </c>
      <c r="E1148" t="s">
        <v>106</v>
      </c>
      <c r="F1148" t="s">
        <v>70</v>
      </c>
      <c r="G1148" t="s">
        <v>23</v>
      </c>
      <c r="H1148" s="1">
        <v>44854</v>
      </c>
      <c r="I1148" s="2">
        <v>44855.5958333333</v>
      </c>
      <c r="J1148">
        <v>38.3</v>
      </c>
      <c r="K1148" t="s">
        <v>24</v>
      </c>
      <c r="L1148">
        <v>0</v>
      </c>
      <c r="M1148">
        <v>3</v>
      </c>
      <c r="N1148" t="s">
        <v>764</v>
      </c>
      <c r="O1148" s="3" t="str">
        <f>TEXT(Ticket_Table[[#This Row],[raised_date]],"YYYY-MM")</f>
        <v>2022-10</v>
      </c>
      <c r="P1148" s="3" t="str">
        <f>IF(Ticket_Table[[#This Row],[resolution_hrs]]&lt;=4,"Fast",IF(Ticket_Table[[#This Row],[resolution_hrs]]&lt;=24,"Normal",IF(Ticket_Table[[#This Row],[resolution_hrs]]&lt;=48,"Slow","Very Slow")))</f>
        <v>Slow</v>
      </c>
      <c r="Q1148" s="3">
        <f>YEAR(Ticket_Table[[#This Row],[raised_date]])</f>
        <v>2022</v>
      </c>
    </row>
    <row r="1149" spans="1:17">
      <c r="A1149" t="s">
        <v>1705</v>
      </c>
      <c r="B1149" t="s">
        <v>47</v>
      </c>
      <c r="C1149" t="s">
        <v>68</v>
      </c>
      <c r="D1149" t="s">
        <v>36</v>
      </c>
      <c r="E1149" t="s">
        <v>83</v>
      </c>
      <c r="F1149" t="s">
        <v>38</v>
      </c>
      <c r="G1149" t="s">
        <v>31</v>
      </c>
      <c r="H1149" s="1">
        <v>44781</v>
      </c>
      <c r="I1149" s="2">
        <v>44781.875</v>
      </c>
      <c r="J1149">
        <v>21</v>
      </c>
      <c r="K1149" t="s">
        <v>24</v>
      </c>
      <c r="L1149">
        <v>0</v>
      </c>
      <c r="M1149">
        <v>4</v>
      </c>
      <c r="N1149" t="s">
        <v>1013</v>
      </c>
      <c r="O1149" s="3" t="str">
        <f>TEXT(Ticket_Table[[#This Row],[raised_date]],"YYYY-MM")</f>
        <v>2022-08</v>
      </c>
      <c r="P1149" s="3" t="str">
        <f>IF(Ticket_Table[[#This Row],[resolution_hrs]]&lt;=4,"Fast",IF(Ticket_Table[[#This Row],[resolution_hrs]]&lt;=24,"Normal",IF(Ticket_Table[[#This Row],[resolution_hrs]]&lt;=48,"Slow","Very Slow")))</f>
        <v>Normal</v>
      </c>
      <c r="Q1149" s="3">
        <f>YEAR(Ticket_Table[[#This Row],[raised_date]])</f>
        <v>2022</v>
      </c>
    </row>
    <row r="1150" spans="1:17">
      <c r="A1150" t="s">
        <v>1706</v>
      </c>
      <c r="B1150" t="s">
        <v>1241</v>
      </c>
      <c r="C1150" t="s">
        <v>28</v>
      </c>
      <c r="D1150" t="s">
        <v>90</v>
      </c>
      <c r="E1150" t="s">
        <v>21</v>
      </c>
      <c r="F1150" t="s">
        <v>22</v>
      </c>
      <c r="G1150" t="s">
        <v>31</v>
      </c>
      <c r="H1150" s="1">
        <v>44318</v>
      </c>
      <c r="I1150" s="2">
        <v>44319.9</v>
      </c>
      <c r="J1150">
        <v>45.6</v>
      </c>
      <c r="K1150" t="s">
        <v>24</v>
      </c>
      <c r="L1150">
        <v>0</v>
      </c>
      <c r="M1150">
        <v>5</v>
      </c>
      <c r="N1150" t="s">
        <v>353</v>
      </c>
      <c r="O1150" s="3" t="str">
        <f>TEXT(Ticket_Table[[#This Row],[raised_date]],"YYYY-MM")</f>
        <v>2021-05</v>
      </c>
      <c r="P1150" s="3" t="str">
        <f>IF(Ticket_Table[[#This Row],[resolution_hrs]]&lt;=4,"Fast",IF(Ticket_Table[[#This Row],[resolution_hrs]]&lt;=24,"Normal",IF(Ticket_Table[[#This Row],[resolution_hrs]]&lt;=48,"Slow","Very Slow")))</f>
        <v>Slow</v>
      </c>
      <c r="Q1150" s="3">
        <f>YEAR(Ticket_Table[[#This Row],[raised_date]])</f>
        <v>2021</v>
      </c>
    </row>
    <row r="1151" spans="1:17">
      <c r="A1151" t="s">
        <v>1707</v>
      </c>
      <c r="B1151" t="s">
        <v>35</v>
      </c>
      <c r="C1151" t="s">
        <v>95</v>
      </c>
      <c r="D1151" t="s">
        <v>20</v>
      </c>
      <c r="E1151" t="s">
        <v>37</v>
      </c>
      <c r="F1151" t="s">
        <v>70</v>
      </c>
      <c r="G1151" t="s">
        <v>46</v>
      </c>
      <c r="H1151" s="1">
        <v>44380</v>
      </c>
      <c r="I1151" s="2">
        <v>44380.2708333333</v>
      </c>
      <c r="J1151">
        <v>6.5</v>
      </c>
      <c r="K1151" t="s">
        <v>24</v>
      </c>
      <c r="L1151">
        <v>1</v>
      </c>
      <c r="M1151">
        <v>2</v>
      </c>
      <c r="N1151" t="s">
        <v>1091</v>
      </c>
      <c r="O1151" s="3" t="str">
        <f>TEXT(Ticket_Table[[#This Row],[raised_date]],"YYYY-MM")</f>
        <v>2021-07</v>
      </c>
      <c r="P1151" s="3" t="str">
        <f>IF(Ticket_Table[[#This Row],[resolution_hrs]]&lt;=4,"Fast",IF(Ticket_Table[[#This Row],[resolution_hrs]]&lt;=24,"Normal",IF(Ticket_Table[[#This Row],[resolution_hrs]]&lt;=48,"Slow","Very Slow")))</f>
        <v>Normal</v>
      </c>
      <c r="Q1151" s="3">
        <f>YEAR(Ticket_Table[[#This Row],[raised_date]])</f>
        <v>2021</v>
      </c>
    </row>
    <row r="1152" spans="1:17">
      <c r="A1152" t="s">
        <v>1708</v>
      </c>
      <c r="B1152" t="s">
        <v>685</v>
      </c>
      <c r="C1152" t="s">
        <v>50</v>
      </c>
      <c r="D1152" t="s">
        <v>43</v>
      </c>
      <c r="E1152" t="s">
        <v>30</v>
      </c>
      <c r="F1152" t="s">
        <v>22</v>
      </c>
      <c r="G1152" t="s">
        <v>23</v>
      </c>
      <c r="H1152" s="1">
        <v>44672</v>
      </c>
      <c r="I1152" s="2">
        <v>44675.4666666667</v>
      </c>
      <c r="J1152">
        <v>83.2</v>
      </c>
      <c r="K1152" t="s">
        <v>32</v>
      </c>
      <c r="L1152">
        <v>2</v>
      </c>
      <c r="M1152">
        <v>4</v>
      </c>
      <c r="N1152" t="s">
        <v>886</v>
      </c>
      <c r="O1152" s="3" t="str">
        <f>TEXT(Ticket_Table[[#This Row],[raised_date]],"YYYY-MM")</f>
        <v>2022-04</v>
      </c>
      <c r="P1152" s="3" t="str">
        <f>IF(Ticket_Table[[#This Row],[resolution_hrs]]&lt;=4,"Fast",IF(Ticket_Table[[#This Row],[resolution_hrs]]&lt;=24,"Normal",IF(Ticket_Table[[#This Row],[resolution_hrs]]&lt;=48,"Slow","Very Slow")))</f>
        <v>Very Slow</v>
      </c>
      <c r="Q1152" s="3">
        <f>YEAR(Ticket_Table[[#This Row],[raised_date]])</f>
        <v>2022</v>
      </c>
    </row>
    <row r="1153" spans="1:17">
      <c r="A1153" t="s">
        <v>1709</v>
      </c>
      <c r="B1153" t="s">
        <v>592</v>
      </c>
      <c r="C1153" t="s">
        <v>175</v>
      </c>
      <c r="D1153" t="s">
        <v>43</v>
      </c>
      <c r="E1153" t="s">
        <v>37</v>
      </c>
      <c r="F1153" t="s">
        <v>70</v>
      </c>
      <c r="G1153" t="s">
        <v>46</v>
      </c>
      <c r="H1153" s="1">
        <v>45292</v>
      </c>
      <c r="I1153" s="2">
        <v>45294.0458333333</v>
      </c>
      <c r="J1153">
        <v>49.1</v>
      </c>
      <c r="K1153" t="s">
        <v>32</v>
      </c>
      <c r="L1153">
        <v>0</v>
      </c>
      <c r="M1153">
        <v>5</v>
      </c>
      <c r="N1153" t="s">
        <v>594</v>
      </c>
      <c r="O1153" s="3" t="str">
        <f>TEXT(Ticket_Table[[#This Row],[raised_date]],"YYYY-MM")</f>
        <v>2024-01</v>
      </c>
      <c r="P1153" s="3" t="str">
        <f>IF(Ticket_Table[[#This Row],[resolution_hrs]]&lt;=4,"Fast",IF(Ticket_Table[[#This Row],[resolution_hrs]]&lt;=24,"Normal",IF(Ticket_Table[[#This Row],[resolution_hrs]]&lt;=48,"Slow","Very Slow")))</f>
        <v>Very Slow</v>
      </c>
      <c r="Q1153" s="3">
        <f>YEAR(Ticket_Table[[#This Row],[raised_date]])</f>
        <v>2024</v>
      </c>
    </row>
    <row r="1154" spans="1:17">
      <c r="A1154" t="s">
        <v>1710</v>
      </c>
      <c r="B1154" t="s">
        <v>98</v>
      </c>
      <c r="C1154" t="s">
        <v>55</v>
      </c>
      <c r="D1154" t="s">
        <v>29</v>
      </c>
      <c r="E1154" t="s">
        <v>44</v>
      </c>
      <c r="F1154" t="s">
        <v>70</v>
      </c>
      <c r="G1154" t="s">
        <v>74</v>
      </c>
      <c r="H1154" s="1">
        <v>44273</v>
      </c>
      <c r="I1154" s="2">
        <v>44275.6666666667</v>
      </c>
      <c r="J1154">
        <v>64</v>
      </c>
      <c r="K1154" t="s">
        <v>32</v>
      </c>
      <c r="L1154">
        <v>0</v>
      </c>
      <c r="M1154">
        <v>5</v>
      </c>
      <c r="N1154" t="s">
        <v>776</v>
      </c>
      <c r="O1154" s="3" t="str">
        <f>TEXT(Ticket_Table[[#This Row],[raised_date]],"YYYY-MM")</f>
        <v>2021-03</v>
      </c>
      <c r="P1154" s="3" t="str">
        <f>IF(Ticket_Table[[#This Row],[resolution_hrs]]&lt;=4,"Fast",IF(Ticket_Table[[#This Row],[resolution_hrs]]&lt;=24,"Normal",IF(Ticket_Table[[#This Row],[resolution_hrs]]&lt;=48,"Slow","Very Slow")))</f>
        <v>Very Slow</v>
      </c>
      <c r="Q1154" s="3">
        <f>YEAR(Ticket_Table[[#This Row],[raised_date]])</f>
        <v>2021</v>
      </c>
    </row>
    <row r="1155" spans="1:17">
      <c r="A1155" t="s">
        <v>1711</v>
      </c>
      <c r="B1155" t="s">
        <v>1243</v>
      </c>
      <c r="C1155" t="s">
        <v>42</v>
      </c>
      <c r="D1155" t="s">
        <v>90</v>
      </c>
      <c r="E1155" t="s">
        <v>83</v>
      </c>
      <c r="F1155" t="s">
        <v>70</v>
      </c>
      <c r="G1155" t="s">
        <v>74</v>
      </c>
      <c r="H1155" s="1">
        <v>44555</v>
      </c>
      <c r="I1155" s="2">
        <v>44555.1166666667</v>
      </c>
      <c r="J1155">
        <v>2.8</v>
      </c>
      <c r="K1155" t="s">
        <v>24</v>
      </c>
      <c r="L1155">
        <v>1</v>
      </c>
      <c r="M1155">
        <v>4</v>
      </c>
      <c r="N1155" t="s">
        <v>662</v>
      </c>
      <c r="O1155" s="3" t="str">
        <f>TEXT(Ticket_Table[[#This Row],[raised_date]],"YYYY-MM")</f>
        <v>2021-12</v>
      </c>
      <c r="P1155" s="3" t="str">
        <f>IF(Ticket_Table[[#This Row],[resolution_hrs]]&lt;=4,"Fast",IF(Ticket_Table[[#This Row],[resolution_hrs]]&lt;=24,"Normal",IF(Ticket_Table[[#This Row],[resolution_hrs]]&lt;=48,"Slow","Very Slow")))</f>
        <v>Fast</v>
      </c>
      <c r="Q1155" s="3">
        <f>YEAR(Ticket_Table[[#This Row],[raised_date]])</f>
        <v>2021</v>
      </c>
    </row>
    <row r="1156" spans="1:17">
      <c r="A1156" t="s">
        <v>1712</v>
      </c>
      <c r="B1156" t="s">
        <v>325</v>
      </c>
      <c r="C1156" t="s">
        <v>117</v>
      </c>
      <c r="D1156" t="s">
        <v>43</v>
      </c>
      <c r="E1156" t="s">
        <v>30</v>
      </c>
      <c r="F1156" t="s">
        <v>70</v>
      </c>
      <c r="G1156" t="s">
        <v>31</v>
      </c>
      <c r="H1156" s="1">
        <v>45052</v>
      </c>
      <c r="I1156" s="2">
        <v>45054.0583333333</v>
      </c>
      <c r="J1156">
        <v>49.4</v>
      </c>
      <c r="K1156" t="s">
        <v>32</v>
      </c>
      <c r="L1156">
        <v>1</v>
      </c>
      <c r="M1156">
        <v>3</v>
      </c>
      <c r="N1156" t="s">
        <v>426</v>
      </c>
      <c r="O1156" s="3" t="str">
        <f>TEXT(Ticket_Table[[#This Row],[raised_date]],"YYYY-MM")</f>
        <v>2023-05</v>
      </c>
      <c r="P115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56" s="3">
        <f>YEAR(Ticket_Table[[#This Row],[raised_date]])</f>
        <v>2023</v>
      </c>
    </row>
    <row r="1157" spans="1:17">
      <c r="A1157" t="s">
        <v>1713</v>
      </c>
      <c r="B1157" t="s">
        <v>496</v>
      </c>
      <c r="C1157" t="s">
        <v>60</v>
      </c>
      <c r="D1157" t="s">
        <v>20</v>
      </c>
      <c r="E1157" t="s">
        <v>37</v>
      </c>
      <c r="F1157" t="s">
        <v>70</v>
      </c>
      <c r="G1157" t="s">
        <v>91</v>
      </c>
      <c r="H1157" s="1">
        <v>44557</v>
      </c>
      <c r="I1157" s="2">
        <v>44559.0541666667</v>
      </c>
      <c r="J1157">
        <v>49.3</v>
      </c>
      <c r="K1157" t="s">
        <v>32</v>
      </c>
      <c r="L1157">
        <v>2</v>
      </c>
      <c r="M1157">
        <v>3</v>
      </c>
      <c r="N1157" t="s">
        <v>318</v>
      </c>
      <c r="O1157" s="3" t="str">
        <f>TEXT(Ticket_Table[[#This Row],[raised_date]],"YYYY-MM")</f>
        <v>2021-12</v>
      </c>
      <c r="P1157" s="3" t="str">
        <f>IF(Ticket_Table[[#This Row],[resolution_hrs]]&lt;=4,"Fast",IF(Ticket_Table[[#This Row],[resolution_hrs]]&lt;=24,"Normal",IF(Ticket_Table[[#This Row],[resolution_hrs]]&lt;=48,"Slow","Very Slow")))</f>
        <v>Very Slow</v>
      </c>
      <c r="Q1157" s="3">
        <f>YEAR(Ticket_Table[[#This Row],[raised_date]])</f>
        <v>2021</v>
      </c>
    </row>
    <row r="1158" spans="1:17">
      <c r="A1158" t="s">
        <v>1714</v>
      </c>
      <c r="B1158" t="s">
        <v>772</v>
      </c>
      <c r="C1158" t="s">
        <v>78</v>
      </c>
      <c r="D1158" t="s">
        <v>36</v>
      </c>
      <c r="E1158" t="s">
        <v>44</v>
      </c>
      <c r="F1158" t="s">
        <v>22</v>
      </c>
      <c r="G1158" t="s">
        <v>74</v>
      </c>
      <c r="H1158" s="1">
        <v>44271</v>
      </c>
      <c r="I1158" s="2">
        <v>44272.8</v>
      </c>
      <c r="J1158">
        <v>43.2</v>
      </c>
      <c r="K1158" t="s">
        <v>24</v>
      </c>
      <c r="L1158">
        <v>0</v>
      </c>
      <c r="M1158">
        <v>3</v>
      </c>
      <c r="N1158" t="s">
        <v>452</v>
      </c>
      <c r="O1158" s="3" t="str">
        <f>TEXT(Ticket_Table[[#This Row],[raised_date]],"YYYY-MM")</f>
        <v>2021-03</v>
      </c>
      <c r="P1158" s="3" t="str">
        <f>IF(Ticket_Table[[#This Row],[resolution_hrs]]&lt;=4,"Fast",IF(Ticket_Table[[#This Row],[resolution_hrs]]&lt;=24,"Normal",IF(Ticket_Table[[#This Row],[resolution_hrs]]&lt;=48,"Slow","Very Slow")))</f>
        <v>Slow</v>
      </c>
      <c r="Q1158" s="3">
        <f>YEAR(Ticket_Table[[#This Row],[raised_date]])</f>
        <v>2021</v>
      </c>
    </row>
    <row r="1159" spans="1:17">
      <c r="A1159" t="s">
        <v>1715</v>
      </c>
      <c r="B1159" t="s">
        <v>209</v>
      </c>
      <c r="C1159" t="s">
        <v>82</v>
      </c>
      <c r="D1159" t="s">
        <v>29</v>
      </c>
      <c r="E1159" t="s">
        <v>51</v>
      </c>
      <c r="F1159" t="s">
        <v>70</v>
      </c>
      <c r="G1159" t="s">
        <v>23</v>
      </c>
      <c r="H1159" s="1">
        <v>45010</v>
      </c>
      <c r="I1159" s="2">
        <v>45011.7875</v>
      </c>
      <c r="J1159">
        <v>42.9</v>
      </c>
      <c r="K1159" t="s">
        <v>24</v>
      </c>
      <c r="L1159">
        <v>1</v>
      </c>
      <c r="M1159">
        <v>4</v>
      </c>
      <c r="N1159" t="s">
        <v>778</v>
      </c>
      <c r="O1159" s="3" t="str">
        <f>TEXT(Ticket_Table[[#This Row],[raised_date]],"YYYY-MM")</f>
        <v>2023-03</v>
      </c>
      <c r="P1159" s="3" t="str">
        <f>IF(Ticket_Table[[#This Row],[resolution_hrs]]&lt;=4,"Fast",IF(Ticket_Table[[#This Row],[resolution_hrs]]&lt;=24,"Normal",IF(Ticket_Table[[#This Row],[resolution_hrs]]&lt;=48,"Slow","Very Slow")))</f>
        <v>Slow</v>
      </c>
      <c r="Q1159" s="3">
        <f>YEAR(Ticket_Table[[#This Row],[raised_date]])</f>
        <v>2023</v>
      </c>
    </row>
    <row r="1160" spans="1:17">
      <c r="A1160" t="s">
        <v>1716</v>
      </c>
      <c r="B1160" t="s">
        <v>1050</v>
      </c>
      <c r="C1160" t="s">
        <v>213</v>
      </c>
      <c r="D1160" t="s">
        <v>20</v>
      </c>
      <c r="E1160" t="s">
        <v>69</v>
      </c>
      <c r="F1160" t="s">
        <v>22</v>
      </c>
      <c r="G1160" t="s">
        <v>46</v>
      </c>
      <c r="H1160" s="1">
        <v>45211</v>
      </c>
      <c r="I1160" s="2">
        <v>45215.2833333333</v>
      </c>
      <c r="J1160">
        <v>102.8</v>
      </c>
      <c r="K1160" t="s">
        <v>32</v>
      </c>
      <c r="L1160">
        <v>0</v>
      </c>
      <c r="M1160">
        <v>4</v>
      </c>
      <c r="N1160" t="s">
        <v>367</v>
      </c>
      <c r="O1160" s="3" t="str">
        <f>TEXT(Ticket_Table[[#This Row],[raised_date]],"YYYY-MM")</f>
        <v>2023-10</v>
      </c>
      <c r="P1160" s="3" t="str">
        <f>IF(Ticket_Table[[#This Row],[resolution_hrs]]&lt;=4,"Fast",IF(Ticket_Table[[#This Row],[resolution_hrs]]&lt;=24,"Normal",IF(Ticket_Table[[#This Row],[resolution_hrs]]&lt;=48,"Slow","Very Slow")))</f>
        <v>Very Slow</v>
      </c>
      <c r="Q1160" s="3">
        <f>YEAR(Ticket_Table[[#This Row],[raised_date]])</f>
        <v>2023</v>
      </c>
    </row>
    <row r="1161" spans="1:17">
      <c r="A1161" t="s">
        <v>1717</v>
      </c>
      <c r="B1161" t="s">
        <v>409</v>
      </c>
      <c r="C1161" t="s">
        <v>78</v>
      </c>
      <c r="D1161" t="s">
        <v>43</v>
      </c>
      <c r="E1161" t="s">
        <v>30</v>
      </c>
      <c r="F1161" t="s">
        <v>38</v>
      </c>
      <c r="G1161" t="s">
        <v>31</v>
      </c>
      <c r="H1161" s="1">
        <v>44578</v>
      </c>
      <c r="I1161" s="2">
        <v>44579.2625</v>
      </c>
      <c r="J1161">
        <v>30.3</v>
      </c>
      <c r="K1161" t="s">
        <v>32</v>
      </c>
      <c r="L1161">
        <v>0</v>
      </c>
      <c r="M1161">
        <v>4</v>
      </c>
      <c r="N1161" t="s">
        <v>552</v>
      </c>
      <c r="O1161" s="3" t="str">
        <f>TEXT(Ticket_Table[[#This Row],[raised_date]],"YYYY-MM")</f>
        <v>2022-01</v>
      </c>
      <c r="P1161" s="3" t="str">
        <f>IF(Ticket_Table[[#This Row],[resolution_hrs]]&lt;=4,"Fast",IF(Ticket_Table[[#This Row],[resolution_hrs]]&lt;=24,"Normal",IF(Ticket_Table[[#This Row],[resolution_hrs]]&lt;=48,"Slow","Very Slow")))</f>
        <v>Slow</v>
      </c>
      <c r="Q1161" s="3">
        <f>YEAR(Ticket_Table[[#This Row],[raised_date]])</f>
        <v>2022</v>
      </c>
    </row>
    <row r="1162" spans="1:17">
      <c r="A1162" t="s">
        <v>1718</v>
      </c>
      <c r="B1162" t="s">
        <v>512</v>
      </c>
      <c r="C1162" t="s">
        <v>60</v>
      </c>
      <c r="D1162" t="s">
        <v>90</v>
      </c>
      <c r="E1162" t="s">
        <v>56</v>
      </c>
      <c r="F1162" t="s">
        <v>45</v>
      </c>
      <c r="G1162" t="s">
        <v>23</v>
      </c>
      <c r="H1162" s="1">
        <v>44789</v>
      </c>
      <c r="I1162" s="2">
        <v>44789.075</v>
      </c>
      <c r="J1162">
        <v>1.8</v>
      </c>
      <c r="K1162" t="s">
        <v>24</v>
      </c>
      <c r="L1162">
        <v>0</v>
      </c>
      <c r="M1162">
        <v>1</v>
      </c>
      <c r="N1162" t="s">
        <v>610</v>
      </c>
      <c r="O1162" s="3" t="str">
        <f>TEXT(Ticket_Table[[#This Row],[raised_date]],"YYYY-MM")</f>
        <v>2022-08</v>
      </c>
      <c r="P1162" s="3" t="str">
        <f>IF(Ticket_Table[[#This Row],[resolution_hrs]]&lt;=4,"Fast",IF(Ticket_Table[[#This Row],[resolution_hrs]]&lt;=24,"Normal",IF(Ticket_Table[[#This Row],[resolution_hrs]]&lt;=48,"Slow","Very Slow")))</f>
        <v>Fast</v>
      </c>
      <c r="Q1162" s="3">
        <f>YEAR(Ticket_Table[[#This Row],[raised_date]])</f>
        <v>2022</v>
      </c>
    </row>
    <row r="1163" spans="1:17">
      <c r="A1163" t="s">
        <v>1719</v>
      </c>
      <c r="B1163" t="s">
        <v>107</v>
      </c>
      <c r="C1163" t="s">
        <v>287</v>
      </c>
      <c r="D1163" t="s">
        <v>29</v>
      </c>
      <c r="E1163" t="s">
        <v>30</v>
      </c>
      <c r="F1163" t="s">
        <v>45</v>
      </c>
      <c r="G1163" t="s">
        <v>23</v>
      </c>
      <c r="H1163" s="1">
        <v>44273</v>
      </c>
      <c r="I1163" s="2">
        <v>44273.0583333333</v>
      </c>
      <c r="J1163">
        <v>1.4</v>
      </c>
      <c r="K1163" t="s">
        <v>24</v>
      </c>
      <c r="L1163">
        <v>0</v>
      </c>
      <c r="M1163">
        <v>2</v>
      </c>
      <c r="N1163" t="s">
        <v>968</v>
      </c>
      <c r="O1163" s="3" t="str">
        <f>TEXT(Ticket_Table[[#This Row],[raised_date]],"YYYY-MM")</f>
        <v>2021-03</v>
      </c>
      <c r="P1163" s="3" t="str">
        <f>IF(Ticket_Table[[#This Row],[resolution_hrs]]&lt;=4,"Fast",IF(Ticket_Table[[#This Row],[resolution_hrs]]&lt;=24,"Normal",IF(Ticket_Table[[#This Row],[resolution_hrs]]&lt;=48,"Slow","Very Slow")))</f>
        <v>Fast</v>
      </c>
      <c r="Q1163" s="3">
        <f>YEAR(Ticket_Table[[#This Row],[raised_date]])</f>
        <v>2021</v>
      </c>
    </row>
    <row r="1164" spans="1:17">
      <c r="A1164" t="s">
        <v>1720</v>
      </c>
      <c r="B1164" t="s">
        <v>286</v>
      </c>
      <c r="C1164" t="s">
        <v>213</v>
      </c>
      <c r="D1164" t="s">
        <v>43</v>
      </c>
      <c r="E1164" t="s">
        <v>44</v>
      </c>
      <c r="F1164" t="s">
        <v>38</v>
      </c>
      <c r="G1164" t="s">
        <v>23</v>
      </c>
      <c r="H1164" s="1">
        <v>44215</v>
      </c>
      <c r="I1164" s="2">
        <v>44216.2541666667</v>
      </c>
      <c r="J1164">
        <v>30.1</v>
      </c>
      <c r="K1164" t="s">
        <v>32</v>
      </c>
      <c r="L1164">
        <v>0</v>
      </c>
      <c r="M1164">
        <v>5</v>
      </c>
      <c r="N1164" t="s">
        <v>405</v>
      </c>
      <c r="O1164" s="3" t="str">
        <f>TEXT(Ticket_Table[[#This Row],[raised_date]],"YYYY-MM")</f>
        <v>2021-01</v>
      </c>
      <c r="P1164" s="3" t="str">
        <f>IF(Ticket_Table[[#This Row],[resolution_hrs]]&lt;=4,"Fast",IF(Ticket_Table[[#This Row],[resolution_hrs]]&lt;=24,"Normal",IF(Ticket_Table[[#This Row],[resolution_hrs]]&lt;=48,"Slow","Very Slow")))</f>
        <v>Slow</v>
      </c>
      <c r="Q1164" s="3">
        <f>YEAR(Ticket_Table[[#This Row],[raised_date]])</f>
        <v>2021</v>
      </c>
    </row>
    <row r="1165" spans="1:17">
      <c r="A1165" t="s">
        <v>1721</v>
      </c>
      <c r="B1165" t="s">
        <v>937</v>
      </c>
      <c r="C1165" t="s">
        <v>64</v>
      </c>
      <c r="D1165" t="s">
        <v>29</v>
      </c>
      <c r="E1165" t="s">
        <v>106</v>
      </c>
      <c r="F1165" t="s">
        <v>70</v>
      </c>
      <c r="G1165" t="s">
        <v>31</v>
      </c>
      <c r="H1165" s="1">
        <v>44808</v>
      </c>
      <c r="I1165" s="2">
        <v>44809.9916666667</v>
      </c>
      <c r="J1165">
        <v>47.8</v>
      </c>
      <c r="K1165" t="s">
        <v>24</v>
      </c>
      <c r="L1165">
        <v>0</v>
      </c>
      <c r="M1165">
        <v>5</v>
      </c>
      <c r="N1165" t="s">
        <v>605</v>
      </c>
      <c r="O1165" s="3" t="str">
        <f>TEXT(Ticket_Table[[#This Row],[raised_date]],"YYYY-MM")</f>
        <v>2022-09</v>
      </c>
      <c r="P1165" s="3" t="str">
        <f>IF(Ticket_Table[[#This Row],[resolution_hrs]]&lt;=4,"Fast",IF(Ticket_Table[[#This Row],[resolution_hrs]]&lt;=24,"Normal",IF(Ticket_Table[[#This Row],[resolution_hrs]]&lt;=48,"Slow","Very Slow")))</f>
        <v>Slow</v>
      </c>
      <c r="Q1165" s="3">
        <f>YEAR(Ticket_Table[[#This Row],[raised_date]])</f>
        <v>2022</v>
      </c>
    </row>
    <row r="1166" spans="1:17">
      <c r="A1166" t="s">
        <v>1722</v>
      </c>
      <c r="B1166" t="s">
        <v>737</v>
      </c>
      <c r="C1166" t="s">
        <v>78</v>
      </c>
      <c r="D1166" t="s">
        <v>43</v>
      </c>
      <c r="E1166" t="s">
        <v>44</v>
      </c>
      <c r="F1166" t="s">
        <v>38</v>
      </c>
      <c r="G1166" t="s">
        <v>23</v>
      </c>
      <c r="H1166" s="1">
        <v>44416</v>
      </c>
      <c r="I1166" s="2">
        <v>44416.7041666667</v>
      </c>
      <c r="J1166">
        <v>16.9</v>
      </c>
      <c r="K1166" t="s">
        <v>24</v>
      </c>
      <c r="L1166">
        <v>0</v>
      </c>
      <c r="M1166">
        <v>4</v>
      </c>
      <c r="N1166" t="s">
        <v>1154</v>
      </c>
      <c r="O1166" s="3" t="str">
        <f>TEXT(Ticket_Table[[#This Row],[raised_date]],"YYYY-MM")</f>
        <v>2021-08</v>
      </c>
      <c r="P1166" s="3" t="str">
        <f>IF(Ticket_Table[[#This Row],[resolution_hrs]]&lt;=4,"Fast",IF(Ticket_Table[[#This Row],[resolution_hrs]]&lt;=24,"Normal",IF(Ticket_Table[[#This Row],[resolution_hrs]]&lt;=48,"Slow","Very Slow")))</f>
        <v>Normal</v>
      </c>
      <c r="Q1166" s="3">
        <f>YEAR(Ticket_Table[[#This Row],[raised_date]])</f>
        <v>2021</v>
      </c>
    </row>
    <row r="1167" spans="1:17">
      <c r="A1167" t="s">
        <v>1723</v>
      </c>
      <c r="B1167" t="s">
        <v>1297</v>
      </c>
      <c r="C1167" t="s">
        <v>42</v>
      </c>
      <c r="D1167" t="s">
        <v>36</v>
      </c>
      <c r="E1167" t="s">
        <v>166</v>
      </c>
      <c r="F1167" t="s">
        <v>22</v>
      </c>
      <c r="G1167" t="s">
        <v>46</v>
      </c>
      <c r="H1167" s="1">
        <v>44883</v>
      </c>
      <c r="I1167" s="2">
        <v>44887.3</v>
      </c>
      <c r="J1167">
        <v>103.2</v>
      </c>
      <c r="K1167" t="s">
        <v>32</v>
      </c>
      <c r="L1167">
        <v>0</v>
      </c>
      <c r="M1167">
        <v>3</v>
      </c>
      <c r="N1167" t="s">
        <v>339</v>
      </c>
      <c r="O1167" s="3" t="str">
        <f>TEXT(Ticket_Table[[#This Row],[raised_date]],"YYYY-MM")</f>
        <v>2022-11</v>
      </c>
      <c r="P1167" s="3" t="str">
        <f>IF(Ticket_Table[[#This Row],[resolution_hrs]]&lt;=4,"Fast",IF(Ticket_Table[[#This Row],[resolution_hrs]]&lt;=24,"Normal",IF(Ticket_Table[[#This Row],[resolution_hrs]]&lt;=48,"Slow","Very Slow")))</f>
        <v>Very Slow</v>
      </c>
      <c r="Q1167" s="3">
        <f>YEAR(Ticket_Table[[#This Row],[raised_date]])</f>
        <v>2022</v>
      </c>
    </row>
    <row r="1168" spans="1:17">
      <c r="A1168" t="s">
        <v>1724</v>
      </c>
      <c r="B1168" t="s">
        <v>1348</v>
      </c>
      <c r="C1168" t="s">
        <v>95</v>
      </c>
      <c r="D1168" t="s">
        <v>90</v>
      </c>
      <c r="E1168" t="s">
        <v>106</v>
      </c>
      <c r="F1168" t="s">
        <v>70</v>
      </c>
      <c r="G1168" t="s">
        <v>74</v>
      </c>
      <c r="H1168" s="1">
        <v>44779</v>
      </c>
      <c r="I1168" s="2">
        <v>44780.8</v>
      </c>
      <c r="J1168">
        <v>43.2</v>
      </c>
      <c r="K1168" t="s">
        <v>24</v>
      </c>
      <c r="L1168">
        <v>0</v>
      </c>
      <c r="M1168">
        <v>5</v>
      </c>
      <c r="N1168" t="s">
        <v>99</v>
      </c>
      <c r="O1168" s="3" t="str">
        <f>TEXT(Ticket_Table[[#This Row],[raised_date]],"YYYY-MM")</f>
        <v>2022-08</v>
      </c>
      <c r="P1168" s="3" t="str">
        <f>IF(Ticket_Table[[#This Row],[resolution_hrs]]&lt;=4,"Fast",IF(Ticket_Table[[#This Row],[resolution_hrs]]&lt;=24,"Normal",IF(Ticket_Table[[#This Row],[resolution_hrs]]&lt;=48,"Slow","Very Slow")))</f>
        <v>Slow</v>
      </c>
      <c r="Q1168" s="3">
        <f>YEAR(Ticket_Table[[#This Row],[raised_date]])</f>
        <v>2022</v>
      </c>
    </row>
    <row r="1169" spans="1:17">
      <c r="A1169" t="s">
        <v>1725</v>
      </c>
      <c r="B1169" t="s">
        <v>358</v>
      </c>
      <c r="C1169" t="s">
        <v>82</v>
      </c>
      <c r="D1169" t="s">
        <v>36</v>
      </c>
      <c r="E1169" t="s">
        <v>44</v>
      </c>
      <c r="F1169" t="s">
        <v>70</v>
      </c>
      <c r="G1169" t="s">
        <v>23</v>
      </c>
      <c r="H1169" s="1">
        <v>45127</v>
      </c>
      <c r="I1169" s="2">
        <v>45127.0583333333</v>
      </c>
      <c r="J1169">
        <v>1.4</v>
      </c>
      <c r="K1169" t="s">
        <v>24</v>
      </c>
      <c r="L1169">
        <v>0</v>
      </c>
      <c r="M1169">
        <v>3</v>
      </c>
      <c r="N1169" t="s">
        <v>1180</v>
      </c>
      <c r="O1169" s="3" t="str">
        <f>TEXT(Ticket_Table[[#This Row],[raised_date]],"YYYY-MM")</f>
        <v>2023-07</v>
      </c>
      <c r="P1169" s="3" t="str">
        <f>IF(Ticket_Table[[#This Row],[resolution_hrs]]&lt;=4,"Fast",IF(Ticket_Table[[#This Row],[resolution_hrs]]&lt;=24,"Normal",IF(Ticket_Table[[#This Row],[resolution_hrs]]&lt;=48,"Slow","Very Slow")))</f>
        <v>Fast</v>
      </c>
      <c r="Q1169" s="3">
        <f>YEAR(Ticket_Table[[#This Row],[raised_date]])</f>
        <v>2023</v>
      </c>
    </row>
    <row r="1170" spans="1:17">
      <c r="A1170" t="s">
        <v>1726</v>
      </c>
      <c r="B1170" t="s">
        <v>740</v>
      </c>
      <c r="C1170" t="s">
        <v>55</v>
      </c>
      <c r="D1170" t="s">
        <v>43</v>
      </c>
      <c r="E1170" t="s">
        <v>37</v>
      </c>
      <c r="F1170" t="s">
        <v>70</v>
      </c>
      <c r="G1170" t="s">
        <v>31</v>
      </c>
      <c r="H1170" s="1">
        <v>45270</v>
      </c>
      <c r="I1170" s="2">
        <v>45272.9125</v>
      </c>
      <c r="J1170">
        <v>69.9</v>
      </c>
      <c r="K1170" t="s">
        <v>32</v>
      </c>
      <c r="L1170">
        <v>0</v>
      </c>
      <c r="M1170">
        <v>4</v>
      </c>
      <c r="N1170" t="s">
        <v>796</v>
      </c>
      <c r="O1170" s="3" t="str">
        <f>TEXT(Ticket_Table[[#This Row],[raised_date]],"YYYY-MM")</f>
        <v>2023-12</v>
      </c>
      <c r="P1170" s="3" t="str">
        <f>IF(Ticket_Table[[#This Row],[resolution_hrs]]&lt;=4,"Fast",IF(Ticket_Table[[#This Row],[resolution_hrs]]&lt;=24,"Normal",IF(Ticket_Table[[#This Row],[resolution_hrs]]&lt;=48,"Slow","Very Slow")))</f>
        <v>Very Slow</v>
      </c>
      <c r="Q1170" s="3">
        <f>YEAR(Ticket_Table[[#This Row],[raised_date]])</f>
        <v>2023</v>
      </c>
    </row>
    <row r="1171" spans="1:17">
      <c r="A1171" t="s">
        <v>1727</v>
      </c>
      <c r="B1171" t="s">
        <v>454</v>
      </c>
      <c r="C1171" t="s">
        <v>175</v>
      </c>
      <c r="D1171" t="s">
        <v>20</v>
      </c>
      <c r="E1171" t="s">
        <v>69</v>
      </c>
      <c r="F1171" t="s">
        <v>38</v>
      </c>
      <c r="G1171" t="s">
        <v>23</v>
      </c>
      <c r="H1171" s="1">
        <v>45208</v>
      </c>
      <c r="I1171" s="2">
        <v>45209</v>
      </c>
      <c r="J1171">
        <v>24</v>
      </c>
      <c r="K1171" t="s">
        <v>24</v>
      </c>
      <c r="L1171">
        <v>1</v>
      </c>
      <c r="M1171">
        <v>2</v>
      </c>
      <c r="N1171" t="s">
        <v>1064</v>
      </c>
      <c r="O1171" s="3" t="str">
        <f>TEXT(Ticket_Table[[#This Row],[raised_date]],"YYYY-MM")</f>
        <v>2023-10</v>
      </c>
      <c r="P1171" s="3" t="str">
        <f>IF(Ticket_Table[[#This Row],[resolution_hrs]]&lt;=4,"Fast",IF(Ticket_Table[[#This Row],[resolution_hrs]]&lt;=24,"Normal",IF(Ticket_Table[[#This Row],[resolution_hrs]]&lt;=48,"Slow","Very Slow")))</f>
        <v>Normal</v>
      </c>
      <c r="Q1171" s="3">
        <f>YEAR(Ticket_Table[[#This Row],[raised_date]])</f>
        <v>2023</v>
      </c>
    </row>
    <row r="1172" spans="1:17">
      <c r="A1172" t="s">
        <v>1728</v>
      </c>
      <c r="B1172" t="s">
        <v>84</v>
      </c>
      <c r="C1172" t="s">
        <v>78</v>
      </c>
      <c r="D1172" t="s">
        <v>36</v>
      </c>
      <c r="E1172" t="s">
        <v>44</v>
      </c>
      <c r="F1172" t="s">
        <v>22</v>
      </c>
      <c r="G1172" t="s">
        <v>46</v>
      </c>
      <c r="H1172" s="1">
        <v>44471</v>
      </c>
      <c r="I1172" s="2">
        <v>44475.2791666667</v>
      </c>
      <c r="J1172">
        <v>102.7</v>
      </c>
      <c r="K1172" t="s">
        <v>32</v>
      </c>
      <c r="L1172">
        <v>0</v>
      </c>
      <c r="M1172">
        <v>4</v>
      </c>
      <c r="N1172" t="s">
        <v>518</v>
      </c>
      <c r="O1172" s="3" t="str">
        <f>TEXT(Ticket_Table[[#This Row],[raised_date]],"YYYY-MM")</f>
        <v>2021-10</v>
      </c>
      <c r="P1172" s="3" t="str">
        <f>IF(Ticket_Table[[#This Row],[resolution_hrs]]&lt;=4,"Fast",IF(Ticket_Table[[#This Row],[resolution_hrs]]&lt;=24,"Normal",IF(Ticket_Table[[#This Row],[resolution_hrs]]&lt;=48,"Slow","Very Slow")))</f>
        <v>Very Slow</v>
      </c>
      <c r="Q1172" s="3">
        <f>YEAR(Ticket_Table[[#This Row],[raised_date]])</f>
        <v>2021</v>
      </c>
    </row>
    <row r="1173" spans="1:17">
      <c r="A1173" t="s">
        <v>1729</v>
      </c>
      <c r="B1173" t="s">
        <v>240</v>
      </c>
      <c r="C1173" t="s">
        <v>140</v>
      </c>
      <c r="D1173" t="s">
        <v>20</v>
      </c>
      <c r="E1173" t="s">
        <v>37</v>
      </c>
      <c r="F1173" t="s">
        <v>70</v>
      </c>
      <c r="G1173" t="s">
        <v>31</v>
      </c>
      <c r="H1173" s="1">
        <v>45229</v>
      </c>
      <c r="I1173" s="2">
        <v>45230.0041666667</v>
      </c>
      <c r="J1173">
        <v>24.1</v>
      </c>
      <c r="K1173" t="s">
        <v>24</v>
      </c>
      <c r="L1173">
        <v>0</v>
      </c>
      <c r="M1173">
        <v>4</v>
      </c>
      <c r="N1173" t="s">
        <v>906</v>
      </c>
      <c r="O1173" s="3" t="str">
        <f>TEXT(Ticket_Table[[#This Row],[raised_date]],"YYYY-MM")</f>
        <v>2023-10</v>
      </c>
      <c r="P1173" s="3" t="str">
        <f>IF(Ticket_Table[[#This Row],[resolution_hrs]]&lt;=4,"Fast",IF(Ticket_Table[[#This Row],[resolution_hrs]]&lt;=24,"Normal",IF(Ticket_Table[[#This Row],[resolution_hrs]]&lt;=48,"Slow","Very Slow")))</f>
        <v>Slow</v>
      </c>
      <c r="Q1173" s="3">
        <f>YEAR(Ticket_Table[[#This Row],[raised_date]])</f>
        <v>2023</v>
      </c>
    </row>
    <row r="1174" spans="1:17">
      <c r="A1174" t="s">
        <v>1730</v>
      </c>
      <c r="B1174" t="s">
        <v>712</v>
      </c>
      <c r="C1174" t="s">
        <v>60</v>
      </c>
      <c r="D1174" t="s">
        <v>43</v>
      </c>
      <c r="E1174" t="s">
        <v>56</v>
      </c>
      <c r="F1174" t="s">
        <v>45</v>
      </c>
      <c r="G1174" t="s">
        <v>46</v>
      </c>
      <c r="H1174" s="1">
        <v>45155</v>
      </c>
      <c r="I1174" s="2">
        <v>45155.1958333333</v>
      </c>
      <c r="J1174">
        <v>4.7</v>
      </c>
      <c r="K1174" t="s">
        <v>32</v>
      </c>
      <c r="L1174">
        <v>2</v>
      </c>
      <c r="M1174">
        <v>5</v>
      </c>
      <c r="N1174" t="s">
        <v>438</v>
      </c>
      <c r="O1174" s="3" t="str">
        <f>TEXT(Ticket_Table[[#This Row],[raised_date]],"YYYY-MM")</f>
        <v>2023-08</v>
      </c>
      <c r="P1174" s="3" t="str">
        <f>IF(Ticket_Table[[#This Row],[resolution_hrs]]&lt;=4,"Fast",IF(Ticket_Table[[#This Row],[resolution_hrs]]&lt;=24,"Normal",IF(Ticket_Table[[#This Row],[resolution_hrs]]&lt;=48,"Slow","Very Slow")))</f>
        <v>Normal</v>
      </c>
      <c r="Q1174" s="3">
        <f>YEAR(Ticket_Table[[#This Row],[raised_date]])</f>
        <v>2023</v>
      </c>
    </row>
    <row r="1175" spans="1:17">
      <c r="A1175" t="s">
        <v>1731</v>
      </c>
      <c r="B1175" t="s">
        <v>1136</v>
      </c>
      <c r="C1175" t="s">
        <v>102</v>
      </c>
      <c r="D1175" t="s">
        <v>90</v>
      </c>
      <c r="E1175" t="s">
        <v>166</v>
      </c>
      <c r="F1175" t="s">
        <v>22</v>
      </c>
      <c r="G1175" t="s">
        <v>74</v>
      </c>
      <c r="H1175" s="1">
        <v>44755</v>
      </c>
      <c r="I1175" s="2">
        <v>44758.3166666667</v>
      </c>
      <c r="J1175">
        <v>79.6</v>
      </c>
      <c r="K1175" t="s">
        <v>32</v>
      </c>
      <c r="L1175">
        <v>0</v>
      </c>
      <c r="M1175">
        <v>4</v>
      </c>
      <c r="N1175" t="s">
        <v>796</v>
      </c>
      <c r="O1175" s="3" t="str">
        <f>TEXT(Ticket_Table[[#This Row],[raised_date]],"YYYY-MM")</f>
        <v>2022-07</v>
      </c>
      <c r="P1175" s="3" t="str">
        <f>IF(Ticket_Table[[#This Row],[resolution_hrs]]&lt;=4,"Fast",IF(Ticket_Table[[#This Row],[resolution_hrs]]&lt;=24,"Normal",IF(Ticket_Table[[#This Row],[resolution_hrs]]&lt;=48,"Slow","Very Slow")))</f>
        <v>Very Slow</v>
      </c>
      <c r="Q1175" s="3">
        <f>YEAR(Ticket_Table[[#This Row],[raised_date]])</f>
        <v>2022</v>
      </c>
    </row>
    <row r="1176" spans="1:17">
      <c r="A1176" t="s">
        <v>1732</v>
      </c>
      <c r="B1176" t="s">
        <v>701</v>
      </c>
      <c r="C1176" t="s">
        <v>50</v>
      </c>
      <c r="D1176" t="s">
        <v>20</v>
      </c>
      <c r="E1176" t="s">
        <v>51</v>
      </c>
      <c r="F1176" t="s">
        <v>70</v>
      </c>
      <c r="G1176" t="s">
        <v>31</v>
      </c>
      <c r="H1176" s="1">
        <v>44591</v>
      </c>
      <c r="I1176" s="2">
        <v>44593.875</v>
      </c>
      <c r="J1176">
        <v>69</v>
      </c>
      <c r="K1176" t="s">
        <v>32</v>
      </c>
      <c r="L1176">
        <v>1</v>
      </c>
      <c r="M1176">
        <v>5</v>
      </c>
      <c r="N1176" t="s">
        <v>1291</v>
      </c>
      <c r="O1176" s="3" t="str">
        <f>TEXT(Ticket_Table[[#This Row],[raised_date]],"YYYY-MM")</f>
        <v>2022-01</v>
      </c>
      <c r="P1176" s="3" t="str">
        <f>IF(Ticket_Table[[#This Row],[resolution_hrs]]&lt;=4,"Fast",IF(Ticket_Table[[#This Row],[resolution_hrs]]&lt;=24,"Normal",IF(Ticket_Table[[#This Row],[resolution_hrs]]&lt;=48,"Slow","Very Slow")))</f>
        <v>Very Slow</v>
      </c>
      <c r="Q1176" s="3">
        <f>YEAR(Ticket_Table[[#This Row],[raised_date]])</f>
        <v>2022</v>
      </c>
    </row>
    <row r="1177" spans="1:17">
      <c r="A1177" t="s">
        <v>1733</v>
      </c>
      <c r="B1177" t="s">
        <v>947</v>
      </c>
      <c r="C1177" t="s">
        <v>19</v>
      </c>
      <c r="D1177" t="s">
        <v>43</v>
      </c>
      <c r="E1177" t="s">
        <v>166</v>
      </c>
      <c r="F1177" t="s">
        <v>45</v>
      </c>
      <c r="G1177" t="s">
        <v>31</v>
      </c>
      <c r="H1177" s="1">
        <v>44427</v>
      </c>
      <c r="I1177" s="2">
        <v>44427.1583333333</v>
      </c>
      <c r="J1177">
        <v>3.8</v>
      </c>
      <c r="K1177" t="s">
        <v>24</v>
      </c>
      <c r="L1177">
        <v>0</v>
      </c>
      <c r="M1177">
        <v>4</v>
      </c>
      <c r="N1177" t="s">
        <v>1041</v>
      </c>
      <c r="O1177" s="3" t="str">
        <f>TEXT(Ticket_Table[[#This Row],[raised_date]],"YYYY-MM")</f>
        <v>2021-08</v>
      </c>
      <c r="P1177" s="3" t="str">
        <f>IF(Ticket_Table[[#This Row],[resolution_hrs]]&lt;=4,"Fast",IF(Ticket_Table[[#This Row],[resolution_hrs]]&lt;=24,"Normal",IF(Ticket_Table[[#This Row],[resolution_hrs]]&lt;=48,"Slow","Very Slow")))</f>
        <v>Fast</v>
      </c>
      <c r="Q1177" s="3">
        <f>YEAR(Ticket_Table[[#This Row],[raised_date]])</f>
        <v>2021</v>
      </c>
    </row>
    <row r="1178" spans="1:17">
      <c r="A1178" t="s">
        <v>1734</v>
      </c>
      <c r="B1178" t="s">
        <v>109</v>
      </c>
      <c r="C1178" t="s">
        <v>95</v>
      </c>
      <c r="D1178" t="s">
        <v>20</v>
      </c>
      <c r="E1178" t="s">
        <v>106</v>
      </c>
      <c r="F1178" t="s">
        <v>70</v>
      </c>
      <c r="G1178" t="s">
        <v>23</v>
      </c>
      <c r="H1178" s="1">
        <v>44874</v>
      </c>
      <c r="I1178" s="2">
        <v>44874.6666666667</v>
      </c>
      <c r="J1178">
        <v>16</v>
      </c>
      <c r="K1178" t="s">
        <v>24</v>
      </c>
      <c r="L1178">
        <v>2</v>
      </c>
      <c r="M1178">
        <v>4</v>
      </c>
      <c r="N1178" t="s">
        <v>493</v>
      </c>
      <c r="O1178" s="3" t="str">
        <f>TEXT(Ticket_Table[[#This Row],[raised_date]],"YYYY-MM")</f>
        <v>2022-11</v>
      </c>
      <c r="P1178" s="3" t="str">
        <f>IF(Ticket_Table[[#This Row],[resolution_hrs]]&lt;=4,"Fast",IF(Ticket_Table[[#This Row],[resolution_hrs]]&lt;=24,"Normal",IF(Ticket_Table[[#This Row],[resolution_hrs]]&lt;=48,"Slow","Very Slow")))</f>
        <v>Normal</v>
      </c>
      <c r="Q1178" s="3">
        <f>YEAR(Ticket_Table[[#This Row],[raised_date]])</f>
        <v>2022</v>
      </c>
    </row>
    <row r="1179" spans="1:17">
      <c r="A1179" t="s">
        <v>1735</v>
      </c>
      <c r="B1179" t="s">
        <v>428</v>
      </c>
      <c r="C1179" t="s">
        <v>175</v>
      </c>
      <c r="D1179" t="s">
        <v>36</v>
      </c>
      <c r="E1179" t="s">
        <v>69</v>
      </c>
      <c r="F1179" t="s">
        <v>70</v>
      </c>
      <c r="G1179" t="s">
        <v>31</v>
      </c>
      <c r="H1179" s="1">
        <v>44529</v>
      </c>
      <c r="I1179" s="2">
        <v>44529.1875</v>
      </c>
      <c r="J1179">
        <v>4.5</v>
      </c>
      <c r="K1179" t="s">
        <v>24</v>
      </c>
      <c r="L1179">
        <v>0</v>
      </c>
      <c r="M1179">
        <v>3</v>
      </c>
      <c r="N1179" t="s">
        <v>41</v>
      </c>
      <c r="O1179" s="3" t="str">
        <f>TEXT(Ticket_Table[[#This Row],[raised_date]],"YYYY-MM")</f>
        <v>2021-11</v>
      </c>
      <c r="P1179" s="3" t="str">
        <f>IF(Ticket_Table[[#This Row],[resolution_hrs]]&lt;=4,"Fast",IF(Ticket_Table[[#This Row],[resolution_hrs]]&lt;=24,"Normal",IF(Ticket_Table[[#This Row],[resolution_hrs]]&lt;=48,"Slow","Very Slow")))</f>
        <v>Normal</v>
      </c>
      <c r="Q1179" s="3">
        <f>YEAR(Ticket_Table[[#This Row],[raised_date]])</f>
        <v>2021</v>
      </c>
    </row>
    <row r="1180" spans="1:17">
      <c r="A1180" t="s">
        <v>1736</v>
      </c>
      <c r="B1180" t="s">
        <v>439</v>
      </c>
      <c r="C1180" t="s">
        <v>64</v>
      </c>
      <c r="D1180" t="s">
        <v>43</v>
      </c>
      <c r="E1180" t="s">
        <v>166</v>
      </c>
      <c r="F1180" t="s">
        <v>22</v>
      </c>
      <c r="G1180" t="s">
        <v>31</v>
      </c>
      <c r="H1180" s="1">
        <v>45136</v>
      </c>
      <c r="I1180" s="2">
        <v>45138.9125</v>
      </c>
      <c r="J1180">
        <v>69.9</v>
      </c>
      <c r="K1180" t="s">
        <v>24</v>
      </c>
      <c r="L1180">
        <v>1</v>
      </c>
      <c r="M1180">
        <v>1</v>
      </c>
      <c r="N1180" t="s">
        <v>529</v>
      </c>
      <c r="O1180" s="3" t="str">
        <f>TEXT(Ticket_Table[[#This Row],[raised_date]],"YYYY-MM")</f>
        <v>2023-07</v>
      </c>
      <c r="P1180" s="3" t="str">
        <f>IF(Ticket_Table[[#This Row],[resolution_hrs]]&lt;=4,"Fast",IF(Ticket_Table[[#This Row],[resolution_hrs]]&lt;=24,"Normal",IF(Ticket_Table[[#This Row],[resolution_hrs]]&lt;=48,"Slow","Very Slow")))</f>
        <v>Very Slow</v>
      </c>
      <c r="Q1180" s="3">
        <f>YEAR(Ticket_Table[[#This Row],[raised_date]])</f>
        <v>2023</v>
      </c>
    </row>
    <row r="1181" spans="1:17">
      <c r="A1181" t="s">
        <v>1737</v>
      </c>
      <c r="B1181" t="s">
        <v>767</v>
      </c>
      <c r="C1181" t="s">
        <v>133</v>
      </c>
      <c r="D1181" t="s">
        <v>36</v>
      </c>
      <c r="E1181" t="s">
        <v>30</v>
      </c>
      <c r="F1181" t="s">
        <v>70</v>
      </c>
      <c r="G1181" t="s">
        <v>74</v>
      </c>
      <c r="H1181" s="1">
        <v>44723</v>
      </c>
      <c r="I1181" s="2">
        <v>44723.9958333333</v>
      </c>
      <c r="J1181">
        <v>23.9</v>
      </c>
      <c r="K1181" t="s">
        <v>24</v>
      </c>
      <c r="L1181">
        <v>0</v>
      </c>
      <c r="M1181">
        <v>4</v>
      </c>
      <c r="N1181" t="s">
        <v>359</v>
      </c>
      <c r="O1181" s="3" t="str">
        <f>TEXT(Ticket_Table[[#This Row],[raised_date]],"YYYY-MM")</f>
        <v>2022-06</v>
      </c>
      <c r="P1181" s="3" t="str">
        <f>IF(Ticket_Table[[#This Row],[resolution_hrs]]&lt;=4,"Fast",IF(Ticket_Table[[#This Row],[resolution_hrs]]&lt;=24,"Normal",IF(Ticket_Table[[#This Row],[resolution_hrs]]&lt;=48,"Slow","Very Slow")))</f>
        <v>Normal</v>
      </c>
      <c r="Q1181" s="3">
        <f>YEAR(Ticket_Table[[#This Row],[raised_date]])</f>
        <v>2022</v>
      </c>
    </row>
    <row r="1182" spans="1:17">
      <c r="A1182" t="s">
        <v>1738</v>
      </c>
      <c r="B1182" t="s">
        <v>922</v>
      </c>
      <c r="C1182" t="s">
        <v>82</v>
      </c>
      <c r="D1182" t="s">
        <v>29</v>
      </c>
      <c r="E1182" t="s">
        <v>51</v>
      </c>
      <c r="F1182" t="s">
        <v>38</v>
      </c>
      <c r="G1182" t="s">
        <v>31</v>
      </c>
      <c r="H1182" s="1">
        <v>44578</v>
      </c>
      <c r="I1182" s="2">
        <v>44578.1208333333</v>
      </c>
      <c r="J1182">
        <v>2.9</v>
      </c>
      <c r="K1182" t="s">
        <v>24</v>
      </c>
      <c r="L1182">
        <v>2</v>
      </c>
      <c r="M1182">
        <v>5</v>
      </c>
      <c r="N1182" t="s">
        <v>1238</v>
      </c>
      <c r="O1182" s="3" t="str">
        <f>TEXT(Ticket_Table[[#This Row],[raised_date]],"YYYY-MM")</f>
        <v>2022-01</v>
      </c>
      <c r="P1182" s="3" t="str">
        <f>IF(Ticket_Table[[#This Row],[resolution_hrs]]&lt;=4,"Fast",IF(Ticket_Table[[#This Row],[resolution_hrs]]&lt;=24,"Normal",IF(Ticket_Table[[#This Row],[resolution_hrs]]&lt;=48,"Slow","Very Slow")))</f>
        <v>Fast</v>
      </c>
      <c r="Q1182" s="3">
        <f>YEAR(Ticket_Table[[#This Row],[raised_date]])</f>
        <v>2022</v>
      </c>
    </row>
    <row r="1183" spans="1:17">
      <c r="A1183" t="s">
        <v>1739</v>
      </c>
      <c r="B1183" t="s">
        <v>154</v>
      </c>
      <c r="C1183" t="s">
        <v>60</v>
      </c>
      <c r="D1183" t="s">
        <v>43</v>
      </c>
      <c r="E1183" t="s">
        <v>106</v>
      </c>
      <c r="F1183" t="s">
        <v>70</v>
      </c>
      <c r="G1183" t="s">
        <v>23</v>
      </c>
      <c r="H1183" s="1">
        <v>44225</v>
      </c>
      <c r="I1183" s="2">
        <v>44225.25</v>
      </c>
      <c r="J1183">
        <v>6</v>
      </c>
      <c r="K1183" t="s">
        <v>24</v>
      </c>
      <c r="L1183">
        <v>0</v>
      </c>
      <c r="M1183">
        <v>3</v>
      </c>
      <c r="N1183" t="s">
        <v>504</v>
      </c>
      <c r="O1183" s="3" t="str">
        <f>TEXT(Ticket_Table[[#This Row],[raised_date]],"YYYY-MM")</f>
        <v>2021-01</v>
      </c>
      <c r="P1183" s="3" t="str">
        <f>IF(Ticket_Table[[#This Row],[resolution_hrs]]&lt;=4,"Fast",IF(Ticket_Table[[#This Row],[resolution_hrs]]&lt;=24,"Normal",IF(Ticket_Table[[#This Row],[resolution_hrs]]&lt;=48,"Slow","Very Slow")))</f>
        <v>Normal</v>
      </c>
      <c r="Q1183" s="3">
        <f>YEAR(Ticket_Table[[#This Row],[raised_date]])</f>
        <v>2021</v>
      </c>
    </row>
    <row r="1184" spans="1:17">
      <c r="A1184" t="s">
        <v>1740</v>
      </c>
      <c r="B1184" t="s">
        <v>383</v>
      </c>
      <c r="C1184" t="s">
        <v>60</v>
      </c>
      <c r="D1184" t="s">
        <v>20</v>
      </c>
      <c r="E1184" t="s">
        <v>30</v>
      </c>
      <c r="F1184" t="s">
        <v>70</v>
      </c>
      <c r="G1184" t="s">
        <v>91</v>
      </c>
      <c r="H1184" s="1">
        <v>44887</v>
      </c>
      <c r="I1184" s="2">
        <v>44889.8583333333</v>
      </c>
      <c r="J1184">
        <v>68.6</v>
      </c>
      <c r="K1184" t="s">
        <v>32</v>
      </c>
      <c r="L1184">
        <v>0</v>
      </c>
      <c r="M1184">
        <v>1</v>
      </c>
      <c r="N1184" t="s">
        <v>581</v>
      </c>
      <c r="O1184" s="3" t="str">
        <f>TEXT(Ticket_Table[[#This Row],[raised_date]],"YYYY-MM")</f>
        <v>2022-11</v>
      </c>
      <c r="P1184" s="3" t="str">
        <f>IF(Ticket_Table[[#This Row],[resolution_hrs]]&lt;=4,"Fast",IF(Ticket_Table[[#This Row],[resolution_hrs]]&lt;=24,"Normal",IF(Ticket_Table[[#This Row],[resolution_hrs]]&lt;=48,"Slow","Very Slow")))</f>
        <v>Very Slow</v>
      </c>
      <c r="Q1184" s="3">
        <f>YEAR(Ticket_Table[[#This Row],[raised_date]])</f>
        <v>2022</v>
      </c>
    </row>
    <row r="1185" spans="1:17">
      <c r="A1185" t="s">
        <v>1741</v>
      </c>
      <c r="B1185" t="s">
        <v>696</v>
      </c>
      <c r="C1185" t="s">
        <v>50</v>
      </c>
      <c r="D1185" t="s">
        <v>29</v>
      </c>
      <c r="E1185" t="s">
        <v>106</v>
      </c>
      <c r="F1185" t="s">
        <v>22</v>
      </c>
      <c r="G1185" t="s">
        <v>91</v>
      </c>
      <c r="H1185" s="1">
        <v>44801</v>
      </c>
      <c r="I1185" s="2">
        <v>44802.7416666667</v>
      </c>
      <c r="J1185">
        <v>41.8</v>
      </c>
      <c r="K1185" t="s">
        <v>24</v>
      </c>
      <c r="L1185">
        <v>0</v>
      </c>
      <c r="M1185">
        <v>3</v>
      </c>
      <c r="N1185" t="s">
        <v>643</v>
      </c>
      <c r="O1185" s="3" t="str">
        <f>TEXT(Ticket_Table[[#This Row],[raised_date]],"YYYY-MM")</f>
        <v>2022-08</v>
      </c>
      <c r="P1185" s="3" t="str">
        <f>IF(Ticket_Table[[#This Row],[resolution_hrs]]&lt;=4,"Fast",IF(Ticket_Table[[#This Row],[resolution_hrs]]&lt;=24,"Normal",IF(Ticket_Table[[#This Row],[resolution_hrs]]&lt;=48,"Slow","Very Slow")))</f>
        <v>Slow</v>
      </c>
      <c r="Q1185" s="3">
        <f>YEAR(Ticket_Table[[#This Row],[raised_date]])</f>
        <v>2022</v>
      </c>
    </row>
    <row r="1186" spans="1:17">
      <c r="A1186" t="s">
        <v>1742</v>
      </c>
      <c r="B1186" t="s">
        <v>346</v>
      </c>
      <c r="C1186" t="s">
        <v>261</v>
      </c>
      <c r="D1186" t="s">
        <v>36</v>
      </c>
      <c r="E1186" t="s">
        <v>30</v>
      </c>
      <c r="F1186" t="s">
        <v>22</v>
      </c>
      <c r="G1186" t="s">
        <v>23</v>
      </c>
      <c r="H1186" s="1">
        <v>44592</v>
      </c>
      <c r="I1186" s="2">
        <v>44593.8208333333</v>
      </c>
      <c r="J1186">
        <v>43.7</v>
      </c>
      <c r="K1186" t="s">
        <v>24</v>
      </c>
      <c r="L1186">
        <v>2</v>
      </c>
      <c r="M1186">
        <v>5</v>
      </c>
      <c r="N1186" t="s">
        <v>701</v>
      </c>
      <c r="O1186" s="3" t="str">
        <f>TEXT(Ticket_Table[[#This Row],[raised_date]],"YYYY-MM")</f>
        <v>2022-01</v>
      </c>
      <c r="P1186" s="3" t="str">
        <f>IF(Ticket_Table[[#This Row],[resolution_hrs]]&lt;=4,"Fast",IF(Ticket_Table[[#This Row],[resolution_hrs]]&lt;=24,"Normal",IF(Ticket_Table[[#This Row],[resolution_hrs]]&lt;=48,"Slow","Very Slow")))</f>
        <v>Slow</v>
      </c>
      <c r="Q1186" s="3">
        <f>YEAR(Ticket_Table[[#This Row],[raised_date]])</f>
        <v>2022</v>
      </c>
    </row>
    <row r="1187" spans="1:17">
      <c r="A1187" t="s">
        <v>1743</v>
      </c>
      <c r="B1187" t="s">
        <v>182</v>
      </c>
      <c r="C1187" t="s">
        <v>140</v>
      </c>
      <c r="D1187" t="s">
        <v>36</v>
      </c>
      <c r="E1187" t="s">
        <v>21</v>
      </c>
      <c r="F1187" t="s">
        <v>45</v>
      </c>
      <c r="G1187" t="s">
        <v>23</v>
      </c>
      <c r="H1187" s="1">
        <v>44556</v>
      </c>
      <c r="I1187" s="2">
        <v>44556.0791666667</v>
      </c>
      <c r="J1187">
        <v>1.9</v>
      </c>
      <c r="K1187" t="s">
        <v>24</v>
      </c>
      <c r="L1187">
        <v>0</v>
      </c>
      <c r="M1187">
        <v>3</v>
      </c>
      <c r="N1187" t="s">
        <v>525</v>
      </c>
      <c r="O1187" s="3" t="str">
        <f>TEXT(Ticket_Table[[#This Row],[raised_date]],"YYYY-MM")</f>
        <v>2021-12</v>
      </c>
      <c r="P1187" s="3" t="str">
        <f>IF(Ticket_Table[[#This Row],[resolution_hrs]]&lt;=4,"Fast",IF(Ticket_Table[[#This Row],[resolution_hrs]]&lt;=24,"Normal",IF(Ticket_Table[[#This Row],[resolution_hrs]]&lt;=48,"Slow","Very Slow")))</f>
        <v>Fast</v>
      </c>
      <c r="Q1187" s="3">
        <f>YEAR(Ticket_Table[[#This Row],[raised_date]])</f>
        <v>2021</v>
      </c>
    </row>
    <row r="1188" spans="1:17">
      <c r="A1188" t="s">
        <v>1744</v>
      </c>
      <c r="B1188" t="s">
        <v>707</v>
      </c>
      <c r="C1188" t="s">
        <v>60</v>
      </c>
      <c r="D1188" t="s">
        <v>20</v>
      </c>
      <c r="E1188" t="s">
        <v>69</v>
      </c>
      <c r="F1188" t="s">
        <v>70</v>
      </c>
      <c r="G1188" t="s">
        <v>46</v>
      </c>
      <c r="H1188" s="1">
        <v>45027</v>
      </c>
      <c r="I1188" s="2">
        <v>45029.8958333333</v>
      </c>
      <c r="J1188">
        <v>69.5</v>
      </c>
      <c r="K1188" t="s">
        <v>32</v>
      </c>
      <c r="L1188">
        <v>0</v>
      </c>
      <c r="M1188">
        <v>3</v>
      </c>
      <c r="N1188" t="s">
        <v>737</v>
      </c>
      <c r="O1188" s="3" t="str">
        <f>TEXT(Ticket_Table[[#This Row],[raised_date]],"YYYY-MM")</f>
        <v>2023-04</v>
      </c>
      <c r="P1188" s="3" t="str">
        <f>IF(Ticket_Table[[#This Row],[resolution_hrs]]&lt;=4,"Fast",IF(Ticket_Table[[#This Row],[resolution_hrs]]&lt;=24,"Normal",IF(Ticket_Table[[#This Row],[resolution_hrs]]&lt;=48,"Slow","Very Slow")))</f>
        <v>Very Slow</v>
      </c>
      <c r="Q1188" s="3">
        <f>YEAR(Ticket_Table[[#This Row],[raised_date]])</f>
        <v>2023</v>
      </c>
    </row>
    <row r="1189" spans="1:17">
      <c r="A1189" t="s">
        <v>1745</v>
      </c>
      <c r="B1189" t="s">
        <v>149</v>
      </c>
      <c r="C1189" t="s">
        <v>19</v>
      </c>
      <c r="D1189" t="s">
        <v>29</v>
      </c>
      <c r="E1189" t="s">
        <v>37</v>
      </c>
      <c r="F1189" t="s">
        <v>70</v>
      </c>
      <c r="G1189" t="s">
        <v>74</v>
      </c>
      <c r="H1189" s="1">
        <v>45072</v>
      </c>
      <c r="I1189" s="2">
        <v>45074.6041666667</v>
      </c>
      <c r="J1189">
        <v>62.5</v>
      </c>
      <c r="K1189" t="s">
        <v>32</v>
      </c>
      <c r="L1189">
        <v>0</v>
      </c>
      <c r="M1189">
        <v>1</v>
      </c>
      <c r="N1189" t="s">
        <v>491</v>
      </c>
      <c r="O1189" s="3" t="str">
        <f>TEXT(Ticket_Table[[#This Row],[raised_date]],"YYYY-MM")</f>
        <v>2023-05</v>
      </c>
      <c r="P1189" s="3" t="str">
        <f>IF(Ticket_Table[[#This Row],[resolution_hrs]]&lt;=4,"Fast",IF(Ticket_Table[[#This Row],[resolution_hrs]]&lt;=24,"Normal",IF(Ticket_Table[[#This Row],[resolution_hrs]]&lt;=48,"Slow","Very Slow")))</f>
        <v>Very Slow</v>
      </c>
      <c r="Q1189" s="3">
        <f>YEAR(Ticket_Table[[#This Row],[raised_date]])</f>
        <v>2023</v>
      </c>
    </row>
    <row r="1190" spans="1:17">
      <c r="A1190" t="s">
        <v>1746</v>
      </c>
      <c r="B1190" t="s">
        <v>608</v>
      </c>
      <c r="C1190" t="s">
        <v>28</v>
      </c>
      <c r="D1190" t="s">
        <v>90</v>
      </c>
      <c r="E1190" t="s">
        <v>166</v>
      </c>
      <c r="F1190" t="s">
        <v>22</v>
      </c>
      <c r="G1190" t="s">
        <v>23</v>
      </c>
      <c r="H1190" s="1">
        <v>45252</v>
      </c>
      <c r="I1190" s="2">
        <v>45252.4375</v>
      </c>
      <c r="J1190">
        <v>10.5</v>
      </c>
      <c r="K1190" t="s">
        <v>24</v>
      </c>
      <c r="L1190">
        <v>0</v>
      </c>
      <c r="M1190">
        <v>3</v>
      </c>
      <c r="N1190" t="s">
        <v>241</v>
      </c>
      <c r="O1190" s="3" t="str">
        <f>TEXT(Ticket_Table[[#This Row],[raised_date]],"YYYY-MM")</f>
        <v>2023-11</v>
      </c>
      <c r="P1190" s="3" t="str">
        <f>IF(Ticket_Table[[#This Row],[resolution_hrs]]&lt;=4,"Fast",IF(Ticket_Table[[#This Row],[resolution_hrs]]&lt;=24,"Normal",IF(Ticket_Table[[#This Row],[resolution_hrs]]&lt;=48,"Slow","Very Slow")))</f>
        <v>Normal</v>
      </c>
      <c r="Q1190" s="3">
        <f>YEAR(Ticket_Table[[#This Row],[raised_date]])</f>
        <v>2023</v>
      </c>
    </row>
    <row r="1191" spans="1:17">
      <c r="A1191" t="s">
        <v>1747</v>
      </c>
      <c r="B1191" t="s">
        <v>479</v>
      </c>
      <c r="C1191" t="s">
        <v>140</v>
      </c>
      <c r="D1191" t="s">
        <v>20</v>
      </c>
      <c r="E1191" t="s">
        <v>56</v>
      </c>
      <c r="F1191" t="s">
        <v>38</v>
      </c>
      <c r="G1191" t="s">
        <v>31</v>
      </c>
      <c r="H1191" s="1">
        <v>44868</v>
      </c>
      <c r="I1191" s="2">
        <v>44869.2833333333</v>
      </c>
      <c r="J1191">
        <v>30.8</v>
      </c>
      <c r="K1191" t="s">
        <v>32</v>
      </c>
      <c r="L1191">
        <v>0</v>
      </c>
      <c r="M1191">
        <v>4</v>
      </c>
      <c r="N1191" t="s">
        <v>588</v>
      </c>
      <c r="O1191" s="3" t="str">
        <f>TEXT(Ticket_Table[[#This Row],[raised_date]],"YYYY-MM")</f>
        <v>2022-11</v>
      </c>
      <c r="P1191" s="3" t="str">
        <f>IF(Ticket_Table[[#This Row],[resolution_hrs]]&lt;=4,"Fast",IF(Ticket_Table[[#This Row],[resolution_hrs]]&lt;=24,"Normal",IF(Ticket_Table[[#This Row],[resolution_hrs]]&lt;=48,"Slow","Very Slow")))</f>
        <v>Slow</v>
      </c>
      <c r="Q1191" s="3">
        <f>YEAR(Ticket_Table[[#This Row],[raised_date]])</f>
        <v>2022</v>
      </c>
    </row>
    <row r="1192" spans="1:17">
      <c r="A1192" t="s">
        <v>1748</v>
      </c>
      <c r="B1192" t="s">
        <v>98</v>
      </c>
      <c r="C1192" t="s">
        <v>64</v>
      </c>
      <c r="D1192" t="s">
        <v>36</v>
      </c>
      <c r="E1192" t="s">
        <v>30</v>
      </c>
      <c r="F1192" t="s">
        <v>45</v>
      </c>
      <c r="G1192" t="s">
        <v>23</v>
      </c>
      <c r="H1192" s="1">
        <v>44374</v>
      </c>
      <c r="I1192" s="2">
        <v>44374.075</v>
      </c>
      <c r="J1192">
        <v>1.8</v>
      </c>
      <c r="K1192" t="s">
        <v>24</v>
      </c>
      <c r="L1192">
        <v>0</v>
      </c>
      <c r="M1192">
        <v>5</v>
      </c>
      <c r="N1192" t="s">
        <v>370</v>
      </c>
      <c r="O1192" s="3" t="str">
        <f>TEXT(Ticket_Table[[#This Row],[raised_date]],"YYYY-MM")</f>
        <v>2021-06</v>
      </c>
      <c r="P1192" s="3" t="str">
        <f>IF(Ticket_Table[[#This Row],[resolution_hrs]]&lt;=4,"Fast",IF(Ticket_Table[[#This Row],[resolution_hrs]]&lt;=24,"Normal",IF(Ticket_Table[[#This Row],[resolution_hrs]]&lt;=48,"Slow","Very Slow")))</f>
        <v>Fast</v>
      </c>
      <c r="Q1192" s="3">
        <f>YEAR(Ticket_Table[[#This Row],[raised_date]])</f>
        <v>2021</v>
      </c>
    </row>
    <row r="1193" spans="1:17">
      <c r="A1193" t="s">
        <v>1749</v>
      </c>
      <c r="B1193" t="s">
        <v>107</v>
      </c>
      <c r="C1193" t="s">
        <v>287</v>
      </c>
      <c r="D1193" t="s">
        <v>43</v>
      </c>
      <c r="E1193" t="s">
        <v>21</v>
      </c>
      <c r="F1193" t="s">
        <v>70</v>
      </c>
      <c r="G1193" t="s">
        <v>23</v>
      </c>
      <c r="H1193" s="1">
        <v>45017</v>
      </c>
      <c r="I1193" s="2">
        <v>45019.3458333333</v>
      </c>
      <c r="J1193">
        <v>56.3</v>
      </c>
      <c r="K1193" t="s">
        <v>32</v>
      </c>
      <c r="L1193">
        <v>3</v>
      </c>
      <c r="M1193">
        <v>3</v>
      </c>
      <c r="N1193" t="s">
        <v>1348</v>
      </c>
      <c r="O1193" s="3" t="str">
        <f>TEXT(Ticket_Table[[#This Row],[raised_date]],"YYYY-MM")</f>
        <v>2023-04</v>
      </c>
      <c r="P1193" s="3" t="str">
        <f>IF(Ticket_Table[[#This Row],[resolution_hrs]]&lt;=4,"Fast",IF(Ticket_Table[[#This Row],[resolution_hrs]]&lt;=24,"Normal",IF(Ticket_Table[[#This Row],[resolution_hrs]]&lt;=48,"Slow","Very Slow")))</f>
        <v>Very Slow</v>
      </c>
      <c r="Q1193" s="3">
        <f>YEAR(Ticket_Table[[#This Row],[raised_date]])</f>
        <v>2023</v>
      </c>
    </row>
    <row r="1194" spans="1:17">
      <c r="A1194" t="s">
        <v>1750</v>
      </c>
      <c r="B1194" t="s">
        <v>209</v>
      </c>
      <c r="C1194" t="s">
        <v>287</v>
      </c>
      <c r="D1194" t="s">
        <v>29</v>
      </c>
      <c r="E1194" t="s">
        <v>69</v>
      </c>
      <c r="F1194" t="s">
        <v>22</v>
      </c>
      <c r="G1194" t="s">
        <v>31</v>
      </c>
      <c r="H1194" s="1">
        <v>44392</v>
      </c>
      <c r="I1194" s="2">
        <v>44393.3125</v>
      </c>
      <c r="J1194">
        <v>31.5</v>
      </c>
      <c r="K1194" t="s">
        <v>24</v>
      </c>
      <c r="L1194">
        <v>0</v>
      </c>
      <c r="M1194">
        <v>3</v>
      </c>
      <c r="N1194" t="s">
        <v>279</v>
      </c>
      <c r="O1194" s="3" t="str">
        <f>TEXT(Ticket_Table[[#This Row],[raised_date]],"YYYY-MM")</f>
        <v>2021-07</v>
      </c>
      <c r="P1194" s="3" t="str">
        <f>IF(Ticket_Table[[#This Row],[resolution_hrs]]&lt;=4,"Fast",IF(Ticket_Table[[#This Row],[resolution_hrs]]&lt;=24,"Normal",IF(Ticket_Table[[#This Row],[resolution_hrs]]&lt;=48,"Slow","Very Slow")))</f>
        <v>Slow</v>
      </c>
      <c r="Q1194" s="3">
        <f>YEAR(Ticket_Table[[#This Row],[raised_date]])</f>
        <v>2021</v>
      </c>
    </row>
    <row r="1195" spans="1:17">
      <c r="A1195" t="s">
        <v>1751</v>
      </c>
      <c r="B1195" t="s">
        <v>802</v>
      </c>
      <c r="C1195" t="s">
        <v>102</v>
      </c>
      <c r="D1195" t="s">
        <v>90</v>
      </c>
      <c r="E1195" t="s">
        <v>56</v>
      </c>
      <c r="F1195" t="s">
        <v>70</v>
      </c>
      <c r="G1195" t="s">
        <v>31</v>
      </c>
      <c r="H1195" s="1">
        <v>44575</v>
      </c>
      <c r="I1195" s="2">
        <v>44577.2666666667</v>
      </c>
      <c r="J1195">
        <v>54.4</v>
      </c>
      <c r="K1195" t="s">
        <v>32</v>
      </c>
      <c r="L1195">
        <v>2</v>
      </c>
      <c r="M1195">
        <v>5</v>
      </c>
      <c r="N1195" t="s">
        <v>670</v>
      </c>
      <c r="O1195" s="3" t="str">
        <f>TEXT(Ticket_Table[[#This Row],[raised_date]],"YYYY-MM")</f>
        <v>2022-01</v>
      </c>
      <c r="P1195" s="3" t="str">
        <f>IF(Ticket_Table[[#This Row],[resolution_hrs]]&lt;=4,"Fast",IF(Ticket_Table[[#This Row],[resolution_hrs]]&lt;=24,"Normal",IF(Ticket_Table[[#This Row],[resolution_hrs]]&lt;=48,"Slow","Very Slow")))</f>
        <v>Very Slow</v>
      </c>
      <c r="Q1195" s="3">
        <f>YEAR(Ticket_Table[[#This Row],[raised_date]])</f>
        <v>2022</v>
      </c>
    </row>
    <row r="1196" spans="1:17">
      <c r="A1196" t="s">
        <v>1752</v>
      </c>
      <c r="B1196" t="s">
        <v>334</v>
      </c>
      <c r="C1196" t="s">
        <v>213</v>
      </c>
      <c r="D1196" t="s">
        <v>43</v>
      </c>
      <c r="E1196" t="s">
        <v>166</v>
      </c>
      <c r="F1196" t="s">
        <v>38</v>
      </c>
      <c r="G1196" t="s">
        <v>31</v>
      </c>
      <c r="H1196" s="1">
        <v>44484</v>
      </c>
      <c r="I1196" s="2">
        <v>44484.9958333333</v>
      </c>
      <c r="J1196">
        <v>23.9</v>
      </c>
      <c r="K1196" t="s">
        <v>24</v>
      </c>
      <c r="L1196">
        <v>0</v>
      </c>
      <c r="M1196">
        <v>5</v>
      </c>
      <c r="N1196" t="s">
        <v>238</v>
      </c>
      <c r="O1196" s="3" t="str">
        <f>TEXT(Ticket_Table[[#This Row],[raised_date]],"YYYY-MM")</f>
        <v>2021-10</v>
      </c>
      <c r="P1196" s="3" t="str">
        <f>IF(Ticket_Table[[#This Row],[resolution_hrs]]&lt;=4,"Fast",IF(Ticket_Table[[#This Row],[resolution_hrs]]&lt;=24,"Normal",IF(Ticket_Table[[#This Row],[resolution_hrs]]&lt;=48,"Slow","Very Slow")))</f>
        <v>Normal</v>
      </c>
      <c r="Q1196" s="3">
        <f>YEAR(Ticket_Table[[#This Row],[raised_date]])</f>
        <v>2021</v>
      </c>
    </row>
    <row r="1197" spans="1:17">
      <c r="A1197" t="s">
        <v>1753</v>
      </c>
      <c r="B1197" t="s">
        <v>250</v>
      </c>
      <c r="C1197" t="s">
        <v>102</v>
      </c>
      <c r="D1197" t="s">
        <v>29</v>
      </c>
      <c r="E1197" t="s">
        <v>21</v>
      </c>
      <c r="F1197" t="s">
        <v>70</v>
      </c>
      <c r="G1197" t="s">
        <v>74</v>
      </c>
      <c r="H1197" s="1">
        <v>45174</v>
      </c>
      <c r="I1197" s="2">
        <v>45174.4</v>
      </c>
      <c r="J1197">
        <v>9.6</v>
      </c>
      <c r="K1197" t="s">
        <v>24</v>
      </c>
      <c r="L1197">
        <v>1</v>
      </c>
      <c r="M1197">
        <v>3</v>
      </c>
      <c r="N1197" t="s">
        <v>886</v>
      </c>
      <c r="O1197" s="3" t="str">
        <f>TEXT(Ticket_Table[[#This Row],[raised_date]],"YYYY-MM")</f>
        <v>2023-09</v>
      </c>
      <c r="P1197" s="3" t="str">
        <f>IF(Ticket_Table[[#This Row],[resolution_hrs]]&lt;=4,"Fast",IF(Ticket_Table[[#This Row],[resolution_hrs]]&lt;=24,"Normal",IF(Ticket_Table[[#This Row],[resolution_hrs]]&lt;=48,"Slow","Very Slow")))</f>
        <v>Normal</v>
      </c>
      <c r="Q1197" s="3">
        <f>YEAR(Ticket_Table[[#This Row],[raised_date]])</f>
        <v>2023</v>
      </c>
    </row>
    <row r="1198" spans="1:17">
      <c r="A1198" t="s">
        <v>1754</v>
      </c>
      <c r="B1198" t="s">
        <v>434</v>
      </c>
      <c r="C1198" t="s">
        <v>117</v>
      </c>
      <c r="D1198" t="s">
        <v>20</v>
      </c>
      <c r="E1198" t="s">
        <v>56</v>
      </c>
      <c r="F1198" t="s">
        <v>38</v>
      </c>
      <c r="G1198" t="s">
        <v>31</v>
      </c>
      <c r="H1198" s="1">
        <v>44859</v>
      </c>
      <c r="I1198" s="2">
        <v>44859.7583333333</v>
      </c>
      <c r="J1198">
        <v>18.2</v>
      </c>
      <c r="K1198" t="s">
        <v>24</v>
      </c>
      <c r="L1198">
        <v>0</v>
      </c>
      <c r="M1198">
        <v>2</v>
      </c>
      <c r="N1198" t="s">
        <v>86</v>
      </c>
      <c r="O1198" s="3" t="str">
        <f>TEXT(Ticket_Table[[#This Row],[raised_date]],"YYYY-MM")</f>
        <v>2022-10</v>
      </c>
      <c r="P1198" s="3" t="str">
        <f>IF(Ticket_Table[[#This Row],[resolution_hrs]]&lt;=4,"Fast",IF(Ticket_Table[[#This Row],[resolution_hrs]]&lt;=24,"Normal",IF(Ticket_Table[[#This Row],[resolution_hrs]]&lt;=48,"Slow","Very Slow")))</f>
        <v>Normal</v>
      </c>
      <c r="Q1198" s="3">
        <f>YEAR(Ticket_Table[[#This Row],[raised_date]])</f>
        <v>2022</v>
      </c>
    </row>
    <row r="1199" spans="1:17">
      <c r="A1199" t="s">
        <v>1755</v>
      </c>
      <c r="B1199" t="s">
        <v>71</v>
      </c>
      <c r="C1199" t="s">
        <v>55</v>
      </c>
      <c r="D1199" t="s">
        <v>20</v>
      </c>
      <c r="E1199" t="s">
        <v>51</v>
      </c>
      <c r="F1199" t="s">
        <v>70</v>
      </c>
      <c r="G1199" t="s">
        <v>31</v>
      </c>
      <c r="H1199" s="1">
        <v>44705</v>
      </c>
      <c r="I1199" s="2">
        <v>44706.3208333333</v>
      </c>
      <c r="J1199">
        <v>31.7</v>
      </c>
      <c r="K1199" t="s">
        <v>24</v>
      </c>
      <c r="L1199">
        <v>0</v>
      </c>
      <c r="M1199">
        <v>5</v>
      </c>
      <c r="N1199" t="s">
        <v>223</v>
      </c>
      <c r="O1199" s="3" t="str">
        <f>TEXT(Ticket_Table[[#This Row],[raised_date]],"YYYY-MM")</f>
        <v>2022-05</v>
      </c>
      <c r="P1199" s="3" t="str">
        <f>IF(Ticket_Table[[#This Row],[resolution_hrs]]&lt;=4,"Fast",IF(Ticket_Table[[#This Row],[resolution_hrs]]&lt;=24,"Normal",IF(Ticket_Table[[#This Row],[resolution_hrs]]&lt;=48,"Slow","Very Slow")))</f>
        <v>Slow</v>
      </c>
      <c r="Q1199" s="3">
        <f>YEAR(Ticket_Table[[#This Row],[raised_date]])</f>
        <v>2022</v>
      </c>
    </row>
    <row r="1200" spans="1:17">
      <c r="A1200" t="s">
        <v>1756</v>
      </c>
      <c r="B1200" t="s">
        <v>262</v>
      </c>
      <c r="C1200" t="s">
        <v>287</v>
      </c>
      <c r="D1200" t="s">
        <v>29</v>
      </c>
      <c r="E1200" t="s">
        <v>83</v>
      </c>
      <c r="F1200" t="s">
        <v>38</v>
      </c>
      <c r="G1200" t="s">
        <v>74</v>
      </c>
      <c r="H1200" s="1">
        <v>44210</v>
      </c>
      <c r="I1200" s="2">
        <v>44211.2166666667</v>
      </c>
      <c r="J1200">
        <v>29.2</v>
      </c>
      <c r="K1200" t="s">
        <v>32</v>
      </c>
      <c r="L1200">
        <v>0</v>
      </c>
      <c r="M1200">
        <v>4</v>
      </c>
      <c r="N1200" t="s">
        <v>1078</v>
      </c>
      <c r="O1200" s="3" t="str">
        <f>TEXT(Ticket_Table[[#This Row],[raised_date]],"YYYY-MM")</f>
        <v>2021-01</v>
      </c>
      <c r="P1200" s="3" t="str">
        <f>IF(Ticket_Table[[#This Row],[resolution_hrs]]&lt;=4,"Fast",IF(Ticket_Table[[#This Row],[resolution_hrs]]&lt;=24,"Normal",IF(Ticket_Table[[#This Row],[resolution_hrs]]&lt;=48,"Slow","Very Slow")))</f>
        <v>Slow</v>
      </c>
      <c r="Q1200" s="3">
        <f>YEAR(Ticket_Table[[#This Row],[raised_date]])</f>
        <v>2021</v>
      </c>
    </row>
    <row r="1201" spans="1:17">
      <c r="A1201" t="s">
        <v>1757</v>
      </c>
      <c r="B1201" t="s">
        <v>592</v>
      </c>
      <c r="C1201" t="s">
        <v>55</v>
      </c>
      <c r="D1201" t="s">
        <v>90</v>
      </c>
      <c r="E1201" t="s">
        <v>106</v>
      </c>
      <c r="F1201" t="s">
        <v>70</v>
      </c>
      <c r="G1201" t="s">
        <v>23</v>
      </c>
      <c r="H1201" s="1">
        <v>44731</v>
      </c>
      <c r="I1201" s="2">
        <v>44731.9583333333</v>
      </c>
      <c r="J1201">
        <v>23</v>
      </c>
      <c r="K1201" t="s">
        <v>24</v>
      </c>
      <c r="L1201">
        <v>0</v>
      </c>
      <c r="M1201">
        <v>5</v>
      </c>
      <c r="N1201" t="s">
        <v>241</v>
      </c>
      <c r="O1201" s="3" t="str">
        <f>TEXT(Ticket_Table[[#This Row],[raised_date]],"YYYY-MM")</f>
        <v>2022-06</v>
      </c>
      <c r="P1201" s="3" t="str">
        <f>IF(Ticket_Table[[#This Row],[resolution_hrs]]&lt;=4,"Fast",IF(Ticket_Table[[#This Row],[resolution_hrs]]&lt;=24,"Normal",IF(Ticket_Table[[#This Row],[resolution_hrs]]&lt;=48,"Slow","Very Slow")))</f>
        <v>Normal</v>
      </c>
      <c r="Q1201" s="3">
        <f>YEAR(Ticket_Table[[#This Row],[raised_date]])</f>
        <v>2022</v>
      </c>
    </row>
    <row r="1202" spans="1:17">
      <c r="A1202" t="s">
        <v>1758</v>
      </c>
      <c r="B1202" t="s">
        <v>808</v>
      </c>
      <c r="C1202" t="s">
        <v>64</v>
      </c>
      <c r="D1202" t="s">
        <v>29</v>
      </c>
      <c r="E1202" t="s">
        <v>106</v>
      </c>
      <c r="F1202" t="s">
        <v>22</v>
      </c>
      <c r="G1202" t="s">
        <v>91</v>
      </c>
      <c r="H1202" s="1">
        <v>44982</v>
      </c>
      <c r="I1202" s="2">
        <v>44985.0958333333</v>
      </c>
      <c r="J1202">
        <v>74.3</v>
      </c>
      <c r="K1202" t="s">
        <v>32</v>
      </c>
      <c r="L1202">
        <v>3</v>
      </c>
      <c r="M1202">
        <v>3</v>
      </c>
      <c r="N1202" t="s">
        <v>466</v>
      </c>
      <c r="O1202" s="3" t="str">
        <f>TEXT(Ticket_Table[[#This Row],[raised_date]],"YYYY-MM")</f>
        <v>2023-02</v>
      </c>
      <c r="P1202" s="3" t="str">
        <f>IF(Ticket_Table[[#This Row],[resolution_hrs]]&lt;=4,"Fast",IF(Ticket_Table[[#This Row],[resolution_hrs]]&lt;=24,"Normal",IF(Ticket_Table[[#This Row],[resolution_hrs]]&lt;=48,"Slow","Very Slow")))</f>
        <v>Very Slow</v>
      </c>
      <c r="Q1202" s="3">
        <f>YEAR(Ticket_Table[[#This Row],[raised_date]])</f>
        <v>2023</v>
      </c>
    </row>
    <row r="1203" spans="1:17">
      <c r="A1203" t="s">
        <v>1759</v>
      </c>
      <c r="B1203" t="s">
        <v>455</v>
      </c>
      <c r="C1203" t="s">
        <v>287</v>
      </c>
      <c r="D1203" t="s">
        <v>43</v>
      </c>
      <c r="E1203" t="s">
        <v>44</v>
      </c>
      <c r="F1203" t="s">
        <v>70</v>
      </c>
      <c r="G1203" t="s">
        <v>23</v>
      </c>
      <c r="H1203" s="1">
        <v>44679</v>
      </c>
      <c r="I1203" s="2">
        <v>44679.4291666667</v>
      </c>
      <c r="J1203">
        <v>10.3</v>
      </c>
      <c r="K1203" t="s">
        <v>24</v>
      </c>
      <c r="L1203">
        <v>0</v>
      </c>
      <c r="M1203">
        <v>4</v>
      </c>
      <c r="N1203" t="s">
        <v>1760</v>
      </c>
      <c r="O1203" s="3" t="str">
        <f>TEXT(Ticket_Table[[#This Row],[raised_date]],"YYYY-MM")</f>
        <v>2022-04</v>
      </c>
      <c r="P1203" s="3" t="str">
        <f>IF(Ticket_Table[[#This Row],[resolution_hrs]]&lt;=4,"Fast",IF(Ticket_Table[[#This Row],[resolution_hrs]]&lt;=24,"Normal",IF(Ticket_Table[[#This Row],[resolution_hrs]]&lt;=48,"Slow","Very Slow")))</f>
        <v>Normal</v>
      </c>
      <c r="Q1203" s="3">
        <f>YEAR(Ticket_Table[[#This Row],[raised_date]])</f>
        <v>2022</v>
      </c>
    </row>
    <row r="1204" spans="1:17">
      <c r="A1204" t="s">
        <v>1761</v>
      </c>
      <c r="B1204" t="s">
        <v>871</v>
      </c>
      <c r="C1204" t="s">
        <v>287</v>
      </c>
      <c r="D1204" t="s">
        <v>43</v>
      </c>
      <c r="E1204" t="s">
        <v>51</v>
      </c>
      <c r="F1204" t="s">
        <v>22</v>
      </c>
      <c r="G1204" t="s">
        <v>23</v>
      </c>
      <c r="H1204" s="1">
        <v>45111</v>
      </c>
      <c r="I1204" s="2">
        <v>45114.0083333333</v>
      </c>
      <c r="J1204">
        <v>72.2</v>
      </c>
      <c r="K1204" t="s">
        <v>32</v>
      </c>
      <c r="L1204">
        <v>1</v>
      </c>
      <c r="M1204">
        <v>4</v>
      </c>
      <c r="N1204" t="s">
        <v>352</v>
      </c>
      <c r="O1204" s="3" t="str">
        <f>TEXT(Ticket_Table[[#This Row],[raised_date]],"YYYY-MM")</f>
        <v>2023-07</v>
      </c>
      <c r="P1204" s="3" t="str">
        <f>IF(Ticket_Table[[#This Row],[resolution_hrs]]&lt;=4,"Fast",IF(Ticket_Table[[#This Row],[resolution_hrs]]&lt;=24,"Normal",IF(Ticket_Table[[#This Row],[resolution_hrs]]&lt;=48,"Slow","Very Slow")))</f>
        <v>Very Slow</v>
      </c>
      <c r="Q1204" s="3">
        <f>YEAR(Ticket_Table[[#This Row],[raised_date]])</f>
        <v>2023</v>
      </c>
    </row>
    <row r="1205" spans="1:17">
      <c r="A1205" t="s">
        <v>1762</v>
      </c>
      <c r="B1205" t="s">
        <v>597</v>
      </c>
      <c r="C1205" t="s">
        <v>213</v>
      </c>
      <c r="D1205" t="s">
        <v>20</v>
      </c>
      <c r="E1205" t="s">
        <v>83</v>
      </c>
      <c r="F1205" t="s">
        <v>45</v>
      </c>
      <c r="G1205" t="s">
        <v>46</v>
      </c>
      <c r="H1205" s="1">
        <v>44743</v>
      </c>
      <c r="I1205" s="2">
        <v>44743.2166666667</v>
      </c>
      <c r="J1205">
        <v>5.2</v>
      </c>
      <c r="K1205" t="s">
        <v>32</v>
      </c>
      <c r="L1205">
        <v>0</v>
      </c>
      <c r="M1205">
        <v>5</v>
      </c>
      <c r="N1205" t="s">
        <v>77</v>
      </c>
      <c r="O1205" s="3" t="str">
        <f>TEXT(Ticket_Table[[#This Row],[raised_date]],"YYYY-MM")</f>
        <v>2022-07</v>
      </c>
      <c r="P1205" s="3" t="str">
        <f>IF(Ticket_Table[[#This Row],[resolution_hrs]]&lt;=4,"Fast",IF(Ticket_Table[[#This Row],[resolution_hrs]]&lt;=24,"Normal",IF(Ticket_Table[[#This Row],[resolution_hrs]]&lt;=48,"Slow","Very Slow")))</f>
        <v>Normal</v>
      </c>
      <c r="Q1205" s="3">
        <f>YEAR(Ticket_Table[[#This Row],[raised_date]])</f>
        <v>2022</v>
      </c>
    </row>
    <row r="1206" spans="1:17">
      <c r="A1206" t="s">
        <v>1763</v>
      </c>
      <c r="B1206" t="s">
        <v>81</v>
      </c>
      <c r="C1206" t="s">
        <v>60</v>
      </c>
      <c r="D1206" t="s">
        <v>29</v>
      </c>
      <c r="E1206" t="s">
        <v>44</v>
      </c>
      <c r="F1206" t="s">
        <v>38</v>
      </c>
      <c r="G1206" t="s">
        <v>23</v>
      </c>
      <c r="H1206" s="1">
        <v>44872</v>
      </c>
      <c r="I1206" s="2">
        <v>44872.7875</v>
      </c>
      <c r="J1206">
        <v>18.9</v>
      </c>
      <c r="K1206" t="s">
        <v>24</v>
      </c>
      <c r="L1206">
        <v>0</v>
      </c>
      <c r="M1206">
        <v>5</v>
      </c>
      <c r="N1206" t="s">
        <v>41</v>
      </c>
      <c r="O1206" s="3" t="str">
        <f>TEXT(Ticket_Table[[#This Row],[raised_date]],"YYYY-MM")</f>
        <v>2022-11</v>
      </c>
      <c r="P1206" s="3" t="str">
        <f>IF(Ticket_Table[[#This Row],[resolution_hrs]]&lt;=4,"Fast",IF(Ticket_Table[[#This Row],[resolution_hrs]]&lt;=24,"Normal",IF(Ticket_Table[[#This Row],[resolution_hrs]]&lt;=48,"Slow","Very Slow")))</f>
        <v>Normal</v>
      </c>
      <c r="Q1206" s="3">
        <f>YEAR(Ticket_Table[[#This Row],[raised_date]])</f>
        <v>2022</v>
      </c>
    </row>
    <row r="1207" spans="1:17">
      <c r="A1207" t="s">
        <v>1764</v>
      </c>
      <c r="B1207" t="s">
        <v>86</v>
      </c>
      <c r="C1207" t="s">
        <v>19</v>
      </c>
      <c r="D1207" t="s">
        <v>20</v>
      </c>
      <c r="E1207" t="s">
        <v>56</v>
      </c>
      <c r="F1207" t="s">
        <v>38</v>
      </c>
      <c r="G1207" t="s">
        <v>23</v>
      </c>
      <c r="H1207" s="1">
        <v>44815</v>
      </c>
      <c r="I1207" s="2">
        <v>44815.7541666667</v>
      </c>
      <c r="J1207">
        <v>18.1</v>
      </c>
      <c r="K1207" t="s">
        <v>24</v>
      </c>
      <c r="L1207">
        <v>0</v>
      </c>
      <c r="M1207">
        <v>2</v>
      </c>
      <c r="N1207" t="s">
        <v>180</v>
      </c>
      <c r="O1207" s="3" t="str">
        <f>TEXT(Ticket_Table[[#This Row],[raised_date]],"YYYY-MM")</f>
        <v>2022-09</v>
      </c>
      <c r="P1207" s="3" t="str">
        <f>IF(Ticket_Table[[#This Row],[resolution_hrs]]&lt;=4,"Fast",IF(Ticket_Table[[#This Row],[resolution_hrs]]&lt;=24,"Normal",IF(Ticket_Table[[#This Row],[resolution_hrs]]&lt;=48,"Slow","Very Slow")))</f>
        <v>Normal</v>
      </c>
      <c r="Q1207" s="3">
        <f>YEAR(Ticket_Table[[#This Row],[raised_date]])</f>
        <v>2022</v>
      </c>
    </row>
    <row r="1208" spans="1:17">
      <c r="A1208" t="s">
        <v>1765</v>
      </c>
      <c r="B1208" t="s">
        <v>1003</v>
      </c>
      <c r="C1208" t="s">
        <v>19</v>
      </c>
      <c r="D1208" t="s">
        <v>90</v>
      </c>
      <c r="E1208" t="s">
        <v>44</v>
      </c>
      <c r="F1208" t="s">
        <v>70</v>
      </c>
      <c r="G1208" t="s">
        <v>46</v>
      </c>
      <c r="H1208" s="1">
        <v>44220</v>
      </c>
      <c r="I1208" s="2">
        <v>44222.6625</v>
      </c>
      <c r="J1208">
        <v>63.9</v>
      </c>
      <c r="K1208" t="s">
        <v>32</v>
      </c>
      <c r="L1208">
        <v>0</v>
      </c>
      <c r="M1208">
        <v>4</v>
      </c>
      <c r="N1208" t="s">
        <v>716</v>
      </c>
      <c r="O1208" s="3" t="str">
        <f>TEXT(Ticket_Table[[#This Row],[raised_date]],"YYYY-MM")</f>
        <v>2021-01</v>
      </c>
      <c r="P1208" s="3" t="str">
        <f>IF(Ticket_Table[[#This Row],[resolution_hrs]]&lt;=4,"Fast",IF(Ticket_Table[[#This Row],[resolution_hrs]]&lt;=24,"Normal",IF(Ticket_Table[[#This Row],[resolution_hrs]]&lt;=48,"Slow","Very Slow")))</f>
        <v>Very Slow</v>
      </c>
      <c r="Q1208" s="3">
        <f>YEAR(Ticket_Table[[#This Row],[raised_date]])</f>
        <v>2021</v>
      </c>
    </row>
    <row r="1209" spans="1:17">
      <c r="A1209" t="s">
        <v>1766</v>
      </c>
      <c r="B1209" t="s">
        <v>248</v>
      </c>
      <c r="C1209" t="s">
        <v>117</v>
      </c>
      <c r="D1209" t="s">
        <v>43</v>
      </c>
      <c r="E1209" t="s">
        <v>30</v>
      </c>
      <c r="F1209" t="s">
        <v>22</v>
      </c>
      <c r="G1209" t="s">
        <v>23</v>
      </c>
      <c r="H1209" s="1">
        <v>44732</v>
      </c>
      <c r="I1209" s="2">
        <v>44734.1666666667</v>
      </c>
      <c r="J1209">
        <v>52</v>
      </c>
      <c r="K1209" t="s">
        <v>24</v>
      </c>
      <c r="L1209">
        <v>0</v>
      </c>
      <c r="M1209">
        <v>3</v>
      </c>
      <c r="N1209" t="s">
        <v>950</v>
      </c>
      <c r="O1209" s="3" t="str">
        <f>TEXT(Ticket_Table[[#This Row],[raised_date]],"YYYY-MM")</f>
        <v>2022-06</v>
      </c>
      <c r="P1209" s="3" t="str">
        <f>IF(Ticket_Table[[#This Row],[resolution_hrs]]&lt;=4,"Fast",IF(Ticket_Table[[#This Row],[resolution_hrs]]&lt;=24,"Normal",IF(Ticket_Table[[#This Row],[resolution_hrs]]&lt;=48,"Slow","Very Slow")))</f>
        <v>Very Slow</v>
      </c>
      <c r="Q1209" s="3">
        <f>YEAR(Ticket_Table[[#This Row],[raised_date]])</f>
        <v>2022</v>
      </c>
    </row>
    <row r="1210" spans="1:17">
      <c r="A1210" t="s">
        <v>1767</v>
      </c>
      <c r="B1210" t="s">
        <v>403</v>
      </c>
      <c r="C1210" t="s">
        <v>140</v>
      </c>
      <c r="D1210" t="s">
        <v>36</v>
      </c>
      <c r="E1210" t="s">
        <v>51</v>
      </c>
      <c r="F1210" t="s">
        <v>38</v>
      </c>
      <c r="G1210" t="s">
        <v>46</v>
      </c>
      <c r="H1210" s="1">
        <v>44933</v>
      </c>
      <c r="I1210" s="2">
        <v>44933.8625</v>
      </c>
      <c r="J1210">
        <v>20.7</v>
      </c>
      <c r="K1210" t="s">
        <v>24</v>
      </c>
      <c r="L1210">
        <v>1</v>
      </c>
      <c r="M1210">
        <v>5</v>
      </c>
      <c r="N1210" t="s">
        <v>603</v>
      </c>
      <c r="O1210" s="3" t="str">
        <f>TEXT(Ticket_Table[[#This Row],[raised_date]],"YYYY-MM")</f>
        <v>2023-01</v>
      </c>
      <c r="P1210" s="3" t="str">
        <f>IF(Ticket_Table[[#This Row],[resolution_hrs]]&lt;=4,"Fast",IF(Ticket_Table[[#This Row],[resolution_hrs]]&lt;=24,"Normal",IF(Ticket_Table[[#This Row],[resolution_hrs]]&lt;=48,"Slow","Very Slow")))</f>
        <v>Normal</v>
      </c>
      <c r="Q1210" s="3">
        <f>YEAR(Ticket_Table[[#This Row],[raised_date]])</f>
        <v>2023</v>
      </c>
    </row>
    <row r="1211" spans="1:17">
      <c r="A1211" t="s">
        <v>1768</v>
      </c>
      <c r="B1211" t="s">
        <v>627</v>
      </c>
      <c r="C1211" t="s">
        <v>175</v>
      </c>
      <c r="D1211" t="s">
        <v>36</v>
      </c>
      <c r="E1211" t="s">
        <v>21</v>
      </c>
      <c r="F1211" t="s">
        <v>70</v>
      </c>
      <c r="G1211" t="s">
        <v>31</v>
      </c>
      <c r="H1211" s="1">
        <v>44680</v>
      </c>
      <c r="I1211" s="2">
        <v>44681.2916666667</v>
      </c>
      <c r="J1211">
        <v>31</v>
      </c>
      <c r="K1211" t="s">
        <v>24</v>
      </c>
      <c r="L1211">
        <v>2</v>
      </c>
      <c r="M1211">
        <v>4</v>
      </c>
      <c r="N1211" t="s">
        <v>605</v>
      </c>
      <c r="O1211" s="3" t="str">
        <f>TEXT(Ticket_Table[[#This Row],[raised_date]],"YYYY-MM")</f>
        <v>2022-04</v>
      </c>
      <c r="P1211" s="3" t="str">
        <f>IF(Ticket_Table[[#This Row],[resolution_hrs]]&lt;=4,"Fast",IF(Ticket_Table[[#This Row],[resolution_hrs]]&lt;=24,"Normal",IF(Ticket_Table[[#This Row],[resolution_hrs]]&lt;=48,"Slow","Very Slow")))</f>
        <v>Slow</v>
      </c>
      <c r="Q1211" s="3">
        <f>YEAR(Ticket_Table[[#This Row],[raised_date]])</f>
        <v>2022</v>
      </c>
    </row>
    <row r="1212" spans="1:17">
      <c r="A1212" t="s">
        <v>1769</v>
      </c>
      <c r="B1212" t="s">
        <v>35</v>
      </c>
      <c r="C1212" t="s">
        <v>261</v>
      </c>
      <c r="D1212" t="s">
        <v>29</v>
      </c>
      <c r="E1212" t="s">
        <v>21</v>
      </c>
      <c r="F1212" t="s">
        <v>22</v>
      </c>
      <c r="G1212" t="s">
        <v>91</v>
      </c>
      <c r="H1212" s="1">
        <v>44324</v>
      </c>
      <c r="I1212" s="2">
        <v>44327.4125</v>
      </c>
      <c r="J1212">
        <v>81.9</v>
      </c>
      <c r="K1212" t="s">
        <v>32</v>
      </c>
      <c r="L1212">
        <v>0</v>
      </c>
      <c r="M1212">
        <v>5</v>
      </c>
      <c r="N1212" t="s">
        <v>344</v>
      </c>
      <c r="O1212" s="3" t="str">
        <f>TEXT(Ticket_Table[[#This Row],[raised_date]],"YYYY-MM")</f>
        <v>2021-05</v>
      </c>
      <c r="P1212" s="3" t="str">
        <f>IF(Ticket_Table[[#This Row],[resolution_hrs]]&lt;=4,"Fast",IF(Ticket_Table[[#This Row],[resolution_hrs]]&lt;=24,"Normal",IF(Ticket_Table[[#This Row],[resolution_hrs]]&lt;=48,"Slow","Very Slow")))</f>
        <v>Very Slow</v>
      </c>
      <c r="Q1212" s="3">
        <f>YEAR(Ticket_Table[[#This Row],[raised_date]])</f>
        <v>2021</v>
      </c>
    </row>
    <row r="1213" spans="1:17">
      <c r="A1213" t="s">
        <v>1770</v>
      </c>
      <c r="B1213" t="s">
        <v>455</v>
      </c>
      <c r="C1213" t="s">
        <v>261</v>
      </c>
      <c r="D1213" t="s">
        <v>29</v>
      </c>
      <c r="E1213" t="s">
        <v>83</v>
      </c>
      <c r="F1213" t="s">
        <v>70</v>
      </c>
      <c r="G1213" t="s">
        <v>23</v>
      </c>
      <c r="H1213" s="1">
        <v>44439</v>
      </c>
      <c r="I1213" s="2">
        <v>44441.4416666667</v>
      </c>
      <c r="J1213">
        <v>58.6</v>
      </c>
      <c r="K1213" t="s">
        <v>32</v>
      </c>
      <c r="L1213">
        <v>2</v>
      </c>
      <c r="M1213">
        <v>3</v>
      </c>
      <c r="N1213" t="s">
        <v>509</v>
      </c>
      <c r="O1213" s="3" t="str">
        <f>TEXT(Ticket_Table[[#This Row],[raised_date]],"YYYY-MM")</f>
        <v>2021-08</v>
      </c>
      <c r="P1213" s="3" t="str">
        <f>IF(Ticket_Table[[#This Row],[resolution_hrs]]&lt;=4,"Fast",IF(Ticket_Table[[#This Row],[resolution_hrs]]&lt;=24,"Normal",IF(Ticket_Table[[#This Row],[resolution_hrs]]&lt;=48,"Slow","Very Slow")))</f>
        <v>Very Slow</v>
      </c>
      <c r="Q1213" s="3">
        <f>YEAR(Ticket_Table[[#This Row],[raised_date]])</f>
        <v>2021</v>
      </c>
    </row>
    <row r="1214" spans="1:17">
      <c r="A1214" t="s">
        <v>1771</v>
      </c>
      <c r="B1214" t="s">
        <v>854</v>
      </c>
      <c r="C1214" t="s">
        <v>55</v>
      </c>
      <c r="D1214" t="s">
        <v>36</v>
      </c>
      <c r="E1214" t="s">
        <v>166</v>
      </c>
      <c r="F1214" t="s">
        <v>22</v>
      </c>
      <c r="G1214" t="s">
        <v>23</v>
      </c>
      <c r="H1214" s="1">
        <v>45150</v>
      </c>
      <c r="I1214" s="2">
        <v>45152.7791666667</v>
      </c>
      <c r="J1214">
        <v>66.7</v>
      </c>
      <c r="K1214" t="s">
        <v>24</v>
      </c>
      <c r="L1214">
        <v>0</v>
      </c>
      <c r="M1214">
        <v>3</v>
      </c>
      <c r="N1214" t="s">
        <v>1067</v>
      </c>
      <c r="O1214" s="3" t="str">
        <f>TEXT(Ticket_Table[[#This Row],[raised_date]],"YYYY-MM")</f>
        <v>2023-08</v>
      </c>
      <c r="P1214" s="3" t="str">
        <f>IF(Ticket_Table[[#This Row],[resolution_hrs]]&lt;=4,"Fast",IF(Ticket_Table[[#This Row],[resolution_hrs]]&lt;=24,"Normal",IF(Ticket_Table[[#This Row],[resolution_hrs]]&lt;=48,"Slow","Very Slow")))</f>
        <v>Very Slow</v>
      </c>
      <c r="Q1214" s="3">
        <f>YEAR(Ticket_Table[[#This Row],[raised_date]])</f>
        <v>2023</v>
      </c>
    </row>
    <row r="1215" spans="1:17">
      <c r="A1215" t="s">
        <v>1772</v>
      </c>
      <c r="B1215" t="s">
        <v>403</v>
      </c>
      <c r="C1215" t="s">
        <v>201</v>
      </c>
      <c r="D1215" t="s">
        <v>29</v>
      </c>
      <c r="E1215" t="s">
        <v>21</v>
      </c>
      <c r="F1215" t="s">
        <v>70</v>
      </c>
      <c r="G1215" t="s">
        <v>23</v>
      </c>
      <c r="H1215" s="1">
        <v>44825</v>
      </c>
      <c r="I1215" s="2">
        <v>44826.325</v>
      </c>
      <c r="J1215">
        <v>31.8</v>
      </c>
      <c r="K1215" t="s">
        <v>24</v>
      </c>
      <c r="L1215">
        <v>0</v>
      </c>
      <c r="M1215">
        <v>1</v>
      </c>
      <c r="N1215" t="s">
        <v>780</v>
      </c>
      <c r="O1215" s="3" t="str">
        <f>TEXT(Ticket_Table[[#This Row],[raised_date]],"YYYY-MM")</f>
        <v>2022-09</v>
      </c>
      <c r="P1215" s="3" t="str">
        <f>IF(Ticket_Table[[#This Row],[resolution_hrs]]&lt;=4,"Fast",IF(Ticket_Table[[#This Row],[resolution_hrs]]&lt;=24,"Normal",IF(Ticket_Table[[#This Row],[resolution_hrs]]&lt;=48,"Slow","Very Slow")))</f>
        <v>Slow</v>
      </c>
      <c r="Q1215" s="3">
        <f>YEAR(Ticket_Table[[#This Row],[raised_date]])</f>
        <v>2022</v>
      </c>
    </row>
    <row r="1216" spans="1:17">
      <c r="A1216" t="s">
        <v>1773</v>
      </c>
      <c r="B1216" t="s">
        <v>1243</v>
      </c>
      <c r="C1216" t="s">
        <v>117</v>
      </c>
      <c r="D1216" t="s">
        <v>43</v>
      </c>
      <c r="E1216" t="s">
        <v>51</v>
      </c>
      <c r="F1216" t="s">
        <v>70</v>
      </c>
      <c r="G1216" t="s">
        <v>46</v>
      </c>
      <c r="H1216" s="1">
        <v>44524</v>
      </c>
      <c r="I1216" s="2">
        <v>44525.3</v>
      </c>
      <c r="J1216">
        <v>31.2</v>
      </c>
      <c r="K1216" t="s">
        <v>24</v>
      </c>
      <c r="L1216">
        <v>0</v>
      </c>
      <c r="M1216">
        <v>3</v>
      </c>
      <c r="N1216" t="s">
        <v>597</v>
      </c>
      <c r="O1216" s="3" t="str">
        <f>TEXT(Ticket_Table[[#This Row],[raised_date]],"YYYY-MM")</f>
        <v>2021-11</v>
      </c>
      <c r="P1216" s="3" t="str">
        <f>IF(Ticket_Table[[#This Row],[resolution_hrs]]&lt;=4,"Fast",IF(Ticket_Table[[#This Row],[resolution_hrs]]&lt;=24,"Normal",IF(Ticket_Table[[#This Row],[resolution_hrs]]&lt;=48,"Slow","Very Slow")))</f>
        <v>Slow</v>
      </c>
      <c r="Q1216" s="3">
        <f>YEAR(Ticket_Table[[#This Row],[raised_date]])</f>
        <v>2021</v>
      </c>
    </row>
    <row r="1217" spans="1:17">
      <c r="A1217" t="s">
        <v>1774</v>
      </c>
      <c r="B1217" t="s">
        <v>744</v>
      </c>
      <c r="C1217" t="s">
        <v>60</v>
      </c>
      <c r="D1217" t="s">
        <v>90</v>
      </c>
      <c r="E1217" t="s">
        <v>69</v>
      </c>
      <c r="F1217" t="s">
        <v>22</v>
      </c>
      <c r="G1217" t="s">
        <v>91</v>
      </c>
      <c r="H1217" s="1">
        <v>45027</v>
      </c>
      <c r="I1217" s="2">
        <v>45027.2208333333</v>
      </c>
      <c r="J1217">
        <v>5.3</v>
      </c>
      <c r="K1217" t="s">
        <v>24</v>
      </c>
      <c r="L1217">
        <v>0</v>
      </c>
      <c r="M1217">
        <v>3</v>
      </c>
      <c r="N1217" t="s">
        <v>347</v>
      </c>
      <c r="O1217" s="3" t="str">
        <f>TEXT(Ticket_Table[[#This Row],[raised_date]],"YYYY-MM")</f>
        <v>2023-04</v>
      </c>
      <c r="P1217" s="3" t="str">
        <f>IF(Ticket_Table[[#This Row],[resolution_hrs]]&lt;=4,"Fast",IF(Ticket_Table[[#This Row],[resolution_hrs]]&lt;=24,"Normal",IF(Ticket_Table[[#This Row],[resolution_hrs]]&lt;=48,"Slow","Very Slow")))</f>
        <v>Normal</v>
      </c>
      <c r="Q1217" s="3">
        <f>YEAR(Ticket_Table[[#This Row],[raised_date]])</f>
        <v>2023</v>
      </c>
    </row>
    <row r="1218" spans="1:17">
      <c r="A1218" t="s">
        <v>1775</v>
      </c>
      <c r="B1218" t="s">
        <v>367</v>
      </c>
      <c r="C1218" t="s">
        <v>28</v>
      </c>
      <c r="D1218" t="s">
        <v>90</v>
      </c>
      <c r="E1218" t="s">
        <v>106</v>
      </c>
      <c r="F1218" t="s">
        <v>45</v>
      </c>
      <c r="G1218" t="s">
        <v>46</v>
      </c>
      <c r="H1218" s="1">
        <v>45226</v>
      </c>
      <c r="I1218" s="2">
        <v>45226.1125</v>
      </c>
      <c r="J1218">
        <v>2.7</v>
      </c>
      <c r="K1218" t="s">
        <v>24</v>
      </c>
      <c r="L1218">
        <v>0</v>
      </c>
      <c r="M1218">
        <v>5</v>
      </c>
      <c r="N1218" t="s">
        <v>380</v>
      </c>
      <c r="O1218" s="3" t="str">
        <f>TEXT(Ticket_Table[[#This Row],[raised_date]],"YYYY-MM")</f>
        <v>2023-10</v>
      </c>
      <c r="P1218" s="3" t="str">
        <f>IF(Ticket_Table[[#This Row],[resolution_hrs]]&lt;=4,"Fast",IF(Ticket_Table[[#This Row],[resolution_hrs]]&lt;=24,"Normal",IF(Ticket_Table[[#This Row],[resolution_hrs]]&lt;=48,"Slow","Very Slow")))</f>
        <v>Fast</v>
      </c>
      <c r="Q1218" s="3">
        <f>YEAR(Ticket_Table[[#This Row],[raised_date]])</f>
        <v>2023</v>
      </c>
    </row>
    <row r="1219" spans="1:17">
      <c r="A1219" t="s">
        <v>1776</v>
      </c>
      <c r="B1219" t="s">
        <v>397</v>
      </c>
      <c r="C1219" t="s">
        <v>175</v>
      </c>
      <c r="D1219" t="s">
        <v>20</v>
      </c>
      <c r="E1219" t="s">
        <v>69</v>
      </c>
      <c r="F1219" t="s">
        <v>22</v>
      </c>
      <c r="G1219" t="s">
        <v>46</v>
      </c>
      <c r="H1219" s="1">
        <v>44833</v>
      </c>
      <c r="I1219" s="2">
        <v>44835.1083333333</v>
      </c>
      <c r="J1219">
        <v>50.6</v>
      </c>
      <c r="K1219" t="s">
        <v>24</v>
      </c>
      <c r="L1219">
        <v>0</v>
      </c>
      <c r="M1219">
        <v>4</v>
      </c>
      <c r="N1219" t="s">
        <v>59</v>
      </c>
      <c r="O1219" s="3" t="str">
        <f>TEXT(Ticket_Table[[#This Row],[raised_date]],"YYYY-MM")</f>
        <v>2022-09</v>
      </c>
      <c r="P1219" s="3" t="str">
        <f>IF(Ticket_Table[[#This Row],[resolution_hrs]]&lt;=4,"Fast",IF(Ticket_Table[[#This Row],[resolution_hrs]]&lt;=24,"Normal",IF(Ticket_Table[[#This Row],[resolution_hrs]]&lt;=48,"Slow","Very Slow")))</f>
        <v>Very Slow</v>
      </c>
      <c r="Q1219" s="3">
        <f>YEAR(Ticket_Table[[#This Row],[raised_date]])</f>
        <v>2022</v>
      </c>
    </row>
    <row r="1220" spans="1:17">
      <c r="A1220" t="s">
        <v>1777</v>
      </c>
      <c r="B1220" t="s">
        <v>121</v>
      </c>
      <c r="C1220" t="s">
        <v>102</v>
      </c>
      <c r="D1220" t="s">
        <v>43</v>
      </c>
      <c r="E1220" t="s">
        <v>44</v>
      </c>
      <c r="F1220" t="s">
        <v>22</v>
      </c>
      <c r="G1220" t="s">
        <v>23</v>
      </c>
      <c r="H1220" s="1">
        <v>44437</v>
      </c>
      <c r="I1220" s="2">
        <v>44438.0416666667</v>
      </c>
      <c r="J1220">
        <v>25</v>
      </c>
      <c r="K1220" t="s">
        <v>24</v>
      </c>
      <c r="L1220">
        <v>0</v>
      </c>
      <c r="M1220">
        <v>4</v>
      </c>
      <c r="N1220" t="s">
        <v>668</v>
      </c>
      <c r="O1220" s="3" t="str">
        <f>TEXT(Ticket_Table[[#This Row],[raised_date]],"YYYY-MM")</f>
        <v>2021-08</v>
      </c>
      <c r="P1220" s="3" t="str">
        <f>IF(Ticket_Table[[#This Row],[resolution_hrs]]&lt;=4,"Fast",IF(Ticket_Table[[#This Row],[resolution_hrs]]&lt;=24,"Normal",IF(Ticket_Table[[#This Row],[resolution_hrs]]&lt;=48,"Slow","Very Slow")))</f>
        <v>Slow</v>
      </c>
      <c r="Q1220" s="3">
        <f>YEAR(Ticket_Table[[#This Row],[raised_date]])</f>
        <v>2021</v>
      </c>
    </row>
    <row r="1221" spans="1:17">
      <c r="A1221" t="s">
        <v>1778</v>
      </c>
      <c r="B1221" t="s">
        <v>478</v>
      </c>
      <c r="C1221" t="s">
        <v>133</v>
      </c>
      <c r="D1221" t="s">
        <v>29</v>
      </c>
      <c r="E1221" t="s">
        <v>37</v>
      </c>
      <c r="F1221" t="s">
        <v>22</v>
      </c>
      <c r="G1221" t="s">
        <v>31</v>
      </c>
      <c r="H1221" s="1">
        <v>44801</v>
      </c>
      <c r="I1221" s="2">
        <v>44804.1</v>
      </c>
      <c r="J1221">
        <v>74.4</v>
      </c>
      <c r="K1221" t="s">
        <v>32</v>
      </c>
      <c r="L1221">
        <v>0</v>
      </c>
      <c r="M1221">
        <v>5</v>
      </c>
      <c r="N1221" t="s">
        <v>566</v>
      </c>
      <c r="O1221" s="3" t="str">
        <f>TEXT(Ticket_Table[[#This Row],[raised_date]],"YYYY-MM")</f>
        <v>2022-08</v>
      </c>
      <c r="P1221" s="3" t="str">
        <f>IF(Ticket_Table[[#This Row],[resolution_hrs]]&lt;=4,"Fast",IF(Ticket_Table[[#This Row],[resolution_hrs]]&lt;=24,"Normal",IF(Ticket_Table[[#This Row],[resolution_hrs]]&lt;=48,"Slow","Very Slow")))</f>
        <v>Very Slow</v>
      </c>
      <c r="Q1221" s="3">
        <f>YEAR(Ticket_Table[[#This Row],[raised_date]])</f>
        <v>2022</v>
      </c>
    </row>
    <row r="1222" spans="1:17">
      <c r="A1222" t="s">
        <v>1779</v>
      </c>
      <c r="B1222" t="s">
        <v>588</v>
      </c>
      <c r="C1222" t="s">
        <v>95</v>
      </c>
      <c r="D1222" t="s">
        <v>29</v>
      </c>
      <c r="E1222" t="s">
        <v>30</v>
      </c>
      <c r="F1222" t="s">
        <v>38</v>
      </c>
      <c r="G1222" t="s">
        <v>23</v>
      </c>
      <c r="H1222" s="1">
        <v>44949</v>
      </c>
      <c r="I1222" s="2">
        <v>44949.2666666667</v>
      </c>
      <c r="J1222">
        <v>6.4</v>
      </c>
      <c r="K1222" t="s">
        <v>24</v>
      </c>
      <c r="L1222">
        <v>0</v>
      </c>
      <c r="M1222">
        <v>5</v>
      </c>
      <c r="N1222" t="s">
        <v>479</v>
      </c>
      <c r="O1222" s="3" t="str">
        <f>TEXT(Ticket_Table[[#This Row],[raised_date]],"YYYY-MM")</f>
        <v>2023-01</v>
      </c>
      <c r="P1222" s="3" t="str">
        <f>IF(Ticket_Table[[#This Row],[resolution_hrs]]&lt;=4,"Fast",IF(Ticket_Table[[#This Row],[resolution_hrs]]&lt;=24,"Normal",IF(Ticket_Table[[#This Row],[resolution_hrs]]&lt;=48,"Slow","Very Slow")))</f>
        <v>Normal</v>
      </c>
      <c r="Q1222" s="3">
        <f>YEAR(Ticket_Table[[#This Row],[raised_date]])</f>
        <v>2023</v>
      </c>
    </row>
    <row r="1223" spans="1:17">
      <c r="A1223" t="s">
        <v>1780</v>
      </c>
      <c r="B1223" t="s">
        <v>92</v>
      </c>
      <c r="C1223" t="s">
        <v>50</v>
      </c>
      <c r="D1223" t="s">
        <v>20</v>
      </c>
      <c r="E1223" t="s">
        <v>37</v>
      </c>
      <c r="F1223" t="s">
        <v>70</v>
      </c>
      <c r="G1223" t="s">
        <v>46</v>
      </c>
      <c r="H1223" s="1">
        <v>44649</v>
      </c>
      <c r="I1223" s="2">
        <v>44650.5083333333</v>
      </c>
      <c r="J1223">
        <v>36.2</v>
      </c>
      <c r="K1223" t="s">
        <v>24</v>
      </c>
      <c r="L1223">
        <v>0</v>
      </c>
      <c r="M1223">
        <v>4</v>
      </c>
      <c r="N1223" t="s">
        <v>950</v>
      </c>
      <c r="O1223" s="3" t="str">
        <f>TEXT(Ticket_Table[[#This Row],[raised_date]],"YYYY-MM")</f>
        <v>2022-03</v>
      </c>
      <c r="P1223" s="3" t="str">
        <f>IF(Ticket_Table[[#This Row],[resolution_hrs]]&lt;=4,"Fast",IF(Ticket_Table[[#This Row],[resolution_hrs]]&lt;=24,"Normal",IF(Ticket_Table[[#This Row],[resolution_hrs]]&lt;=48,"Slow","Very Slow")))</f>
        <v>Slow</v>
      </c>
      <c r="Q1223" s="3">
        <f>YEAR(Ticket_Table[[#This Row],[raised_date]])</f>
        <v>2022</v>
      </c>
    </row>
    <row r="1224" spans="1:17">
      <c r="A1224" t="s">
        <v>1781</v>
      </c>
      <c r="B1224" t="s">
        <v>270</v>
      </c>
      <c r="C1224" t="s">
        <v>28</v>
      </c>
      <c r="D1224" t="s">
        <v>20</v>
      </c>
      <c r="E1224" t="s">
        <v>51</v>
      </c>
      <c r="F1224" t="s">
        <v>70</v>
      </c>
      <c r="G1224" t="s">
        <v>31</v>
      </c>
      <c r="H1224" s="1">
        <v>44645</v>
      </c>
      <c r="I1224" s="2">
        <v>44646.9041666667</v>
      </c>
      <c r="J1224">
        <v>45.7</v>
      </c>
      <c r="K1224" t="s">
        <v>24</v>
      </c>
      <c r="L1224">
        <v>0</v>
      </c>
      <c r="M1224">
        <v>2</v>
      </c>
      <c r="N1224" t="s">
        <v>123</v>
      </c>
      <c r="O1224" s="3" t="str">
        <f>TEXT(Ticket_Table[[#This Row],[raised_date]],"YYYY-MM")</f>
        <v>2022-03</v>
      </c>
      <c r="P1224" s="3" t="str">
        <f>IF(Ticket_Table[[#This Row],[resolution_hrs]]&lt;=4,"Fast",IF(Ticket_Table[[#This Row],[resolution_hrs]]&lt;=24,"Normal",IF(Ticket_Table[[#This Row],[resolution_hrs]]&lt;=48,"Slow","Very Slow")))</f>
        <v>Slow</v>
      </c>
      <c r="Q1224" s="3">
        <f>YEAR(Ticket_Table[[#This Row],[raised_date]])</f>
        <v>2022</v>
      </c>
    </row>
    <row r="1225" spans="1:17">
      <c r="A1225" t="s">
        <v>1782</v>
      </c>
      <c r="B1225" t="s">
        <v>240</v>
      </c>
      <c r="C1225" t="s">
        <v>133</v>
      </c>
      <c r="D1225" t="s">
        <v>29</v>
      </c>
      <c r="E1225" t="s">
        <v>37</v>
      </c>
      <c r="F1225" t="s">
        <v>22</v>
      </c>
      <c r="G1225" t="s">
        <v>23</v>
      </c>
      <c r="H1225" s="1">
        <v>44470</v>
      </c>
      <c r="I1225" s="2">
        <v>44472.3791666667</v>
      </c>
      <c r="J1225">
        <v>57.1</v>
      </c>
      <c r="K1225" t="s">
        <v>24</v>
      </c>
      <c r="L1225">
        <v>0</v>
      </c>
      <c r="M1225">
        <v>3</v>
      </c>
      <c r="N1225" t="s">
        <v>906</v>
      </c>
      <c r="O1225" s="3" t="str">
        <f>TEXT(Ticket_Table[[#This Row],[raised_date]],"YYYY-MM")</f>
        <v>2021-10</v>
      </c>
      <c r="P1225" s="3" t="str">
        <f>IF(Ticket_Table[[#This Row],[resolution_hrs]]&lt;=4,"Fast",IF(Ticket_Table[[#This Row],[resolution_hrs]]&lt;=24,"Normal",IF(Ticket_Table[[#This Row],[resolution_hrs]]&lt;=48,"Slow","Very Slow")))</f>
        <v>Very Slow</v>
      </c>
      <c r="Q1225" s="3">
        <f>YEAR(Ticket_Table[[#This Row],[raised_date]])</f>
        <v>2021</v>
      </c>
    </row>
    <row r="1226" spans="1:17">
      <c r="A1226" t="s">
        <v>1783</v>
      </c>
      <c r="B1226" t="s">
        <v>1760</v>
      </c>
      <c r="C1226" t="s">
        <v>213</v>
      </c>
      <c r="D1226" t="s">
        <v>29</v>
      </c>
      <c r="E1226" t="s">
        <v>69</v>
      </c>
      <c r="F1226" t="s">
        <v>22</v>
      </c>
      <c r="G1226" t="s">
        <v>46</v>
      </c>
      <c r="H1226" s="1">
        <v>45176</v>
      </c>
      <c r="I1226" s="2">
        <v>45177.3375</v>
      </c>
      <c r="J1226">
        <v>32.1</v>
      </c>
      <c r="K1226" t="s">
        <v>24</v>
      </c>
      <c r="L1226">
        <v>1</v>
      </c>
      <c r="M1226">
        <v>4</v>
      </c>
      <c r="N1226" t="s">
        <v>586</v>
      </c>
      <c r="O1226" s="3" t="str">
        <f>TEXT(Ticket_Table[[#This Row],[raised_date]],"YYYY-MM")</f>
        <v>2023-09</v>
      </c>
      <c r="P1226" s="3" t="str">
        <f>IF(Ticket_Table[[#This Row],[resolution_hrs]]&lt;=4,"Fast",IF(Ticket_Table[[#This Row],[resolution_hrs]]&lt;=24,"Normal",IF(Ticket_Table[[#This Row],[resolution_hrs]]&lt;=48,"Slow","Very Slow")))</f>
        <v>Slow</v>
      </c>
      <c r="Q1226" s="3">
        <f>YEAR(Ticket_Table[[#This Row],[raised_date]])</f>
        <v>2023</v>
      </c>
    </row>
    <row r="1227" spans="1:17">
      <c r="A1227" t="s">
        <v>1784</v>
      </c>
      <c r="B1227" t="s">
        <v>347</v>
      </c>
      <c r="C1227" t="s">
        <v>102</v>
      </c>
      <c r="D1227" t="s">
        <v>43</v>
      </c>
      <c r="E1227" t="s">
        <v>166</v>
      </c>
      <c r="F1227" t="s">
        <v>70</v>
      </c>
      <c r="G1227" t="s">
        <v>23</v>
      </c>
      <c r="H1227" s="1">
        <v>44510</v>
      </c>
      <c r="I1227" s="2">
        <v>44511.3375</v>
      </c>
      <c r="J1227">
        <v>32.1</v>
      </c>
      <c r="K1227" t="s">
        <v>24</v>
      </c>
      <c r="L1227">
        <v>0</v>
      </c>
      <c r="M1227">
        <v>4</v>
      </c>
      <c r="N1227" t="s">
        <v>529</v>
      </c>
      <c r="O1227" s="3" t="str">
        <f>TEXT(Ticket_Table[[#This Row],[raised_date]],"YYYY-MM")</f>
        <v>2021-11</v>
      </c>
      <c r="P1227" s="3" t="str">
        <f>IF(Ticket_Table[[#This Row],[resolution_hrs]]&lt;=4,"Fast",IF(Ticket_Table[[#This Row],[resolution_hrs]]&lt;=24,"Normal",IF(Ticket_Table[[#This Row],[resolution_hrs]]&lt;=48,"Slow","Very Slow")))</f>
        <v>Slow</v>
      </c>
      <c r="Q1227" s="3">
        <f>YEAR(Ticket_Table[[#This Row],[raised_date]])</f>
        <v>2021</v>
      </c>
    </row>
    <row r="1228" spans="1:17">
      <c r="A1228" t="s">
        <v>1785</v>
      </c>
      <c r="B1228" t="s">
        <v>359</v>
      </c>
      <c r="C1228" t="s">
        <v>102</v>
      </c>
      <c r="D1228" t="s">
        <v>20</v>
      </c>
      <c r="E1228" t="s">
        <v>51</v>
      </c>
      <c r="F1228" t="s">
        <v>38</v>
      </c>
      <c r="G1228" t="s">
        <v>46</v>
      </c>
      <c r="H1228" s="1">
        <v>45128</v>
      </c>
      <c r="I1228" s="2">
        <v>45129.3666666667</v>
      </c>
      <c r="J1228">
        <v>32.8</v>
      </c>
      <c r="K1228" t="s">
        <v>32</v>
      </c>
      <c r="L1228">
        <v>0</v>
      </c>
      <c r="M1228">
        <v>4</v>
      </c>
      <c r="N1228" t="s">
        <v>470</v>
      </c>
      <c r="O1228" s="3" t="str">
        <f>TEXT(Ticket_Table[[#This Row],[raised_date]],"YYYY-MM")</f>
        <v>2023-07</v>
      </c>
      <c r="P1228" s="3" t="str">
        <f>IF(Ticket_Table[[#This Row],[resolution_hrs]]&lt;=4,"Fast",IF(Ticket_Table[[#This Row],[resolution_hrs]]&lt;=24,"Normal",IF(Ticket_Table[[#This Row],[resolution_hrs]]&lt;=48,"Slow","Very Slow")))</f>
        <v>Slow</v>
      </c>
      <c r="Q1228" s="3">
        <f>YEAR(Ticket_Table[[#This Row],[raised_date]])</f>
        <v>2023</v>
      </c>
    </row>
    <row r="1229" spans="1:17">
      <c r="A1229" t="s">
        <v>1786</v>
      </c>
      <c r="B1229" t="s">
        <v>656</v>
      </c>
      <c r="C1229" t="s">
        <v>42</v>
      </c>
      <c r="D1229" t="s">
        <v>43</v>
      </c>
      <c r="E1229" t="s">
        <v>106</v>
      </c>
      <c r="F1229" t="s">
        <v>38</v>
      </c>
      <c r="G1229" t="s">
        <v>23</v>
      </c>
      <c r="H1229" s="1">
        <v>44962</v>
      </c>
      <c r="I1229" s="2">
        <v>44962.7375</v>
      </c>
      <c r="J1229">
        <v>17.7</v>
      </c>
      <c r="K1229" t="s">
        <v>24</v>
      </c>
      <c r="L1229">
        <v>1</v>
      </c>
      <c r="M1229">
        <v>4</v>
      </c>
      <c r="N1229" t="s">
        <v>550</v>
      </c>
      <c r="O1229" s="3" t="str">
        <f>TEXT(Ticket_Table[[#This Row],[raised_date]],"YYYY-MM")</f>
        <v>2023-02</v>
      </c>
      <c r="P1229" s="3" t="str">
        <f>IF(Ticket_Table[[#This Row],[resolution_hrs]]&lt;=4,"Fast",IF(Ticket_Table[[#This Row],[resolution_hrs]]&lt;=24,"Normal",IF(Ticket_Table[[#This Row],[resolution_hrs]]&lt;=48,"Slow","Very Slow")))</f>
        <v>Normal</v>
      </c>
      <c r="Q1229" s="3">
        <f>YEAR(Ticket_Table[[#This Row],[raised_date]])</f>
        <v>2023</v>
      </c>
    </row>
    <row r="1230" spans="1:17">
      <c r="A1230" t="s">
        <v>1787</v>
      </c>
      <c r="B1230" t="s">
        <v>1180</v>
      </c>
      <c r="C1230" t="s">
        <v>50</v>
      </c>
      <c r="D1230" t="s">
        <v>29</v>
      </c>
      <c r="E1230" t="s">
        <v>83</v>
      </c>
      <c r="F1230" t="s">
        <v>22</v>
      </c>
      <c r="G1230" t="s">
        <v>31</v>
      </c>
      <c r="H1230" s="1">
        <v>45048</v>
      </c>
      <c r="I1230" s="2">
        <v>45048.7041666667</v>
      </c>
      <c r="J1230">
        <v>16.9</v>
      </c>
      <c r="K1230" t="s">
        <v>24</v>
      </c>
      <c r="L1230">
        <v>0</v>
      </c>
      <c r="M1230">
        <v>5</v>
      </c>
      <c r="N1230" t="s">
        <v>950</v>
      </c>
      <c r="O1230" s="3" t="str">
        <f>TEXT(Ticket_Table[[#This Row],[raised_date]],"YYYY-MM")</f>
        <v>2023-05</v>
      </c>
      <c r="P1230" s="3" t="str">
        <f>IF(Ticket_Table[[#This Row],[resolution_hrs]]&lt;=4,"Fast",IF(Ticket_Table[[#This Row],[resolution_hrs]]&lt;=24,"Normal",IF(Ticket_Table[[#This Row],[resolution_hrs]]&lt;=48,"Slow","Very Slow")))</f>
        <v>Normal</v>
      </c>
      <c r="Q1230" s="3">
        <f>YEAR(Ticket_Table[[#This Row],[raised_date]])</f>
        <v>2023</v>
      </c>
    </row>
    <row r="1231" spans="1:17">
      <c r="A1231" t="s">
        <v>1788</v>
      </c>
      <c r="B1231" t="s">
        <v>546</v>
      </c>
      <c r="C1231" t="s">
        <v>95</v>
      </c>
      <c r="D1231" t="s">
        <v>36</v>
      </c>
      <c r="E1231" t="s">
        <v>51</v>
      </c>
      <c r="F1231" t="s">
        <v>70</v>
      </c>
      <c r="G1231" t="s">
        <v>31</v>
      </c>
      <c r="H1231" s="1">
        <v>45161</v>
      </c>
      <c r="I1231" s="2">
        <v>45161.4208333333</v>
      </c>
      <c r="J1231">
        <v>10.1</v>
      </c>
      <c r="K1231" t="s">
        <v>24</v>
      </c>
      <c r="L1231">
        <v>1</v>
      </c>
      <c r="M1231">
        <v>5</v>
      </c>
      <c r="N1231" t="s">
        <v>233</v>
      </c>
      <c r="O1231" s="3" t="str">
        <f>TEXT(Ticket_Table[[#This Row],[raised_date]],"YYYY-MM")</f>
        <v>2023-08</v>
      </c>
      <c r="P1231" s="3" t="str">
        <f>IF(Ticket_Table[[#This Row],[resolution_hrs]]&lt;=4,"Fast",IF(Ticket_Table[[#This Row],[resolution_hrs]]&lt;=24,"Normal",IF(Ticket_Table[[#This Row],[resolution_hrs]]&lt;=48,"Slow","Very Slow")))</f>
        <v>Normal</v>
      </c>
      <c r="Q1231" s="3">
        <f>YEAR(Ticket_Table[[#This Row],[raised_date]])</f>
        <v>2023</v>
      </c>
    </row>
    <row r="1232" spans="1:17">
      <c r="A1232" t="s">
        <v>1789</v>
      </c>
      <c r="B1232" t="s">
        <v>637</v>
      </c>
      <c r="C1232" t="s">
        <v>175</v>
      </c>
      <c r="D1232" t="s">
        <v>36</v>
      </c>
      <c r="E1232" t="s">
        <v>56</v>
      </c>
      <c r="F1232" t="s">
        <v>45</v>
      </c>
      <c r="G1232" t="s">
        <v>46</v>
      </c>
      <c r="H1232" s="1">
        <v>44644</v>
      </c>
      <c r="I1232" s="2">
        <v>44644.2291666667</v>
      </c>
      <c r="J1232">
        <v>5.5</v>
      </c>
      <c r="K1232" t="s">
        <v>32</v>
      </c>
      <c r="L1232">
        <v>0</v>
      </c>
      <c r="M1232">
        <v>5</v>
      </c>
      <c r="N1232" t="s">
        <v>1252</v>
      </c>
      <c r="O1232" s="3" t="str">
        <f>TEXT(Ticket_Table[[#This Row],[raised_date]],"YYYY-MM")</f>
        <v>2022-03</v>
      </c>
      <c r="P1232" s="3" t="str">
        <f>IF(Ticket_Table[[#This Row],[resolution_hrs]]&lt;=4,"Fast",IF(Ticket_Table[[#This Row],[resolution_hrs]]&lt;=24,"Normal",IF(Ticket_Table[[#This Row],[resolution_hrs]]&lt;=48,"Slow","Very Slow")))</f>
        <v>Normal</v>
      </c>
      <c r="Q1232" s="3">
        <f>YEAR(Ticket_Table[[#This Row],[raised_date]])</f>
        <v>2022</v>
      </c>
    </row>
    <row r="1233" spans="1:17">
      <c r="A1233" t="s">
        <v>1790</v>
      </c>
      <c r="B1233" t="s">
        <v>47</v>
      </c>
      <c r="C1233" t="s">
        <v>64</v>
      </c>
      <c r="D1233" t="s">
        <v>29</v>
      </c>
      <c r="E1233" t="s">
        <v>106</v>
      </c>
      <c r="F1233" t="s">
        <v>70</v>
      </c>
      <c r="G1233" t="s">
        <v>46</v>
      </c>
      <c r="H1233" s="1">
        <v>44703</v>
      </c>
      <c r="I1233" s="2">
        <v>44705.5291666667</v>
      </c>
      <c r="J1233">
        <v>60.7</v>
      </c>
      <c r="K1233" t="s">
        <v>32</v>
      </c>
      <c r="L1233">
        <v>0</v>
      </c>
      <c r="M1233">
        <v>5</v>
      </c>
      <c r="N1233" t="s">
        <v>1025</v>
      </c>
      <c r="O1233" s="3" t="str">
        <f>TEXT(Ticket_Table[[#This Row],[raised_date]],"YYYY-MM")</f>
        <v>2022-05</v>
      </c>
      <c r="P1233" s="3" t="str">
        <f>IF(Ticket_Table[[#This Row],[resolution_hrs]]&lt;=4,"Fast",IF(Ticket_Table[[#This Row],[resolution_hrs]]&lt;=24,"Normal",IF(Ticket_Table[[#This Row],[resolution_hrs]]&lt;=48,"Slow","Very Slow")))</f>
        <v>Very Slow</v>
      </c>
      <c r="Q1233" s="3">
        <f>YEAR(Ticket_Table[[#This Row],[raised_date]])</f>
        <v>2022</v>
      </c>
    </row>
    <row r="1234" spans="1:17">
      <c r="A1234" t="s">
        <v>1791</v>
      </c>
      <c r="B1234" t="s">
        <v>321</v>
      </c>
      <c r="C1234" t="s">
        <v>50</v>
      </c>
      <c r="D1234" t="s">
        <v>20</v>
      </c>
      <c r="E1234" t="s">
        <v>51</v>
      </c>
      <c r="F1234" t="s">
        <v>38</v>
      </c>
      <c r="G1234" t="s">
        <v>74</v>
      </c>
      <c r="H1234" s="1">
        <v>44364</v>
      </c>
      <c r="I1234" s="2">
        <v>44364.8041666667</v>
      </c>
      <c r="J1234">
        <v>19.3</v>
      </c>
      <c r="K1234" t="s">
        <v>24</v>
      </c>
      <c r="L1234">
        <v>0</v>
      </c>
      <c r="M1234">
        <v>3</v>
      </c>
      <c r="N1234" t="s">
        <v>833</v>
      </c>
      <c r="O1234" s="3" t="str">
        <f>TEXT(Ticket_Table[[#This Row],[raised_date]],"YYYY-MM")</f>
        <v>2021-06</v>
      </c>
      <c r="P1234" s="3" t="str">
        <f>IF(Ticket_Table[[#This Row],[resolution_hrs]]&lt;=4,"Fast",IF(Ticket_Table[[#This Row],[resolution_hrs]]&lt;=24,"Normal",IF(Ticket_Table[[#This Row],[resolution_hrs]]&lt;=48,"Slow","Very Slow")))</f>
        <v>Normal</v>
      </c>
      <c r="Q1234" s="3">
        <f>YEAR(Ticket_Table[[#This Row],[raised_date]])</f>
        <v>2021</v>
      </c>
    </row>
    <row r="1235" spans="1:17">
      <c r="A1235" t="s">
        <v>1792</v>
      </c>
      <c r="B1235" t="s">
        <v>442</v>
      </c>
      <c r="C1235" t="s">
        <v>19</v>
      </c>
      <c r="D1235" t="s">
        <v>36</v>
      </c>
      <c r="E1235" t="s">
        <v>56</v>
      </c>
      <c r="F1235" t="s">
        <v>22</v>
      </c>
      <c r="G1235" t="s">
        <v>46</v>
      </c>
      <c r="H1235" s="1">
        <v>45273</v>
      </c>
      <c r="I1235" s="2">
        <v>45274.3583333333</v>
      </c>
      <c r="J1235">
        <v>32.6</v>
      </c>
      <c r="K1235" t="s">
        <v>24</v>
      </c>
      <c r="L1235">
        <v>0</v>
      </c>
      <c r="M1235">
        <v>2</v>
      </c>
      <c r="N1235" t="s">
        <v>438</v>
      </c>
      <c r="O1235" s="3" t="str">
        <f>TEXT(Ticket_Table[[#This Row],[raised_date]],"YYYY-MM")</f>
        <v>2023-12</v>
      </c>
      <c r="P1235" s="3" t="str">
        <f>IF(Ticket_Table[[#This Row],[resolution_hrs]]&lt;=4,"Fast",IF(Ticket_Table[[#This Row],[resolution_hrs]]&lt;=24,"Normal",IF(Ticket_Table[[#This Row],[resolution_hrs]]&lt;=48,"Slow","Very Slow")))</f>
        <v>Slow</v>
      </c>
      <c r="Q1235" s="3">
        <f>YEAR(Ticket_Table[[#This Row],[raised_date]])</f>
        <v>2023</v>
      </c>
    </row>
    <row r="1236" spans="1:17">
      <c r="A1236" t="s">
        <v>1793</v>
      </c>
      <c r="B1236" t="s">
        <v>1191</v>
      </c>
      <c r="C1236" t="s">
        <v>64</v>
      </c>
      <c r="D1236" t="s">
        <v>20</v>
      </c>
      <c r="E1236" t="s">
        <v>106</v>
      </c>
      <c r="F1236" t="s">
        <v>45</v>
      </c>
      <c r="G1236" t="s">
        <v>74</v>
      </c>
      <c r="H1236" s="1">
        <v>45111</v>
      </c>
      <c r="I1236" s="2">
        <v>45111.05</v>
      </c>
      <c r="J1236">
        <v>1.2</v>
      </c>
      <c r="K1236" t="s">
        <v>24</v>
      </c>
      <c r="L1236">
        <v>1</v>
      </c>
      <c r="M1236">
        <v>4</v>
      </c>
      <c r="N1236" t="s">
        <v>370</v>
      </c>
      <c r="O1236" s="3" t="str">
        <f>TEXT(Ticket_Table[[#This Row],[raised_date]],"YYYY-MM")</f>
        <v>2023-07</v>
      </c>
      <c r="P1236" s="3" t="str">
        <f>IF(Ticket_Table[[#This Row],[resolution_hrs]]&lt;=4,"Fast",IF(Ticket_Table[[#This Row],[resolution_hrs]]&lt;=24,"Normal",IF(Ticket_Table[[#This Row],[resolution_hrs]]&lt;=48,"Slow","Very Slow")))</f>
        <v>Fast</v>
      </c>
      <c r="Q1236" s="3">
        <f>YEAR(Ticket_Table[[#This Row],[raised_date]])</f>
        <v>2023</v>
      </c>
    </row>
    <row r="1237" spans="1:17">
      <c r="A1237" t="s">
        <v>1794</v>
      </c>
      <c r="B1237" t="s">
        <v>141</v>
      </c>
      <c r="C1237" t="s">
        <v>287</v>
      </c>
      <c r="D1237" t="s">
        <v>36</v>
      </c>
      <c r="E1237" t="s">
        <v>44</v>
      </c>
      <c r="F1237" t="s">
        <v>38</v>
      </c>
      <c r="G1237" t="s">
        <v>23</v>
      </c>
      <c r="H1237" s="1">
        <v>45278</v>
      </c>
      <c r="I1237" s="2">
        <v>45278.1541666667</v>
      </c>
      <c r="J1237">
        <v>3.7</v>
      </c>
      <c r="K1237" t="s">
        <v>24</v>
      </c>
      <c r="L1237">
        <v>0</v>
      </c>
      <c r="M1237">
        <v>4</v>
      </c>
      <c r="N1237" t="s">
        <v>376</v>
      </c>
      <c r="O1237" s="3" t="str">
        <f>TEXT(Ticket_Table[[#This Row],[raised_date]],"YYYY-MM")</f>
        <v>2023-12</v>
      </c>
      <c r="P1237" s="3" t="str">
        <f>IF(Ticket_Table[[#This Row],[resolution_hrs]]&lt;=4,"Fast",IF(Ticket_Table[[#This Row],[resolution_hrs]]&lt;=24,"Normal",IF(Ticket_Table[[#This Row],[resolution_hrs]]&lt;=48,"Slow","Very Slow")))</f>
        <v>Fast</v>
      </c>
      <c r="Q1237" s="3">
        <f>YEAR(Ticket_Table[[#This Row],[raised_date]])</f>
        <v>2023</v>
      </c>
    </row>
    <row r="1238" spans="1:17">
      <c r="A1238" t="s">
        <v>1795</v>
      </c>
      <c r="B1238" t="s">
        <v>509</v>
      </c>
      <c r="C1238" t="s">
        <v>19</v>
      </c>
      <c r="D1238" t="s">
        <v>20</v>
      </c>
      <c r="E1238" t="s">
        <v>21</v>
      </c>
      <c r="F1238" t="s">
        <v>45</v>
      </c>
      <c r="G1238" t="s">
        <v>46</v>
      </c>
      <c r="H1238" s="1">
        <v>44937</v>
      </c>
      <c r="I1238" s="2">
        <v>44937.05</v>
      </c>
      <c r="J1238">
        <v>1.2</v>
      </c>
      <c r="K1238" t="s">
        <v>24</v>
      </c>
      <c r="L1238">
        <v>3</v>
      </c>
      <c r="M1238">
        <v>4</v>
      </c>
      <c r="N1238" t="s">
        <v>592</v>
      </c>
      <c r="O1238" s="3" t="str">
        <f>TEXT(Ticket_Table[[#This Row],[raised_date]],"YYYY-MM")</f>
        <v>2023-01</v>
      </c>
      <c r="P1238" s="3" t="str">
        <f>IF(Ticket_Table[[#This Row],[resolution_hrs]]&lt;=4,"Fast",IF(Ticket_Table[[#This Row],[resolution_hrs]]&lt;=24,"Normal",IF(Ticket_Table[[#This Row],[resolution_hrs]]&lt;=48,"Slow","Very Slow")))</f>
        <v>Fast</v>
      </c>
      <c r="Q1238" s="3">
        <f>YEAR(Ticket_Table[[#This Row],[raised_date]])</f>
        <v>2023</v>
      </c>
    </row>
    <row r="1239" spans="1:17">
      <c r="A1239" t="s">
        <v>1796</v>
      </c>
      <c r="B1239" t="s">
        <v>221</v>
      </c>
      <c r="C1239" t="s">
        <v>261</v>
      </c>
      <c r="D1239" t="s">
        <v>36</v>
      </c>
      <c r="E1239" t="s">
        <v>30</v>
      </c>
      <c r="F1239" t="s">
        <v>38</v>
      </c>
      <c r="G1239" t="s">
        <v>23</v>
      </c>
      <c r="H1239" s="1">
        <v>44356</v>
      </c>
      <c r="I1239" s="2">
        <v>44356.2</v>
      </c>
      <c r="J1239">
        <v>4.8</v>
      </c>
      <c r="K1239" t="s">
        <v>24</v>
      </c>
      <c r="L1239">
        <v>0</v>
      </c>
      <c r="M1239">
        <v>3</v>
      </c>
      <c r="N1239" t="s">
        <v>394</v>
      </c>
      <c r="O1239" s="3" t="str">
        <f>TEXT(Ticket_Table[[#This Row],[raised_date]],"YYYY-MM")</f>
        <v>2021-06</v>
      </c>
      <c r="P1239" s="3" t="str">
        <f>IF(Ticket_Table[[#This Row],[resolution_hrs]]&lt;=4,"Fast",IF(Ticket_Table[[#This Row],[resolution_hrs]]&lt;=24,"Normal",IF(Ticket_Table[[#This Row],[resolution_hrs]]&lt;=48,"Slow","Very Slow")))</f>
        <v>Normal</v>
      </c>
      <c r="Q1239" s="3">
        <f>YEAR(Ticket_Table[[#This Row],[raised_date]])</f>
        <v>2021</v>
      </c>
    </row>
    <row r="1240" spans="1:17">
      <c r="A1240" t="s">
        <v>1797</v>
      </c>
      <c r="B1240" t="s">
        <v>489</v>
      </c>
      <c r="C1240" t="s">
        <v>19</v>
      </c>
      <c r="D1240" t="s">
        <v>20</v>
      </c>
      <c r="E1240" t="s">
        <v>21</v>
      </c>
      <c r="F1240" t="s">
        <v>70</v>
      </c>
      <c r="G1240" t="s">
        <v>23</v>
      </c>
      <c r="H1240" s="1">
        <v>44426</v>
      </c>
      <c r="I1240" s="2">
        <v>44427.3</v>
      </c>
      <c r="J1240">
        <v>31.2</v>
      </c>
      <c r="K1240" t="s">
        <v>24</v>
      </c>
      <c r="L1240">
        <v>2</v>
      </c>
      <c r="M1240">
        <v>5</v>
      </c>
      <c r="N1240" t="s">
        <v>521</v>
      </c>
      <c r="O1240" s="3" t="str">
        <f>TEXT(Ticket_Table[[#This Row],[raised_date]],"YYYY-MM")</f>
        <v>2021-08</v>
      </c>
      <c r="P1240" s="3" t="str">
        <f>IF(Ticket_Table[[#This Row],[resolution_hrs]]&lt;=4,"Fast",IF(Ticket_Table[[#This Row],[resolution_hrs]]&lt;=24,"Normal",IF(Ticket_Table[[#This Row],[resolution_hrs]]&lt;=48,"Slow","Very Slow")))</f>
        <v>Slow</v>
      </c>
      <c r="Q1240" s="3">
        <f>YEAR(Ticket_Table[[#This Row],[raised_date]])</f>
        <v>2021</v>
      </c>
    </row>
    <row r="1241" spans="1:17">
      <c r="A1241" t="s">
        <v>1798</v>
      </c>
      <c r="B1241" t="s">
        <v>698</v>
      </c>
      <c r="C1241" t="s">
        <v>117</v>
      </c>
      <c r="D1241" t="s">
        <v>43</v>
      </c>
      <c r="E1241" t="s">
        <v>69</v>
      </c>
      <c r="F1241" t="s">
        <v>45</v>
      </c>
      <c r="G1241" t="s">
        <v>74</v>
      </c>
      <c r="H1241" s="1">
        <v>44323</v>
      </c>
      <c r="I1241" s="2">
        <v>44323.0625</v>
      </c>
      <c r="J1241">
        <v>1.5</v>
      </c>
      <c r="K1241" t="s">
        <v>24</v>
      </c>
      <c r="L1241">
        <v>0</v>
      </c>
      <c r="M1241">
        <v>3</v>
      </c>
      <c r="N1241" t="s">
        <v>610</v>
      </c>
      <c r="O1241" s="3" t="str">
        <f>TEXT(Ticket_Table[[#This Row],[raised_date]],"YYYY-MM")</f>
        <v>2021-05</v>
      </c>
      <c r="P1241" s="3" t="str">
        <f>IF(Ticket_Table[[#This Row],[resolution_hrs]]&lt;=4,"Fast",IF(Ticket_Table[[#This Row],[resolution_hrs]]&lt;=24,"Normal",IF(Ticket_Table[[#This Row],[resolution_hrs]]&lt;=48,"Slow","Very Slow")))</f>
        <v>Fast</v>
      </c>
      <c r="Q1241" s="3">
        <f>YEAR(Ticket_Table[[#This Row],[raised_date]])</f>
        <v>2021</v>
      </c>
    </row>
    <row r="1242" spans="1:17">
      <c r="A1242" t="s">
        <v>1799</v>
      </c>
      <c r="B1242" t="s">
        <v>1112</v>
      </c>
      <c r="C1242" t="s">
        <v>95</v>
      </c>
      <c r="D1242" t="s">
        <v>20</v>
      </c>
      <c r="E1242" t="s">
        <v>83</v>
      </c>
      <c r="F1242" t="s">
        <v>22</v>
      </c>
      <c r="G1242" t="s">
        <v>23</v>
      </c>
      <c r="H1242" s="1">
        <v>45232</v>
      </c>
      <c r="I1242" s="2">
        <v>45234.9875</v>
      </c>
      <c r="J1242">
        <v>71.7</v>
      </c>
      <c r="K1242" t="s">
        <v>24</v>
      </c>
      <c r="L1242">
        <v>0</v>
      </c>
      <c r="M1242">
        <v>5</v>
      </c>
      <c r="N1242" t="s">
        <v>1061</v>
      </c>
      <c r="O1242" s="3" t="str">
        <f>TEXT(Ticket_Table[[#This Row],[raised_date]],"YYYY-MM")</f>
        <v>2023-11</v>
      </c>
      <c r="P1242" s="3" t="str">
        <f>IF(Ticket_Table[[#This Row],[resolution_hrs]]&lt;=4,"Fast",IF(Ticket_Table[[#This Row],[resolution_hrs]]&lt;=24,"Normal",IF(Ticket_Table[[#This Row],[resolution_hrs]]&lt;=48,"Slow","Very Slow")))</f>
        <v>Very Slow</v>
      </c>
      <c r="Q1242" s="3">
        <f>YEAR(Ticket_Table[[#This Row],[raised_date]])</f>
        <v>2023</v>
      </c>
    </row>
    <row r="1243" spans="1:17">
      <c r="A1243" t="s">
        <v>1800</v>
      </c>
      <c r="B1243" t="s">
        <v>394</v>
      </c>
      <c r="C1243" t="s">
        <v>68</v>
      </c>
      <c r="D1243" t="s">
        <v>43</v>
      </c>
      <c r="E1243" t="s">
        <v>21</v>
      </c>
      <c r="F1243" t="s">
        <v>70</v>
      </c>
      <c r="G1243" t="s">
        <v>46</v>
      </c>
      <c r="H1243" s="1">
        <v>44611</v>
      </c>
      <c r="I1243" s="2">
        <v>44612.725</v>
      </c>
      <c r="J1243">
        <v>41.4</v>
      </c>
      <c r="K1243" t="s">
        <v>24</v>
      </c>
      <c r="L1243">
        <v>0</v>
      </c>
      <c r="M1243">
        <v>4</v>
      </c>
      <c r="N1243" t="s">
        <v>959</v>
      </c>
      <c r="O1243" s="3" t="str">
        <f>TEXT(Ticket_Table[[#This Row],[raised_date]],"YYYY-MM")</f>
        <v>2022-02</v>
      </c>
      <c r="P1243" s="3" t="str">
        <f>IF(Ticket_Table[[#This Row],[resolution_hrs]]&lt;=4,"Fast",IF(Ticket_Table[[#This Row],[resolution_hrs]]&lt;=24,"Normal",IF(Ticket_Table[[#This Row],[resolution_hrs]]&lt;=48,"Slow","Very Slow")))</f>
        <v>Slow</v>
      </c>
      <c r="Q1243" s="3">
        <f>YEAR(Ticket_Table[[#This Row],[raised_date]])</f>
        <v>2022</v>
      </c>
    </row>
    <row r="1244" spans="1:17">
      <c r="A1244" t="s">
        <v>1801</v>
      </c>
      <c r="B1244" t="s">
        <v>919</v>
      </c>
      <c r="C1244" t="s">
        <v>95</v>
      </c>
      <c r="D1244" t="s">
        <v>43</v>
      </c>
      <c r="E1244" t="s">
        <v>51</v>
      </c>
      <c r="F1244" t="s">
        <v>38</v>
      </c>
      <c r="G1244" t="s">
        <v>31</v>
      </c>
      <c r="H1244" s="1">
        <v>44503</v>
      </c>
      <c r="I1244" s="2">
        <v>44503.4125</v>
      </c>
      <c r="J1244">
        <v>9.9</v>
      </c>
      <c r="K1244" t="s">
        <v>24</v>
      </c>
      <c r="L1244">
        <v>0</v>
      </c>
      <c r="M1244">
        <v>1</v>
      </c>
      <c r="N1244" t="s">
        <v>323</v>
      </c>
      <c r="O1244" s="3" t="str">
        <f>TEXT(Ticket_Table[[#This Row],[raised_date]],"YYYY-MM")</f>
        <v>2021-11</v>
      </c>
      <c r="P1244" s="3" t="str">
        <f>IF(Ticket_Table[[#This Row],[resolution_hrs]]&lt;=4,"Fast",IF(Ticket_Table[[#This Row],[resolution_hrs]]&lt;=24,"Normal",IF(Ticket_Table[[#This Row],[resolution_hrs]]&lt;=48,"Slow","Very Slow")))</f>
        <v>Normal</v>
      </c>
      <c r="Q1244" s="3">
        <f>YEAR(Ticket_Table[[#This Row],[raised_date]])</f>
        <v>2021</v>
      </c>
    </row>
    <row r="1245" spans="1:17">
      <c r="A1245" t="s">
        <v>1802</v>
      </c>
      <c r="B1245" t="s">
        <v>683</v>
      </c>
      <c r="C1245" t="s">
        <v>42</v>
      </c>
      <c r="D1245" t="s">
        <v>29</v>
      </c>
      <c r="E1245" t="s">
        <v>44</v>
      </c>
      <c r="F1245" t="s">
        <v>38</v>
      </c>
      <c r="G1245" t="s">
        <v>23</v>
      </c>
      <c r="H1245" s="1">
        <v>44533</v>
      </c>
      <c r="I1245" s="2">
        <v>44533.4125</v>
      </c>
      <c r="J1245">
        <v>9.9</v>
      </c>
      <c r="K1245" t="s">
        <v>24</v>
      </c>
      <c r="L1245">
        <v>1</v>
      </c>
      <c r="M1245">
        <v>3</v>
      </c>
      <c r="N1245" t="s">
        <v>1291</v>
      </c>
      <c r="O1245" s="3" t="str">
        <f>TEXT(Ticket_Table[[#This Row],[raised_date]],"YYYY-MM")</f>
        <v>2021-12</v>
      </c>
      <c r="P1245" s="3" t="str">
        <f>IF(Ticket_Table[[#This Row],[resolution_hrs]]&lt;=4,"Fast",IF(Ticket_Table[[#This Row],[resolution_hrs]]&lt;=24,"Normal",IF(Ticket_Table[[#This Row],[resolution_hrs]]&lt;=48,"Slow","Very Slow")))</f>
        <v>Normal</v>
      </c>
      <c r="Q1245" s="3">
        <f>YEAR(Ticket_Table[[#This Row],[raised_date]])</f>
        <v>2021</v>
      </c>
    </row>
    <row r="1246" spans="1:17">
      <c r="A1246" t="s">
        <v>1803</v>
      </c>
      <c r="B1246" t="s">
        <v>186</v>
      </c>
      <c r="C1246" t="s">
        <v>261</v>
      </c>
      <c r="D1246" t="s">
        <v>43</v>
      </c>
      <c r="E1246" t="s">
        <v>37</v>
      </c>
      <c r="F1246" t="s">
        <v>45</v>
      </c>
      <c r="G1246" t="s">
        <v>46</v>
      </c>
      <c r="H1246" s="1">
        <v>44868</v>
      </c>
      <c r="I1246" s="2">
        <v>44868.0583333333</v>
      </c>
      <c r="J1246">
        <v>1.4</v>
      </c>
      <c r="K1246" t="s">
        <v>24</v>
      </c>
      <c r="L1246">
        <v>0</v>
      </c>
      <c r="M1246">
        <v>2</v>
      </c>
      <c r="N1246" t="s">
        <v>919</v>
      </c>
      <c r="O1246" s="3" t="str">
        <f>TEXT(Ticket_Table[[#This Row],[raised_date]],"YYYY-MM")</f>
        <v>2022-11</v>
      </c>
      <c r="P1246" s="3" t="str">
        <f>IF(Ticket_Table[[#This Row],[resolution_hrs]]&lt;=4,"Fast",IF(Ticket_Table[[#This Row],[resolution_hrs]]&lt;=24,"Normal",IF(Ticket_Table[[#This Row],[resolution_hrs]]&lt;=48,"Slow","Very Slow")))</f>
        <v>Fast</v>
      </c>
      <c r="Q1246" s="3">
        <f>YEAR(Ticket_Table[[#This Row],[raised_date]])</f>
        <v>2022</v>
      </c>
    </row>
    <row r="1247" spans="1:17">
      <c r="A1247" t="s">
        <v>1804</v>
      </c>
      <c r="B1247" t="s">
        <v>321</v>
      </c>
      <c r="C1247" t="s">
        <v>213</v>
      </c>
      <c r="D1247" t="s">
        <v>90</v>
      </c>
      <c r="E1247" t="s">
        <v>69</v>
      </c>
      <c r="F1247" t="s">
        <v>22</v>
      </c>
      <c r="G1247" t="s">
        <v>23</v>
      </c>
      <c r="H1247" s="1">
        <v>45262</v>
      </c>
      <c r="I1247" s="2">
        <v>45264.2875</v>
      </c>
      <c r="J1247">
        <v>54.9</v>
      </c>
      <c r="K1247" t="s">
        <v>24</v>
      </c>
      <c r="L1247">
        <v>0</v>
      </c>
      <c r="M1247">
        <v>1</v>
      </c>
      <c r="N1247" t="s">
        <v>1223</v>
      </c>
      <c r="O1247" s="3" t="str">
        <f>TEXT(Ticket_Table[[#This Row],[raised_date]],"YYYY-MM")</f>
        <v>2023-12</v>
      </c>
      <c r="P1247" s="3" t="str">
        <f>IF(Ticket_Table[[#This Row],[resolution_hrs]]&lt;=4,"Fast",IF(Ticket_Table[[#This Row],[resolution_hrs]]&lt;=24,"Normal",IF(Ticket_Table[[#This Row],[resolution_hrs]]&lt;=48,"Slow","Very Slow")))</f>
        <v>Very Slow</v>
      </c>
      <c r="Q1247" s="3">
        <f>YEAR(Ticket_Table[[#This Row],[raised_date]])</f>
        <v>2023</v>
      </c>
    </row>
    <row r="1248" spans="1:17">
      <c r="A1248" t="s">
        <v>1805</v>
      </c>
      <c r="B1248" t="s">
        <v>439</v>
      </c>
      <c r="C1248" t="s">
        <v>175</v>
      </c>
      <c r="D1248" t="s">
        <v>43</v>
      </c>
      <c r="E1248" t="s">
        <v>21</v>
      </c>
      <c r="F1248" t="s">
        <v>38</v>
      </c>
      <c r="G1248" t="s">
        <v>46</v>
      </c>
      <c r="H1248" s="1">
        <v>45101</v>
      </c>
      <c r="I1248" s="2">
        <v>45101.2083333333</v>
      </c>
      <c r="J1248">
        <v>5</v>
      </c>
      <c r="K1248" t="s">
        <v>24</v>
      </c>
      <c r="L1248">
        <v>0</v>
      </c>
      <c r="M1248">
        <v>4</v>
      </c>
      <c r="N1248" t="s">
        <v>1191</v>
      </c>
      <c r="O1248" s="3" t="str">
        <f>TEXT(Ticket_Table[[#This Row],[raised_date]],"YYYY-MM")</f>
        <v>2023-06</v>
      </c>
      <c r="P1248" s="3" t="str">
        <f>IF(Ticket_Table[[#This Row],[resolution_hrs]]&lt;=4,"Fast",IF(Ticket_Table[[#This Row],[resolution_hrs]]&lt;=24,"Normal",IF(Ticket_Table[[#This Row],[resolution_hrs]]&lt;=48,"Slow","Very Slow")))</f>
        <v>Normal</v>
      </c>
      <c r="Q1248" s="3">
        <f>YEAR(Ticket_Table[[#This Row],[raised_date]])</f>
        <v>2023</v>
      </c>
    </row>
    <row r="1249" spans="1:17">
      <c r="A1249" t="s">
        <v>1806</v>
      </c>
      <c r="B1249" t="s">
        <v>481</v>
      </c>
      <c r="C1249" t="s">
        <v>19</v>
      </c>
      <c r="D1249" t="s">
        <v>20</v>
      </c>
      <c r="E1249" t="s">
        <v>166</v>
      </c>
      <c r="F1249" t="s">
        <v>38</v>
      </c>
      <c r="G1249" t="s">
        <v>31</v>
      </c>
      <c r="H1249" s="1">
        <v>44435</v>
      </c>
      <c r="I1249" s="2">
        <v>44436.0083333333</v>
      </c>
      <c r="J1249">
        <v>24.2</v>
      </c>
      <c r="K1249" t="s">
        <v>32</v>
      </c>
      <c r="L1249">
        <v>0</v>
      </c>
      <c r="M1249">
        <v>3</v>
      </c>
      <c r="N1249" t="s">
        <v>107</v>
      </c>
      <c r="O1249" s="3" t="str">
        <f>TEXT(Ticket_Table[[#This Row],[raised_date]],"YYYY-MM")</f>
        <v>2021-08</v>
      </c>
      <c r="P1249" s="3" t="str">
        <f>IF(Ticket_Table[[#This Row],[resolution_hrs]]&lt;=4,"Fast",IF(Ticket_Table[[#This Row],[resolution_hrs]]&lt;=24,"Normal",IF(Ticket_Table[[#This Row],[resolution_hrs]]&lt;=48,"Slow","Very Slow")))</f>
        <v>Slow</v>
      </c>
      <c r="Q1249" s="3">
        <f>YEAR(Ticket_Table[[#This Row],[raised_date]])</f>
        <v>2021</v>
      </c>
    </row>
    <row r="1250" spans="1:17">
      <c r="A1250" t="s">
        <v>1807</v>
      </c>
      <c r="B1250" t="s">
        <v>337</v>
      </c>
      <c r="C1250" t="s">
        <v>287</v>
      </c>
      <c r="D1250" t="s">
        <v>43</v>
      </c>
      <c r="E1250" t="s">
        <v>83</v>
      </c>
      <c r="F1250" t="s">
        <v>22</v>
      </c>
      <c r="G1250" t="s">
        <v>91</v>
      </c>
      <c r="H1250" s="1">
        <v>44617</v>
      </c>
      <c r="I1250" s="2">
        <v>44617.8416666667</v>
      </c>
      <c r="J1250">
        <v>20.2</v>
      </c>
      <c r="K1250" t="s">
        <v>24</v>
      </c>
      <c r="L1250">
        <v>0</v>
      </c>
      <c r="M1250">
        <v>5</v>
      </c>
      <c r="N1250" t="s">
        <v>361</v>
      </c>
      <c r="O1250" s="3" t="str">
        <f>TEXT(Ticket_Table[[#This Row],[raised_date]],"YYYY-MM")</f>
        <v>2022-02</v>
      </c>
      <c r="P1250" s="3" t="str">
        <f>IF(Ticket_Table[[#This Row],[resolution_hrs]]&lt;=4,"Fast",IF(Ticket_Table[[#This Row],[resolution_hrs]]&lt;=24,"Normal",IF(Ticket_Table[[#This Row],[resolution_hrs]]&lt;=48,"Slow","Very Slow")))</f>
        <v>Normal</v>
      </c>
      <c r="Q1250" s="3">
        <f>YEAR(Ticket_Table[[#This Row],[raised_date]])</f>
        <v>2022</v>
      </c>
    </row>
    <row r="1251" spans="1:17">
      <c r="A1251" t="s">
        <v>1808</v>
      </c>
      <c r="B1251" t="s">
        <v>607</v>
      </c>
      <c r="C1251" t="s">
        <v>102</v>
      </c>
      <c r="D1251" t="s">
        <v>20</v>
      </c>
      <c r="E1251" t="s">
        <v>37</v>
      </c>
      <c r="F1251" t="s">
        <v>70</v>
      </c>
      <c r="G1251" t="s">
        <v>74</v>
      </c>
      <c r="H1251" s="1">
        <v>45198</v>
      </c>
      <c r="I1251" s="2">
        <v>45198.5791666667</v>
      </c>
      <c r="J1251">
        <v>13.9</v>
      </c>
      <c r="K1251" t="s">
        <v>24</v>
      </c>
      <c r="L1251">
        <v>1</v>
      </c>
      <c r="M1251">
        <v>3</v>
      </c>
      <c r="N1251" t="s">
        <v>607</v>
      </c>
      <c r="O1251" s="3" t="str">
        <f>TEXT(Ticket_Table[[#This Row],[raised_date]],"YYYY-MM")</f>
        <v>2023-09</v>
      </c>
      <c r="P1251" s="3" t="str">
        <f>IF(Ticket_Table[[#This Row],[resolution_hrs]]&lt;=4,"Fast",IF(Ticket_Table[[#This Row],[resolution_hrs]]&lt;=24,"Normal",IF(Ticket_Table[[#This Row],[resolution_hrs]]&lt;=48,"Slow","Very Slow")))</f>
        <v>Normal</v>
      </c>
      <c r="Q1251" s="3">
        <f>YEAR(Ticket_Table[[#This Row],[raised_date]])</f>
        <v>2023</v>
      </c>
    </row>
    <row r="1252" spans="1:17">
      <c r="A1252" t="s">
        <v>1809</v>
      </c>
      <c r="B1252" t="s">
        <v>776</v>
      </c>
      <c r="C1252" t="s">
        <v>287</v>
      </c>
      <c r="D1252" t="s">
        <v>20</v>
      </c>
      <c r="E1252" t="s">
        <v>30</v>
      </c>
      <c r="F1252" t="s">
        <v>22</v>
      </c>
      <c r="G1252" t="s">
        <v>31</v>
      </c>
      <c r="H1252" s="1">
        <v>44383</v>
      </c>
      <c r="I1252" s="2">
        <v>44384.7916666667</v>
      </c>
      <c r="J1252">
        <v>43</v>
      </c>
      <c r="K1252" t="s">
        <v>24</v>
      </c>
      <c r="L1252">
        <v>0</v>
      </c>
      <c r="M1252">
        <v>1</v>
      </c>
      <c r="N1252" t="s">
        <v>343</v>
      </c>
      <c r="O1252" s="3" t="str">
        <f>TEXT(Ticket_Table[[#This Row],[raised_date]],"YYYY-MM")</f>
        <v>2021-07</v>
      </c>
      <c r="P1252" s="3" t="str">
        <f>IF(Ticket_Table[[#This Row],[resolution_hrs]]&lt;=4,"Fast",IF(Ticket_Table[[#This Row],[resolution_hrs]]&lt;=24,"Normal",IF(Ticket_Table[[#This Row],[resolution_hrs]]&lt;=48,"Slow","Very Slow")))</f>
        <v>Slow</v>
      </c>
      <c r="Q1252" s="3">
        <f>YEAR(Ticket_Table[[#This Row],[raised_date]])</f>
        <v>2021</v>
      </c>
    </row>
    <row r="1253" spans="1:17">
      <c r="A1253" t="s">
        <v>1810</v>
      </c>
      <c r="B1253" t="s">
        <v>158</v>
      </c>
      <c r="C1253" t="s">
        <v>140</v>
      </c>
      <c r="D1253" t="s">
        <v>90</v>
      </c>
      <c r="E1253" t="s">
        <v>51</v>
      </c>
      <c r="F1253" t="s">
        <v>70</v>
      </c>
      <c r="G1253" t="s">
        <v>23</v>
      </c>
      <c r="H1253" s="1">
        <v>45242</v>
      </c>
      <c r="I1253" s="2">
        <v>45242.2875</v>
      </c>
      <c r="J1253">
        <v>6.9</v>
      </c>
      <c r="K1253" t="s">
        <v>24</v>
      </c>
      <c r="L1253">
        <v>2</v>
      </c>
      <c r="M1253">
        <v>5</v>
      </c>
      <c r="N1253" t="s">
        <v>346</v>
      </c>
      <c r="O1253" s="3" t="str">
        <f>TEXT(Ticket_Table[[#This Row],[raised_date]],"YYYY-MM")</f>
        <v>2023-11</v>
      </c>
      <c r="P1253" s="3" t="str">
        <f>IF(Ticket_Table[[#This Row],[resolution_hrs]]&lt;=4,"Fast",IF(Ticket_Table[[#This Row],[resolution_hrs]]&lt;=24,"Normal",IF(Ticket_Table[[#This Row],[resolution_hrs]]&lt;=48,"Slow","Very Slow")))</f>
        <v>Normal</v>
      </c>
      <c r="Q1253" s="3">
        <f>YEAR(Ticket_Table[[#This Row],[raised_date]])</f>
        <v>2023</v>
      </c>
    </row>
    <row r="1254" spans="1:17">
      <c r="A1254" t="s">
        <v>1811</v>
      </c>
      <c r="B1254" t="s">
        <v>668</v>
      </c>
      <c r="C1254" t="s">
        <v>82</v>
      </c>
      <c r="D1254" t="s">
        <v>43</v>
      </c>
      <c r="E1254" t="s">
        <v>44</v>
      </c>
      <c r="F1254" t="s">
        <v>45</v>
      </c>
      <c r="G1254" t="s">
        <v>74</v>
      </c>
      <c r="H1254" s="1">
        <v>45109</v>
      </c>
      <c r="I1254" s="2">
        <v>45109.225</v>
      </c>
      <c r="J1254">
        <v>5.4</v>
      </c>
      <c r="K1254" t="s">
        <v>32</v>
      </c>
      <c r="L1254">
        <v>2</v>
      </c>
      <c r="M1254">
        <v>4</v>
      </c>
      <c r="N1254" t="s">
        <v>372</v>
      </c>
      <c r="O1254" s="3" t="str">
        <f>TEXT(Ticket_Table[[#This Row],[raised_date]],"YYYY-MM")</f>
        <v>2023-07</v>
      </c>
      <c r="P1254" s="3" t="str">
        <f>IF(Ticket_Table[[#This Row],[resolution_hrs]]&lt;=4,"Fast",IF(Ticket_Table[[#This Row],[resolution_hrs]]&lt;=24,"Normal",IF(Ticket_Table[[#This Row],[resolution_hrs]]&lt;=48,"Slow","Very Slow")))</f>
        <v>Normal</v>
      </c>
      <c r="Q1254" s="3">
        <f>YEAR(Ticket_Table[[#This Row],[raised_date]])</f>
        <v>2023</v>
      </c>
    </row>
    <row r="1255" spans="1:17">
      <c r="A1255" t="s">
        <v>1812</v>
      </c>
      <c r="B1255" t="s">
        <v>680</v>
      </c>
      <c r="C1255" t="s">
        <v>78</v>
      </c>
      <c r="D1255" t="s">
        <v>43</v>
      </c>
      <c r="E1255" t="s">
        <v>106</v>
      </c>
      <c r="F1255" t="s">
        <v>70</v>
      </c>
      <c r="G1255" t="s">
        <v>74</v>
      </c>
      <c r="H1255" s="1">
        <v>44310</v>
      </c>
      <c r="I1255" s="2">
        <v>44310.9208333333</v>
      </c>
      <c r="J1255">
        <v>22.1</v>
      </c>
      <c r="K1255" t="s">
        <v>24</v>
      </c>
      <c r="L1255">
        <v>1</v>
      </c>
      <c r="M1255">
        <v>4</v>
      </c>
      <c r="N1255" t="s">
        <v>1278</v>
      </c>
      <c r="O1255" s="3" t="str">
        <f>TEXT(Ticket_Table[[#This Row],[raised_date]],"YYYY-MM")</f>
        <v>2021-04</v>
      </c>
      <c r="P1255" s="3" t="str">
        <f>IF(Ticket_Table[[#This Row],[resolution_hrs]]&lt;=4,"Fast",IF(Ticket_Table[[#This Row],[resolution_hrs]]&lt;=24,"Normal",IF(Ticket_Table[[#This Row],[resolution_hrs]]&lt;=48,"Slow","Very Slow")))</f>
        <v>Normal</v>
      </c>
      <c r="Q1255" s="3">
        <f>YEAR(Ticket_Table[[#This Row],[raised_date]])</f>
        <v>2021</v>
      </c>
    </row>
    <row r="1256" spans="1:17">
      <c r="A1256" t="s">
        <v>1813</v>
      </c>
      <c r="B1256" t="s">
        <v>462</v>
      </c>
      <c r="C1256" t="s">
        <v>175</v>
      </c>
      <c r="D1256" t="s">
        <v>36</v>
      </c>
      <c r="E1256" t="s">
        <v>21</v>
      </c>
      <c r="F1256" t="s">
        <v>38</v>
      </c>
      <c r="G1256" t="s">
        <v>31</v>
      </c>
      <c r="H1256" s="1">
        <v>45125</v>
      </c>
      <c r="I1256" s="2">
        <v>45125.9</v>
      </c>
      <c r="J1256">
        <v>21.6</v>
      </c>
      <c r="K1256" t="s">
        <v>24</v>
      </c>
      <c r="L1256">
        <v>0</v>
      </c>
      <c r="M1256">
        <v>3</v>
      </c>
      <c r="N1256" t="s">
        <v>141</v>
      </c>
      <c r="O1256" s="3" t="str">
        <f>TEXT(Ticket_Table[[#This Row],[raised_date]],"YYYY-MM")</f>
        <v>2023-07</v>
      </c>
      <c r="P1256" s="3" t="str">
        <f>IF(Ticket_Table[[#This Row],[resolution_hrs]]&lt;=4,"Fast",IF(Ticket_Table[[#This Row],[resolution_hrs]]&lt;=24,"Normal",IF(Ticket_Table[[#This Row],[resolution_hrs]]&lt;=48,"Slow","Very Slow")))</f>
        <v>Normal</v>
      </c>
      <c r="Q1256" s="3">
        <f>YEAR(Ticket_Table[[#This Row],[raised_date]])</f>
        <v>2023</v>
      </c>
    </row>
    <row r="1257" spans="1:17">
      <c r="A1257" t="s">
        <v>1814</v>
      </c>
      <c r="B1257" t="s">
        <v>1382</v>
      </c>
      <c r="C1257" t="s">
        <v>42</v>
      </c>
      <c r="D1257" t="s">
        <v>36</v>
      </c>
      <c r="E1257" t="s">
        <v>166</v>
      </c>
      <c r="F1257" t="s">
        <v>45</v>
      </c>
      <c r="G1257" t="s">
        <v>23</v>
      </c>
      <c r="H1257" s="1">
        <v>44467</v>
      </c>
      <c r="I1257" s="2">
        <v>44467.1375</v>
      </c>
      <c r="J1257">
        <v>3.3</v>
      </c>
      <c r="K1257" t="s">
        <v>24</v>
      </c>
      <c r="L1257">
        <v>0</v>
      </c>
      <c r="M1257">
        <v>1</v>
      </c>
      <c r="N1257" t="s">
        <v>1063</v>
      </c>
      <c r="O1257" s="3" t="str">
        <f>TEXT(Ticket_Table[[#This Row],[raised_date]],"YYYY-MM")</f>
        <v>2021-09</v>
      </c>
      <c r="P1257" s="3" t="str">
        <f>IF(Ticket_Table[[#This Row],[resolution_hrs]]&lt;=4,"Fast",IF(Ticket_Table[[#This Row],[resolution_hrs]]&lt;=24,"Normal",IF(Ticket_Table[[#This Row],[resolution_hrs]]&lt;=48,"Slow","Very Slow")))</f>
        <v>Fast</v>
      </c>
      <c r="Q1257" s="3">
        <f>YEAR(Ticket_Table[[#This Row],[raised_date]])</f>
        <v>2021</v>
      </c>
    </row>
    <row r="1258" spans="1:17">
      <c r="A1258" t="s">
        <v>1815</v>
      </c>
      <c r="B1258" t="s">
        <v>49</v>
      </c>
      <c r="C1258" t="s">
        <v>28</v>
      </c>
      <c r="D1258" t="s">
        <v>29</v>
      </c>
      <c r="E1258" t="s">
        <v>83</v>
      </c>
      <c r="F1258" t="s">
        <v>70</v>
      </c>
      <c r="G1258" t="s">
        <v>91</v>
      </c>
      <c r="H1258" s="1">
        <v>45248</v>
      </c>
      <c r="I1258" s="2">
        <v>45250.025</v>
      </c>
      <c r="J1258">
        <v>48.6</v>
      </c>
      <c r="K1258" t="s">
        <v>32</v>
      </c>
      <c r="L1258">
        <v>0</v>
      </c>
      <c r="M1258">
        <v>3</v>
      </c>
      <c r="N1258" t="s">
        <v>54</v>
      </c>
      <c r="O1258" s="3" t="str">
        <f>TEXT(Ticket_Table[[#This Row],[raised_date]],"YYYY-MM")</f>
        <v>2023-11</v>
      </c>
      <c r="P1258" s="3" t="str">
        <f>IF(Ticket_Table[[#This Row],[resolution_hrs]]&lt;=4,"Fast",IF(Ticket_Table[[#This Row],[resolution_hrs]]&lt;=24,"Normal",IF(Ticket_Table[[#This Row],[resolution_hrs]]&lt;=48,"Slow","Very Slow")))</f>
        <v>Very Slow</v>
      </c>
      <c r="Q1258" s="3">
        <f>YEAR(Ticket_Table[[#This Row],[raised_date]])</f>
        <v>2023</v>
      </c>
    </row>
    <row r="1259" spans="1:17">
      <c r="A1259" t="s">
        <v>1816</v>
      </c>
      <c r="B1259" t="s">
        <v>552</v>
      </c>
      <c r="C1259" t="s">
        <v>95</v>
      </c>
      <c r="D1259" t="s">
        <v>20</v>
      </c>
      <c r="E1259" t="s">
        <v>30</v>
      </c>
      <c r="F1259" t="s">
        <v>38</v>
      </c>
      <c r="G1259" t="s">
        <v>23</v>
      </c>
      <c r="H1259" s="1">
        <v>45047</v>
      </c>
      <c r="I1259" s="2">
        <v>45047.95</v>
      </c>
      <c r="J1259">
        <v>22.8</v>
      </c>
      <c r="K1259" t="s">
        <v>24</v>
      </c>
      <c r="L1259">
        <v>2</v>
      </c>
      <c r="M1259">
        <v>4</v>
      </c>
      <c r="N1259" t="s">
        <v>248</v>
      </c>
      <c r="O1259" s="3" t="str">
        <f>TEXT(Ticket_Table[[#This Row],[raised_date]],"YYYY-MM")</f>
        <v>2023-05</v>
      </c>
      <c r="P1259" s="3" t="str">
        <f>IF(Ticket_Table[[#This Row],[resolution_hrs]]&lt;=4,"Fast",IF(Ticket_Table[[#This Row],[resolution_hrs]]&lt;=24,"Normal",IF(Ticket_Table[[#This Row],[resolution_hrs]]&lt;=48,"Slow","Very Slow")))</f>
        <v>Normal</v>
      </c>
      <c r="Q1259" s="3">
        <f>YEAR(Ticket_Table[[#This Row],[raised_date]])</f>
        <v>2023</v>
      </c>
    </row>
    <row r="1260" spans="1:17">
      <c r="A1260" t="s">
        <v>1817</v>
      </c>
      <c r="B1260" t="s">
        <v>594</v>
      </c>
      <c r="C1260" t="s">
        <v>261</v>
      </c>
      <c r="D1260" t="s">
        <v>90</v>
      </c>
      <c r="E1260" t="s">
        <v>21</v>
      </c>
      <c r="F1260" t="s">
        <v>70</v>
      </c>
      <c r="G1260" t="s">
        <v>46</v>
      </c>
      <c r="H1260" s="1">
        <v>45132</v>
      </c>
      <c r="I1260" s="2">
        <v>45132.825</v>
      </c>
      <c r="J1260">
        <v>19.8</v>
      </c>
      <c r="K1260" t="s">
        <v>24</v>
      </c>
      <c r="L1260">
        <v>2</v>
      </c>
      <c r="M1260">
        <v>1</v>
      </c>
      <c r="N1260" t="s">
        <v>413</v>
      </c>
      <c r="O1260" s="3" t="str">
        <f>TEXT(Ticket_Table[[#This Row],[raised_date]],"YYYY-MM")</f>
        <v>2023-07</v>
      </c>
      <c r="P1260" s="3" t="str">
        <f>IF(Ticket_Table[[#This Row],[resolution_hrs]]&lt;=4,"Fast",IF(Ticket_Table[[#This Row],[resolution_hrs]]&lt;=24,"Normal",IF(Ticket_Table[[#This Row],[resolution_hrs]]&lt;=48,"Slow","Very Slow")))</f>
        <v>Normal</v>
      </c>
      <c r="Q1260" s="3">
        <f>YEAR(Ticket_Table[[#This Row],[raised_date]])</f>
        <v>2023</v>
      </c>
    </row>
    <row r="1261" spans="1:17">
      <c r="A1261" t="s">
        <v>1818</v>
      </c>
      <c r="B1261" t="s">
        <v>538</v>
      </c>
      <c r="C1261" t="s">
        <v>102</v>
      </c>
      <c r="D1261" t="s">
        <v>36</v>
      </c>
      <c r="E1261" t="s">
        <v>30</v>
      </c>
      <c r="F1261" t="s">
        <v>38</v>
      </c>
      <c r="G1261" t="s">
        <v>31</v>
      </c>
      <c r="H1261" s="1">
        <v>44315</v>
      </c>
      <c r="I1261" s="2">
        <v>44316.45</v>
      </c>
      <c r="J1261">
        <v>34.8</v>
      </c>
      <c r="K1261" t="s">
        <v>32</v>
      </c>
      <c r="L1261">
        <v>0</v>
      </c>
      <c r="M1261">
        <v>4</v>
      </c>
      <c r="N1261" t="s">
        <v>310</v>
      </c>
      <c r="O1261" s="3" t="str">
        <f>TEXT(Ticket_Table[[#This Row],[raised_date]],"YYYY-MM")</f>
        <v>2021-04</v>
      </c>
      <c r="P1261" s="3" t="str">
        <f>IF(Ticket_Table[[#This Row],[resolution_hrs]]&lt;=4,"Fast",IF(Ticket_Table[[#This Row],[resolution_hrs]]&lt;=24,"Normal",IF(Ticket_Table[[#This Row],[resolution_hrs]]&lt;=48,"Slow","Very Slow")))</f>
        <v>Slow</v>
      </c>
      <c r="Q1261" s="3">
        <f>YEAR(Ticket_Table[[#This Row],[raised_date]])</f>
        <v>2021</v>
      </c>
    </row>
    <row r="1262" spans="1:17">
      <c r="A1262" t="s">
        <v>1819</v>
      </c>
      <c r="B1262" t="s">
        <v>671</v>
      </c>
      <c r="C1262" t="s">
        <v>68</v>
      </c>
      <c r="D1262" t="s">
        <v>43</v>
      </c>
      <c r="E1262" t="s">
        <v>37</v>
      </c>
      <c r="F1262" t="s">
        <v>22</v>
      </c>
      <c r="G1262" t="s">
        <v>31</v>
      </c>
      <c r="H1262" s="1">
        <v>45143</v>
      </c>
      <c r="I1262" s="2">
        <v>45146.925</v>
      </c>
      <c r="J1262">
        <v>94.2</v>
      </c>
      <c r="K1262" t="s">
        <v>32</v>
      </c>
      <c r="L1262">
        <v>0</v>
      </c>
      <c r="M1262">
        <v>5</v>
      </c>
      <c r="N1262" t="s">
        <v>256</v>
      </c>
      <c r="O1262" s="3" t="str">
        <f>TEXT(Ticket_Table[[#This Row],[raised_date]],"YYYY-MM")</f>
        <v>2023-08</v>
      </c>
      <c r="P1262" s="3" t="str">
        <f>IF(Ticket_Table[[#This Row],[resolution_hrs]]&lt;=4,"Fast",IF(Ticket_Table[[#This Row],[resolution_hrs]]&lt;=24,"Normal",IF(Ticket_Table[[#This Row],[resolution_hrs]]&lt;=48,"Slow","Very Slow")))</f>
        <v>Very Slow</v>
      </c>
      <c r="Q1262" s="3">
        <f>YEAR(Ticket_Table[[#This Row],[raised_date]])</f>
        <v>2023</v>
      </c>
    </row>
    <row r="1263" spans="1:17">
      <c r="A1263" t="s">
        <v>1820</v>
      </c>
      <c r="B1263" t="s">
        <v>1050</v>
      </c>
      <c r="C1263" t="s">
        <v>133</v>
      </c>
      <c r="D1263" t="s">
        <v>29</v>
      </c>
      <c r="E1263" t="s">
        <v>37</v>
      </c>
      <c r="F1263" t="s">
        <v>45</v>
      </c>
      <c r="G1263" t="s">
        <v>31</v>
      </c>
      <c r="H1263" s="1">
        <v>44828</v>
      </c>
      <c r="I1263" s="2">
        <v>44828.0791666667</v>
      </c>
      <c r="J1263">
        <v>1.9</v>
      </c>
      <c r="K1263" t="s">
        <v>24</v>
      </c>
      <c r="L1263">
        <v>1</v>
      </c>
      <c r="M1263">
        <v>3</v>
      </c>
      <c r="N1263" t="s">
        <v>151</v>
      </c>
      <c r="O1263" s="3" t="str">
        <f>TEXT(Ticket_Table[[#This Row],[raised_date]],"YYYY-MM")</f>
        <v>2022-09</v>
      </c>
      <c r="P1263" s="3" t="str">
        <f>IF(Ticket_Table[[#This Row],[resolution_hrs]]&lt;=4,"Fast",IF(Ticket_Table[[#This Row],[resolution_hrs]]&lt;=24,"Normal",IF(Ticket_Table[[#This Row],[resolution_hrs]]&lt;=48,"Slow","Very Slow")))</f>
        <v>Fast</v>
      </c>
      <c r="Q1263" s="3">
        <f>YEAR(Ticket_Table[[#This Row],[raised_date]])</f>
        <v>2022</v>
      </c>
    </row>
    <row r="1264" spans="1:17">
      <c r="A1264" t="s">
        <v>1821</v>
      </c>
      <c r="B1264" t="s">
        <v>107</v>
      </c>
      <c r="C1264" t="s">
        <v>19</v>
      </c>
      <c r="D1264" t="s">
        <v>90</v>
      </c>
      <c r="E1264" t="s">
        <v>69</v>
      </c>
      <c r="F1264" t="s">
        <v>22</v>
      </c>
      <c r="G1264" t="s">
        <v>31</v>
      </c>
      <c r="H1264" s="1">
        <v>44241</v>
      </c>
      <c r="I1264" s="2">
        <v>44241.8666666667</v>
      </c>
      <c r="J1264">
        <v>20.8</v>
      </c>
      <c r="K1264" t="s">
        <v>24</v>
      </c>
      <c r="L1264">
        <v>0</v>
      </c>
      <c r="M1264">
        <v>5</v>
      </c>
      <c r="N1264" t="s">
        <v>595</v>
      </c>
      <c r="O1264" s="3" t="str">
        <f>TEXT(Ticket_Table[[#This Row],[raised_date]],"YYYY-MM")</f>
        <v>2021-02</v>
      </c>
      <c r="P1264" s="3" t="str">
        <f>IF(Ticket_Table[[#This Row],[resolution_hrs]]&lt;=4,"Fast",IF(Ticket_Table[[#This Row],[resolution_hrs]]&lt;=24,"Normal",IF(Ticket_Table[[#This Row],[resolution_hrs]]&lt;=48,"Slow","Very Slow")))</f>
        <v>Normal</v>
      </c>
      <c r="Q1264" s="3">
        <f>YEAR(Ticket_Table[[#This Row],[raised_date]])</f>
        <v>2021</v>
      </c>
    </row>
    <row r="1265" spans="1:17">
      <c r="A1265" t="s">
        <v>1822</v>
      </c>
      <c r="B1265" t="s">
        <v>510</v>
      </c>
      <c r="C1265" t="s">
        <v>78</v>
      </c>
      <c r="D1265" t="s">
        <v>43</v>
      </c>
      <c r="E1265" t="s">
        <v>21</v>
      </c>
      <c r="F1265" t="s">
        <v>70</v>
      </c>
      <c r="G1265" t="s">
        <v>23</v>
      </c>
      <c r="H1265" s="1">
        <v>45007</v>
      </c>
      <c r="I1265" s="2">
        <v>45009.25</v>
      </c>
      <c r="J1265">
        <v>54</v>
      </c>
      <c r="K1265" t="s">
        <v>32</v>
      </c>
      <c r="L1265">
        <v>0</v>
      </c>
      <c r="M1265">
        <v>2</v>
      </c>
      <c r="N1265" t="s">
        <v>458</v>
      </c>
      <c r="O1265" s="3" t="str">
        <f>TEXT(Ticket_Table[[#This Row],[raised_date]],"YYYY-MM")</f>
        <v>2023-03</v>
      </c>
      <c r="P1265" s="3" t="str">
        <f>IF(Ticket_Table[[#This Row],[resolution_hrs]]&lt;=4,"Fast",IF(Ticket_Table[[#This Row],[resolution_hrs]]&lt;=24,"Normal",IF(Ticket_Table[[#This Row],[resolution_hrs]]&lt;=48,"Slow","Very Slow")))</f>
        <v>Very Slow</v>
      </c>
      <c r="Q1265" s="3">
        <f>YEAR(Ticket_Table[[#This Row],[raised_date]])</f>
        <v>2023</v>
      </c>
    </row>
    <row r="1266" spans="1:17">
      <c r="A1266" t="s">
        <v>1823</v>
      </c>
      <c r="B1266" t="s">
        <v>462</v>
      </c>
      <c r="C1266" t="s">
        <v>133</v>
      </c>
      <c r="D1266" t="s">
        <v>43</v>
      </c>
      <c r="E1266" t="s">
        <v>44</v>
      </c>
      <c r="F1266" t="s">
        <v>38</v>
      </c>
      <c r="G1266" t="s">
        <v>74</v>
      </c>
      <c r="H1266" s="1">
        <v>44718</v>
      </c>
      <c r="I1266" s="2">
        <v>44718.9208333333</v>
      </c>
      <c r="J1266">
        <v>22.1</v>
      </c>
      <c r="K1266" t="s">
        <v>24</v>
      </c>
      <c r="L1266">
        <v>3</v>
      </c>
      <c r="M1266">
        <v>5</v>
      </c>
      <c r="N1266" t="s">
        <v>676</v>
      </c>
      <c r="O1266" s="3" t="str">
        <f>TEXT(Ticket_Table[[#This Row],[raised_date]],"YYYY-MM")</f>
        <v>2022-06</v>
      </c>
      <c r="P1266" s="3" t="str">
        <f>IF(Ticket_Table[[#This Row],[resolution_hrs]]&lt;=4,"Fast",IF(Ticket_Table[[#This Row],[resolution_hrs]]&lt;=24,"Normal",IF(Ticket_Table[[#This Row],[resolution_hrs]]&lt;=48,"Slow","Very Slow")))</f>
        <v>Normal</v>
      </c>
      <c r="Q1266" s="3">
        <f>YEAR(Ticket_Table[[#This Row],[raised_date]])</f>
        <v>2022</v>
      </c>
    </row>
    <row r="1267" spans="1:17">
      <c r="A1267" t="s">
        <v>1824</v>
      </c>
      <c r="B1267" t="s">
        <v>449</v>
      </c>
      <c r="C1267" t="s">
        <v>19</v>
      </c>
      <c r="D1267" t="s">
        <v>20</v>
      </c>
      <c r="E1267" t="s">
        <v>83</v>
      </c>
      <c r="F1267" t="s">
        <v>70</v>
      </c>
      <c r="G1267" t="s">
        <v>46</v>
      </c>
      <c r="H1267" s="1">
        <v>44203</v>
      </c>
      <c r="I1267" s="2">
        <v>44205.6208333333</v>
      </c>
      <c r="J1267">
        <v>62.9</v>
      </c>
      <c r="K1267" t="s">
        <v>32</v>
      </c>
      <c r="L1267">
        <v>1</v>
      </c>
      <c r="M1267">
        <v>5</v>
      </c>
      <c r="N1267" t="s">
        <v>1091</v>
      </c>
      <c r="O1267" s="3" t="str">
        <f>TEXT(Ticket_Table[[#This Row],[raised_date]],"YYYY-MM")</f>
        <v>2021-01</v>
      </c>
      <c r="P1267" s="3" t="str">
        <f>IF(Ticket_Table[[#This Row],[resolution_hrs]]&lt;=4,"Fast",IF(Ticket_Table[[#This Row],[resolution_hrs]]&lt;=24,"Normal",IF(Ticket_Table[[#This Row],[resolution_hrs]]&lt;=48,"Slow","Very Slow")))</f>
        <v>Very Slow</v>
      </c>
      <c r="Q1267" s="3">
        <f>YEAR(Ticket_Table[[#This Row],[raised_date]])</f>
        <v>2021</v>
      </c>
    </row>
    <row r="1268" spans="1:17">
      <c r="A1268" t="s">
        <v>1825</v>
      </c>
      <c r="B1268" t="s">
        <v>431</v>
      </c>
      <c r="C1268" t="s">
        <v>68</v>
      </c>
      <c r="D1268" t="s">
        <v>20</v>
      </c>
      <c r="E1268" t="s">
        <v>106</v>
      </c>
      <c r="F1268" t="s">
        <v>70</v>
      </c>
      <c r="G1268" t="s">
        <v>23</v>
      </c>
      <c r="H1268" s="1">
        <v>44643</v>
      </c>
      <c r="I1268" s="2">
        <v>44643.3541666667</v>
      </c>
      <c r="J1268">
        <v>8.5</v>
      </c>
      <c r="K1268" t="s">
        <v>24</v>
      </c>
      <c r="L1268">
        <v>2</v>
      </c>
      <c r="M1268">
        <v>3</v>
      </c>
      <c r="N1268" t="s">
        <v>664</v>
      </c>
      <c r="O1268" s="3" t="str">
        <f>TEXT(Ticket_Table[[#This Row],[raised_date]],"YYYY-MM")</f>
        <v>2022-03</v>
      </c>
      <c r="P1268" s="3" t="str">
        <f>IF(Ticket_Table[[#This Row],[resolution_hrs]]&lt;=4,"Fast",IF(Ticket_Table[[#This Row],[resolution_hrs]]&lt;=24,"Normal",IF(Ticket_Table[[#This Row],[resolution_hrs]]&lt;=48,"Slow","Very Slow")))</f>
        <v>Normal</v>
      </c>
      <c r="Q1268" s="3">
        <f>YEAR(Ticket_Table[[#This Row],[raised_date]])</f>
        <v>2022</v>
      </c>
    </row>
    <row r="1269" spans="1:17">
      <c r="A1269" t="s">
        <v>1826</v>
      </c>
      <c r="B1269" t="s">
        <v>569</v>
      </c>
      <c r="C1269" t="s">
        <v>55</v>
      </c>
      <c r="D1269" t="s">
        <v>36</v>
      </c>
      <c r="E1269" t="s">
        <v>106</v>
      </c>
      <c r="F1269" t="s">
        <v>70</v>
      </c>
      <c r="G1269" t="s">
        <v>91</v>
      </c>
      <c r="H1269" s="1">
        <v>44346</v>
      </c>
      <c r="I1269" s="2">
        <v>44347.6208333333</v>
      </c>
      <c r="J1269">
        <v>38.9</v>
      </c>
      <c r="K1269" t="s">
        <v>24</v>
      </c>
      <c r="L1269">
        <v>0</v>
      </c>
      <c r="M1269">
        <v>5</v>
      </c>
      <c r="N1269" t="s">
        <v>120</v>
      </c>
      <c r="O1269" s="3" t="str">
        <f>TEXT(Ticket_Table[[#This Row],[raised_date]],"YYYY-MM")</f>
        <v>2021-05</v>
      </c>
      <c r="P1269" s="3" t="str">
        <f>IF(Ticket_Table[[#This Row],[resolution_hrs]]&lt;=4,"Fast",IF(Ticket_Table[[#This Row],[resolution_hrs]]&lt;=24,"Normal",IF(Ticket_Table[[#This Row],[resolution_hrs]]&lt;=48,"Slow","Very Slow")))</f>
        <v>Slow</v>
      </c>
      <c r="Q1269" s="3">
        <f>YEAR(Ticket_Table[[#This Row],[raised_date]])</f>
        <v>2021</v>
      </c>
    </row>
    <row r="1270" spans="1:17">
      <c r="A1270" t="s">
        <v>1827</v>
      </c>
      <c r="B1270" t="s">
        <v>464</v>
      </c>
      <c r="C1270" t="s">
        <v>175</v>
      </c>
      <c r="D1270" t="s">
        <v>36</v>
      </c>
      <c r="E1270" t="s">
        <v>51</v>
      </c>
      <c r="F1270" t="s">
        <v>38</v>
      </c>
      <c r="G1270" t="s">
        <v>31</v>
      </c>
      <c r="H1270" s="1">
        <v>44289</v>
      </c>
      <c r="I1270" s="2">
        <v>44289.05</v>
      </c>
      <c r="J1270">
        <v>1.2</v>
      </c>
      <c r="K1270" t="s">
        <v>24</v>
      </c>
      <c r="L1270">
        <v>0</v>
      </c>
      <c r="M1270">
        <v>4</v>
      </c>
      <c r="N1270" t="s">
        <v>1243</v>
      </c>
      <c r="O1270" s="3" t="str">
        <f>TEXT(Ticket_Table[[#This Row],[raised_date]],"YYYY-MM")</f>
        <v>2021-04</v>
      </c>
      <c r="P1270" s="3" t="str">
        <f>IF(Ticket_Table[[#This Row],[resolution_hrs]]&lt;=4,"Fast",IF(Ticket_Table[[#This Row],[resolution_hrs]]&lt;=24,"Normal",IF(Ticket_Table[[#This Row],[resolution_hrs]]&lt;=48,"Slow","Very Slow")))</f>
        <v>Fast</v>
      </c>
      <c r="Q1270" s="3">
        <f>YEAR(Ticket_Table[[#This Row],[raised_date]])</f>
        <v>2021</v>
      </c>
    </row>
    <row r="1271" spans="1:17">
      <c r="A1271" t="s">
        <v>1828</v>
      </c>
      <c r="B1271" t="s">
        <v>541</v>
      </c>
      <c r="C1271" t="s">
        <v>82</v>
      </c>
      <c r="D1271" t="s">
        <v>43</v>
      </c>
      <c r="E1271" t="s">
        <v>51</v>
      </c>
      <c r="F1271" t="s">
        <v>22</v>
      </c>
      <c r="G1271" t="s">
        <v>31</v>
      </c>
      <c r="H1271" s="1">
        <v>45064</v>
      </c>
      <c r="I1271" s="2">
        <v>45064.5625</v>
      </c>
      <c r="J1271">
        <v>13.5</v>
      </c>
      <c r="K1271" t="s">
        <v>24</v>
      </c>
      <c r="L1271">
        <v>0</v>
      </c>
      <c r="M1271">
        <v>2</v>
      </c>
      <c r="N1271" t="s">
        <v>1058</v>
      </c>
      <c r="O1271" s="3" t="str">
        <f>TEXT(Ticket_Table[[#This Row],[raised_date]],"YYYY-MM")</f>
        <v>2023-05</v>
      </c>
      <c r="P1271" s="3" t="str">
        <f>IF(Ticket_Table[[#This Row],[resolution_hrs]]&lt;=4,"Fast",IF(Ticket_Table[[#This Row],[resolution_hrs]]&lt;=24,"Normal",IF(Ticket_Table[[#This Row],[resolution_hrs]]&lt;=48,"Slow","Very Slow")))</f>
        <v>Normal</v>
      </c>
      <c r="Q1271" s="3">
        <f>YEAR(Ticket_Table[[#This Row],[raised_date]])</f>
        <v>2023</v>
      </c>
    </row>
    <row r="1272" spans="1:17">
      <c r="A1272" t="s">
        <v>1829</v>
      </c>
      <c r="B1272" t="s">
        <v>376</v>
      </c>
      <c r="C1272" t="s">
        <v>28</v>
      </c>
      <c r="D1272" t="s">
        <v>43</v>
      </c>
      <c r="E1272" t="s">
        <v>83</v>
      </c>
      <c r="F1272" t="s">
        <v>22</v>
      </c>
      <c r="G1272" t="s">
        <v>23</v>
      </c>
      <c r="H1272" s="1">
        <v>44902</v>
      </c>
      <c r="I1272" s="2">
        <v>44902.8083333333</v>
      </c>
      <c r="J1272">
        <v>19.4</v>
      </c>
      <c r="K1272" t="s">
        <v>24</v>
      </c>
      <c r="L1272">
        <v>0</v>
      </c>
      <c r="M1272">
        <v>4</v>
      </c>
      <c r="N1272" t="s">
        <v>447</v>
      </c>
      <c r="O1272" s="3" t="str">
        <f>TEXT(Ticket_Table[[#This Row],[raised_date]],"YYYY-MM")</f>
        <v>2022-12</v>
      </c>
      <c r="P1272" s="3" t="str">
        <f>IF(Ticket_Table[[#This Row],[resolution_hrs]]&lt;=4,"Fast",IF(Ticket_Table[[#This Row],[resolution_hrs]]&lt;=24,"Normal",IF(Ticket_Table[[#This Row],[resolution_hrs]]&lt;=48,"Slow","Very Slow")))</f>
        <v>Normal</v>
      </c>
      <c r="Q1272" s="3">
        <f>YEAR(Ticket_Table[[#This Row],[raised_date]])</f>
        <v>2022</v>
      </c>
    </row>
    <row r="1273" spans="1:17">
      <c r="A1273" t="s">
        <v>1830</v>
      </c>
      <c r="B1273" t="s">
        <v>307</v>
      </c>
      <c r="C1273" t="s">
        <v>28</v>
      </c>
      <c r="D1273" t="s">
        <v>36</v>
      </c>
      <c r="E1273" t="s">
        <v>21</v>
      </c>
      <c r="F1273" t="s">
        <v>22</v>
      </c>
      <c r="G1273" t="s">
        <v>31</v>
      </c>
      <c r="H1273" s="1">
        <v>44327</v>
      </c>
      <c r="I1273" s="2">
        <v>44329.1708333333</v>
      </c>
      <c r="J1273">
        <v>52.1</v>
      </c>
      <c r="K1273" t="s">
        <v>24</v>
      </c>
      <c r="L1273">
        <v>0</v>
      </c>
      <c r="M1273">
        <v>5</v>
      </c>
      <c r="N1273" t="s">
        <v>129</v>
      </c>
      <c r="O1273" s="3" t="str">
        <f>TEXT(Ticket_Table[[#This Row],[raised_date]],"YYYY-MM")</f>
        <v>2021-05</v>
      </c>
      <c r="P1273" s="3" t="str">
        <f>IF(Ticket_Table[[#This Row],[resolution_hrs]]&lt;=4,"Fast",IF(Ticket_Table[[#This Row],[resolution_hrs]]&lt;=24,"Normal",IF(Ticket_Table[[#This Row],[resolution_hrs]]&lt;=48,"Slow","Very Slow")))</f>
        <v>Very Slow</v>
      </c>
      <c r="Q1273" s="3">
        <f>YEAR(Ticket_Table[[#This Row],[raised_date]])</f>
        <v>2021</v>
      </c>
    </row>
    <row r="1274" spans="1:17">
      <c r="A1274" t="s">
        <v>1831</v>
      </c>
      <c r="B1274" t="s">
        <v>853</v>
      </c>
      <c r="C1274" t="s">
        <v>287</v>
      </c>
      <c r="D1274" t="s">
        <v>36</v>
      </c>
      <c r="E1274" t="s">
        <v>21</v>
      </c>
      <c r="F1274" t="s">
        <v>70</v>
      </c>
      <c r="G1274" t="s">
        <v>31</v>
      </c>
      <c r="H1274" s="1">
        <v>44320</v>
      </c>
      <c r="I1274" s="2">
        <v>44322.0875</v>
      </c>
      <c r="J1274">
        <v>50.1</v>
      </c>
      <c r="K1274" t="s">
        <v>32</v>
      </c>
      <c r="L1274">
        <v>1</v>
      </c>
      <c r="M1274">
        <v>5</v>
      </c>
      <c r="N1274" t="s">
        <v>833</v>
      </c>
      <c r="O1274" s="3" t="str">
        <f>TEXT(Ticket_Table[[#This Row],[raised_date]],"YYYY-MM")</f>
        <v>2021-05</v>
      </c>
      <c r="P1274" s="3" t="str">
        <f>IF(Ticket_Table[[#This Row],[resolution_hrs]]&lt;=4,"Fast",IF(Ticket_Table[[#This Row],[resolution_hrs]]&lt;=24,"Normal",IF(Ticket_Table[[#This Row],[resolution_hrs]]&lt;=48,"Slow","Very Slow")))</f>
        <v>Very Slow</v>
      </c>
      <c r="Q1274" s="3">
        <f>YEAR(Ticket_Table[[#This Row],[raised_date]])</f>
        <v>2021</v>
      </c>
    </row>
    <row r="1275" spans="1:17">
      <c r="A1275" t="s">
        <v>1832</v>
      </c>
      <c r="B1275" t="s">
        <v>1833</v>
      </c>
      <c r="C1275" t="s">
        <v>19</v>
      </c>
      <c r="D1275" t="s">
        <v>43</v>
      </c>
      <c r="E1275" t="s">
        <v>37</v>
      </c>
      <c r="F1275" t="s">
        <v>22</v>
      </c>
      <c r="G1275" t="s">
        <v>23</v>
      </c>
      <c r="H1275" s="1">
        <v>44338</v>
      </c>
      <c r="I1275" s="2">
        <v>44341.9166666667</v>
      </c>
      <c r="J1275">
        <v>94</v>
      </c>
      <c r="K1275" t="s">
        <v>32</v>
      </c>
      <c r="L1275">
        <v>2</v>
      </c>
      <c r="M1275">
        <v>3</v>
      </c>
      <c r="N1275" t="s">
        <v>504</v>
      </c>
      <c r="O1275" s="3" t="str">
        <f>TEXT(Ticket_Table[[#This Row],[raised_date]],"YYYY-MM")</f>
        <v>2021-05</v>
      </c>
      <c r="P1275" s="3" t="str">
        <f>IF(Ticket_Table[[#This Row],[resolution_hrs]]&lt;=4,"Fast",IF(Ticket_Table[[#This Row],[resolution_hrs]]&lt;=24,"Normal",IF(Ticket_Table[[#This Row],[resolution_hrs]]&lt;=48,"Slow","Very Slow")))</f>
        <v>Very Slow</v>
      </c>
      <c r="Q1275" s="3">
        <f>YEAR(Ticket_Table[[#This Row],[raised_date]])</f>
        <v>2021</v>
      </c>
    </row>
    <row r="1276" spans="1:17">
      <c r="A1276" t="s">
        <v>1834</v>
      </c>
      <c r="B1276" t="s">
        <v>310</v>
      </c>
      <c r="C1276" t="s">
        <v>82</v>
      </c>
      <c r="D1276" t="s">
        <v>90</v>
      </c>
      <c r="E1276" t="s">
        <v>166</v>
      </c>
      <c r="F1276" t="s">
        <v>70</v>
      </c>
      <c r="G1276" t="s">
        <v>23</v>
      </c>
      <c r="H1276" s="1">
        <v>45163</v>
      </c>
      <c r="I1276" s="2">
        <v>45165.9</v>
      </c>
      <c r="J1276">
        <v>69.6</v>
      </c>
      <c r="K1276" t="s">
        <v>32</v>
      </c>
      <c r="L1276">
        <v>0</v>
      </c>
      <c r="M1276">
        <v>4</v>
      </c>
      <c r="N1276" t="s">
        <v>318</v>
      </c>
      <c r="O1276" s="3" t="str">
        <f>TEXT(Ticket_Table[[#This Row],[raised_date]],"YYYY-MM")</f>
        <v>2023-08</v>
      </c>
      <c r="P1276" s="3" t="str">
        <f>IF(Ticket_Table[[#This Row],[resolution_hrs]]&lt;=4,"Fast",IF(Ticket_Table[[#This Row],[resolution_hrs]]&lt;=24,"Normal",IF(Ticket_Table[[#This Row],[resolution_hrs]]&lt;=48,"Slow","Very Slow")))</f>
        <v>Very Slow</v>
      </c>
      <c r="Q1276" s="3">
        <f>YEAR(Ticket_Table[[#This Row],[raised_date]])</f>
        <v>2023</v>
      </c>
    </row>
    <row r="1277" spans="1:17">
      <c r="A1277" t="s">
        <v>1835</v>
      </c>
      <c r="B1277" t="s">
        <v>103</v>
      </c>
      <c r="C1277" t="s">
        <v>42</v>
      </c>
      <c r="D1277" t="s">
        <v>43</v>
      </c>
      <c r="E1277" t="s">
        <v>51</v>
      </c>
      <c r="F1277" t="s">
        <v>70</v>
      </c>
      <c r="G1277" t="s">
        <v>31</v>
      </c>
      <c r="H1277" s="1">
        <v>44261</v>
      </c>
      <c r="I1277" s="2">
        <v>44262.8208333333</v>
      </c>
      <c r="J1277">
        <v>43.7</v>
      </c>
      <c r="K1277" t="s">
        <v>24</v>
      </c>
      <c r="L1277">
        <v>0</v>
      </c>
      <c r="M1277">
        <v>2</v>
      </c>
      <c r="N1277" t="s">
        <v>792</v>
      </c>
      <c r="O1277" s="3" t="str">
        <f>TEXT(Ticket_Table[[#This Row],[raised_date]],"YYYY-MM")</f>
        <v>2021-03</v>
      </c>
      <c r="P1277" s="3" t="str">
        <f>IF(Ticket_Table[[#This Row],[resolution_hrs]]&lt;=4,"Fast",IF(Ticket_Table[[#This Row],[resolution_hrs]]&lt;=24,"Normal",IF(Ticket_Table[[#This Row],[resolution_hrs]]&lt;=48,"Slow","Very Slow")))</f>
        <v>Slow</v>
      </c>
      <c r="Q1277" s="3">
        <f>YEAR(Ticket_Table[[#This Row],[raised_date]])</f>
        <v>2021</v>
      </c>
    </row>
    <row r="1278" spans="1:17">
      <c r="A1278" t="s">
        <v>1836</v>
      </c>
      <c r="B1278" t="s">
        <v>501</v>
      </c>
      <c r="C1278" t="s">
        <v>82</v>
      </c>
      <c r="D1278" t="s">
        <v>90</v>
      </c>
      <c r="E1278" t="s">
        <v>166</v>
      </c>
      <c r="F1278" t="s">
        <v>22</v>
      </c>
      <c r="G1278" t="s">
        <v>23</v>
      </c>
      <c r="H1278" s="1">
        <v>44784</v>
      </c>
      <c r="I1278" s="2">
        <v>44786.2125</v>
      </c>
      <c r="J1278">
        <v>53.1</v>
      </c>
      <c r="K1278" t="s">
        <v>24</v>
      </c>
      <c r="L1278">
        <v>0</v>
      </c>
      <c r="M1278">
        <v>4</v>
      </c>
      <c r="N1278" t="s">
        <v>751</v>
      </c>
      <c r="O1278" s="3" t="str">
        <f>TEXT(Ticket_Table[[#This Row],[raised_date]],"YYYY-MM")</f>
        <v>2022-08</v>
      </c>
      <c r="P1278" s="3" t="str">
        <f>IF(Ticket_Table[[#This Row],[resolution_hrs]]&lt;=4,"Fast",IF(Ticket_Table[[#This Row],[resolution_hrs]]&lt;=24,"Normal",IF(Ticket_Table[[#This Row],[resolution_hrs]]&lt;=48,"Slow","Very Slow")))</f>
        <v>Very Slow</v>
      </c>
      <c r="Q1278" s="3">
        <f>YEAR(Ticket_Table[[#This Row],[raised_date]])</f>
        <v>2022</v>
      </c>
    </row>
    <row r="1279" spans="1:17">
      <c r="A1279" t="s">
        <v>1837</v>
      </c>
      <c r="B1279" t="s">
        <v>600</v>
      </c>
      <c r="C1279" t="s">
        <v>50</v>
      </c>
      <c r="D1279" t="s">
        <v>90</v>
      </c>
      <c r="E1279" t="s">
        <v>21</v>
      </c>
      <c r="F1279" t="s">
        <v>70</v>
      </c>
      <c r="G1279" t="s">
        <v>91</v>
      </c>
      <c r="H1279" s="1">
        <v>45034</v>
      </c>
      <c r="I1279" s="2">
        <v>45035.8708333333</v>
      </c>
      <c r="J1279">
        <v>44.9</v>
      </c>
      <c r="K1279" t="s">
        <v>24</v>
      </c>
      <c r="L1279">
        <v>0</v>
      </c>
      <c r="M1279">
        <v>4</v>
      </c>
      <c r="N1279" t="s">
        <v>1533</v>
      </c>
      <c r="O1279" s="3" t="str">
        <f>TEXT(Ticket_Table[[#This Row],[raised_date]],"YYYY-MM")</f>
        <v>2023-04</v>
      </c>
      <c r="P1279" s="3" t="str">
        <f>IF(Ticket_Table[[#This Row],[resolution_hrs]]&lt;=4,"Fast",IF(Ticket_Table[[#This Row],[resolution_hrs]]&lt;=24,"Normal",IF(Ticket_Table[[#This Row],[resolution_hrs]]&lt;=48,"Slow","Very Slow")))</f>
        <v>Slow</v>
      </c>
      <c r="Q1279" s="3">
        <f>YEAR(Ticket_Table[[#This Row],[raised_date]])</f>
        <v>2023</v>
      </c>
    </row>
    <row r="1280" spans="1:17">
      <c r="A1280" t="s">
        <v>1838</v>
      </c>
      <c r="B1280" t="s">
        <v>1050</v>
      </c>
      <c r="C1280" t="s">
        <v>82</v>
      </c>
      <c r="D1280" t="s">
        <v>43</v>
      </c>
      <c r="E1280" t="s">
        <v>51</v>
      </c>
      <c r="F1280" t="s">
        <v>38</v>
      </c>
      <c r="G1280" t="s">
        <v>23</v>
      </c>
      <c r="H1280" s="1">
        <v>44565</v>
      </c>
      <c r="I1280" s="2">
        <v>44566.4625</v>
      </c>
      <c r="J1280">
        <v>35.1</v>
      </c>
      <c r="K1280" t="s">
        <v>32</v>
      </c>
      <c r="L1280">
        <v>0</v>
      </c>
      <c r="M1280">
        <v>3</v>
      </c>
      <c r="N1280" t="s">
        <v>165</v>
      </c>
      <c r="O1280" s="3" t="str">
        <f>TEXT(Ticket_Table[[#This Row],[raised_date]],"YYYY-MM")</f>
        <v>2022-01</v>
      </c>
      <c r="P1280" s="3" t="str">
        <f>IF(Ticket_Table[[#This Row],[resolution_hrs]]&lt;=4,"Fast",IF(Ticket_Table[[#This Row],[resolution_hrs]]&lt;=24,"Normal",IF(Ticket_Table[[#This Row],[resolution_hrs]]&lt;=48,"Slow","Very Slow")))</f>
        <v>Slow</v>
      </c>
      <c r="Q1280" s="3">
        <f>YEAR(Ticket_Table[[#This Row],[raised_date]])</f>
        <v>2022</v>
      </c>
    </row>
    <row r="1281" spans="1:17">
      <c r="A1281" t="s">
        <v>1839</v>
      </c>
      <c r="B1281" t="s">
        <v>1216</v>
      </c>
      <c r="C1281" t="s">
        <v>117</v>
      </c>
      <c r="D1281" t="s">
        <v>29</v>
      </c>
      <c r="E1281" t="s">
        <v>106</v>
      </c>
      <c r="F1281" t="s">
        <v>22</v>
      </c>
      <c r="G1281" t="s">
        <v>46</v>
      </c>
      <c r="H1281" s="1">
        <v>44474</v>
      </c>
      <c r="I1281" s="2">
        <v>44475.65</v>
      </c>
      <c r="J1281">
        <v>39.6</v>
      </c>
      <c r="K1281" t="s">
        <v>24</v>
      </c>
      <c r="L1281">
        <v>0</v>
      </c>
      <c r="M1281">
        <v>4</v>
      </c>
      <c r="N1281" t="s">
        <v>512</v>
      </c>
      <c r="O1281" s="3" t="str">
        <f>TEXT(Ticket_Table[[#This Row],[raised_date]],"YYYY-MM")</f>
        <v>2021-10</v>
      </c>
      <c r="P1281" s="3" t="str">
        <f>IF(Ticket_Table[[#This Row],[resolution_hrs]]&lt;=4,"Fast",IF(Ticket_Table[[#This Row],[resolution_hrs]]&lt;=24,"Normal",IF(Ticket_Table[[#This Row],[resolution_hrs]]&lt;=48,"Slow","Very Slow")))</f>
        <v>Slow</v>
      </c>
      <c r="Q1281" s="3">
        <f>YEAR(Ticket_Table[[#This Row],[raised_date]])</f>
        <v>2021</v>
      </c>
    </row>
    <row r="1282" spans="1:17">
      <c r="A1282" t="s">
        <v>1840</v>
      </c>
      <c r="B1282" t="s">
        <v>216</v>
      </c>
      <c r="C1282" t="s">
        <v>78</v>
      </c>
      <c r="D1282" t="s">
        <v>36</v>
      </c>
      <c r="E1282" t="s">
        <v>30</v>
      </c>
      <c r="F1282" t="s">
        <v>70</v>
      </c>
      <c r="G1282" t="s">
        <v>23</v>
      </c>
      <c r="H1282" s="1">
        <v>45057</v>
      </c>
      <c r="I1282" s="2">
        <v>45059.0333333333</v>
      </c>
      <c r="J1282">
        <v>48.8</v>
      </c>
      <c r="K1282" t="s">
        <v>32</v>
      </c>
      <c r="L1282">
        <v>0</v>
      </c>
      <c r="M1282">
        <v>5</v>
      </c>
      <c r="N1282" t="s">
        <v>237</v>
      </c>
      <c r="O1282" s="3" t="str">
        <f>TEXT(Ticket_Table[[#This Row],[raised_date]],"YYYY-MM")</f>
        <v>2023-05</v>
      </c>
      <c r="P1282" s="3" t="str">
        <f>IF(Ticket_Table[[#This Row],[resolution_hrs]]&lt;=4,"Fast",IF(Ticket_Table[[#This Row],[resolution_hrs]]&lt;=24,"Normal",IF(Ticket_Table[[#This Row],[resolution_hrs]]&lt;=48,"Slow","Very Slow")))</f>
        <v>Very Slow</v>
      </c>
      <c r="Q1282" s="3">
        <f>YEAR(Ticket_Table[[#This Row],[raised_date]])</f>
        <v>2023</v>
      </c>
    </row>
    <row r="1283" spans="1:17">
      <c r="A1283" t="s">
        <v>1841</v>
      </c>
      <c r="B1283" t="s">
        <v>1474</v>
      </c>
      <c r="C1283" t="s">
        <v>78</v>
      </c>
      <c r="D1283" t="s">
        <v>20</v>
      </c>
      <c r="E1283" t="s">
        <v>51</v>
      </c>
      <c r="F1283" t="s">
        <v>38</v>
      </c>
      <c r="G1283" t="s">
        <v>46</v>
      </c>
      <c r="H1283" s="1">
        <v>44963</v>
      </c>
      <c r="I1283" s="2">
        <v>44964.05</v>
      </c>
      <c r="J1283">
        <v>25.2</v>
      </c>
      <c r="K1283" t="s">
        <v>32</v>
      </c>
      <c r="L1283">
        <v>1</v>
      </c>
      <c r="M1283">
        <v>4</v>
      </c>
      <c r="N1283" t="s">
        <v>988</v>
      </c>
      <c r="O1283" s="3" t="str">
        <f>TEXT(Ticket_Table[[#This Row],[raised_date]],"YYYY-MM")</f>
        <v>2023-02</v>
      </c>
      <c r="P1283" s="3" t="str">
        <f>IF(Ticket_Table[[#This Row],[resolution_hrs]]&lt;=4,"Fast",IF(Ticket_Table[[#This Row],[resolution_hrs]]&lt;=24,"Normal",IF(Ticket_Table[[#This Row],[resolution_hrs]]&lt;=48,"Slow","Very Slow")))</f>
        <v>Slow</v>
      </c>
      <c r="Q1283" s="3">
        <f>YEAR(Ticket_Table[[#This Row],[raised_date]])</f>
        <v>2023</v>
      </c>
    </row>
    <row r="1284" spans="1:17">
      <c r="A1284" t="s">
        <v>1842</v>
      </c>
      <c r="B1284" t="s">
        <v>981</v>
      </c>
      <c r="C1284" t="s">
        <v>28</v>
      </c>
      <c r="D1284" t="s">
        <v>43</v>
      </c>
      <c r="E1284" t="s">
        <v>21</v>
      </c>
      <c r="F1284" t="s">
        <v>70</v>
      </c>
      <c r="G1284" t="s">
        <v>23</v>
      </c>
      <c r="H1284" s="1">
        <v>44980</v>
      </c>
      <c r="I1284" s="2">
        <v>44981.2083333333</v>
      </c>
      <c r="J1284">
        <v>29</v>
      </c>
      <c r="K1284" t="s">
        <v>24</v>
      </c>
      <c r="L1284">
        <v>0</v>
      </c>
      <c r="M1284">
        <v>5</v>
      </c>
      <c r="N1284" t="s">
        <v>1337</v>
      </c>
      <c r="O1284" s="3" t="str">
        <f>TEXT(Ticket_Table[[#This Row],[raised_date]],"YYYY-MM")</f>
        <v>2023-02</v>
      </c>
      <c r="P1284" s="3" t="str">
        <f>IF(Ticket_Table[[#This Row],[resolution_hrs]]&lt;=4,"Fast",IF(Ticket_Table[[#This Row],[resolution_hrs]]&lt;=24,"Normal",IF(Ticket_Table[[#This Row],[resolution_hrs]]&lt;=48,"Slow","Very Slow")))</f>
        <v>Slow</v>
      </c>
      <c r="Q1284" s="3">
        <f>YEAR(Ticket_Table[[#This Row],[raised_date]])</f>
        <v>2023</v>
      </c>
    </row>
    <row r="1285" spans="1:17">
      <c r="A1285" t="s">
        <v>1843</v>
      </c>
      <c r="B1285" t="s">
        <v>101</v>
      </c>
      <c r="C1285" t="s">
        <v>261</v>
      </c>
      <c r="D1285" t="s">
        <v>90</v>
      </c>
      <c r="E1285" t="s">
        <v>21</v>
      </c>
      <c r="F1285" t="s">
        <v>38</v>
      </c>
      <c r="G1285" t="s">
        <v>46</v>
      </c>
      <c r="H1285" s="1">
        <v>45115</v>
      </c>
      <c r="I1285" s="2">
        <v>45115.4833333333</v>
      </c>
      <c r="J1285">
        <v>11.6</v>
      </c>
      <c r="K1285" t="s">
        <v>24</v>
      </c>
      <c r="L1285">
        <v>0</v>
      </c>
      <c r="M1285">
        <v>3</v>
      </c>
      <c r="N1285" t="s">
        <v>374</v>
      </c>
      <c r="O1285" s="3" t="str">
        <f>TEXT(Ticket_Table[[#This Row],[raised_date]],"YYYY-MM")</f>
        <v>2023-07</v>
      </c>
      <c r="P1285" s="3" t="str">
        <f>IF(Ticket_Table[[#This Row],[resolution_hrs]]&lt;=4,"Fast",IF(Ticket_Table[[#This Row],[resolution_hrs]]&lt;=24,"Normal",IF(Ticket_Table[[#This Row],[resolution_hrs]]&lt;=48,"Slow","Very Slow")))</f>
        <v>Normal</v>
      </c>
      <c r="Q1285" s="3">
        <f>YEAR(Ticket_Table[[#This Row],[raised_date]])</f>
        <v>2023</v>
      </c>
    </row>
    <row r="1286" spans="1:17">
      <c r="A1286" t="s">
        <v>1844</v>
      </c>
      <c r="B1286" t="s">
        <v>504</v>
      </c>
      <c r="C1286" t="s">
        <v>102</v>
      </c>
      <c r="D1286" t="s">
        <v>43</v>
      </c>
      <c r="E1286" t="s">
        <v>30</v>
      </c>
      <c r="F1286" t="s">
        <v>70</v>
      </c>
      <c r="G1286" t="s">
        <v>31</v>
      </c>
      <c r="H1286" s="1">
        <v>44970</v>
      </c>
      <c r="I1286" s="2">
        <v>44970.4125</v>
      </c>
      <c r="J1286">
        <v>9.9</v>
      </c>
      <c r="K1286" t="s">
        <v>24</v>
      </c>
      <c r="L1286">
        <v>1</v>
      </c>
      <c r="M1286">
        <v>5</v>
      </c>
      <c r="N1286" t="s">
        <v>420</v>
      </c>
      <c r="O1286" s="3" t="str">
        <f>TEXT(Ticket_Table[[#This Row],[raised_date]],"YYYY-MM")</f>
        <v>2023-02</v>
      </c>
      <c r="P1286" s="3" t="str">
        <f>IF(Ticket_Table[[#This Row],[resolution_hrs]]&lt;=4,"Fast",IF(Ticket_Table[[#This Row],[resolution_hrs]]&lt;=24,"Normal",IF(Ticket_Table[[#This Row],[resolution_hrs]]&lt;=48,"Slow","Very Slow")))</f>
        <v>Normal</v>
      </c>
      <c r="Q1286" s="3">
        <f>YEAR(Ticket_Table[[#This Row],[raised_date]])</f>
        <v>2023</v>
      </c>
    </row>
    <row r="1287" spans="1:17">
      <c r="A1287" t="s">
        <v>1845</v>
      </c>
      <c r="B1287" t="s">
        <v>914</v>
      </c>
      <c r="C1287" t="s">
        <v>64</v>
      </c>
      <c r="D1287" t="s">
        <v>36</v>
      </c>
      <c r="E1287" t="s">
        <v>166</v>
      </c>
      <c r="F1287" t="s">
        <v>70</v>
      </c>
      <c r="G1287" t="s">
        <v>31</v>
      </c>
      <c r="H1287" s="1">
        <v>44966</v>
      </c>
      <c r="I1287" s="2">
        <v>44966.0833333333</v>
      </c>
      <c r="J1287">
        <v>2</v>
      </c>
      <c r="K1287" t="s">
        <v>24</v>
      </c>
      <c r="L1287">
        <v>0</v>
      </c>
      <c r="M1287">
        <v>2</v>
      </c>
      <c r="N1287" t="s">
        <v>906</v>
      </c>
      <c r="O1287" s="3" t="str">
        <f>TEXT(Ticket_Table[[#This Row],[raised_date]],"YYYY-MM")</f>
        <v>2023-02</v>
      </c>
      <c r="P1287" s="3" t="str">
        <f>IF(Ticket_Table[[#This Row],[resolution_hrs]]&lt;=4,"Fast",IF(Ticket_Table[[#This Row],[resolution_hrs]]&lt;=24,"Normal",IF(Ticket_Table[[#This Row],[resolution_hrs]]&lt;=48,"Slow","Very Slow")))</f>
        <v>Fast</v>
      </c>
      <c r="Q1287" s="3">
        <f>YEAR(Ticket_Table[[#This Row],[raised_date]])</f>
        <v>2023</v>
      </c>
    </row>
    <row r="1288" spans="1:17">
      <c r="A1288" t="s">
        <v>1846</v>
      </c>
      <c r="B1288" t="s">
        <v>207</v>
      </c>
      <c r="C1288" t="s">
        <v>117</v>
      </c>
      <c r="D1288" t="s">
        <v>90</v>
      </c>
      <c r="E1288" t="s">
        <v>83</v>
      </c>
      <c r="F1288" t="s">
        <v>22</v>
      </c>
      <c r="G1288" t="s">
        <v>46</v>
      </c>
      <c r="H1288" s="1">
        <v>44361</v>
      </c>
      <c r="I1288" s="2">
        <v>44361.5416666667</v>
      </c>
      <c r="J1288">
        <v>13</v>
      </c>
      <c r="K1288" t="s">
        <v>24</v>
      </c>
      <c r="L1288">
        <v>2</v>
      </c>
      <c r="M1288">
        <v>4</v>
      </c>
      <c r="N1288" t="s">
        <v>307</v>
      </c>
      <c r="O1288" s="3" t="str">
        <f>TEXT(Ticket_Table[[#This Row],[raised_date]],"YYYY-MM")</f>
        <v>2021-06</v>
      </c>
      <c r="P1288" s="3" t="str">
        <f>IF(Ticket_Table[[#This Row],[resolution_hrs]]&lt;=4,"Fast",IF(Ticket_Table[[#This Row],[resolution_hrs]]&lt;=24,"Normal",IF(Ticket_Table[[#This Row],[resolution_hrs]]&lt;=48,"Slow","Very Slow")))</f>
        <v>Normal</v>
      </c>
      <c r="Q1288" s="3">
        <f>YEAR(Ticket_Table[[#This Row],[raised_date]])</f>
        <v>2021</v>
      </c>
    </row>
    <row r="1289" spans="1:17">
      <c r="A1289" t="s">
        <v>1847</v>
      </c>
      <c r="B1289" t="s">
        <v>206</v>
      </c>
      <c r="C1289" t="s">
        <v>201</v>
      </c>
      <c r="D1289" t="s">
        <v>20</v>
      </c>
      <c r="E1289" t="s">
        <v>30</v>
      </c>
      <c r="F1289" t="s">
        <v>38</v>
      </c>
      <c r="G1289" t="s">
        <v>46</v>
      </c>
      <c r="H1289" s="1">
        <v>44469</v>
      </c>
      <c r="I1289" s="2">
        <v>44469.0666666667</v>
      </c>
      <c r="J1289">
        <v>1.6</v>
      </c>
      <c r="K1289" t="s">
        <v>24</v>
      </c>
      <c r="L1289">
        <v>0</v>
      </c>
      <c r="M1289">
        <v>4</v>
      </c>
      <c r="N1289" t="s">
        <v>929</v>
      </c>
      <c r="O1289" s="3" t="str">
        <f>TEXT(Ticket_Table[[#This Row],[raised_date]],"YYYY-MM")</f>
        <v>2021-09</v>
      </c>
      <c r="P1289" s="3" t="str">
        <f>IF(Ticket_Table[[#This Row],[resolution_hrs]]&lt;=4,"Fast",IF(Ticket_Table[[#This Row],[resolution_hrs]]&lt;=24,"Normal",IF(Ticket_Table[[#This Row],[resolution_hrs]]&lt;=48,"Slow","Very Slow")))</f>
        <v>Fast</v>
      </c>
      <c r="Q1289" s="3">
        <f>YEAR(Ticket_Table[[#This Row],[raised_date]])</f>
        <v>2021</v>
      </c>
    </row>
    <row r="1290" spans="1:17">
      <c r="A1290" t="s">
        <v>1848</v>
      </c>
      <c r="B1290" t="s">
        <v>1100</v>
      </c>
      <c r="C1290" t="s">
        <v>60</v>
      </c>
      <c r="D1290" t="s">
        <v>20</v>
      </c>
      <c r="E1290" t="s">
        <v>106</v>
      </c>
      <c r="F1290" t="s">
        <v>38</v>
      </c>
      <c r="G1290" t="s">
        <v>23</v>
      </c>
      <c r="H1290" s="1">
        <v>44909</v>
      </c>
      <c r="I1290" s="2">
        <v>44910.4583333333</v>
      </c>
      <c r="J1290">
        <v>35</v>
      </c>
      <c r="K1290" t="s">
        <v>32</v>
      </c>
      <c r="L1290">
        <v>2</v>
      </c>
      <c r="M1290">
        <v>5</v>
      </c>
      <c r="N1290" t="s">
        <v>200</v>
      </c>
      <c r="O1290" s="3" t="str">
        <f>TEXT(Ticket_Table[[#This Row],[raised_date]],"YYYY-MM")</f>
        <v>2022-12</v>
      </c>
      <c r="P1290" s="3" t="str">
        <f>IF(Ticket_Table[[#This Row],[resolution_hrs]]&lt;=4,"Fast",IF(Ticket_Table[[#This Row],[resolution_hrs]]&lt;=24,"Normal",IF(Ticket_Table[[#This Row],[resolution_hrs]]&lt;=48,"Slow","Very Slow")))</f>
        <v>Slow</v>
      </c>
      <c r="Q1290" s="3">
        <f>YEAR(Ticket_Table[[#This Row],[raised_date]])</f>
        <v>2022</v>
      </c>
    </row>
    <row r="1291" spans="1:17">
      <c r="A1291" t="s">
        <v>1849</v>
      </c>
      <c r="B1291" t="s">
        <v>112</v>
      </c>
      <c r="C1291" t="s">
        <v>201</v>
      </c>
      <c r="D1291" t="s">
        <v>20</v>
      </c>
      <c r="E1291" t="s">
        <v>21</v>
      </c>
      <c r="F1291" t="s">
        <v>22</v>
      </c>
      <c r="G1291" t="s">
        <v>31</v>
      </c>
      <c r="H1291" s="1">
        <v>44439</v>
      </c>
      <c r="I1291" s="2">
        <v>44442.8708333333</v>
      </c>
      <c r="J1291">
        <v>92.9</v>
      </c>
      <c r="K1291" t="s">
        <v>32</v>
      </c>
      <c r="L1291">
        <v>0</v>
      </c>
      <c r="M1291">
        <v>3</v>
      </c>
      <c r="N1291" t="s">
        <v>767</v>
      </c>
      <c r="O1291" s="3" t="str">
        <f>TEXT(Ticket_Table[[#This Row],[raised_date]],"YYYY-MM")</f>
        <v>2021-08</v>
      </c>
      <c r="P1291" s="3" t="str">
        <f>IF(Ticket_Table[[#This Row],[resolution_hrs]]&lt;=4,"Fast",IF(Ticket_Table[[#This Row],[resolution_hrs]]&lt;=24,"Normal",IF(Ticket_Table[[#This Row],[resolution_hrs]]&lt;=48,"Slow","Very Slow")))</f>
        <v>Very Slow</v>
      </c>
      <c r="Q1291" s="3">
        <f>YEAR(Ticket_Table[[#This Row],[raised_date]])</f>
        <v>2021</v>
      </c>
    </row>
    <row r="1292" spans="1:17">
      <c r="A1292" t="s">
        <v>1850</v>
      </c>
      <c r="B1292" t="s">
        <v>740</v>
      </c>
      <c r="C1292" t="s">
        <v>64</v>
      </c>
      <c r="D1292" t="s">
        <v>29</v>
      </c>
      <c r="E1292" t="s">
        <v>44</v>
      </c>
      <c r="F1292" t="s">
        <v>70</v>
      </c>
      <c r="G1292" t="s">
        <v>46</v>
      </c>
      <c r="H1292" s="1">
        <v>44562</v>
      </c>
      <c r="I1292" s="2">
        <v>44562.6625</v>
      </c>
      <c r="J1292">
        <v>15.9</v>
      </c>
      <c r="K1292" t="s">
        <v>24</v>
      </c>
      <c r="L1292">
        <v>0</v>
      </c>
      <c r="M1292">
        <v>4</v>
      </c>
      <c r="N1292" t="s">
        <v>103</v>
      </c>
      <c r="O1292" s="3" t="str">
        <f>TEXT(Ticket_Table[[#This Row],[raised_date]],"YYYY-MM")</f>
        <v>2022-01</v>
      </c>
      <c r="P1292" s="3" t="str">
        <f>IF(Ticket_Table[[#This Row],[resolution_hrs]]&lt;=4,"Fast",IF(Ticket_Table[[#This Row],[resolution_hrs]]&lt;=24,"Normal",IF(Ticket_Table[[#This Row],[resolution_hrs]]&lt;=48,"Slow","Very Slow")))</f>
        <v>Normal</v>
      </c>
      <c r="Q1292" s="3">
        <f>YEAR(Ticket_Table[[#This Row],[raised_date]])</f>
        <v>2022</v>
      </c>
    </row>
    <row r="1293" spans="1:17">
      <c r="A1293" t="s">
        <v>1851</v>
      </c>
      <c r="B1293" t="s">
        <v>302</v>
      </c>
      <c r="C1293" t="s">
        <v>102</v>
      </c>
      <c r="D1293" t="s">
        <v>90</v>
      </c>
      <c r="E1293" t="s">
        <v>106</v>
      </c>
      <c r="F1293" t="s">
        <v>45</v>
      </c>
      <c r="G1293" t="s">
        <v>74</v>
      </c>
      <c r="H1293" s="1">
        <v>45001</v>
      </c>
      <c r="I1293" s="2">
        <v>45001.175</v>
      </c>
      <c r="J1293">
        <v>4.2</v>
      </c>
      <c r="K1293" t="s">
        <v>32</v>
      </c>
      <c r="L1293">
        <v>0</v>
      </c>
      <c r="M1293">
        <v>4</v>
      </c>
      <c r="N1293" t="s">
        <v>197</v>
      </c>
      <c r="O1293" s="3" t="str">
        <f>TEXT(Ticket_Table[[#This Row],[raised_date]],"YYYY-MM")</f>
        <v>2023-03</v>
      </c>
      <c r="P1293" s="3" t="str">
        <f>IF(Ticket_Table[[#This Row],[resolution_hrs]]&lt;=4,"Fast",IF(Ticket_Table[[#This Row],[resolution_hrs]]&lt;=24,"Normal",IF(Ticket_Table[[#This Row],[resolution_hrs]]&lt;=48,"Slow","Very Slow")))</f>
        <v>Normal</v>
      </c>
      <c r="Q1293" s="3">
        <f>YEAR(Ticket_Table[[#This Row],[raised_date]])</f>
        <v>2023</v>
      </c>
    </row>
    <row r="1294" spans="1:17">
      <c r="A1294" t="s">
        <v>1852</v>
      </c>
      <c r="B1294" t="s">
        <v>1091</v>
      </c>
      <c r="C1294" t="s">
        <v>60</v>
      </c>
      <c r="D1294" t="s">
        <v>90</v>
      </c>
      <c r="E1294" t="s">
        <v>166</v>
      </c>
      <c r="F1294" t="s">
        <v>70</v>
      </c>
      <c r="G1294" t="s">
        <v>23</v>
      </c>
      <c r="H1294" s="1">
        <v>45280</v>
      </c>
      <c r="I1294" s="2">
        <v>45281.9625</v>
      </c>
      <c r="J1294">
        <v>47.1</v>
      </c>
      <c r="K1294" t="s">
        <v>24</v>
      </c>
      <c r="L1294">
        <v>3</v>
      </c>
      <c r="M1294">
        <v>3</v>
      </c>
      <c r="N1294" t="s">
        <v>204</v>
      </c>
      <c r="O1294" s="3" t="str">
        <f>TEXT(Ticket_Table[[#This Row],[raised_date]],"YYYY-MM")</f>
        <v>2023-12</v>
      </c>
      <c r="P1294" s="3" t="str">
        <f>IF(Ticket_Table[[#This Row],[resolution_hrs]]&lt;=4,"Fast",IF(Ticket_Table[[#This Row],[resolution_hrs]]&lt;=24,"Normal",IF(Ticket_Table[[#This Row],[resolution_hrs]]&lt;=48,"Slow","Very Slow")))</f>
        <v>Slow</v>
      </c>
      <c r="Q1294" s="3">
        <f>YEAR(Ticket_Table[[#This Row],[raised_date]])</f>
        <v>2023</v>
      </c>
    </row>
    <row r="1295" spans="1:17">
      <c r="A1295" t="s">
        <v>1853</v>
      </c>
      <c r="B1295" t="s">
        <v>504</v>
      </c>
      <c r="C1295" t="s">
        <v>19</v>
      </c>
      <c r="D1295" t="s">
        <v>29</v>
      </c>
      <c r="E1295" t="s">
        <v>30</v>
      </c>
      <c r="F1295" t="s">
        <v>70</v>
      </c>
      <c r="G1295" t="s">
        <v>31</v>
      </c>
      <c r="H1295" s="1">
        <v>44457</v>
      </c>
      <c r="I1295" s="2">
        <v>44458.3291666667</v>
      </c>
      <c r="J1295">
        <v>31.9</v>
      </c>
      <c r="K1295" t="s">
        <v>24</v>
      </c>
      <c r="L1295">
        <v>0</v>
      </c>
      <c r="M1295">
        <v>4</v>
      </c>
      <c r="N1295" t="s">
        <v>409</v>
      </c>
      <c r="O1295" s="3" t="str">
        <f>TEXT(Ticket_Table[[#This Row],[raised_date]],"YYYY-MM")</f>
        <v>2021-09</v>
      </c>
      <c r="P1295" s="3" t="str">
        <f>IF(Ticket_Table[[#This Row],[resolution_hrs]]&lt;=4,"Fast",IF(Ticket_Table[[#This Row],[resolution_hrs]]&lt;=24,"Normal",IF(Ticket_Table[[#This Row],[resolution_hrs]]&lt;=48,"Slow","Very Slow")))</f>
        <v>Slow</v>
      </c>
      <c r="Q1295" s="3">
        <f>YEAR(Ticket_Table[[#This Row],[raised_date]])</f>
        <v>2021</v>
      </c>
    </row>
    <row r="1296" spans="1:17">
      <c r="A1296" t="s">
        <v>1854</v>
      </c>
      <c r="B1296" t="s">
        <v>141</v>
      </c>
      <c r="C1296" t="s">
        <v>68</v>
      </c>
      <c r="D1296" t="s">
        <v>90</v>
      </c>
      <c r="E1296" t="s">
        <v>21</v>
      </c>
      <c r="F1296" t="s">
        <v>45</v>
      </c>
      <c r="G1296" t="s">
        <v>46</v>
      </c>
      <c r="H1296" s="1">
        <v>44653</v>
      </c>
      <c r="I1296" s="2">
        <v>44653.1708333333</v>
      </c>
      <c r="J1296">
        <v>4.1</v>
      </c>
      <c r="K1296" t="s">
        <v>32</v>
      </c>
      <c r="L1296">
        <v>0</v>
      </c>
      <c r="M1296">
        <v>3</v>
      </c>
      <c r="N1296" t="s">
        <v>195</v>
      </c>
      <c r="O1296" s="3" t="str">
        <f>TEXT(Ticket_Table[[#This Row],[raised_date]],"YYYY-MM")</f>
        <v>2022-04</v>
      </c>
      <c r="P1296" s="3" t="str">
        <f>IF(Ticket_Table[[#This Row],[resolution_hrs]]&lt;=4,"Fast",IF(Ticket_Table[[#This Row],[resolution_hrs]]&lt;=24,"Normal",IF(Ticket_Table[[#This Row],[resolution_hrs]]&lt;=48,"Slow","Very Slow")))</f>
        <v>Normal</v>
      </c>
      <c r="Q1296" s="3">
        <f>YEAR(Ticket_Table[[#This Row],[raised_date]])</f>
        <v>2022</v>
      </c>
    </row>
    <row r="1297" spans="1:17">
      <c r="A1297" t="s">
        <v>1855</v>
      </c>
      <c r="B1297" t="s">
        <v>264</v>
      </c>
      <c r="C1297" t="s">
        <v>261</v>
      </c>
      <c r="D1297" t="s">
        <v>29</v>
      </c>
      <c r="E1297" t="s">
        <v>21</v>
      </c>
      <c r="F1297" t="s">
        <v>38</v>
      </c>
      <c r="G1297" t="s">
        <v>31</v>
      </c>
      <c r="H1297" s="1">
        <v>44204</v>
      </c>
      <c r="I1297" s="2">
        <v>44205.1958333333</v>
      </c>
      <c r="J1297">
        <v>28.7</v>
      </c>
      <c r="K1297" t="s">
        <v>32</v>
      </c>
      <c r="L1297">
        <v>0</v>
      </c>
      <c r="M1297">
        <v>3</v>
      </c>
      <c r="N1297" t="s">
        <v>1223</v>
      </c>
      <c r="O1297" s="3" t="str">
        <f>TEXT(Ticket_Table[[#This Row],[raised_date]],"YYYY-MM")</f>
        <v>2021-01</v>
      </c>
      <c r="P1297" s="3" t="str">
        <f>IF(Ticket_Table[[#This Row],[resolution_hrs]]&lt;=4,"Fast",IF(Ticket_Table[[#This Row],[resolution_hrs]]&lt;=24,"Normal",IF(Ticket_Table[[#This Row],[resolution_hrs]]&lt;=48,"Slow","Very Slow")))</f>
        <v>Slow</v>
      </c>
      <c r="Q1297" s="3">
        <f>YEAR(Ticket_Table[[#This Row],[raised_date]])</f>
        <v>2021</v>
      </c>
    </row>
    <row r="1298" spans="1:17">
      <c r="A1298" t="s">
        <v>1856</v>
      </c>
      <c r="B1298" t="s">
        <v>1857</v>
      </c>
      <c r="C1298" t="s">
        <v>117</v>
      </c>
      <c r="D1298" t="s">
        <v>43</v>
      </c>
      <c r="E1298" t="s">
        <v>30</v>
      </c>
      <c r="F1298" t="s">
        <v>70</v>
      </c>
      <c r="G1298" t="s">
        <v>91</v>
      </c>
      <c r="H1298" s="1">
        <v>44243</v>
      </c>
      <c r="I1298" s="2">
        <v>44243.6083333333</v>
      </c>
      <c r="J1298">
        <v>14.6</v>
      </c>
      <c r="K1298" t="s">
        <v>24</v>
      </c>
      <c r="L1298">
        <v>0</v>
      </c>
      <c r="M1298">
        <v>2</v>
      </c>
      <c r="N1298" t="s">
        <v>944</v>
      </c>
      <c r="O1298" s="3" t="str">
        <f>TEXT(Ticket_Table[[#This Row],[raised_date]],"YYYY-MM")</f>
        <v>2021-02</v>
      </c>
      <c r="P1298" s="3" t="str">
        <f>IF(Ticket_Table[[#This Row],[resolution_hrs]]&lt;=4,"Fast",IF(Ticket_Table[[#This Row],[resolution_hrs]]&lt;=24,"Normal",IF(Ticket_Table[[#This Row],[resolution_hrs]]&lt;=48,"Slow","Very Slow")))</f>
        <v>Normal</v>
      </c>
      <c r="Q1298" s="3">
        <f>YEAR(Ticket_Table[[#This Row],[raised_date]])</f>
        <v>2021</v>
      </c>
    </row>
    <row r="1299" spans="1:17">
      <c r="A1299" t="s">
        <v>1858</v>
      </c>
      <c r="B1299" t="s">
        <v>346</v>
      </c>
      <c r="C1299" t="s">
        <v>213</v>
      </c>
      <c r="D1299" t="s">
        <v>36</v>
      </c>
      <c r="E1299" t="s">
        <v>83</v>
      </c>
      <c r="F1299" t="s">
        <v>38</v>
      </c>
      <c r="G1299" t="s">
        <v>46</v>
      </c>
      <c r="H1299" s="1">
        <v>44808</v>
      </c>
      <c r="I1299" s="2">
        <v>44808.4791666667</v>
      </c>
      <c r="J1299">
        <v>11.5</v>
      </c>
      <c r="K1299" t="s">
        <v>24</v>
      </c>
      <c r="L1299">
        <v>0</v>
      </c>
      <c r="M1299">
        <v>1</v>
      </c>
      <c r="N1299" t="s">
        <v>65</v>
      </c>
      <c r="O1299" s="3" t="str">
        <f>TEXT(Ticket_Table[[#This Row],[raised_date]],"YYYY-MM")</f>
        <v>2022-09</v>
      </c>
      <c r="P1299" s="3" t="str">
        <f>IF(Ticket_Table[[#This Row],[resolution_hrs]]&lt;=4,"Fast",IF(Ticket_Table[[#This Row],[resolution_hrs]]&lt;=24,"Normal",IF(Ticket_Table[[#This Row],[resolution_hrs]]&lt;=48,"Slow","Very Slow")))</f>
        <v>Normal</v>
      </c>
      <c r="Q1299" s="3">
        <f>YEAR(Ticket_Table[[#This Row],[raised_date]])</f>
        <v>2022</v>
      </c>
    </row>
    <row r="1300" spans="1:17">
      <c r="A1300" t="s">
        <v>1859</v>
      </c>
      <c r="B1300" t="s">
        <v>146</v>
      </c>
      <c r="C1300" t="s">
        <v>175</v>
      </c>
      <c r="D1300" t="s">
        <v>20</v>
      </c>
      <c r="E1300" t="s">
        <v>30</v>
      </c>
      <c r="F1300" t="s">
        <v>38</v>
      </c>
      <c r="G1300" t="s">
        <v>23</v>
      </c>
      <c r="H1300" s="1">
        <v>45145</v>
      </c>
      <c r="I1300" s="2">
        <v>45145.7166666667</v>
      </c>
      <c r="J1300">
        <v>17.2</v>
      </c>
      <c r="K1300" t="s">
        <v>24</v>
      </c>
      <c r="L1300">
        <v>3</v>
      </c>
      <c r="M1300">
        <v>5</v>
      </c>
      <c r="N1300" t="s">
        <v>27</v>
      </c>
      <c r="O1300" s="3" t="str">
        <f>TEXT(Ticket_Table[[#This Row],[raised_date]],"YYYY-MM")</f>
        <v>2023-08</v>
      </c>
      <c r="P1300" s="3" t="str">
        <f>IF(Ticket_Table[[#This Row],[resolution_hrs]]&lt;=4,"Fast",IF(Ticket_Table[[#This Row],[resolution_hrs]]&lt;=24,"Normal",IF(Ticket_Table[[#This Row],[resolution_hrs]]&lt;=48,"Slow","Very Slow")))</f>
        <v>Normal</v>
      </c>
      <c r="Q1300" s="3">
        <f>YEAR(Ticket_Table[[#This Row],[raised_date]])</f>
        <v>2023</v>
      </c>
    </row>
    <row r="1301" spans="1:17">
      <c r="A1301" t="s">
        <v>1860</v>
      </c>
      <c r="B1301" t="s">
        <v>266</v>
      </c>
      <c r="C1301" t="s">
        <v>261</v>
      </c>
      <c r="D1301" t="s">
        <v>29</v>
      </c>
      <c r="E1301" t="s">
        <v>51</v>
      </c>
      <c r="F1301" t="s">
        <v>70</v>
      </c>
      <c r="G1301" t="s">
        <v>74</v>
      </c>
      <c r="H1301" s="1">
        <v>45065</v>
      </c>
      <c r="I1301" s="2">
        <v>45066.4458333333</v>
      </c>
      <c r="J1301">
        <v>34.7</v>
      </c>
      <c r="K1301" t="s">
        <v>24</v>
      </c>
      <c r="L1301">
        <v>2</v>
      </c>
      <c r="M1301">
        <v>4</v>
      </c>
      <c r="N1301" t="s">
        <v>137</v>
      </c>
      <c r="O1301" s="3" t="str">
        <f>TEXT(Ticket_Table[[#This Row],[raised_date]],"YYYY-MM")</f>
        <v>2023-05</v>
      </c>
      <c r="P1301" s="3" t="str">
        <f>IF(Ticket_Table[[#This Row],[resolution_hrs]]&lt;=4,"Fast",IF(Ticket_Table[[#This Row],[resolution_hrs]]&lt;=24,"Normal",IF(Ticket_Table[[#This Row],[resolution_hrs]]&lt;=48,"Slow","Very Slow")))</f>
        <v>Slow</v>
      </c>
      <c r="Q1301" s="3">
        <f>YEAR(Ticket_Table[[#This Row],[raised_date]])</f>
        <v>2023</v>
      </c>
    </row>
    <row r="1302" spans="1:17">
      <c r="A1302" t="s">
        <v>1861</v>
      </c>
      <c r="B1302" t="s">
        <v>675</v>
      </c>
      <c r="C1302" t="s">
        <v>64</v>
      </c>
      <c r="D1302" t="s">
        <v>29</v>
      </c>
      <c r="E1302" t="s">
        <v>56</v>
      </c>
      <c r="F1302" t="s">
        <v>70</v>
      </c>
      <c r="G1302" t="s">
        <v>46</v>
      </c>
      <c r="H1302" s="1">
        <v>45286</v>
      </c>
      <c r="I1302" s="2">
        <v>45286.1041666667</v>
      </c>
      <c r="J1302">
        <v>2.5</v>
      </c>
      <c r="K1302" t="s">
        <v>24</v>
      </c>
      <c r="L1302">
        <v>0</v>
      </c>
      <c r="M1302">
        <v>4</v>
      </c>
      <c r="N1302" t="s">
        <v>1039</v>
      </c>
      <c r="O1302" s="3" t="str">
        <f>TEXT(Ticket_Table[[#This Row],[raised_date]],"YYYY-MM")</f>
        <v>2023-12</v>
      </c>
      <c r="P1302" s="3" t="str">
        <f>IF(Ticket_Table[[#This Row],[resolution_hrs]]&lt;=4,"Fast",IF(Ticket_Table[[#This Row],[resolution_hrs]]&lt;=24,"Normal",IF(Ticket_Table[[#This Row],[resolution_hrs]]&lt;=48,"Slow","Very Slow")))</f>
        <v>Fast</v>
      </c>
      <c r="Q1302" s="3">
        <f>YEAR(Ticket_Table[[#This Row],[raised_date]])</f>
        <v>2023</v>
      </c>
    </row>
    <row r="1303" spans="1:17">
      <c r="A1303" t="s">
        <v>1862</v>
      </c>
      <c r="B1303" t="s">
        <v>180</v>
      </c>
      <c r="C1303" t="s">
        <v>78</v>
      </c>
      <c r="D1303" t="s">
        <v>29</v>
      </c>
      <c r="E1303" t="s">
        <v>83</v>
      </c>
      <c r="F1303" t="s">
        <v>70</v>
      </c>
      <c r="G1303" t="s">
        <v>74</v>
      </c>
      <c r="H1303" s="1">
        <v>44973</v>
      </c>
      <c r="I1303" s="2">
        <v>44973.5333333333</v>
      </c>
      <c r="J1303">
        <v>12.8</v>
      </c>
      <c r="K1303" t="s">
        <v>24</v>
      </c>
      <c r="L1303">
        <v>0</v>
      </c>
      <c r="M1303">
        <v>3</v>
      </c>
      <c r="N1303" t="s">
        <v>121</v>
      </c>
      <c r="O1303" s="3" t="str">
        <f>TEXT(Ticket_Table[[#This Row],[raised_date]],"YYYY-MM")</f>
        <v>2023-02</v>
      </c>
      <c r="P1303" s="3" t="str">
        <f>IF(Ticket_Table[[#This Row],[resolution_hrs]]&lt;=4,"Fast",IF(Ticket_Table[[#This Row],[resolution_hrs]]&lt;=24,"Normal",IF(Ticket_Table[[#This Row],[resolution_hrs]]&lt;=48,"Slow","Very Slow")))</f>
        <v>Normal</v>
      </c>
      <c r="Q1303" s="3">
        <f>YEAR(Ticket_Table[[#This Row],[raised_date]])</f>
        <v>2023</v>
      </c>
    </row>
    <row r="1304" spans="1:17">
      <c r="A1304" t="s">
        <v>1863</v>
      </c>
      <c r="B1304" t="s">
        <v>52</v>
      </c>
      <c r="C1304" t="s">
        <v>117</v>
      </c>
      <c r="D1304" t="s">
        <v>43</v>
      </c>
      <c r="E1304" t="s">
        <v>56</v>
      </c>
      <c r="F1304" t="s">
        <v>45</v>
      </c>
      <c r="G1304" t="s">
        <v>23</v>
      </c>
      <c r="H1304" s="1">
        <v>44667</v>
      </c>
      <c r="I1304" s="2">
        <v>44667.075</v>
      </c>
      <c r="J1304">
        <v>1.8</v>
      </c>
      <c r="K1304" t="s">
        <v>24</v>
      </c>
      <c r="L1304">
        <v>0</v>
      </c>
      <c r="M1304">
        <v>2</v>
      </c>
      <c r="N1304" t="s">
        <v>464</v>
      </c>
      <c r="O1304" s="3" t="str">
        <f>TEXT(Ticket_Table[[#This Row],[raised_date]],"YYYY-MM")</f>
        <v>2022-04</v>
      </c>
      <c r="P1304" s="3" t="str">
        <f>IF(Ticket_Table[[#This Row],[resolution_hrs]]&lt;=4,"Fast",IF(Ticket_Table[[#This Row],[resolution_hrs]]&lt;=24,"Normal",IF(Ticket_Table[[#This Row],[resolution_hrs]]&lt;=48,"Slow","Very Slow")))</f>
        <v>Fast</v>
      </c>
      <c r="Q1304" s="3">
        <f>YEAR(Ticket_Table[[#This Row],[raised_date]])</f>
        <v>2022</v>
      </c>
    </row>
    <row r="1305" spans="1:17">
      <c r="A1305" t="s">
        <v>1864</v>
      </c>
      <c r="B1305" t="s">
        <v>937</v>
      </c>
      <c r="C1305" t="s">
        <v>140</v>
      </c>
      <c r="D1305" t="s">
        <v>29</v>
      </c>
      <c r="E1305" t="s">
        <v>166</v>
      </c>
      <c r="F1305" t="s">
        <v>38</v>
      </c>
      <c r="G1305" t="s">
        <v>31</v>
      </c>
      <c r="H1305" s="1">
        <v>44703</v>
      </c>
      <c r="I1305" s="2">
        <v>44704.0666666667</v>
      </c>
      <c r="J1305">
        <v>25.6</v>
      </c>
      <c r="K1305" t="s">
        <v>32</v>
      </c>
      <c r="L1305">
        <v>0</v>
      </c>
      <c r="M1305">
        <v>4</v>
      </c>
      <c r="N1305" t="s">
        <v>116</v>
      </c>
      <c r="O1305" s="3" t="str">
        <f>TEXT(Ticket_Table[[#This Row],[raised_date]],"YYYY-MM")</f>
        <v>2022-05</v>
      </c>
      <c r="P1305" s="3" t="str">
        <f>IF(Ticket_Table[[#This Row],[resolution_hrs]]&lt;=4,"Fast",IF(Ticket_Table[[#This Row],[resolution_hrs]]&lt;=24,"Normal",IF(Ticket_Table[[#This Row],[resolution_hrs]]&lt;=48,"Slow","Very Slow")))</f>
        <v>Slow</v>
      </c>
      <c r="Q1305" s="3">
        <f>YEAR(Ticket_Table[[#This Row],[raised_date]])</f>
        <v>2022</v>
      </c>
    </row>
    <row r="1306" spans="1:17">
      <c r="A1306" t="s">
        <v>1865</v>
      </c>
      <c r="B1306" t="s">
        <v>710</v>
      </c>
      <c r="C1306" t="s">
        <v>19</v>
      </c>
      <c r="D1306" t="s">
        <v>36</v>
      </c>
      <c r="E1306" t="s">
        <v>37</v>
      </c>
      <c r="F1306" t="s">
        <v>22</v>
      </c>
      <c r="G1306" t="s">
        <v>23</v>
      </c>
      <c r="H1306" s="1">
        <v>45140</v>
      </c>
      <c r="I1306" s="2">
        <v>45144.3375</v>
      </c>
      <c r="J1306">
        <v>104.1</v>
      </c>
      <c r="K1306" t="s">
        <v>32</v>
      </c>
      <c r="L1306">
        <v>0</v>
      </c>
      <c r="M1306">
        <v>3</v>
      </c>
      <c r="N1306" t="s">
        <v>959</v>
      </c>
      <c r="O1306" s="3" t="str">
        <f>TEXT(Ticket_Table[[#This Row],[raised_date]],"YYYY-MM")</f>
        <v>2023-08</v>
      </c>
      <c r="P1306" s="3" t="str">
        <f>IF(Ticket_Table[[#This Row],[resolution_hrs]]&lt;=4,"Fast",IF(Ticket_Table[[#This Row],[resolution_hrs]]&lt;=24,"Normal",IF(Ticket_Table[[#This Row],[resolution_hrs]]&lt;=48,"Slow","Very Slow")))</f>
        <v>Very Slow</v>
      </c>
      <c r="Q1306" s="3">
        <f>YEAR(Ticket_Table[[#This Row],[raised_date]])</f>
        <v>2023</v>
      </c>
    </row>
    <row r="1307" spans="1:17">
      <c r="A1307" t="s">
        <v>1866</v>
      </c>
      <c r="B1307" t="s">
        <v>546</v>
      </c>
      <c r="C1307" t="s">
        <v>117</v>
      </c>
      <c r="D1307" t="s">
        <v>36</v>
      </c>
      <c r="E1307" t="s">
        <v>106</v>
      </c>
      <c r="F1307" t="s">
        <v>38</v>
      </c>
      <c r="G1307" t="s">
        <v>46</v>
      </c>
      <c r="H1307" s="1">
        <v>44905</v>
      </c>
      <c r="I1307" s="2">
        <v>44905.7291666667</v>
      </c>
      <c r="J1307">
        <v>17.5</v>
      </c>
      <c r="K1307" t="s">
        <v>24</v>
      </c>
      <c r="L1307">
        <v>1</v>
      </c>
      <c r="M1307">
        <v>5</v>
      </c>
      <c r="N1307" t="s">
        <v>780</v>
      </c>
      <c r="O1307" s="3" t="str">
        <f>TEXT(Ticket_Table[[#This Row],[raised_date]],"YYYY-MM")</f>
        <v>2022-12</v>
      </c>
      <c r="P1307" s="3" t="str">
        <f>IF(Ticket_Table[[#This Row],[resolution_hrs]]&lt;=4,"Fast",IF(Ticket_Table[[#This Row],[resolution_hrs]]&lt;=24,"Normal",IF(Ticket_Table[[#This Row],[resolution_hrs]]&lt;=48,"Slow","Very Slow")))</f>
        <v>Normal</v>
      </c>
      <c r="Q1307" s="3">
        <f>YEAR(Ticket_Table[[#This Row],[raised_date]])</f>
        <v>2022</v>
      </c>
    </row>
    <row r="1308" spans="1:17">
      <c r="A1308" t="s">
        <v>1867</v>
      </c>
      <c r="B1308" t="s">
        <v>853</v>
      </c>
      <c r="C1308" t="s">
        <v>140</v>
      </c>
      <c r="D1308" t="s">
        <v>20</v>
      </c>
      <c r="E1308" t="s">
        <v>69</v>
      </c>
      <c r="F1308" t="s">
        <v>70</v>
      </c>
      <c r="G1308" t="s">
        <v>74</v>
      </c>
      <c r="H1308" s="1">
        <v>44514</v>
      </c>
      <c r="I1308" s="2">
        <v>44516.5833333333</v>
      </c>
      <c r="J1308">
        <v>62</v>
      </c>
      <c r="K1308" t="s">
        <v>32</v>
      </c>
      <c r="L1308">
        <v>0</v>
      </c>
      <c r="M1308">
        <v>5</v>
      </c>
      <c r="N1308" t="s">
        <v>457</v>
      </c>
      <c r="O1308" s="3" t="str">
        <f>TEXT(Ticket_Table[[#This Row],[raised_date]],"YYYY-MM")</f>
        <v>2021-11</v>
      </c>
      <c r="P1308" s="3" t="str">
        <f>IF(Ticket_Table[[#This Row],[resolution_hrs]]&lt;=4,"Fast",IF(Ticket_Table[[#This Row],[resolution_hrs]]&lt;=24,"Normal",IF(Ticket_Table[[#This Row],[resolution_hrs]]&lt;=48,"Slow","Very Slow")))</f>
        <v>Very Slow</v>
      </c>
      <c r="Q1308" s="3">
        <f>YEAR(Ticket_Table[[#This Row],[raised_date]])</f>
        <v>2021</v>
      </c>
    </row>
    <row r="1309" spans="1:17">
      <c r="A1309" t="s">
        <v>1868</v>
      </c>
      <c r="B1309" t="s">
        <v>442</v>
      </c>
      <c r="C1309" t="s">
        <v>64</v>
      </c>
      <c r="D1309" t="s">
        <v>43</v>
      </c>
      <c r="E1309" t="s">
        <v>30</v>
      </c>
      <c r="F1309" t="s">
        <v>22</v>
      </c>
      <c r="G1309" t="s">
        <v>23</v>
      </c>
      <c r="H1309" s="1">
        <v>44761</v>
      </c>
      <c r="I1309" s="2">
        <v>44763.65</v>
      </c>
      <c r="J1309">
        <v>63.6</v>
      </c>
      <c r="K1309" t="s">
        <v>24</v>
      </c>
      <c r="L1309">
        <v>0</v>
      </c>
      <c r="M1309">
        <v>5</v>
      </c>
      <c r="N1309" t="s">
        <v>378</v>
      </c>
      <c r="O1309" s="3" t="str">
        <f>TEXT(Ticket_Table[[#This Row],[raised_date]],"YYYY-MM")</f>
        <v>2022-07</v>
      </c>
      <c r="P1309" s="3" t="str">
        <f>IF(Ticket_Table[[#This Row],[resolution_hrs]]&lt;=4,"Fast",IF(Ticket_Table[[#This Row],[resolution_hrs]]&lt;=24,"Normal",IF(Ticket_Table[[#This Row],[resolution_hrs]]&lt;=48,"Slow","Very Slow")))</f>
        <v>Very Slow</v>
      </c>
      <c r="Q1309" s="3">
        <f>YEAR(Ticket_Table[[#This Row],[raised_date]])</f>
        <v>2022</v>
      </c>
    </row>
    <row r="1310" spans="1:17">
      <c r="A1310" t="s">
        <v>1869</v>
      </c>
      <c r="B1310" t="s">
        <v>246</v>
      </c>
      <c r="C1310" t="s">
        <v>42</v>
      </c>
      <c r="D1310" t="s">
        <v>36</v>
      </c>
      <c r="E1310" t="s">
        <v>106</v>
      </c>
      <c r="F1310" t="s">
        <v>70</v>
      </c>
      <c r="G1310" t="s">
        <v>46</v>
      </c>
      <c r="H1310" s="1">
        <v>44583</v>
      </c>
      <c r="I1310" s="2">
        <v>44583.6375</v>
      </c>
      <c r="J1310">
        <v>15.3</v>
      </c>
      <c r="K1310" t="s">
        <v>24</v>
      </c>
      <c r="L1310">
        <v>1</v>
      </c>
      <c r="M1310">
        <v>4</v>
      </c>
      <c r="N1310" t="s">
        <v>94</v>
      </c>
      <c r="O1310" s="3" t="str">
        <f>TEXT(Ticket_Table[[#This Row],[raised_date]],"YYYY-MM")</f>
        <v>2022-01</v>
      </c>
      <c r="P1310" s="3" t="str">
        <f>IF(Ticket_Table[[#This Row],[resolution_hrs]]&lt;=4,"Fast",IF(Ticket_Table[[#This Row],[resolution_hrs]]&lt;=24,"Normal",IF(Ticket_Table[[#This Row],[resolution_hrs]]&lt;=48,"Slow","Very Slow")))</f>
        <v>Normal</v>
      </c>
      <c r="Q1310" s="3">
        <f>YEAR(Ticket_Table[[#This Row],[raised_date]])</f>
        <v>2022</v>
      </c>
    </row>
    <row r="1311" spans="1:17">
      <c r="A1311" t="s">
        <v>1870</v>
      </c>
      <c r="B1311" t="s">
        <v>398</v>
      </c>
      <c r="C1311" t="s">
        <v>60</v>
      </c>
      <c r="D1311" t="s">
        <v>90</v>
      </c>
      <c r="E1311" t="s">
        <v>69</v>
      </c>
      <c r="F1311" t="s">
        <v>70</v>
      </c>
      <c r="G1311" t="s">
        <v>23</v>
      </c>
      <c r="H1311" s="1">
        <v>44428</v>
      </c>
      <c r="I1311" s="2">
        <v>44429.725</v>
      </c>
      <c r="J1311">
        <v>41.4</v>
      </c>
      <c r="K1311" t="s">
        <v>24</v>
      </c>
      <c r="L1311">
        <v>0</v>
      </c>
      <c r="M1311">
        <v>4</v>
      </c>
      <c r="N1311" t="s">
        <v>227</v>
      </c>
      <c r="O1311" s="3" t="str">
        <f>TEXT(Ticket_Table[[#This Row],[raised_date]],"YYYY-MM")</f>
        <v>2021-08</v>
      </c>
      <c r="P1311" s="3" t="str">
        <f>IF(Ticket_Table[[#This Row],[resolution_hrs]]&lt;=4,"Fast",IF(Ticket_Table[[#This Row],[resolution_hrs]]&lt;=24,"Normal",IF(Ticket_Table[[#This Row],[resolution_hrs]]&lt;=48,"Slow","Very Slow")))</f>
        <v>Slow</v>
      </c>
      <c r="Q1311" s="3">
        <f>YEAR(Ticket_Table[[#This Row],[raised_date]])</f>
        <v>2021</v>
      </c>
    </row>
    <row r="1312" spans="1:17">
      <c r="A1312" t="s">
        <v>1871</v>
      </c>
      <c r="B1312" t="s">
        <v>792</v>
      </c>
      <c r="C1312" t="s">
        <v>102</v>
      </c>
      <c r="D1312" t="s">
        <v>90</v>
      </c>
      <c r="E1312" t="s">
        <v>166</v>
      </c>
      <c r="F1312" t="s">
        <v>38</v>
      </c>
      <c r="G1312" t="s">
        <v>23</v>
      </c>
      <c r="H1312" s="1">
        <v>44262</v>
      </c>
      <c r="I1312" s="2">
        <v>44263.2583333333</v>
      </c>
      <c r="J1312">
        <v>30.2</v>
      </c>
      <c r="K1312" t="s">
        <v>32</v>
      </c>
      <c r="L1312">
        <v>0</v>
      </c>
      <c r="M1312">
        <v>5</v>
      </c>
      <c r="N1312" t="s">
        <v>374</v>
      </c>
      <c r="O1312" s="3" t="str">
        <f>TEXT(Ticket_Table[[#This Row],[raised_date]],"YYYY-MM")</f>
        <v>2021-03</v>
      </c>
      <c r="P1312" s="3" t="str">
        <f>IF(Ticket_Table[[#This Row],[resolution_hrs]]&lt;=4,"Fast",IF(Ticket_Table[[#This Row],[resolution_hrs]]&lt;=24,"Normal",IF(Ticket_Table[[#This Row],[resolution_hrs]]&lt;=48,"Slow","Very Slow")))</f>
        <v>Slow</v>
      </c>
      <c r="Q1312" s="3">
        <f>YEAR(Ticket_Table[[#This Row],[raised_date]])</f>
        <v>2021</v>
      </c>
    </row>
    <row r="1313" spans="1:17">
      <c r="A1313" t="s">
        <v>1872</v>
      </c>
      <c r="B1313" t="s">
        <v>259</v>
      </c>
      <c r="C1313" t="s">
        <v>140</v>
      </c>
      <c r="D1313" t="s">
        <v>90</v>
      </c>
      <c r="E1313" t="s">
        <v>166</v>
      </c>
      <c r="F1313" t="s">
        <v>22</v>
      </c>
      <c r="G1313" t="s">
        <v>31</v>
      </c>
      <c r="H1313" s="1">
        <v>45055</v>
      </c>
      <c r="I1313" s="2">
        <v>45055.2666666667</v>
      </c>
      <c r="J1313">
        <v>6.4</v>
      </c>
      <c r="K1313" t="s">
        <v>24</v>
      </c>
      <c r="L1313">
        <v>1</v>
      </c>
      <c r="M1313">
        <v>4</v>
      </c>
      <c r="N1313" t="s">
        <v>207</v>
      </c>
      <c r="O1313" s="3" t="str">
        <f>TEXT(Ticket_Table[[#This Row],[raised_date]],"YYYY-MM")</f>
        <v>2023-05</v>
      </c>
      <c r="P1313" s="3" t="str">
        <f>IF(Ticket_Table[[#This Row],[resolution_hrs]]&lt;=4,"Fast",IF(Ticket_Table[[#This Row],[resolution_hrs]]&lt;=24,"Normal",IF(Ticket_Table[[#This Row],[resolution_hrs]]&lt;=48,"Slow","Very Slow")))</f>
        <v>Normal</v>
      </c>
      <c r="Q1313" s="3">
        <f>YEAR(Ticket_Table[[#This Row],[raised_date]])</f>
        <v>2023</v>
      </c>
    </row>
    <row r="1314" spans="1:17">
      <c r="A1314" t="s">
        <v>1873</v>
      </c>
      <c r="B1314" t="s">
        <v>586</v>
      </c>
      <c r="C1314" t="s">
        <v>117</v>
      </c>
      <c r="D1314" t="s">
        <v>29</v>
      </c>
      <c r="E1314" t="s">
        <v>37</v>
      </c>
      <c r="F1314" t="s">
        <v>38</v>
      </c>
      <c r="G1314" t="s">
        <v>74</v>
      </c>
      <c r="H1314" s="1">
        <v>44229</v>
      </c>
      <c r="I1314" s="2">
        <v>44229.0541666667</v>
      </c>
      <c r="J1314">
        <v>1.3</v>
      </c>
      <c r="K1314" t="s">
        <v>24</v>
      </c>
      <c r="L1314">
        <v>0</v>
      </c>
      <c r="M1314">
        <v>4</v>
      </c>
      <c r="N1314" t="s">
        <v>353</v>
      </c>
      <c r="O1314" s="3" t="str">
        <f>TEXT(Ticket_Table[[#This Row],[raised_date]],"YYYY-MM")</f>
        <v>2021-02</v>
      </c>
      <c r="P1314" s="3" t="str">
        <f>IF(Ticket_Table[[#This Row],[resolution_hrs]]&lt;=4,"Fast",IF(Ticket_Table[[#This Row],[resolution_hrs]]&lt;=24,"Normal",IF(Ticket_Table[[#This Row],[resolution_hrs]]&lt;=48,"Slow","Very Slow")))</f>
        <v>Fast</v>
      </c>
      <c r="Q1314" s="3">
        <f>YEAR(Ticket_Table[[#This Row],[raised_date]])</f>
        <v>2021</v>
      </c>
    </row>
    <row r="1315" spans="1:17">
      <c r="A1315" t="s">
        <v>1874</v>
      </c>
      <c r="B1315" t="s">
        <v>161</v>
      </c>
      <c r="C1315" t="s">
        <v>42</v>
      </c>
      <c r="D1315" t="s">
        <v>29</v>
      </c>
      <c r="E1315" t="s">
        <v>83</v>
      </c>
      <c r="F1315" t="s">
        <v>70</v>
      </c>
      <c r="G1315" t="s">
        <v>31</v>
      </c>
      <c r="H1315" s="1">
        <v>44689</v>
      </c>
      <c r="I1315" s="2">
        <v>44690.9083333333</v>
      </c>
      <c r="J1315">
        <v>45.8</v>
      </c>
      <c r="K1315" t="s">
        <v>24</v>
      </c>
      <c r="L1315">
        <v>0</v>
      </c>
      <c r="M1315">
        <v>4</v>
      </c>
      <c r="N1315" t="s">
        <v>810</v>
      </c>
      <c r="O1315" s="3" t="str">
        <f>TEXT(Ticket_Table[[#This Row],[raised_date]],"YYYY-MM")</f>
        <v>2022-05</v>
      </c>
      <c r="P1315" s="3" t="str">
        <f>IF(Ticket_Table[[#This Row],[resolution_hrs]]&lt;=4,"Fast",IF(Ticket_Table[[#This Row],[resolution_hrs]]&lt;=24,"Normal",IF(Ticket_Table[[#This Row],[resolution_hrs]]&lt;=48,"Slow","Very Slow")))</f>
        <v>Slow</v>
      </c>
      <c r="Q1315" s="3">
        <f>YEAR(Ticket_Table[[#This Row],[raised_date]])</f>
        <v>2022</v>
      </c>
    </row>
    <row r="1316" spans="1:17">
      <c r="A1316" t="s">
        <v>1875</v>
      </c>
      <c r="B1316" t="s">
        <v>300</v>
      </c>
      <c r="C1316" t="s">
        <v>50</v>
      </c>
      <c r="D1316" t="s">
        <v>90</v>
      </c>
      <c r="E1316" t="s">
        <v>106</v>
      </c>
      <c r="F1316" t="s">
        <v>22</v>
      </c>
      <c r="G1316" t="s">
        <v>74</v>
      </c>
      <c r="H1316" s="1">
        <v>44619</v>
      </c>
      <c r="I1316" s="2">
        <v>44622.2208333333</v>
      </c>
      <c r="J1316">
        <v>77.3</v>
      </c>
      <c r="K1316" t="s">
        <v>32</v>
      </c>
      <c r="L1316">
        <v>0</v>
      </c>
      <c r="M1316">
        <v>4</v>
      </c>
      <c r="N1316" t="s">
        <v>675</v>
      </c>
      <c r="O1316" s="3" t="str">
        <f>TEXT(Ticket_Table[[#This Row],[raised_date]],"YYYY-MM")</f>
        <v>2022-02</v>
      </c>
      <c r="P1316" s="3" t="str">
        <f>IF(Ticket_Table[[#This Row],[resolution_hrs]]&lt;=4,"Fast",IF(Ticket_Table[[#This Row],[resolution_hrs]]&lt;=24,"Normal",IF(Ticket_Table[[#This Row],[resolution_hrs]]&lt;=48,"Slow","Very Slow")))</f>
        <v>Very Slow</v>
      </c>
      <c r="Q1316" s="3">
        <f>YEAR(Ticket_Table[[#This Row],[raised_date]])</f>
        <v>2022</v>
      </c>
    </row>
    <row r="1317" spans="1:17">
      <c r="A1317" t="s">
        <v>1876</v>
      </c>
      <c r="B1317" t="s">
        <v>227</v>
      </c>
      <c r="C1317" t="s">
        <v>42</v>
      </c>
      <c r="D1317" t="s">
        <v>20</v>
      </c>
      <c r="E1317" t="s">
        <v>106</v>
      </c>
      <c r="F1317" t="s">
        <v>45</v>
      </c>
      <c r="G1317" t="s">
        <v>23</v>
      </c>
      <c r="H1317" s="1">
        <v>44334</v>
      </c>
      <c r="I1317" s="2">
        <v>44334.2458333333</v>
      </c>
      <c r="J1317">
        <v>5.9</v>
      </c>
      <c r="K1317" t="s">
        <v>32</v>
      </c>
      <c r="L1317">
        <v>0</v>
      </c>
      <c r="M1317">
        <v>4</v>
      </c>
      <c r="N1317" t="s">
        <v>805</v>
      </c>
      <c r="O1317" s="3" t="str">
        <f>TEXT(Ticket_Table[[#This Row],[raised_date]],"YYYY-MM")</f>
        <v>2021-05</v>
      </c>
      <c r="P1317" s="3" t="str">
        <f>IF(Ticket_Table[[#This Row],[resolution_hrs]]&lt;=4,"Fast",IF(Ticket_Table[[#This Row],[resolution_hrs]]&lt;=24,"Normal",IF(Ticket_Table[[#This Row],[resolution_hrs]]&lt;=48,"Slow","Very Slow")))</f>
        <v>Normal</v>
      </c>
      <c r="Q1317" s="3">
        <f>YEAR(Ticket_Table[[#This Row],[raised_date]])</f>
        <v>2021</v>
      </c>
    </row>
    <row r="1318" spans="1:17">
      <c r="A1318" t="s">
        <v>1877</v>
      </c>
      <c r="B1318" t="s">
        <v>87</v>
      </c>
      <c r="C1318" t="s">
        <v>68</v>
      </c>
      <c r="D1318" t="s">
        <v>20</v>
      </c>
      <c r="E1318" t="s">
        <v>30</v>
      </c>
      <c r="F1318" t="s">
        <v>70</v>
      </c>
      <c r="G1318" t="s">
        <v>23</v>
      </c>
      <c r="H1318" s="1">
        <v>44403</v>
      </c>
      <c r="I1318" s="2">
        <v>44405.5541666667</v>
      </c>
      <c r="J1318">
        <v>61.3</v>
      </c>
      <c r="K1318" t="s">
        <v>32</v>
      </c>
      <c r="L1318">
        <v>0</v>
      </c>
      <c r="M1318">
        <v>4</v>
      </c>
      <c r="N1318" t="s">
        <v>696</v>
      </c>
      <c r="O1318" s="3" t="str">
        <f>TEXT(Ticket_Table[[#This Row],[raised_date]],"YYYY-MM")</f>
        <v>2021-07</v>
      </c>
      <c r="P1318" s="3" t="str">
        <f>IF(Ticket_Table[[#This Row],[resolution_hrs]]&lt;=4,"Fast",IF(Ticket_Table[[#This Row],[resolution_hrs]]&lt;=24,"Normal",IF(Ticket_Table[[#This Row],[resolution_hrs]]&lt;=48,"Slow","Very Slow")))</f>
        <v>Very Slow</v>
      </c>
      <c r="Q1318" s="3">
        <f>YEAR(Ticket_Table[[#This Row],[raised_date]])</f>
        <v>2021</v>
      </c>
    </row>
    <row r="1319" spans="1:17">
      <c r="A1319" t="s">
        <v>1878</v>
      </c>
      <c r="B1319" t="s">
        <v>650</v>
      </c>
      <c r="C1319" t="s">
        <v>82</v>
      </c>
      <c r="D1319" t="s">
        <v>29</v>
      </c>
      <c r="E1319" t="s">
        <v>166</v>
      </c>
      <c r="F1319" t="s">
        <v>22</v>
      </c>
      <c r="G1319" t="s">
        <v>31</v>
      </c>
      <c r="H1319" s="1">
        <v>44265</v>
      </c>
      <c r="I1319" s="2">
        <v>44268.3291666667</v>
      </c>
      <c r="J1319">
        <v>79.9</v>
      </c>
      <c r="K1319" t="s">
        <v>32</v>
      </c>
      <c r="L1319">
        <v>0</v>
      </c>
      <c r="M1319">
        <v>4</v>
      </c>
      <c r="N1319" t="s">
        <v>1039</v>
      </c>
      <c r="O1319" s="3" t="str">
        <f>TEXT(Ticket_Table[[#This Row],[raised_date]],"YYYY-MM")</f>
        <v>2021-03</v>
      </c>
      <c r="P1319" s="3" t="str">
        <f>IF(Ticket_Table[[#This Row],[resolution_hrs]]&lt;=4,"Fast",IF(Ticket_Table[[#This Row],[resolution_hrs]]&lt;=24,"Normal",IF(Ticket_Table[[#This Row],[resolution_hrs]]&lt;=48,"Slow","Very Slow")))</f>
        <v>Very Slow</v>
      </c>
      <c r="Q1319" s="3">
        <f>YEAR(Ticket_Table[[#This Row],[raised_date]])</f>
        <v>2021</v>
      </c>
    </row>
    <row r="1320" spans="1:17">
      <c r="A1320" t="s">
        <v>1879</v>
      </c>
      <c r="B1320" t="s">
        <v>518</v>
      </c>
      <c r="C1320" t="s">
        <v>140</v>
      </c>
      <c r="D1320" t="s">
        <v>90</v>
      </c>
      <c r="E1320" t="s">
        <v>69</v>
      </c>
      <c r="F1320" t="s">
        <v>70</v>
      </c>
      <c r="G1320" t="s">
        <v>23</v>
      </c>
      <c r="H1320" s="1">
        <v>45111</v>
      </c>
      <c r="I1320" s="2">
        <v>45112.8041666667</v>
      </c>
      <c r="J1320">
        <v>43.3</v>
      </c>
      <c r="K1320" t="s">
        <v>24</v>
      </c>
      <c r="L1320">
        <v>0</v>
      </c>
      <c r="M1320">
        <v>5</v>
      </c>
      <c r="N1320" t="s">
        <v>61</v>
      </c>
      <c r="O1320" s="3" t="str">
        <f>TEXT(Ticket_Table[[#This Row],[raised_date]],"YYYY-MM")</f>
        <v>2023-07</v>
      </c>
      <c r="P1320" s="3" t="str">
        <f>IF(Ticket_Table[[#This Row],[resolution_hrs]]&lt;=4,"Fast",IF(Ticket_Table[[#This Row],[resolution_hrs]]&lt;=24,"Normal",IF(Ticket_Table[[#This Row],[resolution_hrs]]&lt;=48,"Slow","Very Slow")))</f>
        <v>Slow</v>
      </c>
      <c r="Q1320" s="3">
        <f>YEAR(Ticket_Table[[#This Row],[raised_date]])</f>
        <v>2023</v>
      </c>
    </row>
    <row r="1321" spans="1:17">
      <c r="A1321" t="s">
        <v>1880</v>
      </c>
      <c r="B1321" t="s">
        <v>57</v>
      </c>
      <c r="C1321" t="s">
        <v>102</v>
      </c>
      <c r="D1321" t="s">
        <v>20</v>
      </c>
      <c r="E1321" t="s">
        <v>44</v>
      </c>
      <c r="F1321" t="s">
        <v>38</v>
      </c>
      <c r="G1321" t="s">
        <v>23</v>
      </c>
      <c r="H1321" s="1">
        <v>44296</v>
      </c>
      <c r="I1321" s="2">
        <v>44296.85</v>
      </c>
      <c r="J1321">
        <v>20.4</v>
      </c>
      <c r="K1321" t="s">
        <v>24</v>
      </c>
      <c r="L1321">
        <v>0</v>
      </c>
      <c r="M1321">
        <v>4</v>
      </c>
      <c r="N1321" t="s">
        <v>365</v>
      </c>
      <c r="O1321" s="3" t="str">
        <f>TEXT(Ticket_Table[[#This Row],[raised_date]],"YYYY-MM")</f>
        <v>2021-04</v>
      </c>
      <c r="P1321" s="3" t="str">
        <f>IF(Ticket_Table[[#This Row],[resolution_hrs]]&lt;=4,"Fast",IF(Ticket_Table[[#This Row],[resolution_hrs]]&lt;=24,"Normal",IF(Ticket_Table[[#This Row],[resolution_hrs]]&lt;=48,"Slow","Very Slow")))</f>
        <v>Normal</v>
      </c>
      <c r="Q1321" s="3">
        <f>YEAR(Ticket_Table[[#This Row],[raised_date]])</f>
        <v>2021</v>
      </c>
    </row>
    <row r="1322" spans="1:17">
      <c r="A1322" t="s">
        <v>1881</v>
      </c>
      <c r="B1322" t="s">
        <v>447</v>
      </c>
      <c r="C1322" t="s">
        <v>140</v>
      </c>
      <c r="D1322" t="s">
        <v>29</v>
      </c>
      <c r="E1322" t="s">
        <v>37</v>
      </c>
      <c r="F1322" t="s">
        <v>70</v>
      </c>
      <c r="G1322" t="s">
        <v>46</v>
      </c>
      <c r="H1322" s="1">
        <v>44698</v>
      </c>
      <c r="I1322" s="2">
        <v>44698.9</v>
      </c>
      <c r="J1322">
        <v>21.6</v>
      </c>
      <c r="K1322" t="s">
        <v>24</v>
      </c>
      <c r="L1322">
        <v>1</v>
      </c>
      <c r="M1322">
        <v>4</v>
      </c>
      <c r="N1322" t="s">
        <v>854</v>
      </c>
      <c r="O1322" s="3" t="str">
        <f>TEXT(Ticket_Table[[#This Row],[raised_date]],"YYYY-MM")</f>
        <v>2022-05</v>
      </c>
      <c r="P1322" s="3" t="str">
        <f>IF(Ticket_Table[[#This Row],[resolution_hrs]]&lt;=4,"Fast",IF(Ticket_Table[[#This Row],[resolution_hrs]]&lt;=24,"Normal",IF(Ticket_Table[[#This Row],[resolution_hrs]]&lt;=48,"Slow","Very Slow")))</f>
        <v>Normal</v>
      </c>
      <c r="Q1322" s="3">
        <f>YEAR(Ticket_Table[[#This Row],[raised_date]])</f>
        <v>2022</v>
      </c>
    </row>
    <row r="1323" spans="1:17">
      <c r="A1323" t="s">
        <v>1882</v>
      </c>
      <c r="B1323" t="s">
        <v>460</v>
      </c>
      <c r="C1323" t="s">
        <v>64</v>
      </c>
      <c r="D1323" t="s">
        <v>90</v>
      </c>
      <c r="E1323" t="s">
        <v>83</v>
      </c>
      <c r="F1323" t="s">
        <v>22</v>
      </c>
      <c r="G1323" t="s">
        <v>74</v>
      </c>
      <c r="H1323" s="1">
        <v>44287</v>
      </c>
      <c r="I1323" s="2">
        <v>44289.2166666667</v>
      </c>
      <c r="J1323">
        <v>53.2</v>
      </c>
      <c r="K1323" t="s">
        <v>24</v>
      </c>
      <c r="L1323">
        <v>0</v>
      </c>
      <c r="M1323">
        <v>2</v>
      </c>
      <c r="N1323" t="s">
        <v>792</v>
      </c>
      <c r="O1323" s="3" t="str">
        <f>TEXT(Ticket_Table[[#This Row],[raised_date]],"YYYY-MM")</f>
        <v>2021-04</v>
      </c>
      <c r="P1323" s="3" t="str">
        <f>IF(Ticket_Table[[#This Row],[resolution_hrs]]&lt;=4,"Fast",IF(Ticket_Table[[#This Row],[resolution_hrs]]&lt;=24,"Normal",IF(Ticket_Table[[#This Row],[resolution_hrs]]&lt;=48,"Slow","Very Slow")))</f>
        <v>Very Slow</v>
      </c>
      <c r="Q1323" s="3">
        <f>YEAR(Ticket_Table[[#This Row],[raised_date]])</f>
        <v>2021</v>
      </c>
    </row>
    <row r="1324" spans="1:17">
      <c r="A1324" t="s">
        <v>1883</v>
      </c>
      <c r="B1324" t="s">
        <v>178</v>
      </c>
      <c r="C1324" t="s">
        <v>140</v>
      </c>
      <c r="D1324" t="s">
        <v>43</v>
      </c>
      <c r="E1324" t="s">
        <v>21</v>
      </c>
      <c r="F1324" t="s">
        <v>22</v>
      </c>
      <c r="G1324" t="s">
        <v>23</v>
      </c>
      <c r="H1324" s="1">
        <v>45020</v>
      </c>
      <c r="I1324" s="2">
        <v>45022.2083333333</v>
      </c>
      <c r="J1324">
        <v>53</v>
      </c>
      <c r="K1324" t="s">
        <v>24</v>
      </c>
      <c r="L1324">
        <v>1</v>
      </c>
      <c r="M1324">
        <v>5</v>
      </c>
      <c r="N1324" t="s">
        <v>413</v>
      </c>
      <c r="O1324" s="3" t="str">
        <f>TEXT(Ticket_Table[[#This Row],[raised_date]],"YYYY-MM")</f>
        <v>2023-04</v>
      </c>
      <c r="P1324" s="3" t="str">
        <f>IF(Ticket_Table[[#This Row],[resolution_hrs]]&lt;=4,"Fast",IF(Ticket_Table[[#This Row],[resolution_hrs]]&lt;=24,"Normal",IF(Ticket_Table[[#This Row],[resolution_hrs]]&lt;=48,"Slow","Very Slow")))</f>
        <v>Very Slow</v>
      </c>
      <c r="Q1324" s="3">
        <f>YEAR(Ticket_Table[[#This Row],[raised_date]])</f>
        <v>2023</v>
      </c>
    </row>
    <row r="1325" spans="1:17">
      <c r="A1325" t="s">
        <v>1884</v>
      </c>
      <c r="B1325" t="s">
        <v>655</v>
      </c>
      <c r="C1325" t="s">
        <v>50</v>
      </c>
      <c r="D1325" t="s">
        <v>90</v>
      </c>
      <c r="E1325" t="s">
        <v>44</v>
      </c>
      <c r="F1325" t="s">
        <v>22</v>
      </c>
      <c r="G1325" t="s">
        <v>31</v>
      </c>
      <c r="H1325" s="1">
        <v>45095</v>
      </c>
      <c r="I1325" s="2">
        <v>45097.675</v>
      </c>
      <c r="J1325">
        <v>64.2</v>
      </c>
      <c r="K1325" t="s">
        <v>24</v>
      </c>
      <c r="L1325">
        <v>1</v>
      </c>
      <c r="M1325">
        <v>3</v>
      </c>
      <c r="N1325" t="s">
        <v>1006</v>
      </c>
      <c r="O1325" s="3" t="str">
        <f>TEXT(Ticket_Table[[#This Row],[raised_date]],"YYYY-MM")</f>
        <v>2023-06</v>
      </c>
      <c r="P1325" s="3" t="str">
        <f>IF(Ticket_Table[[#This Row],[resolution_hrs]]&lt;=4,"Fast",IF(Ticket_Table[[#This Row],[resolution_hrs]]&lt;=24,"Normal",IF(Ticket_Table[[#This Row],[resolution_hrs]]&lt;=48,"Slow","Very Slow")))</f>
        <v>Very Slow</v>
      </c>
      <c r="Q1325" s="3">
        <f>YEAR(Ticket_Table[[#This Row],[raised_date]])</f>
        <v>2023</v>
      </c>
    </row>
    <row r="1326" spans="1:17">
      <c r="A1326" t="s">
        <v>1885</v>
      </c>
      <c r="B1326" t="s">
        <v>202</v>
      </c>
      <c r="C1326" t="s">
        <v>68</v>
      </c>
      <c r="D1326" t="s">
        <v>90</v>
      </c>
      <c r="E1326" t="s">
        <v>51</v>
      </c>
      <c r="F1326" t="s">
        <v>38</v>
      </c>
      <c r="G1326" t="s">
        <v>23</v>
      </c>
      <c r="H1326" s="1">
        <v>44676</v>
      </c>
      <c r="I1326" s="2">
        <v>44676.9333333333</v>
      </c>
      <c r="J1326">
        <v>22.4</v>
      </c>
      <c r="K1326" t="s">
        <v>24</v>
      </c>
      <c r="L1326">
        <v>1</v>
      </c>
      <c r="M1326">
        <v>4</v>
      </c>
      <c r="N1326" t="s">
        <v>161</v>
      </c>
      <c r="O1326" s="3" t="str">
        <f>TEXT(Ticket_Table[[#This Row],[raised_date]],"YYYY-MM")</f>
        <v>2022-04</v>
      </c>
      <c r="P1326" s="3" t="str">
        <f>IF(Ticket_Table[[#This Row],[resolution_hrs]]&lt;=4,"Fast",IF(Ticket_Table[[#This Row],[resolution_hrs]]&lt;=24,"Normal",IF(Ticket_Table[[#This Row],[resolution_hrs]]&lt;=48,"Slow","Very Slow")))</f>
        <v>Normal</v>
      </c>
      <c r="Q1326" s="3">
        <f>YEAR(Ticket_Table[[#This Row],[raised_date]])</f>
        <v>2022</v>
      </c>
    </row>
    <row r="1327" spans="1:17">
      <c r="A1327" t="s">
        <v>1886</v>
      </c>
      <c r="B1327" t="s">
        <v>188</v>
      </c>
      <c r="C1327" t="s">
        <v>261</v>
      </c>
      <c r="D1327" t="s">
        <v>36</v>
      </c>
      <c r="E1327" t="s">
        <v>56</v>
      </c>
      <c r="F1327" t="s">
        <v>70</v>
      </c>
      <c r="G1327" t="s">
        <v>31</v>
      </c>
      <c r="H1327" s="1">
        <v>44641</v>
      </c>
      <c r="I1327" s="2">
        <v>44643.05</v>
      </c>
      <c r="J1327">
        <v>49.2</v>
      </c>
      <c r="K1327" t="s">
        <v>32</v>
      </c>
      <c r="L1327">
        <v>0</v>
      </c>
      <c r="M1327">
        <v>5</v>
      </c>
      <c r="N1327" t="s">
        <v>163</v>
      </c>
      <c r="O1327" s="3" t="str">
        <f>TEXT(Ticket_Table[[#This Row],[raised_date]],"YYYY-MM")</f>
        <v>2022-03</v>
      </c>
      <c r="P1327" s="3" t="str">
        <f>IF(Ticket_Table[[#This Row],[resolution_hrs]]&lt;=4,"Fast",IF(Ticket_Table[[#This Row],[resolution_hrs]]&lt;=24,"Normal",IF(Ticket_Table[[#This Row],[resolution_hrs]]&lt;=48,"Slow","Very Slow")))</f>
        <v>Very Slow</v>
      </c>
      <c r="Q1327" s="3">
        <f>YEAR(Ticket_Table[[#This Row],[raised_date]])</f>
        <v>2022</v>
      </c>
    </row>
    <row r="1328" spans="1:17">
      <c r="A1328" t="s">
        <v>1887</v>
      </c>
      <c r="B1328" t="s">
        <v>495</v>
      </c>
      <c r="C1328" t="s">
        <v>102</v>
      </c>
      <c r="D1328" t="s">
        <v>36</v>
      </c>
      <c r="E1328" t="s">
        <v>37</v>
      </c>
      <c r="F1328" t="s">
        <v>22</v>
      </c>
      <c r="G1328" t="s">
        <v>23</v>
      </c>
      <c r="H1328" s="1">
        <v>44312</v>
      </c>
      <c r="I1328" s="2">
        <v>44315.6833333333</v>
      </c>
      <c r="J1328">
        <v>88.4</v>
      </c>
      <c r="K1328" t="s">
        <v>32</v>
      </c>
      <c r="L1328">
        <v>0</v>
      </c>
      <c r="M1328">
        <v>4</v>
      </c>
      <c r="N1328" t="s">
        <v>114</v>
      </c>
      <c r="O1328" s="3" t="str">
        <f>TEXT(Ticket_Table[[#This Row],[raised_date]],"YYYY-MM")</f>
        <v>2021-04</v>
      </c>
      <c r="P1328" s="3" t="str">
        <f>IF(Ticket_Table[[#This Row],[resolution_hrs]]&lt;=4,"Fast",IF(Ticket_Table[[#This Row],[resolution_hrs]]&lt;=24,"Normal",IF(Ticket_Table[[#This Row],[resolution_hrs]]&lt;=48,"Slow","Very Slow")))</f>
        <v>Very Slow</v>
      </c>
      <c r="Q1328" s="3">
        <f>YEAR(Ticket_Table[[#This Row],[raised_date]])</f>
        <v>2021</v>
      </c>
    </row>
    <row r="1329" spans="1:17">
      <c r="A1329" t="s">
        <v>1888</v>
      </c>
      <c r="B1329" t="s">
        <v>805</v>
      </c>
      <c r="C1329" t="s">
        <v>213</v>
      </c>
      <c r="D1329" t="s">
        <v>43</v>
      </c>
      <c r="E1329" t="s">
        <v>69</v>
      </c>
      <c r="F1329" t="s">
        <v>22</v>
      </c>
      <c r="G1329" t="s">
        <v>23</v>
      </c>
      <c r="H1329" s="1">
        <v>44483</v>
      </c>
      <c r="I1329" s="2">
        <v>44485.2166666667</v>
      </c>
      <c r="J1329">
        <v>53.2</v>
      </c>
      <c r="K1329" t="s">
        <v>24</v>
      </c>
      <c r="L1329">
        <v>0</v>
      </c>
      <c r="M1329">
        <v>3</v>
      </c>
      <c r="N1329" t="s">
        <v>844</v>
      </c>
      <c r="O1329" s="3" t="str">
        <f>TEXT(Ticket_Table[[#This Row],[raised_date]],"YYYY-MM")</f>
        <v>2021-10</v>
      </c>
      <c r="P1329" s="3" t="str">
        <f>IF(Ticket_Table[[#This Row],[resolution_hrs]]&lt;=4,"Fast",IF(Ticket_Table[[#This Row],[resolution_hrs]]&lt;=24,"Normal",IF(Ticket_Table[[#This Row],[resolution_hrs]]&lt;=48,"Slow","Very Slow")))</f>
        <v>Very Slow</v>
      </c>
      <c r="Q1329" s="3">
        <f>YEAR(Ticket_Table[[#This Row],[raised_date]])</f>
        <v>2021</v>
      </c>
    </row>
    <row r="1330" spans="1:17">
      <c r="A1330" t="s">
        <v>1889</v>
      </c>
      <c r="B1330" t="s">
        <v>298</v>
      </c>
      <c r="C1330" t="s">
        <v>42</v>
      </c>
      <c r="D1330" t="s">
        <v>43</v>
      </c>
      <c r="E1330" t="s">
        <v>44</v>
      </c>
      <c r="F1330" t="s">
        <v>70</v>
      </c>
      <c r="G1330" t="s">
        <v>23</v>
      </c>
      <c r="H1330" s="1">
        <v>45228</v>
      </c>
      <c r="I1330" s="2">
        <v>45230.1541666667</v>
      </c>
      <c r="J1330">
        <v>51.7</v>
      </c>
      <c r="K1330" t="s">
        <v>32</v>
      </c>
      <c r="L1330">
        <v>1</v>
      </c>
      <c r="M1330">
        <v>3</v>
      </c>
      <c r="N1330" t="s">
        <v>186</v>
      </c>
      <c r="O1330" s="3" t="str">
        <f>TEXT(Ticket_Table[[#This Row],[raised_date]],"YYYY-MM")</f>
        <v>2023-10</v>
      </c>
      <c r="P1330" s="3" t="str">
        <f>IF(Ticket_Table[[#This Row],[resolution_hrs]]&lt;=4,"Fast",IF(Ticket_Table[[#This Row],[resolution_hrs]]&lt;=24,"Normal",IF(Ticket_Table[[#This Row],[resolution_hrs]]&lt;=48,"Slow","Very Slow")))</f>
        <v>Very Slow</v>
      </c>
      <c r="Q1330" s="3">
        <f>YEAR(Ticket_Table[[#This Row],[raised_date]])</f>
        <v>2023</v>
      </c>
    </row>
    <row r="1331" spans="1:17">
      <c r="A1331" t="s">
        <v>1890</v>
      </c>
      <c r="B1331" t="s">
        <v>546</v>
      </c>
      <c r="C1331" t="s">
        <v>201</v>
      </c>
      <c r="D1331" t="s">
        <v>90</v>
      </c>
      <c r="E1331" t="s">
        <v>69</v>
      </c>
      <c r="F1331" t="s">
        <v>45</v>
      </c>
      <c r="G1331" t="s">
        <v>46</v>
      </c>
      <c r="H1331" s="1">
        <v>44789</v>
      </c>
      <c r="I1331" s="2">
        <v>44789.15</v>
      </c>
      <c r="J1331">
        <v>3.6</v>
      </c>
      <c r="K1331" t="s">
        <v>24</v>
      </c>
      <c r="L1331">
        <v>0</v>
      </c>
      <c r="M1331">
        <v>5</v>
      </c>
      <c r="N1331" t="s">
        <v>228</v>
      </c>
      <c r="O1331" s="3" t="str">
        <f>TEXT(Ticket_Table[[#This Row],[raised_date]],"YYYY-MM")</f>
        <v>2022-08</v>
      </c>
      <c r="P1331" s="3" t="str">
        <f>IF(Ticket_Table[[#This Row],[resolution_hrs]]&lt;=4,"Fast",IF(Ticket_Table[[#This Row],[resolution_hrs]]&lt;=24,"Normal",IF(Ticket_Table[[#This Row],[resolution_hrs]]&lt;=48,"Slow","Very Slow")))</f>
        <v>Fast</v>
      </c>
      <c r="Q1331" s="3">
        <f>YEAR(Ticket_Table[[#This Row],[raised_date]])</f>
        <v>2022</v>
      </c>
    </row>
    <row r="1332" spans="1:17">
      <c r="A1332" t="s">
        <v>1891</v>
      </c>
      <c r="B1332" t="s">
        <v>262</v>
      </c>
      <c r="C1332" t="s">
        <v>201</v>
      </c>
      <c r="D1332" t="s">
        <v>20</v>
      </c>
      <c r="E1332" t="s">
        <v>30</v>
      </c>
      <c r="F1332" t="s">
        <v>70</v>
      </c>
      <c r="G1332" t="s">
        <v>23</v>
      </c>
      <c r="H1332" s="1">
        <v>44676</v>
      </c>
      <c r="I1332" s="2">
        <v>44677.2916666667</v>
      </c>
      <c r="J1332">
        <v>31</v>
      </c>
      <c r="K1332" t="s">
        <v>24</v>
      </c>
      <c r="L1332">
        <v>1</v>
      </c>
      <c r="M1332">
        <v>2</v>
      </c>
      <c r="N1332" t="s">
        <v>1857</v>
      </c>
      <c r="O1332" s="3" t="str">
        <f>TEXT(Ticket_Table[[#This Row],[raised_date]],"YYYY-MM")</f>
        <v>2022-04</v>
      </c>
      <c r="P1332" s="3" t="str">
        <f>IF(Ticket_Table[[#This Row],[resolution_hrs]]&lt;=4,"Fast",IF(Ticket_Table[[#This Row],[resolution_hrs]]&lt;=24,"Normal",IF(Ticket_Table[[#This Row],[resolution_hrs]]&lt;=48,"Slow","Very Slow")))</f>
        <v>Slow</v>
      </c>
      <c r="Q1332" s="3">
        <f>YEAR(Ticket_Table[[#This Row],[raised_date]])</f>
        <v>2022</v>
      </c>
    </row>
    <row r="1333" spans="1:17">
      <c r="A1333" t="s">
        <v>1892</v>
      </c>
      <c r="B1333" t="s">
        <v>621</v>
      </c>
      <c r="C1333" t="s">
        <v>261</v>
      </c>
      <c r="D1333" t="s">
        <v>43</v>
      </c>
      <c r="E1333" t="s">
        <v>37</v>
      </c>
      <c r="F1333" t="s">
        <v>45</v>
      </c>
      <c r="G1333" t="s">
        <v>31</v>
      </c>
      <c r="H1333" s="1">
        <v>44850</v>
      </c>
      <c r="I1333" s="2">
        <v>44850.1083333333</v>
      </c>
      <c r="J1333">
        <v>2.6</v>
      </c>
      <c r="K1333" t="s">
        <v>24</v>
      </c>
      <c r="L1333">
        <v>0</v>
      </c>
      <c r="M1333">
        <v>1</v>
      </c>
      <c r="N1333" t="s">
        <v>121</v>
      </c>
      <c r="O1333" s="3" t="str">
        <f>TEXT(Ticket_Table[[#This Row],[raised_date]],"YYYY-MM")</f>
        <v>2022-10</v>
      </c>
      <c r="P1333" s="3" t="str">
        <f>IF(Ticket_Table[[#This Row],[resolution_hrs]]&lt;=4,"Fast",IF(Ticket_Table[[#This Row],[resolution_hrs]]&lt;=24,"Normal",IF(Ticket_Table[[#This Row],[resolution_hrs]]&lt;=48,"Slow","Very Slow")))</f>
        <v>Fast</v>
      </c>
      <c r="Q1333" s="3">
        <f>YEAR(Ticket_Table[[#This Row],[raised_date]])</f>
        <v>2022</v>
      </c>
    </row>
    <row r="1334" spans="1:17">
      <c r="A1334" t="s">
        <v>1893</v>
      </c>
      <c r="B1334" t="s">
        <v>707</v>
      </c>
      <c r="C1334" t="s">
        <v>68</v>
      </c>
      <c r="D1334" t="s">
        <v>90</v>
      </c>
      <c r="E1334" t="s">
        <v>166</v>
      </c>
      <c r="F1334" t="s">
        <v>70</v>
      </c>
      <c r="G1334" t="s">
        <v>23</v>
      </c>
      <c r="H1334" s="1">
        <v>44853</v>
      </c>
      <c r="I1334" s="2">
        <v>44853.2291666667</v>
      </c>
      <c r="J1334">
        <v>5.5</v>
      </c>
      <c r="K1334" t="s">
        <v>24</v>
      </c>
      <c r="L1334">
        <v>0</v>
      </c>
      <c r="M1334">
        <v>4</v>
      </c>
      <c r="N1334" t="s">
        <v>849</v>
      </c>
      <c r="O1334" s="3" t="str">
        <f>TEXT(Ticket_Table[[#This Row],[raised_date]],"YYYY-MM")</f>
        <v>2022-10</v>
      </c>
      <c r="P1334" s="3" t="str">
        <f>IF(Ticket_Table[[#This Row],[resolution_hrs]]&lt;=4,"Fast",IF(Ticket_Table[[#This Row],[resolution_hrs]]&lt;=24,"Normal",IF(Ticket_Table[[#This Row],[resolution_hrs]]&lt;=48,"Slow","Very Slow")))</f>
        <v>Normal</v>
      </c>
      <c r="Q1334" s="3">
        <f>YEAR(Ticket_Table[[#This Row],[raised_date]])</f>
        <v>2022</v>
      </c>
    </row>
    <row r="1335" spans="1:17">
      <c r="A1335" t="s">
        <v>1894</v>
      </c>
      <c r="B1335" t="s">
        <v>413</v>
      </c>
      <c r="C1335" t="s">
        <v>82</v>
      </c>
      <c r="D1335" t="s">
        <v>29</v>
      </c>
      <c r="E1335" t="s">
        <v>83</v>
      </c>
      <c r="F1335" t="s">
        <v>22</v>
      </c>
      <c r="G1335" t="s">
        <v>31</v>
      </c>
      <c r="H1335" s="1">
        <v>44682</v>
      </c>
      <c r="I1335" s="2">
        <v>44686.0208333333</v>
      </c>
      <c r="J1335">
        <v>96.5</v>
      </c>
      <c r="K1335" t="s">
        <v>32</v>
      </c>
      <c r="L1335">
        <v>0</v>
      </c>
      <c r="M1335">
        <v>4</v>
      </c>
      <c r="N1335" t="s">
        <v>79</v>
      </c>
      <c r="O1335" s="3" t="str">
        <f>TEXT(Ticket_Table[[#This Row],[raised_date]],"YYYY-MM")</f>
        <v>2022-05</v>
      </c>
      <c r="P1335" s="3" t="str">
        <f>IF(Ticket_Table[[#This Row],[resolution_hrs]]&lt;=4,"Fast",IF(Ticket_Table[[#This Row],[resolution_hrs]]&lt;=24,"Normal",IF(Ticket_Table[[#This Row],[resolution_hrs]]&lt;=48,"Slow","Very Slow")))</f>
        <v>Very Slow</v>
      </c>
      <c r="Q1335" s="3">
        <f>YEAR(Ticket_Table[[#This Row],[raised_date]])</f>
        <v>2022</v>
      </c>
    </row>
    <row r="1336" spans="1:17">
      <c r="A1336" t="s">
        <v>1895</v>
      </c>
      <c r="B1336" t="s">
        <v>523</v>
      </c>
      <c r="C1336" t="s">
        <v>60</v>
      </c>
      <c r="D1336" t="s">
        <v>36</v>
      </c>
      <c r="E1336" t="s">
        <v>69</v>
      </c>
      <c r="F1336" t="s">
        <v>38</v>
      </c>
      <c r="G1336" t="s">
        <v>31</v>
      </c>
      <c r="H1336" s="1">
        <v>44815</v>
      </c>
      <c r="I1336" s="2">
        <v>44815.65</v>
      </c>
      <c r="J1336">
        <v>15.6</v>
      </c>
      <c r="K1336" t="s">
        <v>24</v>
      </c>
      <c r="L1336">
        <v>0</v>
      </c>
      <c r="M1336">
        <v>4</v>
      </c>
      <c r="N1336" t="s">
        <v>944</v>
      </c>
      <c r="O1336" s="3" t="str">
        <f>TEXT(Ticket_Table[[#This Row],[raised_date]],"YYYY-MM")</f>
        <v>2022-09</v>
      </c>
      <c r="P1336" s="3" t="str">
        <f>IF(Ticket_Table[[#This Row],[resolution_hrs]]&lt;=4,"Fast",IF(Ticket_Table[[#This Row],[resolution_hrs]]&lt;=24,"Normal",IF(Ticket_Table[[#This Row],[resolution_hrs]]&lt;=48,"Slow","Very Slow")))</f>
        <v>Normal</v>
      </c>
      <c r="Q1336" s="3">
        <f>YEAR(Ticket_Table[[#This Row],[raised_date]])</f>
        <v>2022</v>
      </c>
    </row>
    <row r="1337" spans="1:17">
      <c r="A1337" t="s">
        <v>1896</v>
      </c>
      <c r="B1337" t="s">
        <v>248</v>
      </c>
      <c r="C1337" t="s">
        <v>78</v>
      </c>
      <c r="D1337" t="s">
        <v>20</v>
      </c>
      <c r="E1337" t="s">
        <v>106</v>
      </c>
      <c r="F1337" t="s">
        <v>70</v>
      </c>
      <c r="G1337" t="s">
        <v>23</v>
      </c>
      <c r="H1337" s="1">
        <v>44490</v>
      </c>
      <c r="I1337" s="2">
        <v>44491.4416666667</v>
      </c>
      <c r="J1337">
        <v>34.6</v>
      </c>
      <c r="K1337" t="s">
        <v>24</v>
      </c>
      <c r="L1337">
        <v>0</v>
      </c>
      <c r="M1337">
        <v>4</v>
      </c>
      <c r="N1337" t="s">
        <v>676</v>
      </c>
      <c r="O1337" s="3" t="str">
        <f>TEXT(Ticket_Table[[#This Row],[raised_date]],"YYYY-MM")</f>
        <v>2021-10</v>
      </c>
      <c r="P1337" s="3" t="str">
        <f>IF(Ticket_Table[[#This Row],[resolution_hrs]]&lt;=4,"Fast",IF(Ticket_Table[[#This Row],[resolution_hrs]]&lt;=24,"Normal",IF(Ticket_Table[[#This Row],[resolution_hrs]]&lt;=48,"Slow","Very Slow")))</f>
        <v>Slow</v>
      </c>
      <c r="Q1337" s="3">
        <f>YEAR(Ticket_Table[[#This Row],[raised_date]])</f>
        <v>2021</v>
      </c>
    </row>
    <row r="1338" spans="1:17">
      <c r="A1338" t="s">
        <v>1897</v>
      </c>
      <c r="B1338" t="s">
        <v>212</v>
      </c>
      <c r="C1338" t="s">
        <v>102</v>
      </c>
      <c r="D1338" t="s">
        <v>90</v>
      </c>
      <c r="E1338" t="s">
        <v>44</v>
      </c>
      <c r="F1338" t="s">
        <v>38</v>
      </c>
      <c r="G1338" t="s">
        <v>31</v>
      </c>
      <c r="H1338" s="1">
        <v>45264</v>
      </c>
      <c r="I1338" s="2">
        <v>45264.7625</v>
      </c>
      <c r="J1338">
        <v>18.3</v>
      </c>
      <c r="K1338" t="s">
        <v>24</v>
      </c>
      <c r="L1338">
        <v>1</v>
      </c>
      <c r="M1338">
        <v>5</v>
      </c>
      <c r="N1338" t="s">
        <v>931</v>
      </c>
      <c r="O1338" s="3" t="str">
        <f>TEXT(Ticket_Table[[#This Row],[raised_date]],"YYYY-MM")</f>
        <v>2023-12</v>
      </c>
      <c r="P1338" s="3" t="str">
        <f>IF(Ticket_Table[[#This Row],[resolution_hrs]]&lt;=4,"Fast",IF(Ticket_Table[[#This Row],[resolution_hrs]]&lt;=24,"Normal",IF(Ticket_Table[[#This Row],[resolution_hrs]]&lt;=48,"Slow","Very Slow")))</f>
        <v>Normal</v>
      </c>
      <c r="Q1338" s="3">
        <f>YEAR(Ticket_Table[[#This Row],[raised_date]])</f>
        <v>2023</v>
      </c>
    </row>
    <row r="1339" spans="1:17">
      <c r="A1339" t="s">
        <v>1898</v>
      </c>
      <c r="B1339" t="s">
        <v>18</v>
      </c>
      <c r="C1339" t="s">
        <v>175</v>
      </c>
      <c r="D1339" t="s">
        <v>29</v>
      </c>
      <c r="E1339" t="s">
        <v>106</v>
      </c>
      <c r="F1339" t="s">
        <v>45</v>
      </c>
      <c r="G1339" t="s">
        <v>23</v>
      </c>
      <c r="H1339" s="1">
        <v>44649</v>
      </c>
      <c r="I1339" s="2">
        <v>44649.2375</v>
      </c>
      <c r="J1339">
        <v>5.7</v>
      </c>
      <c r="K1339" t="s">
        <v>32</v>
      </c>
      <c r="L1339">
        <v>0</v>
      </c>
      <c r="M1339">
        <v>5</v>
      </c>
      <c r="N1339" t="s">
        <v>556</v>
      </c>
      <c r="O1339" s="3" t="str">
        <f>TEXT(Ticket_Table[[#This Row],[raised_date]],"YYYY-MM")</f>
        <v>2022-03</v>
      </c>
      <c r="P1339" s="3" t="str">
        <f>IF(Ticket_Table[[#This Row],[resolution_hrs]]&lt;=4,"Fast",IF(Ticket_Table[[#This Row],[resolution_hrs]]&lt;=24,"Normal",IF(Ticket_Table[[#This Row],[resolution_hrs]]&lt;=48,"Slow","Very Slow")))</f>
        <v>Normal</v>
      </c>
      <c r="Q1339" s="3">
        <f>YEAR(Ticket_Table[[#This Row],[raised_date]])</f>
        <v>2022</v>
      </c>
    </row>
    <row r="1340" spans="1:17">
      <c r="A1340" t="s">
        <v>1899</v>
      </c>
      <c r="B1340" t="s">
        <v>99</v>
      </c>
      <c r="C1340" t="s">
        <v>117</v>
      </c>
      <c r="D1340" t="s">
        <v>36</v>
      </c>
      <c r="E1340" t="s">
        <v>69</v>
      </c>
      <c r="F1340" t="s">
        <v>22</v>
      </c>
      <c r="G1340" t="s">
        <v>23</v>
      </c>
      <c r="H1340" s="1">
        <v>45043</v>
      </c>
      <c r="I1340" s="2">
        <v>45044.5875</v>
      </c>
      <c r="J1340">
        <v>38.1</v>
      </c>
      <c r="K1340" t="s">
        <v>24</v>
      </c>
      <c r="L1340">
        <v>0</v>
      </c>
      <c r="M1340">
        <v>4</v>
      </c>
      <c r="N1340" t="s">
        <v>210</v>
      </c>
      <c r="O1340" s="3" t="str">
        <f>TEXT(Ticket_Table[[#This Row],[raised_date]],"YYYY-MM")</f>
        <v>2023-04</v>
      </c>
      <c r="P1340" s="3" t="str">
        <f>IF(Ticket_Table[[#This Row],[resolution_hrs]]&lt;=4,"Fast",IF(Ticket_Table[[#This Row],[resolution_hrs]]&lt;=24,"Normal",IF(Ticket_Table[[#This Row],[resolution_hrs]]&lt;=48,"Slow","Very Slow")))</f>
        <v>Slow</v>
      </c>
      <c r="Q1340" s="3">
        <f>YEAR(Ticket_Table[[#This Row],[raised_date]])</f>
        <v>2023</v>
      </c>
    </row>
    <row r="1341" spans="1:17">
      <c r="A1341" t="s">
        <v>1900</v>
      </c>
      <c r="B1341" t="s">
        <v>308</v>
      </c>
      <c r="C1341" t="s">
        <v>28</v>
      </c>
      <c r="D1341" t="s">
        <v>29</v>
      </c>
      <c r="E1341" t="s">
        <v>44</v>
      </c>
      <c r="F1341" t="s">
        <v>22</v>
      </c>
      <c r="G1341" t="s">
        <v>46</v>
      </c>
      <c r="H1341" s="1">
        <v>44812</v>
      </c>
      <c r="I1341" s="2">
        <v>44815.15</v>
      </c>
      <c r="J1341">
        <v>75.6</v>
      </c>
      <c r="K1341" t="s">
        <v>32</v>
      </c>
      <c r="L1341">
        <v>0</v>
      </c>
      <c r="M1341">
        <v>3</v>
      </c>
      <c r="N1341" t="s">
        <v>810</v>
      </c>
      <c r="O1341" s="3" t="str">
        <f>TEXT(Ticket_Table[[#This Row],[raised_date]],"YYYY-MM")</f>
        <v>2022-09</v>
      </c>
      <c r="P1341" s="3" t="str">
        <f>IF(Ticket_Table[[#This Row],[resolution_hrs]]&lt;=4,"Fast",IF(Ticket_Table[[#This Row],[resolution_hrs]]&lt;=24,"Normal",IF(Ticket_Table[[#This Row],[resolution_hrs]]&lt;=48,"Slow","Very Slow")))</f>
        <v>Very Slow</v>
      </c>
      <c r="Q1341" s="3">
        <f>YEAR(Ticket_Table[[#This Row],[raised_date]])</f>
        <v>2022</v>
      </c>
    </row>
    <row r="1342" spans="1:17">
      <c r="A1342" t="s">
        <v>1901</v>
      </c>
      <c r="B1342" t="s">
        <v>202</v>
      </c>
      <c r="C1342" t="s">
        <v>201</v>
      </c>
      <c r="D1342" t="s">
        <v>90</v>
      </c>
      <c r="E1342" t="s">
        <v>166</v>
      </c>
      <c r="F1342" t="s">
        <v>38</v>
      </c>
      <c r="G1342" t="s">
        <v>46</v>
      </c>
      <c r="H1342" s="1">
        <v>44760</v>
      </c>
      <c r="I1342" s="2">
        <v>44760.0708333333</v>
      </c>
      <c r="J1342">
        <v>1.7</v>
      </c>
      <c r="K1342" t="s">
        <v>24</v>
      </c>
      <c r="L1342">
        <v>0</v>
      </c>
      <c r="M1342">
        <v>4</v>
      </c>
      <c r="N1342" t="s">
        <v>174</v>
      </c>
      <c r="O1342" s="3" t="str">
        <f>TEXT(Ticket_Table[[#This Row],[raised_date]],"YYYY-MM")</f>
        <v>2022-07</v>
      </c>
      <c r="P1342" s="3" t="str">
        <f>IF(Ticket_Table[[#This Row],[resolution_hrs]]&lt;=4,"Fast",IF(Ticket_Table[[#This Row],[resolution_hrs]]&lt;=24,"Normal",IF(Ticket_Table[[#This Row],[resolution_hrs]]&lt;=48,"Slow","Very Slow")))</f>
        <v>Fast</v>
      </c>
      <c r="Q1342" s="3">
        <f>YEAR(Ticket_Table[[#This Row],[raised_date]])</f>
        <v>2022</v>
      </c>
    </row>
    <row r="1343" spans="1:17">
      <c r="A1343" t="s">
        <v>1902</v>
      </c>
      <c r="B1343" t="s">
        <v>878</v>
      </c>
      <c r="C1343" t="s">
        <v>201</v>
      </c>
      <c r="D1343" t="s">
        <v>43</v>
      </c>
      <c r="E1343" t="s">
        <v>56</v>
      </c>
      <c r="F1343" t="s">
        <v>22</v>
      </c>
      <c r="G1343" t="s">
        <v>31</v>
      </c>
      <c r="H1343" s="1">
        <v>44321</v>
      </c>
      <c r="I1343" s="2">
        <v>44322.325</v>
      </c>
      <c r="J1343">
        <v>31.8</v>
      </c>
      <c r="K1343" t="s">
        <v>24</v>
      </c>
      <c r="L1343">
        <v>0</v>
      </c>
      <c r="M1343">
        <v>4</v>
      </c>
      <c r="N1343" t="s">
        <v>65</v>
      </c>
      <c r="O1343" s="3" t="str">
        <f>TEXT(Ticket_Table[[#This Row],[raised_date]],"YYYY-MM")</f>
        <v>2021-05</v>
      </c>
      <c r="P1343" s="3" t="str">
        <f>IF(Ticket_Table[[#This Row],[resolution_hrs]]&lt;=4,"Fast",IF(Ticket_Table[[#This Row],[resolution_hrs]]&lt;=24,"Normal",IF(Ticket_Table[[#This Row],[resolution_hrs]]&lt;=48,"Slow","Very Slow")))</f>
        <v>Slow</v>
      </c>
      <c r="Q1343" s="3">
        <f>YEAR(Ticket_Table[[#This Row],[raised_date]])</f>
        <v>2021</v>
      </c>
    </row>
    <row r="1344" spans="1:17">
      <c r="A1344" t="s">
        <v>1903</v>
      </c>
      <c r="B1344" t="s">
        <v>86</v>
      </c>
      <c r="C1344" t="s">
        <v>60</v>
      </c>
      <c r="D1344" t="s">
        <v>36</v>
      </c>
      <c r="E1344" t="s">
        <v>56</v>
      </c>
      <c r="F1344" t="s">
        <v>22</v>
      </c>
      <c r="G1344" t="s">
        <v>31</v>
      </c>
      <c r="H1344" s="1">
        <v>44555</v>
      </c>
      <c r="I1344" s="2">
        <v>44555.9</v>
      </c>
      <c r="J1344">
        <v>21.6</v>
      </c>
      <c r="K1344" t="s">
        <v>24</v>
      </c>
      <c r="L1344">
        <v>1</v>
      </c>
      <c r="M1344">
        <v>4</v>
      </c>
      <c r="N1344" t="s">
        <v>481</v>
      </c>
      <c r="O1344" s="3" t="str">
        <f>TEXT(Ticket_Table[[#This Row],[raised_date]],"YYYY-MM")</f>
        <v>2021-12</v>
      </c>
      <c r="P1344" s="3" t="str">
        <f>IF(Ticket_Table[[#This Row],[resolution_hrs]]&lt;=4,"Fast",IF(Ticket_Table[[#This Row],[resolution_hrs]]&lt;=24,"Normal",IF(Ticket_Table[[#This Row],[resolution_hrs]]&lt;=48,"Slow","Very Slow")))</f>
        <v>Normal</v>
      </c>
      <c r="Q1344" s="3">
        <f>YEAR(Ticket_Table[[#This Row],[raised_date]])</f>
        <v>2021</v>
      </c>
    </row>
    <row r="1345" spans="1:17">
      <c r="A1345" t="s">
        <v>1904</v>
      </c>
      <c r="B1345" t="s">
        <v>99</v>
      </c>
      <c r="C1345" t="s">
        <v>55</v>
      </c>
      <c r="D1345" t="s">
        <v>29</v>
      </c>
      <c r="E1345" t="s">
        <v>30</v>
      </c>
      <c r="F1345" t="s">
        <v>22</v>
      </c>
      <c r="G1345" t="s">
        <v>46</v>
      </c>
      <c r="H1345" s="1">
        <v>45071</v>
      </c>
      <c r="I1345" s="2">
        <v>45072.575</v>
      </c>
      <c r="J1345">
        <v>37.8</v>
      </c>
      <c r="K1345" t="s">
        <v>24</v>
      </c>
      <c r="L1345">
        <v>1</v>
      </c>
      <c r="M1345">
        <v>3</v>
      </c>
      <c r="N1345" t="s">
        <v>550</v>
      </c>
      <c r="O1345" s="3" t="str">
        <f>TEXT(Ticket_Table[[#This Row],[raised_date]],"YYYY-MM")</f>
        <v>2023-05</v>
      </c>
      <c r="P1345" s="3" t="str">
        <f>IF(Ticket_Table[[#This Row],[resolution_hrs]]&lt;=4,"Fast",IF(Ticket_Table[[#This Row],[resolution_hrs]]&lt;=24,"Normal",IF(Ticket_Table[[#This Row],[resolution_hrs]]&lt;=48,"Slow","Very Slow")))</f>
        <v>Slow</v>
      </c>
      <c r="Q1345" s="3">
        <f>YEAR(Ticket_Table[[#This Row],[raised_date]])</f>
        <v>2023</v>
      </c>
    </row>
    <row r="1346" spans="1:17">
      <c r="A1346" t="s">
        <v>1905</v>
      </c>
      <c r="B1346" t="s">
        <v>61</v>
      </c>
      <c r="C1346" t="s">
        <v>140</v>
      </c>
      <c r="D1346" t="s">
        <v>43</v>
      </c>
      <c r="E1346" t="s">
        <v>51</v>
      </c>
      <c r="F1346" t="s">
        <v>22</v>
      </c>
      <c r="G1346" t="s">
        <v>74</v>
      </c>
      <c r="H1346" s="1">
        <v>45212</v>
      </c>
      <c r="I1346" s="2">
        <v>45213.075</v>
      </c>
      <c r="J1346">
        <v>25.8</v>
      </c>
      <c r="K1346" t="s">
        <v>24</v>
      </c>
      <c r="L1346">
        <v>1</v>
      </c>
      <c r="M1346">
        <v>4</v>
      </c>
      <c r="N1346" t="s">
        <v>334</v>
      </c>
      <c r="O1346" s="3" t="str">
        <f>TEXT(Ticket_Table[[#This Row],[raised_date]],"YYYY-MM")</f>
        <v>2023-10</v>
      </c>
      <c r="P1346" s="3" t="str">
        <f>IF(Ticket_Table[[#This Row],[resolution_hrs]]&lt;=4,"Fast",IF(Ticket_Table[[#This Row],[resolution_hrs]]&lt;=24,"Normal",IF(Ticket_Table[[#This Row],[resolution_hrs]]&lt;=48,"Slow","Very Slow")))</f>
        <v>Slow</v>
      </c>
      <c r="Q1346" s="3">
        <f>YEAR(Ticket_Table[[#This Row],[raised_date]])</f>
        <v>2023</v>
      </c>
    </row>
    <row r="1347" spans="1:17">
      <c r="A1347" t="s">
        <v>1906</v>
      </c>
      <c r="B1347" t="s">
        <v>33</v>
      </c>
      <c r="C1347" t="s">
        <v>50</v>
      </c>
      <c r="D1347" t="s">
        <v>20</v>
      </c>
      <c r="E1347" t="s">
        <v>56</v>
      </c>
      <c r="F1347" t="s">
        <v>38</v>
      </c>
      <c r="G1347" t="s">
        <v>23</v>
      </c>
      <c r="H1347" s="1">
        <v>44293</v>
      </c>
      <c r="I1347" s="2">
        <v>44293.3625</v>
      </c>
      <c r="J1347">
        <v>8.7</v>
      </c>
      <c r="K1347" t="s">
        <v>24</v>
      </c>
      <c r="L1347">
        <v>0</v>
      </c>
      <c r="M1347">
        <v>5</v>
      </c>
      <c r="N1347" t="s">
        <v>509</v>
      </c>
      <c r="O1347" s="3" t="str">
        <f>TEXT(Ticket_Table[[#This Row],[raised_date]],"YYYY-MM")</f>
        <v>2021-04</v>
      </c>
      <c r="P1347" s="3" t="str">
        <f>IF(Ticket_Table[[#This Row],[resolution_hrs]]&lt;=4,"Fast",IF(Ticket_Table[[#This Row],[resolution_hrs]]&lt;=24,"Normal",IF(Ticket_Table[[#This Row],[resolution_hrs]]&lt;=48,"Slow","Very Slow")))</f>
        <v>Normal</v>
      </c>
      <c r="Q1347" s="3">
        <f>YEAR(Ticket_Table[[#This Row],[raised_date]])</f>
        <v>2021</v>
      </c>
    </row>
    <row r="1348" spans="1:17">
      <c r="A1348" t="s">
        <v>1907</v>
      </c>
      <c r="B1348" t="s">
        <v>67</v>
      </c>
      <c r="C1348" t="s">
        <v>201</v>
      </c>
      <c r="D1348" t="s">
        <v>90</v>
      </c>
      <c r="E1348" t="s">
        <v>51</v>
      </c>
      <c r="F1348" t="s">
        <v>22</v>
      </c>
      <c r="G1348" t="s">
        <v>31</v>
      </c>
      <c r="H1348" s="1">
        <v>44902</v>
      </c>
      <c r="I1348" s="2">
        <v>44906.0958333333</v>
      </c>
      <c r="J1348">
        <v>98.3</v>
      </c>
      <c r="K1348" t="s">
        <v>32</v>
      </c>
      <c r="L1348">
        <v>0</v>
      </c>
      <c r="M1348">
        <v>4</v>
      </c>
      <c r="N1348" t="s">
        <v>884</v>
      </c>
      <c r="O1348" s="3" t="str">
        <f>TEXT(Ticket_Table[[#This Row],[raised_date]],"YYYY-MM")</f>
        <v>2022-12</v>
      </c>
      <c r="P1348" s="3" t="str">
        <f>IF(Ticket_Table[[#This Row],[resolution_hrs]]&lt;=4,"Fast",IF(Ticket_Table[[#This Row],[resolution_hrs]]&lt;=24,"Normal",IF(Ticket_Table[[#This Row],[resolution_hrs]]&lt;=48,"Slow","Very Slow")))</f>
        <v>Very Slow</v>
      </c>
      <c r="Q1348" s="3">
        <f>YEAR(Ticket_Table[[#This Row],[raised_date]])</f>
        <v>2022</v>
      </c>
    </row>
    <row r="1349" spans="1:17">
      <c r="A1349" t="s">
        <v>1908</v>
      </c>
      <c r="B1349" t="s">
        <v>240</v>
      </c>
      <c r="C1349" t="s">
        <v>19</v>
      </c>
      <c r="D1349" t="s">
        <v>90</v>
      </c>
      <c r="E1349" t="s">
        <v>44</v>
      </c>
      <c r="F1349" t="s">
        <v>70</v>
      </c>
      <c r="G1349" t="s">
        <v>23</v>
      </c>
      <c r="H1349" s="1">
        <v>44977</v>
      </c>
      <c r="I1349" s="2">
        <v>44978.0458333333</v>
      </c>
      <c r="J1349">
        <v>25.1</v>
      </c>
      <c r="K1349" t="s">
        <v>24</v>
      </c>
      <c r="L1349">
        <v>1</v>
      </c>
      <c r="M1349">
        <v>4</v>
      </c>
      <c r="N1349" t="s">
        <v>1164</v>
      </c>
      <c r="O1349" s="3" t="str">
        <f>TEXT(Ticket_Table[[#This Row],[raised_date]],"YYYY-MM")</f>
        <v>2023-02</v>
      </c>
      <c r="P1349" s="3" t="str">
        <f>IF(Ticket_Table[[#This Row],[resolution_hrs]]&lt;=4,"Fast",IF(Ticket_Table[[#This Row],[resolution_hrs]]&lt;=24,"Normal",IF(Ticket_Table[[#This Row],[resolution_hrs]]&lt;=48,"Slow","Very Slow")))</f>
        <v>Slow</v>
      </c>
      <c r="Q1349" s="3">
        <f>YEAR(Ticket_Table[[#This Row],[raised_date]])</f>
        <v>2023</v>
      </c>
    </row>
    <row r="1350" spans="1:17">
      <c r="A1350" t="s">
        <v>1909</v>
      </c>
      <c r="B1350" t="s">
        <v>1067</v>
      </c>
      <c r="C1350" t="s">
        <v>95</v>
      </c>
      <c r="D1350" t="s">
        <v>36</v>
      </c>
      <c r="E1350" t="s">
        <v>56</v>
      </c>
      <c r="F1350" t="s">
        <v>70</v>
      </c>
      <c r="G1350" t="s">
        <v>23</v>
      </c>
      <c r="H1350" s="1">
        <v>45271</v>
      </c>
      <c r="I1350" s="2">
        <v>45272.8208333333</v>
      </c>
      <c r="J1350">
        <v>43.7</v>
      </c>
      <c r="K1350" t="s">
        <v>24</v>
      </c>
      <c r="L1350">
        <v>0</v>
      </c>
      <c r="M1350">
        <v>4</v>
      </c>
      <c r="N1350" t="s">
        <v>295</v>
      </c>
      <c r="O1350" s="3" t="str">
        <f>TEXT(Ticket_Table[[#This Row],[raised_date]],"YYYY-MM")</f>
        <v>2023-12</v>
      </c>
      <c r="P1350" s="3" t="str">
        <f>IF(Ticket_Table[[#This Row],[resolution_hrs]]&lt;=4,"Fast",IF(Ticket_Table[[#This Row],[resolution_hrs]]&lt;=24,"Normal",IF(Ticket_Table[[#This Row],[resolution_hrs]]&lt;=48,"Slow","Very Slow")))</f>
        <v>Slow</v>
      </c>
      <c r="Q1350" s="3">
        <f>YEAR(Ticket_Table[[#This Row],[raised_date]])</f>
        <v>2023</v>
      </c>
    </row>
    <row r="1351" spans="1:17">
      <c r="A1351" t="s">
        <v>1910</v>
      </c>
      <c r="B1351" t="s">
        <v>668</v>
      </c>
      <c r="C1351" t="s">
        <v>201</v>
      </c>
      <c r="D1351" t="s">
        <v>29</v>
      </c>
      <c r="E1351" t="s">
        <v>69</v>
      </c>
      <c r="F1351" t="s">
        <v>70</v>
      </c>
      <c r="G1351" t="s">
        <v>31</v>
      </c>
      <c r="H1351" s="1">
        <v>44849</v>
      </c>
      <c r="I1351" s="2">
        <v>44851.5333333333</v>
      </c>
      <c r="J1351">
        <v>60.8</v>
      </c>
      <c r="K1351" t="s">
        <v>32</v>
      </c>
      <c r="L1351">
        <v>0</v>
      </c>
      <c r="M1351">
        <v>3</v>
      </c>
      <c r="N1351" t="s">
        <v>210</v>
      </c>
      <c r="O1351" s="3" t="str">
        <f>TEXT(Ticket_Table[[#This Row],[raised_date]],"YYYY-MM")</f>
        <v>2022-10</v>
      </c>
      <c r="P1351" s="3" t="str">
        <f>IF(Ticket_Table[[#This Row],[resolution_hrs]]&lt;=4,"Fast",IF(Ticket_Table[[#This Row],[resolution_hrs]]&lt;=24,"Normal",IF(Ticket_Table[[#This Row],[resolution_hrs]]&lt;=48,"Slow","Very Slow")))</f>
        <v>Very Slow</v>
      </c>
      <c r="Q1351" s="3">
        <f>YEAR(Ticket_Table[[#This Row],[raised_date]])</f>
        <v>2022</v>
      </c>
    </row>
    <row r="1352" spans="1:17">
      <c r="A1352" t="s">
        <v>1911</v>
      </c>
      <c r="B1352" t="s">
        <v>1533</v>
      </c>
      <c r="C1352" t="s">
        <v>28</v>
      </c>
      <c r="D1352" t="s">
        <v>20</v>
      </c>
      <c r="E1352" t="s">
        <v>166</v>
      </c>
      <c r="F1352" t="s">
        <v>22</v>
      </c>
      <c r="G1352" t="s">
        <v>23</v>
      </c>
      <c r="H1352" s="1">
        <v>45049</v>
      </c>
      <c r="I1352" s="2">
        <v>45051.9708333333</v>
      </c>
      <c r="J1352">
        <v>71.3</v>
      </c>
      <c r="K1352" t="s">
        <v>24</v>
      </c>
      <c r="L1352">
        <v>1</v>
      </c>
      <c r="M1352">
        <v>4</v>
      </c>
      <c r="N1352" t="s">
        <v>447</v>
      </c>
      <c r="O1352" s="3" t="str">
        <f>TEXT(Ticket_Table[[#This Row],[raised_date]],"YYYY-MM")</f>
        <v>2023-05</v>
      </c>
      <c r="P1352" s="3" t="str">
        <f>IF(Ticket_Table[[#This Row],[resolution_hrs]]&lt;=4,"Fast",IF(Ticket_Table[[#This Row],[resolution_hrs]]&lt;=24,"Normal",IF(Ticket_Table[[#This Row],[resolution_hrs]]&lt;=48,"Slow","Very Slow")))</f>
        <v>Very Slow</v>
      </c>
      <c r="Q1352" s="3">
        <f>YEAR(Ticket_Table[[#This Row],[raised_date]])</f>
        <v>2023</v>
      </c>
    </row>
    <row r="1353" spans="1:17">
      <c r="A1353" t="s">
        <v>1912</v>
      </c>
      <c r="B1353" t="s">
        <v>383</v>
      </c>
      <c r="C1353" t="s">
        <v>68</v>
      </c>
      <c r="D1353" t="s">
        <v>36</v>
      </c>
      <c r="E1353" t="s">
        <v>69</v>
      </c>
      <c r="F1353" t="s">
        <v>38</v>
      </c>
      <c r="G1353" t="s">
        <v>91</v>
      </c>
      <c r="H1353" s="1">
        <v>45033</v>
      </c>
      <c r="I1353" s="2">
        <v>45033.2333333333</v>
      </c>
      <c r="J1353">
        <v>5.6</v>
      </c>
      <c r="K1353" t="s">
        <v>24</v>
      </c>
      <c r="L1353">
        <v>1</v>
      </c>
      <c r="M1353">
        <v>3</v>
      </c>
      <c r="N1353" t="s">
        <v>597</v>
      </c>
      <c r="O1353" s="3" t="str">
        <f>TEXT(Ticket_Table[[#This Row],[raised_date]],"YYYY-MM")</f>
        <v>2023-04</v>
      </c>
      <c r="P1353" s="3" t="str">
        <f>IF(Ticket_Table[[#This Row],[resolution_hrs]]&lt;=4,"Fast",IF(Ticket_Table[[#This Row],[resolution_hrs]]&lt;=24,"Normal",IF(Ticket_Table[[#This Row],[resolution_hrs]]&lt;=48,"Slow","Very Slow")))</f>
        <v>Normal</v>
      </c>
      <c r="Q1353" s="3">
        <f>YEAR(Ticket_Table[[#This Row],[raised_date]])</f>
        <v>2023</v>
      </c>
    </row>
    <row r="1354" spans="1:17">
      <c r="A1354" t="s">
        <v>1913</v>
      </c>
      <c r="B1354" t="s">
        <v>517</v>
      </c>
      <c r="C1354" t="s">
        <v>261</v>
      </c>
      <c r="D1354" t="s">
        <v>36</v>
      </c>
      <c r="E1354" t="s">
        <v>69</v>
      </c>
      <c r="F1354" t="s">
        <v>22</v>
      </c>
      <c r="G1354" t="s">
        <v>23</v>
      </c>
      <c r="H1354" s="1">
        <v>44502</v>
      </c>
      <c r="I1354" s="2">
        <v>44503.35</v>
      </c>
      <c r="J1354">
        <v>32.4</v>
      </c>
      <c r="K1354" t="s">
        <v>24</v>
      </c>
      <c r="L1354">
        <v>0</v>
      </c>
      <c r="M1354">
        <v>4</v>
      </c>
      <c r="N1354" t="s">
        <v>186</v>
      </c>
      <c r="O1354" s="3" t="str">
        <f>TEXT(Ticket_Table[[#This Row],[raised_date]],"YYYY-MM")</f>
        <v>2021-11</v>
      </c>
      <c r="P1354" s="3" t="str">
        <f>IF(Ticket_Table[[#This Row],[resolution_hrs]]&lt;=4,"Fast",IF(Ticket_Table[[#This Row],[resolution_hrs]]&lt;=24,"Normal",IF(Ticket_Table[[#This Row],[resolution_hrs]]&lt;=48,"Slow","Very Slow")))</f>
        <v>Slow</v>
      </c>
      <c r="Q1354" s="3">
        <f>YEAR(Ticket_Table[[#This Row],[raised_date]])</f>
        <v>2021</v>
      </c>
    </row>
    <row r="1355" spans="1:17">
      <c r="A1355" t="s">
        <v>1914</v>
      </c>
      <c r="B1355" t="s">
        <v>445</v>
      </c>
      <c r="C1355" t="s">
        <v>213</v>
      </c>
      <c r="D1355" t="s">
        <v>29</v>
      </c>
      <c r="E1355" t="s">
        <v>51</v>
      </c>
      <c r="F1355" t="s">
        <v>38</v>
      </c>
      <c r="G1355" t="s">
        <v>91</v>
      </c>
      <c r="H1355" s="1">
        <v>44811</v>
      </c>
      <c r="I1355" s="2">
        <v>44812.0791666667</v>
      </c>
      <c r="J1355">
        <v>25.9</v>
      </c>
      <c r="K1355" t="s">
        <v>32</v>
      </c>
      <c r="L1355">
        <v>0</v>
      </c>
      <c r="M1355">
        <v>4</v>
      </c>
      <c r="N1355" t="s">
        <v>1112</v>
      </c>
      <c r="O1355" s="3" t="str">
        <f>TEXT(Ticket_Table[[#This Row],[raised_date]],"YYYY-MM")</f>
        <v>2022-09</v>
      </c>
      <c r="P1355" s="3" t="str">
        <f>IF(Ticket_Table[[#This Row],[resolution_hrs]]&lt;=4,"Fast",IF(Ticket_Table[[#This Row],[resolution_hrs]]&lt;=24,"Normal",IF(Ticket_Table[[#This Row],[resolution_hrs]]&lt;=48,"Slow","Very Slow")))</f>
        <v>Slow</v>
      </c>
      <c r="Q1355" s="3">
        <f>YEAR(Ticket_Table[[#This Row],[raised_date]])</f>
        <v>2022</v>
      </c>
    </row>
    <row r="1356" spans="1:17">
      <c r="A1356" t="s">
        <v>1915</v>
      </c>
      <c r="B1356" t="s">
        <v>248</v>
      </c>
      <c r="C1356" t="s">
        <v>19</v>
      </c>
      <c r="D1356" t="s">
        <v>20</v>
      </c>
      <c r="E1356" t="s">
        <v>21</v>
      </c>
      <c r="F1356" t="s">
        <v>38</v>
      </c>
      <c r="G1356" t="s">
        <v>46</v>
      </c>
      <c r="H1356" s="1">
        <v>44967</v>
      </c>
      <c r="I1356" s="2">
        <v>44968.4416666667</v>
      </c>
      <c r="J1356">
        <v>34.6</v>
      </c>
      <c r="K1356" t="s">
        <v>32</v>
      </c>
      <c r="L1356">
        <v>0</v>
      </c>
      <c r="M1356">
        <v>4</v>
      </c>
      <c r="N1356" t="s">
        <v>586</v>
      </c>
      <c r="O1356" s="3" t="str">
        <f>TEXT(Ticket_Table[[#This Row],[raised_date]],"YYYY-MM")</f>
        <v>2023-02</v>
      </c>
      <c r="P1356" s="3" t="str">
        <f>IF(Ticket_Table[[#This Row],[resolution_hrs]]&lt;=4,"Fast",IF(Ticket_Table[[#This Row],[resolution_hrs]]&lt;=24,"Normal",IF(Ticket_Table[[#This Row],[resolution_hrs]]&lt;=48,"Slow","Very Slow")))</f>
        <v>Slow</v>
      </c>
      <c r="Q1356" s="3">
        <f>YEAR(Ticket_Table[[#This Row],[raised_date]])</f>
        <v>2023</v>
      </c>
    </row>
    <row r="1357" spans="1:17">
      <c r="A1357" t="s">
        <v>1916</v>
      </c>
      <c r="B1357" t="s">
        <v>899</v>
      </c>
      <c r="C1357" t="s">
        <v>140</v>
      </c>
      <c r="D1357" t="s">
        <v>29</v>
      </c>
      <c r="E1357" t="s">
        <v>21</v>
      </c>
      <c r="F1357" t="s">
        <v>70</v>
      </c>
      <c r="G1357" t="s">
        <v>46</v>
      </c>
      <c r="H1357" s="1">
        <v>44573</v>
      </c>
      <c r="I1357" s="2">
        <v>44575.5041666667</v>
      </c>
      <c r="J1357">
        <v>60.1</v>
      </c>
      <c r="K1357" t="s">
        <v>32</v>
      </c>
      <c r="L1357">
        <v>0</v>
      </c>
      <c r="M1357">
        <v>3</v>
      </c>
      <c r="N1357" t="s">
        <v>320</v>
      </c>
      <c r="O1357" s="3" t="str">
        <f>TEXT(Ticket_Table[[#This Row],[raised_date]],"YYYY-MM")</f>
        <v>2022-01</v>
      </c>
      <c r="P1357" s="3" t="str">
        <f>IF(Ticket_Table[[#This Row],[resolution_hrs]]&lt;=4,"Fast",IF(Ticket_Table[[#This Row],[resolution_hrs]]&lt;=24,"Normal",IF(Ticket_Table[[#This Row],[resolution_hrs]]&lt;=48,"Slow","Very Slow")))</f>
        <v>Very Slow</v>
      </c>
      <c r="Q1357" s="3">
        <f>YEAR(Ticket_Table[[#This Row],[raised_date]])</f>
        <v>2022</v>
      </c>
    </row>
    <row r="1358" spans="1:17">
      <c r="A1358" t="s">
        <v>1917</v>
      </c>
      <c r="B1358" t="s">
        <v>295</v>
      </c>
      <c r="C1358" t="s">
        <v>175</v>
      </c>
      <c r="D1358" t="s">
        <v>90</v>
      </c>
      <c r="E1358" t="s">
        <v>83</v>
      </c>
      <c r="F1358" t="s">
        <v>70</v>
      </c>
      <c r="G1358" t="s">
        <v>31</v>
      </c>
      <c r="H1358" s="1">
        <v>45166</v>
      </c>
      <c r="I1358" s="2">
        <v>45168.0333333333</v>
      </c>
      <c r="J1358">
        <v>48.8</v>
      </c>
      <c r="K1358" t="s">
        <v>32</v>
      </c>
      <c r="L1358">
        <v>0</v>
      </c>
      <c r="M1358">
        <v>2</v>
      </c>
      <c r="N1358" t="s">
        <v>192</v>
      </c>
      <c r="O1358" s="3" t="str">
        <f>TEXT(Ticket_Table[[#This Row],[raised_date]],"YYYY-MM")</f>
        <v>2023-08</v>
      </c>
      <c r="P1358" s="3" t="str">
        <f>IF(Ticket_Table[[#This Row],[resolution_hrs]]&lt;=4,"Fast",IF(Ticket_Table[[#This Row],[resolution_hrs]]&lt;=24,"Normal",IF(Ticket_Table[[#This Row],[resolution_hrs]]&lt;=48,"Slow","Very Slow")))</f>
        <v>Very Slow</v>
      </c>
      <c r="Q1358" s="3">
        <f>YEAR(Ticket_Table[[#This Row],[raised_date]])</f>
        <v>2023</v>
      </c>
    </row>
    <row r="1359" spans="1:17">
      <c r="A1359" t="s">
        <v>1918</v>
      </c>
      <c r="B1359" t="s">
        <v>71</v>
      </c>
      <c r="C1359" t="s">
        <v>68</v>
      </c>
      <c r="D1359" t="s">
        <v>43</v>
      </c>
      <c r="E1359" t="s">
        <v>56</v>
      </c>
      <c r="F1359" t="s">
        <v>70</v>
      </c>
      <c r="G1359" t="s">
        <v>31</v>
      </c>
      <c r="H1359" s="1">
        <v>44690</v>
      </c>
      <c r="I1359" s="2">
        <v>44692.2166666667</v>
      </c>
      <c r="J1359">
        <v>53.2</v>
      </c>
      <c r="K1359" t="s">
        <v>32</v>
      </c>
      <c r="L1359">
        <v>0</v>
      </c>
      <c r="M1359">
        <v>4</v>
      </c>
      <c r="N1359" t="s">
        <v>310</v>
      </c>
      <c r="O1359" s="3" t="str">
        <f>TEXT(Ticket_Table[[#This Row],[raised_date]],"YYYY-MM")</f>
        <v>2022-05</v>
      </c>
      <c r="P1359" s="3" t="str">
        <f>IF(Ticket_Table[[#This Row],[resolution_hrs]]&lt;=4,"Fast",IF(Ticket_Table[[#This Row],[resolution_hrs]]&lt;=24,"Normal",IF(Ticket_Table[[#This Row],[resolution_hrs]]&lt;=48,"Slow","Very Slow")))</f>
        <v>Very Slow</v>
      </c>
      <c r="Q1359" s="3">
        <f>YEAR(Ticket_Table[[#This Row],[raised_date]])</f>
        <v>2022</v>
      </c>
    </row>
    <row r="1360" spans="1:17">
      <c r="A1360" t="s">
        <v>1919</v>
      </c>
      <c r="B1360" t="s">
        <v>1278</v>
      </c>
      <c r="C1360" t="s">
        <v>55</v>
      </c>
      <c r="D1360" t="s">
        <v>90</v>
      </c>
      <c r="E1360" t="s">
        <v>166</v>
      </c>
      <c r="F1360" t="s">
        <v>70</v>
      </c>
      <c r="G1360" t="s">
        <v>31</v>
      </c>
      <c r="H1360" s="1">
        <v>44658</v>
      </c>
      <c r="I1360" s="2">
        <v>44660.3958333333</v>
      </c>
      <c r="J1360">
        <v>57.5</v>
      </c>
      <c r="K1360" t="s">
        <v>32</v>
      </c>
      <c r="L1360">
        <v>0</v>
      </c>
      <c r="M1360">
        <v>3</v>
      </c>
      <c r="N1360" t="s">
        <v>564</v>
      </c>
      <c r="O1360" s="3" t="str">
        <f>TEXT(Ticket_Table[[#This Row],[raised_date]],"YYYY-MM")</f>
        <v>2022-04</v>
      </c>
      <c r="P1360" s="3" t="str">
        <f>IF(Ticket_Table[[#This Row],[resolution_hrs]]&lt;=4,"Fast",IF(Ticket_Table[[#This Row],[resolution_hrs]]&lt;=24,"Normal",IF(Ticket_Table[[#This Row],[resolution_hrs]]&lt;=48,"Slow","Very Slow")))</f>
        <v>Very Slow</v>
      </c>
      <c r="Q1360" s="3">
        <f>YEAR(Ticket_Table[[#This Row],[raised_date]])</f>
        <v>2022</v>
      </c>
    </row>
    <row r="1361" spans="1:17">
      <c r="A1361" t="s">
        <v>1920</v>
      </c>
      <c r="B1361" t="s">
        <v>1006</v>
      </c>
      <c r="C1361" t="s">
        <v>287</v>
      </c>
      <c r="D1361" t="s">
        <v>90</v>
      </c>
      <c r="E1361" t="s">
        <v>166</v>
      </c>
      <c r="F1361" t="s">
        <v>38</v>
      </c>
      <c r="G1361" t="s">
        <v>23</v>
      </c>
      <c r="H1361" s="1">
        <v>44812</v>
      </c>
      <c r="I1361" s="2">
        <v>44813.2083333333</v>
      </c>
      <c r="J1361">
        <v>29</v>
      </c>
      <c r="K1361" t="s">
        <v>32</v>
      </c>
      <c r="L1361">
        <v>1</v>
      </c>
      <c r="M1361">
        <v>2</v>
      </c>
      <c r="N1361" t="s">
        <v>560</v>
      </c>
      <c r="O1361" s="3" t="str">
        <f>TEXT(Ticket_Table[[#This Row],[raised_date]],"YYYY-MM")</f>
        <v>2022-09</v>
      </c>
      <c r="P1361" s="3" t="str">
        <f>IF(Ticket_Table[[#This Row],[resolution_hrs]]&lt;=4,"Fast",IF(Ticket_Table[[#This Row],[resolution_hrs]]&lt;=24,"Normal",IF(Ticket_Table[[#This Row],[resolution_hrs]]&lt;=48,"Slow","Very Slow")))</f>
        <v>Slow</v>
      </c>
      <c r="Q1361" s="3">
        <f>YEAR(Ticket_Table[[#This Row],[raised_date]])</f>
        <v>2022</v>
      </c>
    </row>
    <row r="1362" spans="1:17">
      <c r="A1362" t="s">
        <v>1921</v>
      </c>
      <c r="B1362" t="s">
        <v>917</v>
      </c>
      <c r="C1362" t="s">
        <v>42</v>
      </c>
      <c r="D1362" t="s">
        <v>36</v>
      </c>
      <c r="E1362" t="s">
        <v>106</v>
      </c>
      <c r="F1362" t="s">
        <v>38</v>
      </c>
      <c r="G1362" t="s">
        <v>31</v>
      </c>
      <c r="H1362" s="1">
        <v>44492</v>
      </c>
      <c r="I1362" s="2">
        <v>44493.275</v>
      </c>
      <c r="J1362">
        <v>30.6</v>
      </c>
      <c r="K1362" t="s">
        <v>32</v>
      </c>
      <c r="L1362">
        <v>1</v>
      </c>
      <c r="M1362">
        <v>4</v>
      </c>
      <c r="N1362" t="s">
        <v>361</v>
      </c>
      <c r="O1362" s="3" t="str">
        <f>TEXT(Ticket_Table[[#This Row],[raised_date]],"YYYY-MM")</f>
        <v>2021-10</v>
      </c>
      <c r="P1362" s="3" t="str">
        <f>IF(Ticket_Table[[#This Row],[resolution_hrs]]&lt;=4,"Fast",IF(Ticket_Table[[#This Row],[resolution_hrs]]&lt;=24,"Normal",IF(Ticket_Table[[#This Row],[resolution_hrs]]&lt;=48,"Slow","Very Slow")))</f>
        <v>Slow</v>
      </c>
      <c r="Q1362" s="3">
        <f>YEAR(Ticket_Table[[#This Row],[raised_date]])</f>
        <v>2021</v>
      </c>
    </row>
    <row r="1363" spans="1:17">
      <c r="A1363" t="s">
        <v>1922</v>
      </c>
      <c r="B1363" t="s">
        <v>1064</v>
      </c>
      <c r="C1363" t="s">
        <v>95</v>
      </c>
      <c r="D1363" t="s">
        <v>90</v>
      </c>
      <c r="E1363" t="s">
        <v>69</v>
      </c>
      <c r="F1363" t="s">
        <v>70</v>
      </c>
      <c r="G1363" t="s">
        <v>46</v>
      </c>
      <c r="H1363" s="1">
        <v>45145</v>
      </c>
      <c r="I1363" s="2">
        <v>45146.8833333333</v>
      </c>
      <c r="J1363">
        <v>45.2</v>
      </c>
      <c r="K1363" t="s">
        <v>24</v>
      </c>
      <c r="L1363">
        <v>0</v>
      </c>
      <c r="M1363">
        <v>4</v>
      </c>
      <c r="N1363" t="s">
        <v>1297</v>
      </c>
      <c r="O1363" s="3" t="str">
        <f>TEXT(Ticket_Table[[#This Row],[raised_date]],"YYYY-MM")</f>
        <v>2023-08</v>
      </c>
      <c r="P1363" s="3" t="str">
        <f>IF(Ticket_Table[[#This Row],[resolution_hrs]]&lt;=4,"Fast",IF(Ticket_Table[[#This Row],[resolution_hrs]]&lt;=24,"Normal",IF(Ticket_Table[[#This Row],[resolution_hrs]]&lt;=48,"Slow","Very Slow")))</f>
        <v>Slow</v>
      </c>
      <c r="Q1363" s="3">
        <f>YEAR(Ticket_Table[[#This Row],[raised_date]])</f>
        <v>2023</v>
      </c>
    </row>
    <row r="1364" spans="1:17">
      <c r="A1364" t="s">
        <v>1923</v>
      </c>
      <c r="B1364" t="s">
        <v>195</v>
      </c>
      <c r="C1364" t="s">
        <v>60</v>
      </c>
      <c r="D1364" t="s">
        <v>20</v>
      </c>
      <c r="E1364" t="s">
        <v>166</v>
      </c>
      <c r="F1364" t="s">
        <v>70</v>
      </c>
      <c r="G1364" t="s">
        <v>74</v>
      </c>
      <c r="H1364" s="1">
        <v>44315</v>
      </c>
      <c r="I1364" s="2">
        <v>44315.8791666667</v>
      </c>
      <c r="J1364">
        <v>21.1</v>
      </c>
      <c r="K1364" t="s">
        <v>24</v>
      </c>
      <c r="L1364">
        <v>0</v>
      </c>
      <c r="M1364">
        <v>5</v>
      </c>
      <c r="N1364" t="s">
        <v>703</v>
      </c>
      <c r="O1364" s="3" t="str">
        <f>TEXT(Ticket_Table[[#This Row],[raised_date]],"YYYY-MM")</f>
        <v>2021-04</v>
      </c>
      <c r="P1364" s="3" t="str">
        <f>IF(Ticket_Table[[#This Row],[resolution_hrs]]&lt;=4,"Fast",IF(Ticket_Table[[#This Row],[resolution_hrs]]&lt;=24,"Normal",IF(Ticket_Table[[#This Row],[resolution_hrs]]&lt;=48,"Slow","Very Slow")))</f>
        <v>Normal</v>
      </c>
      <c r="Q1364" s="3">
        <f>YEAR(Ticket_Table[[#This Row],[raised_date]])</f>
        <v>2021</v>
      </c>
    </row>
    <row r="1365" spans="1:17">
      <c r="A1365" t="s">
        <v>1924</v>
      </c>
      <c r="B1365" t="s">
        <v>1164</v>
      </c>
      <c r="C1365" t="s">
        <v>42</v>
      </c>
      <c r="D1365" t="s">
        <v>90</v>
      </c>
      <c r="E1365" t="s">
        <v>44</v>
      </c>
      <c r="F1365" t="s">
        <v>45</v>
      </c>
      <c r="G1365" t="s">
        <v>23</v>
      </c>
      <c r="H1365" s="1">
        <v>45042</v>
      </c>
      <c r="I1365" s="2">
        <v>45042.1958333333</v>
      </c>
      <c r="J1365">
        <v>4.7</v>
      </c>
      <c r="K1365" t="s">
        <v>32</v>
      </c>
      <c r="L1365">
        <v>0</v>
      </c>
      <c r="M1365">
        <v>5</v>
      </c>
      <c r="N1365" t="s">
        <v>544</v>
      </c>
      <c r="O1365" s="3" t="str">
        <f>TEXT(Ticket_Table[[#This Row],[raised_date]],"YYYY-MM")</f>
        <v>2023-04</v>
      </c>
      <c r="P1365" s="3" t="str">
        <f>IF(Ticket_Table[[#This Row],[resolution_hrs]]&lt;=4,"Fast",IF(Ticket_Table[[#This Row],[resolution_hrs]]&lt;=24,"Normal",IF(Ticket_Table[[#This Row],[resolution_hrs]]&lt;=48,"Slow","Very Slow")))</f>
        <v>Normal</v>
      </c>
      <c r="Q1365" s="3">
        <f>YEAR(Ticket_Table[[#This Row],[raised_date]])</f>
        <v>2023</v>
      </c>
    </row>
    <row r="1366" spans="1:17">
      <c r="A1366" t="s">
        <v>1925</v>
      </c>
      <c r="B1366" t="s">
        <v>155</v>
      </c>
      <c r="C1366" t="s">
        <v>261</v>
      </c>
      <c r="D1366" t="s">
        <v>20</v>
      </c>
      <c r="E1366" t="s">
        <v>37</v>
      </c>
      <c r="F1366" t="s">
        <v>45</v>
      </c>
      <c r="G1366" t="s">
        <v>31</v>
      </c>
      <c r="H1366" s="1">
        <v>45050</v>
      </c>
      <c r="I1366" s="2">
        <v>45050.1791666667</v>
      </c>
      <c r="J1366">
        <v>4.3</v>
      </c>
      <c r="K1366" t="s">
        <v>32</v>
      </c>
      <c r="L1366">
        <v>0</v>
      </c>
      <c r="M1366">
        <v>3</v>
      </c>
      <c r="N1366" t="s">
        <v>224</v>
      </c>
      <c r="O1366" s="3" t="str">
        <f>TEXT(Ticket_Table[[#This Row],[raised_date]],"YYYY-MM")</f>
        <v>2023-05</v>
      </c>
      <c r="P1366" s="3" t="str">
        <f>IF(Ticket_Table[[#This Row],[resolution_hrs]]&lt;=4,"Fast",IF(Ticket_Table[[#This Row],[resolution_hrs]]&lt;=24,"Normal",IF(Ticket_Table[[#This Row],[resolution_hrs]]&lt;=48,"Slow","Very Slow")))</f>
        <v>Normal</v>
      </c>
      <c r="Q1366" s="3">
        <f>YEAR(Ticket_Table[[#This Row],[raised_date]])</f>
        <v>2023</v>
      </c>
    </row>
    <row r="1367" spans="1:17">
      <c r="A1367" t="s">
        <v>1926</v>
      </c>
      <c r="B1367" t="s">
        <v>114</v>
      </c>
      <c r="C1367" t="s">
        <v>95</v>
      </c>
      <c r="D1367" t="s">
        <v>29</v>
      </c>
      <c r="E1367" t="s">
        <v>69</v>
      </c>
      <c r="F1367" t="s">
        <v>70</v>
      </c>
      <c r="G1367" t="s">
        <v>31</v>
      </c>
      <c r="H1367" s="1">
        <v>45282</v>
      </c>
      <c r="I1367" s="2">
        <v>45282.425</v>
      </c>
      <c r="J1367">
        <v>10.2</v>
      </c>
      <c r="K1367" t="s">
        <v>24</v>
      </c>
      <c r="L1367">
        <v>0</v>
      </c>
      <c r="M1367">
        <v>3</v>
      </c>
      <c r="N1367" t="s">
        <v>599</v>
      </c>
      <c r="O1367" s="3" t="str">
        <f>TEXT(Ticket_Table[[#This Row],[raised_date]],"YYYY-MM")</f>
        <v>2023-12</v>
      </c>
      <c r="P1367" s="3" t="str">
        <f>IF(Ticket_Table[[#This Row],[resolution_hrs]]&lt;=4,"Fast",IF(Ticket_Table[[#This Row],[resolution_hrs]]&lt;=24,"Normal",IF(Ticket_Table[[#This Row],[resolution_hrs]]&lt;=48,"Slow","Very Slow")))</f>
        <v>Normal</v>
      </c>
      <c r="Q1367" s="3">
        <f>YEAR(Ticket_Table[[#This Row],[raised_date]])</f>
        <v>2023</v>
      </c>
    </row>
    <row r="1368" spans="1:17">
      <c r="A1368" t="s">
        <v>1927</v>
      </c>
      <c r="B1368" t="s">
        <v>123</v>
      </c>
      <c r="C1368" t="s">
        <v>261</v>
      </c>
      <c r="D1368" t="s">
        <v>36</v>
      </c>
      <c r="E1368" t="s">
        <v>51</v>
      </c>
      <c r="F1368" t="s">
        <v>70</v>
      </c>
      <c r="G1368" t="s">
        <v>23</v>
      </c>
      <c r="H1368" s="1">
        <v>44471</v>
      </c>
      <c r="I1368" s="2">
        <v>44471.6333333333</v>
      </c>
      <c r="J1368">
        <v>15.2</v>
      </c>
      <c r="K1368" t="s">
        <v>24</v>
      </c>
      <c r="L1368">
        <v>3</v>
      </c>
      <c r="M1368">
        <v>4</v>
      </c>
      <c r="N1368" t="s">
        <v>130</v>
      </c>
      <c r="O1368" s="3" t="str">
        <f>TEXT(Ticket_Table[[#This Row],[raised_date]],"YYYY-MM")</f>
        <v>2021-10</v>
      </c>
      <c r="P1368" s="3" t="str">
        <f>IF(Ticket_Table[[#This Row],[resolution_hrs]]&lt;=4,"Fast",IF(Ticket_Table[[#This Row],[resolution_hrs]]&lt;=24,"Normal",IF(Ticket_Table[[#This Row],[resolution_hrs]]&lt;=48,"Slow","Very Slow")))</f>
        <v>Normal</v>
      </c>
      <c r="Q1368" s="3">
        <f>YEAR(Ticket_Table[[#This Row],[raised_date]])</f>
        <v>2021</v>
      </c>
    </row>
    <row r="1369" spans="1:17">
      <c r="A1369" t="s">
        <v>1928</v>
      </c>
      <c r="B1369" t="s">
        <v>1154</v>
      </c>
      <c r="C1369" t="s">
        <v>28</v>
      </c>
      <c r="D1369" t="s">
        <v>20</v>
      </c>
      <c r="E1369" t="s">
        <v>69</v>
      </c>
      <c r="F1369" t="s">
        <v>22</v>
      </c>
      <c r="G1369" t="s">
        <v>23</v>
      </c>
      <c r="H1369" s="1">
        <v>44992</v>
      </c>
      <c r="I1369" s="2">
        <v>44994.7416666667</v>
      </c>
      <c r="J1369">
        <v>65.8</v>
      </c>
      <c r="K1369" t="s">
        <v>24</v>
      </c>
      <c r="L1369">
        <v>0</v>
      </c>
      <c r="M1369">
        <v>5</v>
      </c>
      <c r="N1369" t="s">
        <v>148</v>
      </c>
      <c r="O1369" s="3" t="str">
        <f>TEXT(Ticket_Table[[#This Row],[raised_date]],"YYYY-MM")</f>
        <v>2023-03</v>
      </c>
      <c r="P1369" s="3" t="str">
        <f>IF(Ticket_Table[[#This Row],[resolution_hrs]]&lt;=4,"Fast",IF(Ticket_Table[[#This Row],[resolution_hrs]]&lt;=24,"Normal",IF(Ticket_Table[[#This Row],[resolution_hrs]]&lt;=48,"Slow","Very Slow")))</f>
        <v>Very Slow</v>
      </c>
      <c r="Q1369" s="3">
        <f>YEAR(Ticket_Table[[#This Row],[raised_date]])</f>
        <v>2023</v>
      </c>
    </row>
    <row r="1370" spans="1:17">
      <c r="A1370" t="s">
        <v>1929</v>
      </c>
      <c r="B1370" t="s">
        <v>499</v>
      </c>
      <c r="C1370" t="s">
        <v>95</v>
      </c>
      <c r="D1370" t="s">
        <v>90</v>
      </c>
      <c r="E1370" t="s">
        <v>166</v>
      </c>
      <c r="F1370" t="s">
        <v>45</v>
      </c>
      <c r="G1370" t="s">
        <v>74</v>
      </c>
      <c r="H1370" s="1">
        <v>44694</v>
      </c>
      <c r="I1370" s="2">
        <v>44694.0625</v>
      </c>
      <c r="J1370">
        <v>1.5</v>
      </c>
      <c r="K1370" t="s">
        <v>24</v>
      </c>
      <c r="L1370">
        <v>0</v>
      </c>
      <c r="M1370">
        <v>3</v>
      </c>
      <c r="N1370" t="s">
        <v>376</v>
      </c>
      <c r="O1370" s="3" t="str">
        <f>TEXT(Ticket_Table[[#This Row],[raised_date]],"YYYY-MM")</f>
        <v>2022-05</v>
      </c>
      <c r="P1370" s="3" t="str">
        <f>IF(Ticket_Table[[#This Row],[resolution_hrs]]&lt;=4,"Fast",IF(Ticket_Table[[#This Row],[resolution_hrs]]&lt;=24,"Normal",IF(Ticket_Table[[#This Row],[resolution_hrs]]&lt;=48,"Slow","Very Slow")))</f>
        <v>Fast</v>
      </c>
      <c r="Q1370" s="3">
        <f>YEAR(Ticket_Table[[#This Row],[raised_date]])</f>
        <v>2022</v>
      </c>
    </row>
    <row r="1371" spans="1:17">
      <c r="A1371" t="s">
        <v>1930</v>
      </c>
      <c r="B1371" t="s">
        <v>485</v>
      </c>
      <c r="C1371" t="s">
        <v>133</v>
      </c>
      <c r="D1371" t="s">
        <v>36</v>
      </c>
      <c r="E1371" t="s">
        <v>30</v>
      </c>
      <c r="F1371" t="s">
        <v>22</v>
      </c>
      <c r="G1371" t="s">
        <v>23</v>
      </c>
      <c r="H1371" s="1">
        <v>44719</v>
      </c>
      <c r="I1371" s="2">
        <v>44720.8958333333</v>
      </c>
      <c r="J1371">
        <v>45.5</v>
      </c>
      <c r="K1371" t="s">
        <v>24</v>
      </c>
      <c r="L1371">
        <v>0</v>
      </c>
      <c r="M1371">
        <v>4</v>
      </c>
      <c r="N1371" t="s">
        <v>176</v>
      </c>
      <c r="O1371" s="3" t="str">
        <f>TEXT(Ticket_Table[[#This Row],[raised_date]],"YYYY-MM")</f>
        <v>2022-06</v>
      </c>
      <c r="P1371" s="3" t="str">
        <f>IF(Ticket_Table[[#This Row],[resolution_hrs]]&lt;=4,"Fast",IF(Ticket_Table[[#This Row],[resolution_hrs]]&lt;=24,"Normal",IF(Ticket_Table[[#This Row],[resolution_hrs]]&lt;=48,"Slow","Very Slow")))</f>
        <v>Slow</v>
      </c>
      <c r="Q1371" s="3">
        <f>YEAR(Ticket_Table[[#This Row],[raised_date]])</f>
        <v>2022</v>
      </c>
    </row>
    <row r="1372" spans="1:17">
      <c r="A1372" t="s">
        <v>1931</v>
      </c>
      <c r="B1372" t="s">
        <v>621</v>
      </c>
      <c r="C1372" t="s">
        <v>55</v>
      </c>
      <c r="D1372" t="s">
        <v>36</v>
      </c>
      <c r="E1372" t="s">
        <v>44</v>
      </c>
      <c r="F1372" t="s">
        <v>70</v>
      </c>
      <c r="G1372" t="s">
        <v>23</v>
      </c>
      <c r="H1372" s="1">
        <v>44613</v>
      </c>
      <c r="I1372" s="2">
        <v>44615.9833333333</v>
      </c>
      <c r="J1372">
        <v>71.6</v>
      </c>
      <c r="K1372" t="s">
        <v>32</v>
      </c>
      <c r="L1372">
        <v>0</v>
      </c>
      <c r="M1372">
        <v>4</v>
      </c>
      <c r="N1372" t="s">
        <v>238</v>
      </c>
      <c r="O1372" s="3" t="str">
        <f>TEXT(Ticket_Table[[#This Row],[raised_date]],"YYYY-MM")</f>
        <v>2022-02</v>
      </c>
      <c r="P1372" s="3" t="str">
        <f>IF(Ticket_Table[[#This Row],[resolution_hrs]]&lt;=4,"Fast",IF(Ticket_Table[[#This Row],[resolution_hrs]]&lt;=24,"Normal",IF(Ticket_Table[[#This Row],[resolution_hrs]]&lt;=48,"Slow","Very Slow")))</f>
        <v>Very Slow</v>
      </c>
      <c r="Q1372" s="3">
        <f>YEAR(Ticket_Table[[#This Row],[raised_date]])</f>
        <v>2022</v>
      </c>
    </row>
    <row r="1373" spans="1:17">
      <c r="A1373" t="s">
        <v>1932</v>
      </c>
      <c r="B1373" t="s">
        <v>1091</v>
      </c>
      <c r="C1373" t="s">
        <v>60</v>
      </c>
      <c r="D1373" t="s">
        <v>20</v>
      </c>
      <c r="E1373" t="s">
        <v>44</v>
      </c>
      <c r="F1373" t="s">
        <v>22</v>
      </c>
      <c r="G1373" t="s">
        <v>31</v>
      </c>
      <c r="H1373" s="1">
        <v>44873</v>
      </c>
      <c r="I1373" s="2">
        <v>44874.3958333333</v>
      </c>
      <c r="J1373">
        <v>33.5</v>
      </c>
      <c r="K1373" t="s">
        <v>24</v>
      </c>
      <c r="L1373">
        <v>0</v>
      </c>
      <c r="M1373">
        <v>4</v>
      </c>
      <c r="N1373" t="s">
        <v>589</v>
      </c>
      <c r="O1373" s="3" t="str">
        <f>TEXT(Ticket_Table[[#This Row],[raised_date]],"YYYY-MM")</f>
        <v>2022-11</v>
      </c>
      <c r="P1373" s="3" t="str">
        <f>IF(Ticket_Table[[#This Row],[resolution_hrs]]&lt;=4,"Fast",IF(Ticket_Table[[#This Row],[resolution_hrs]]&lt;=24,"Normal",IF(Ticket_Table[[#This Row],[resolution_hrs]]&lt;=48,"Slow","Very Slow")))</f>
        <v>Slow</v>
      </c>
      <c r="Q1373" s="3">
        <f>YEAR(Ticket_Table[[#This Row],[raised_date]])</f>
        <v>2022</v>
      </c>
    </row>
    <row r="1374" spans="1:17">
      <c r="A1374" t="s">
        <v>1933</v>
      </c>
      <c r="B1374" t="s">
        <v>501</v>
      </c>
      <c r="C1374" t="s">
        <v>60</v>
      </c>
      <c r="D1374" t="s">
        <v>20</v>
      </c>
      <c r="E1374" t="s">
        <v>56</v>
      </c>
      <c r="F1374" t="s">
        <v>22</v>
      </c>
      <c r="G1374" t="s">
        <v>23</v>
      </c>
      <c r="H1374" s="1">
        <v>44358</v>
      </c>
      <c r="I1374" s="2">
        <v>44358.975</v>
      </c>
      <c r="J1374">
        <v>23.4</v>
      </c>
      <c r="K1374" t="s">
        <v>24</v>
      </c>
      <c r="L1374">
        <v>0</v>
      </c>
      <c r="M1374">
        <v>3</v>
      </c>
      <c r="N1374" t="s">
        <v>630</v>
      </c>
      <c r="O1374" s="3" t="str">
        <f>TEXT(Ticket_Table[[#This Row],[raised_date]],"YYYY-MM")</f>
        <v>2021-06</v>
      </c>
      <c r="P1374" s="3" t="str">
        <f>IF(Ticket_Table[[#This Row],[resolution_hrs]]&lt;=4,"Fast",IF(Ticket_Table[[#This Row],[resolution_hrs]]&lt;=24,"Normal",IF(Ticket_Table[[#This Row],[resolution_hrs]]&lt;=48,"Slow","Very Slow")))</f>
        <v>Normal</v>
      </c>
      <c r="Q1374" s="3">
        <f>YEAR(Ticket_Table[[#This Row],[raised_date]])</f>
        <v>2021</v>
      </c>
    </row>
    <row r="1375" spans="1:17">
      <c r="A1375" t="s">
        <v>1934</v>
      </c>
      <c r="B1375" t="s">
        <v>726</v>
      </c>
      <c r="C1375" t="s">
        <v>201</v>
      </c>
      <c r="D1375" t="s">
        <v>43</v>
      </c>
      <c r="E1375" t="s">
        <v>21</v>
      </c>
      <c r="F1375" t="s">
        <v>70</v>
      </c>
      <c r="G1375" t="s">
        <v>31</v>
      </c>
      <c r="H1375" s="1">
        <v>45118</v>
      </c>
      <c r="I1375" s="2">
        <v>45118.1791666667</v>
      </c>
      <c r="J1375">
        <v>4.3</v>
      </c>
      <c r="K1375" t="s">
        <v>24</v>
      </c>
      <c r="L1375">
        <v>0</v>
      </c>
      <c r="M1375">
        <v>5</v>
      </c>
      <c r="N1375" t="s">
        <v>1382</v>
      </c>
      <c r="O1375" s="3" t="str">
        <f>TEXT(Ticket_Table[[#This Row],[raised_date]],"YYYY-MM")</f>
        <v>2023-07</v>
      </c>
      <c r="P1375" s="3" t="str">
        <f>IF(Ticket_Table[[#This Row],[resolution_hrs]]&lt;=4,"Fast",IF(Ticket_Table[[#This Row],[resolution_hrs]]&lt;=24,"Normal",IF(Ticket_Table[[#This Row],[resolution_hrs]]&lt;=48,"Slow","Very Slow")))</f>
        <v>Normal</v>
      </c>
      <c r="Q1375" s="3">
        <f>YEAR(Ticket_Table[[#This Row],[raised_date]])</f>
        <v>2023</v>
      </c>
    </row>
    <row r="1376" spans="1:17">
      <c r="A1376" t="s">
        <v>1935</v>
      </c>
      <c r="B1376" t="s">
        <v>352</v>
      </c>
      <c r="C1376" t="s">
        <v>201</v>
      </c>
      <c r="D1376" t="s">
        <v>43</v>
      </c>
      <c r="E1376" t="s">
        <v>51</v>
      </c>
      <c r="F1376" t="s">
        <v>45</v>
      </c>
      <c r="G1376" t="s">
        <v>46</v>
      </c>
      <c r="H1376" s="1">
        <v>44956</v>
      </c>
      <c r="I1376" s="2">
        <v>44956.0458333333</v>
      </c>
      <c r="J1376">
        <v>1.1</v>
      </c>
      <c r="K1376" t="s">
        <v>24</v>
      </c>
      <c r="L1376">
        <v>0</v>
      </c>
      <c r="M1376">
        <v>4</v>
      </c>
      <c r="N1376" t="s">
        <v>811</v>
      </c>
      <c r="O1376" s="3" t="str">
        <f>TEXT(Ticket_Table[[#This Row],[raised_date]],"YYYY-MM")</f>
        <v>2023-01</v>
      </c>
      <c r="P1376" s="3" t="str">
        <f>IF(Ticket_Table[[#This Row],[resolution_hrs]]&lt;=4,"Fast",IF(Ticket_Table[[#This Row],[resolution_hrs]]&lt;=24,"Normal",IF(Ticket_Table[[#This Row],[resolution_hrs]]&lt;=48,"Slow","Very Slow")))</f>
        <v>Fast</v>
      </c>
      <c r="Q1376" s="3">
        <f>YEAR(Ticket_Table[[#This Row],[raised_date]])</f>
        <v>2023</v>
      </c>
    </row>
    <row r="1377" spans="1:17">
      <c r="A1377" t="s">
        <v>1936</v>
      </c>
      <c r="B1377" t="s">
        <v>1243</v>
      </c>
      <c r="C1377" t="s">
        <v>213</v>
      </c>
      <c r="D1377" t="s">
        <v>36</v>
      </c>
      <c r="E1377" t="s">
        <v>56</v>
      </c>
      <c r="F1377" t="s">
        <v>22</v>
      </c>
      <c r="G1377" t="s">
        <v>23</v>
      </c>
      <c r="H1377" s="1">
        <v>44386</v>
      </c>
      <c r="I1377" s="2">
        <v>44389.9708333333</v>
      </c>
      <c r="J1377">
        <v>95.3</v>
      </c>
      <c r="K1377" t="s">
        <v>32</v>
      </c>
      <c r="L1377">
        <v>0</v>
      </c>
      <c r="M1377">
        <v>3</v>
      </c>
      <c r="N1377" t="s">
        <v>202</v>
      </c>
      <c r="O1377" s="3" t="str">
        <f>TEXT(Ticket_Table[[#This Row],[raised_date]],"YYYY-MM")</f>
        <v>2021-07</v>
      </c>
      <c r="P1377" s="3" t="str">
        <f>IF(Ticket_Table[[#This Row],[resolution_hrs]]&lt;=4,"Fast",IF(Ticket_Table[[#This Row],[resolution_hrs]]&lt;=24,"Normal",IF(Ticket_Table[[#This Row],[resolution_hrs]]&lt;=48,"Slow","Very Slow")))</f>
        <v>Very Slow</v>
      </c>
      <c r="Q1377" s="3">
        <f>YEAR(Ticket_Table[[#This Row],[raised_date]])</f>
        <v>2021</v>
      </c>
    </row>
    <row r="1378" spans="1:17">
      <c r="A1378" t="s">
        <v>1937</v>
      </c>
      <c r="B1378" t="s">
        <v>39</v>
      </c>
      <c r="C1378" t="s">
        <v>213</v>
      </c>
      <c r="D1378" t="s">
        <v>43</v>
      </c>
      <c r="E1378" t="s">
        <v>83</v>
      </c>
      <c r="F1378" t="s">
        <v>70</v>
      </c>
      <c r="G1378" t="s">
        <v>23</v>
      </c>
      <c r="H1378" s="1">
        <v>44587</v>
      </c>
      <c r="I1378" s="2">
        <v>44588.1</v>
      </c>
      <c r="J1378">
        <v>26.4</v>
      </c>
      <c r="K1378" t="s">
        <v>24</v>
      </c>
      <c r="L1378">
        <v>0</v>
      </c>
      <c r="M1378">
        <v>3</v>
      </c>
      <c r="N1378" t="s">
        <v>479</v>
      </c>
      <c r="O1378" s="3" t="str">
        <f>TEXT(Ticket_Table[[#This Row],[raised_date]],"YYYY-MM")</f>
        <v>2022-01</v>
      </c>
      <c r="P1378" s="3" t="str">
        <f>IF(Ticket_Table[[#This Row],[resolution_hrs]]&lt;=4,"Fast",IF(Ticket_Table[[#This Row],[resolution_hrs]]&lt;=24,"Normal",IF(Ticket_Table[[#This Row],[resolution_hrs]]&lt;=48,"Slow","Very Slow")))</f>
        <v>Slow</v>
      </c>
      <c r="Q1378" s="3">
        <f>YEAR(Ticket_Table[[#This Row],[raised_date]])</f>
        <v>2022</v>
      </c>
    </row>
    <row r="1379" spans="1:17">
      <c r="A1379" t="s">
        <v>1938</v>
      </c>
      <c r="B1379" t="s">
        <v>558</v>
      </c>
      <c r="C1379" t="s">
        <v>287</v>
      </c>
      <c r="D1379" t="s">
        <v>90</v>
      </c>
      <c r="E1379" t="s">
        <v>37</v>
      </c>
      <c r="F1379" t="s">
        <v>22</v>
      </c>
      <c r="G1379" t="s">
        <v>31</v>
      </c>
      <c r="H1379" s="1">
        <v>44302</v>
      </c>
      <c r="I1379" s="2">
        <v>44302.75</v>
      </c>
      <c r="J1379">
        <v>18</v>
      </c>
      <c r="K1379" t="s">
        <v>24</v>
      </c>
      <c r="L1379">
        <v>0</v>
      </c>
      <c r="M1379">
        <v>1</v>
      </c>
      <c r="N1379" t="s">
        <v>652</v>
      </c>
      <c r="O1379" s="3" t="str">
        <f>TEXT(Ticket_Table[[#This Row],[raised_date]],"YYYY-MM")</f>
        <v>2021-04</v>
      </c>
      <c r="P1379" s="3" t="str">
        <f>IF(Ticket_Table[[#This Row],[resolution_hrs]]&lt;=4,"Fast",IF(Ticket_Table[[#This Row],[resolution_hrs]]&lt;=24,"Normal",IF(Ticket_Table[[#This Row],[resolution_hrs]]&lt;=48,"Slow","Very Slow")))</f>
        <v>Normal</v>
      </c>
      <c r="Q1379" s="3">
        <f>YEAR(Ticket_Table[[#This Row],[raised_date]])</f>
        <v>2021</v>
      </c>
    </row>
    <row r="1380" spans="1:17">
      <c r="A1380" t="s">
        <v>1939</v>
      </c>
      <c r="B1380" t="s">
        <v>884</v>
      </c>
      <c r="C1380" t="s">
        <v>55</v>
      </c>
      <c r="D1380" t="s">
        <v>29</v>
      </c>
      <c r="E1380" t="s">
        <v>106</v>
      </c>
      <c r="F1380" t="s">
        <v>22</v>
      </c>
      <c r="G1380" t="s">
        <v>23</v>
      </c>
      <c r="H1380" s="1">
        <v>44746</v>
      </c>
      <c r="I1380" s="2">
        <v>44749.7333333333</v>
      </c>
      <c r="J1380">
        <v>89.6</v>
      </c>
      <c r="K1380" t="s">
        <v>32</v>
      </c>
      <c r="L1380">
        <v>1</v>
      </c>
      <c r="M1380">
        <v>4</v>
      </c>
      <c r="N1380" t="s">
        <v>701</v>
      </c>
      <c r="O1380" s="3" t="str">
        <f>TEXT(Ticket_Table[[#This Row],[raised_date]],"YYYY-MM")</f>
        <v>2022-07</v>
      </c>
      <c r="P1380" s="3" t="str">
        <f>IF(Ticket_Table[[#This Row],[resolution_hrs]]&lt;=4,"Fast",IF(Ticket_Table[[#This Row],[resolution_hrs]]&lt;=24,"Normal",IF(Ticket_Table[[#This Row],[resolution_hrs]]&lt;=48,"Slow","Very Slow")))</f>
        <v>Very Slow</v>
      </c>
      <c r="Q1380" s="3">
        <f>YEAR(Ticket_Table[[#This Row],[raised_date]])</f>
        <v>2022</v>
      </c>
    </row>
    <row r="1381" spans="1:17">
      <c r="A1381" t="s">
        <v>1940</v>
      </c>
      <c r="B1381" t="s">
        <v>1278</v>
      </c>
      <c r="C1381" t="s">
        <v>68</v>
      </c>
      <c r="D1381" t="s">
        <v>36</v>
      </c>
      <c r="E1381" t="s">
        <v>44</v>
      </c>
      <c r="F1381" t="s">
        <v>70</v>
      </c>
      <c r="G1381" t="s">
        <v>31</v>
      </c>
      <c r="H1381" s="1">
        <v>44969</v>
      </c>
      <c r="I1381" s="2">
        <v>44971.6875</v>
      </c>
      <c r="J1381">
        <v>64.5</v>
      </c>
      <c r="K1381" t="s">
        <v>32</v>
      </c>
      <c r="L1381">
        <v>0</v>
      </c>
      <c r="M1381">
        <v>4</v>
      </c>
      <c r="N1381" t="s">
        <v>523</v>
      </c>
      <c r="O1381" s="3" t="str">
        <f>TEXT(Ticket_Table[[#This Row],[raised_date]],"YYYY-MM")</f>
        <v>2023-02</v>
      </c>
      <c r="P1381" s="3" t="str">
        <f>IF(Ticket_Table[[#This Row],[resolution_hrs]]&lt;=4,"Fast",IF(Ticket_Table[[#This Row],[resolution_hrs]]&lt;=24,"Normal",IF(Ticket_Table[[#This Row],[resolution_hrs]]&lt;=48,"Slow","Very Slow")))</f>
        <v>Very Slow</v>
      </c>
      <c r="Q1381" s="3">
        <f>YEAR(Ticket_Table[[#This Row],[raised_date]])</f>
        <v>2023</v>
      </c>
    </row>
    <row r="1382" spans="1:17">
      <c r="A1382" t="s">
        <v>1941</v>
      </c>
      <c r="B1382" t="s">
        <v>368</v>
      </c>
      <c r="C1382" t="s">
        <v>140</v>
      </c>
      <c r="D1382" t="s">
        <v>29</v>
      </c>
      <c r="E1382" t="s">
        <v>51</v>
      </c>
      <c r="F1382" t="s">
        <v>70</v>
      </c>
      <c r="G1382" t="s">
        <v>23</v>
      </c>
      <c r="H1382" s="1">
        <v>44277</v>
      </c>
      <c r="I1382" s="2">
        <v>44277.1375</v>
      </c>
      <c r="J1382">
        <v>3.3</v>
      </c>
      <c r="K1382" t="s">
        <v>24</v>
      </c>
      <c r="L1382">
        <v>1</v>
      </c>
      <c r="M1382">
        <v>1</v>
      </c>
      <c r="N1382" t="s">
        <v>1013</v>
      </c>
      <c r="O1382" s="3" t="str">
        <f>TEXT(Ticket_Table[[#This Row],[raised_date]],"YYYY-MM")</f>
        <v>2021-03</v>
      </c>
      <c r="P1382" s="3" t="str">
        <f>IF(Ticket_Table[[#This Row],[resolution_hrs]]&lt;=4,"Fast",IF(Ticket_Table[[#This Row],[resolution_hrs]]&lt;=24,"Normal",IF(Ticket_Table[[#This Row],[resolution_hrs]]&lt;=48,"Slow","Very Slow")))</f>
        <v>Fast</v>
      </c>
      <c r="Q1382" s="3">
        <f>YEAR(Ticket_Table[[#This Row],[raised_date]])</f>
        <v>2021</v>
      </c>
    </row>
    <row r="1383" spans="1:17">
      <c r="A1383" t="s">
        <v>1942</v>
      </c>
      <c r="B1383" t="s">
        <v>670</v>
      </c>
      <c r="C1383" t="s">
        <v>213</v>
      </c>
      <c r="D1383" t="s">
        <v>43</v>
      </c>
      <c r="E1383" t="s">
        <v>21</v>
      </c>
      <c r="F1383" t="s">
        <v>22</v>
      </c>
      <c r="G1383" t="s">
        <v>74</v>
      </c>
      <c r="H1383" s="1">
        <v>44346</v>
      </c>
      <c r="I1383" s="2">
        <v>44346.325</v>
      </c>
      <c r="J1383">
        <v>7.8</v>
      </c>
      <c r="K1383" t="s">
        <v>24</v>
      </c>
      <c r="L1383">
        <v>0</v>
      </c>
      <c r="M1383">
        <v>4</v>
      </c>
      <c r="N1383" t="s">
        <v>1238</v>
      </c>
      <c r="O1383" s="3" t="str">
        <f>TEXT(Ticket_Table[[#This Row],[raised_date]],"YYYY-MM")</f>
        <v>2021-05</v>
      </c>
      <c r="P1383" s="3" t="str">
        <f>IF(Ticket_Table[[#This Row],[resolution_hrs]]&lt;=4,"Fast",IF(Ticket_Table[[#This Row],[resolution_hrs]]&lt;=24,"Normal",IF(Ticket_Table[[#This Row],[resolution_hrs]]&lt;=48,"Slow","Very Slow")))</f>
        <v>Normal</v>
      </c>
      <c r="Q1383" s="3">
        <f>YEAR(Ticket_Table[[#This Row],[raised_date]])</f>
        <v>2021</v>
      </c>
    </row>
    <row r="1384" spans="1:17">
      <c r="A1384" t="s">
        <v>1943</v>
      </c>
      <c r="B1384" t="s">
        <v>435</v>
      </c>
      <c r="C1384" t="s">
        <v>42</v>
      </c>
      <c r="D1384" t="s">
        <v>20</v>
      </c>
      <c r="E1384" t="s">
        <v>51</v>
      </c>
      <c r="F1384" t="s">
        <v>70</v>
      </c>
      <c r="G1384" t="s">
        <v>46</v>
      </c>
      <c r="H1384" s="1">
        <v>44582</v>
      </c>
      <c r="I1384" s="2">
        <v>44583.3166666667</v>
      </c>
      <c r="J1384">
        <v>31.6</v>
      </c>
      <c r="K1384" t="s">
        <v>24</v>
      </c>
      <c r="L1384">
        <v>0</v>
      </c>
      <c r="M1384">
        <v>4</v>
      </c>
      <c r="N1384" t="s">
        <v>426</v>
      </c>
      <c r="O1384" s="3" t="str">
        <f>TEXT(Ticket_Table[[#This Row],[raised_date]],"YYYY-MM")</f>
        <v>2022-01</v>
      </c>
      <c r="P1384" s="3" t="str">
        <f>IF(Ticket_Table[[#This Row],[resolution_hrs]]&lt;=4,"Fast",IF(Ticket_Table[[#This Row],[resolution_hrs]]&lt;=24,"Normal",IF(Ticket_Table[[#This Row],[resolution_hrs]]&lt;=48,"Slow","Very Slow")))</f>
        <v>Slow</v>
      </c>
      <c r="Q1384" s="3">
        <f>YEAR(Ticket_Table[[#This Row],[raised_date]])</f>
        <v>2022</v>
      </c>
    </row>
    <row r="1385" spans="1:17">
      <c r="A1385" t="s">
        <v>1944</v>
      </c>
      <c r="B1385" t="s">
        <v>116</v>
      </c>
      <c r="C1385" t="s">
        <v>95</v>
      </c>
      <c r="D1385" t="s">
        <v>36</v>
      </c>
      <c r="E1385" t="s">
        <v>106</v>
      </c>
      <c r="F1385" t="s">
        <v>22</v>
      </c>
      <c r="G1385" t="s">
        <v>31</v>
      </c>
      <c r="H1385" s="1">
        <v>44641</v>
      </c>
      <c r="I1385" s="2">
        <v>44643.7958333333</v>
      </c>
      <c r="J1385">
        <v>67.1</v>
      </c>
      <c r="K1385" t="s">
        <v>24</v>
      </c>
      <c r="L1385">
        <v>0</v>
      </c>
      <c r="M1385">
        <v>3</v>
      </c>
      <c r="N1385" t="s">
        <v>65</v>
      </c>
      <c r="O1385" s="3" t="str">
        <f>TEXT(Ticket_Table[[#This Row],[raised_date]],"YYYY-MM")</f>
        <v>2022-03</v>
      </c>
      <c r="P1385" s="3" t="str">
        <f>IF(Ticket_Table[[#This Row],[resolution_hrs]]&lt;=4,"Fast",IF(Ticket_Table[[#This Row],[resolution_hrs]]&lt;=24,"Normal",IF(Ticket_Table[[#This Row],[resolution_hrs]]&lt;=48,"Slow","Very Slow")))</f>
        <v>Very Slow</v>
      </c>
      <c r="Q1385" s="3">
        <f>YEAR(Ticket_Table[[#This Row],[raised_date]])</f>
        <v>2022</v>
      </c>
    </row>
    <row r="1386" spans="1:17">
      <c r="A1386" t="s">
        <v>1945</v>
      </c>
      <c r="B1386" t="s">
        <v>857</v>
      </c>
      <c r="C1386" t="s">
        <v>55</v>
      </c>
      <c r="D1386" t="s">
        <v>43</v>
      </c>
      <c r="E1386" t="s">
        <v>106</v>
      </c>
      <c r="F1386" t="s">
        <v>70</v>
      </c>
      <c r="G1386" t="s">
        <v>31</v>
      </c>
      <c r="H1386" s="1">
        <v>45178</v>
      </c>
      <c r="I1386" s="2">
        <v>45178.4</v>
      </c>
      <c r="J1386">
        <v>9.6</v>
      </c>
      <c r="K1386" t="s">
        <v>24</v>
      </c>
      <c r="L1386">
        <v>0</v>
      </c>
      <c r="M1386">
        <v>4</v>
      </c>
      <c r="N1386" t="s">
        <v>1195</v>
      </c>
      <c r="O1386" s="3" t="str">
        <f>TEXT(Ticket_Table[[#This Row],[raised_date]],"YYYY-MM")</f>
        <v>2023-09</v>
      </c>
      <c r="P1386" s="3" t="str">
        <f>IF(Ticket_Table[[#This Row],[resolution_hrs]]&lt;=4,"Fast",IF(Ticket_Table[[#This Row],[resolution_hrs]]&lt;=24,"Normal",IF(Ticket_Table[[#This Row],[resolution_hrs]]&lt;=48,"Slow","Very Slow")))</f>
        <v>Normal</v>
      </c>
      <c r="Q1386" s="3">
        <f>YEAR(Ticket_Table[[#This Row],[raised_date]])</f>
        <v>2023</v>
      </c>
    </row>
    <row r="1387" spans="1:17">
      <c r="A1387" t="s">
        <v>1946</v>
      </c>
      <c r="B1387" t="s">
        <v>207</v>
      </c>
      <c r="C1387" t="s">
        <v>64</v>
      </c>
      <c r="D1387" t="s">
        <v>90</v>
      </c>
      <c r="E1387" t="s">
        <v>56</v>
      </c>
      <c r="F1387" t="s">
        <v>45</v>
      </c>
      <c r="G1387" t="s">
        <v>46</v>
      </c>
      <c r="H1387" s="1">
        <v>44624</v>
      </c>
      <c r="I1387" s="2">
        <v>44624.0875</v>
      </c>
      <c r="J1387">
        <v>2.1</v>
      </c>
      <c r="K1387" t="s">
        <v>24</v>
      </c>
      <c r="L1387">
        <v>0</v>
      </c>
      <c r="M1387">
        <v>3</v>
      </c>
      <c r="N1387" t="s">
        <v>800</v>
      </c>
      <c r="O1387" s="3" t="str">
        <f>TEXT(Ticket_Table[[#This Row],[raised_date]],"YYYY-MM")</f>
        <v>2022-03</v>
      </c>
      <c r="P1387" s="3" t="str">
        <f>IF(Ticket_Table[[#This Row],[resolution_hrs]]&lt;=4,"Fast",IF(Ticket_Table[[#This Row],[resolution_hrs]]&lt;=24,"Normal",IF(Ticket_Table[[#This Row],[resolution_hrs]]&lt;=48,"Slow","Very Slow")))</f>
        <v>Fast</v>
      </c>
      <c r="Q1387" s="3">
        <f>YEAR(Ticket_Table[[#This Row],[raised_date]])</f>
        <v>2022</v>
      </c>
    </row>
    <row r="1388" spans="1:17">
      <c r="A1388" t="s">
        <v>1947</v>
      </c>
      <c r="B1388" t="s">
        <v>289</v>
      </c>
      <c r="C1388" t="s">
        <v>19</v>
      </c>
      <c r="D1388" t="s">
        <v>36</v>
      </c>
      <c r="E1388" t="s">
        <v>69</v>
      </c>
      <c r="F1388" t="s">
        <v>45</v>
      </c>
      <c r="G1388" t="s">
        <v>74</v>
      </c>
      <c r="H1388" s="1">
        <v>44878</v>
      </c>
      <c r="I1388" s="2">
        <v>44878.0958333333</v>
      </c>
      <c r="J1388">
        <v>2.3</v>
      </c>
      <c r="K1388" t="s">
        <v>24</v>
      </c>
      <c r="L1388">
        <v>0</v>
      </c>
      <c r="M1388">
        <v>3</v>
      </c>
      <c r="N1388" t="s">
        <v>730</v>
      </c>
      <c r="O1388" s="3" t="str">
        <f>TEXT(Ticket_Table[[#This Row],[raised_date]],"YYYY-MM")</f>
        <v>2022-11</v>
      </c>
      <c r="P1388" s="3" t="str">
        <f>IF(Ticket_Table[[#This Row],[resolution_hrs]]&lt;=4,"Fast",IF(Ticket_Table[[#This Row],[resolution_hrs]]&lt;=24,"Normal",IF(Ticket_Table[[#This Row],[resolution_hrs]]&lt;=48,"Slow","Very Slow")))</f>
        <v>Fast</v>
      </c>
      <c r="Q1388" s="3">
        <f>YEAR(Ticket_Table[[#This Row],[raised_date]])</f>
        <v>2022</v>
      </c>
    </row>
    <row r="1389" spans="1:17">
      <c r="A1389" t="s">
        <v>1948</v>
      </c>
      <c r="B1389" t="s">
        <v>1050</v>
      </c>
      <c r="C1389" t="s">
        <v>55</v>
      </c>
      <c r="D1389" t="s">
        <v>36</v>
      </c>
      <c r="E1389" t="s">
        <v>83</v>
      </c>
      <c r="F1389" t="s">
        <v>70</v>
      </c>
      <c r="G1389" t="s">
        <v>23</v>
      </c>
      <c r="H1389" s="1">
        <v>44817</v>
      </c>
      <c r="I1389" s="2">
        <v>44818.05</v>
      </c>
      <c r="J1389">
        <v>25.2</v>
      </c>
      <c r="K1389" t="s">
        <v>24</v>
      </c>
      <c r="L1389">
        <v>1</v>
      </c>
      <c r="M1389">
        <v>4</v>
      </c>
      <c r="N1389" t="s">
        <v>599</v>
      </c>
      <c r="O1389" s="3" t="str">
        <f>TEXT(Ticket_Table[[#This Row],[raised_date]],"YYYY-MM")</f>
        <v>2022-09</v>
      </c>
      <c r="P1389" s="3" t="str">
        <f>IF(Ticket_Table[[#This Row],[resolution_hrs]]&lt;=4,"Fast",IF(Ticket_Table[[#This Row],[resolution_hrs]]&lt;=24,"Normal",IF(Ticket_Table[[#This Row],[resolution_hrs]]&lt;=48,"Slow","Very Slow")))</f>
        <v>Slow</v>
      </c>
      <c r="Q1389" s="3">
        <f>YEAR(Ticket_Table[[#This Row],[raised_date]])</f>
        <v>2022</v>
      </c>
    </row>
    <row r="1390" spans="1:17">
      <c r="A1390" t="s">
        <v>1949</v>
      </c>
      <c r="B1390" t="s">
        <v>438</v>
      </c>
      <c r="C1390" t="s">
        <v>82</v>
      </c>
      <c r="D1390" t="s">
        <v>20</v>
      </c>
      <c r="E1390" t="s">
        <v>83</v>
      </c>
      <c r="F1390" t="s">
        <v>70</v>
      </c>
      <c r="G1390" t="s">
        <v>23</v>
      </c>
      <c r="H1390" s="1">
        <v>44228</v>
      </c>
      <c r="I1390" s="2">
        <v>44229.0916666667</v>
      </c>
      <c r="J1390">
        <v>26.2</v>
      </c>
      <c r="K1390" t="s">
        <v>24</v>
      </c>
      <c r="L1390">
        <v>0</v>
      </c>
      <c r="M1390">
        <v>3</v>
      </c>
      <c r="N1390" t="s">
        <v>18</v>
      </c>
      <c r="O1390" s="3" t="str">
        <f>TEXT(Ticket_Table[[#This Row],[raised_date]],"YYYY-MM")</f>
        <v>2021-02</v>
      </c>
      <c r="P1390" s="3" t="str">
        <f>IF(Ticket_Table[[#This Row],[resolution_hrs]]&lt;=4,"Fast",IF(Ticket_Table[[#This Row],[resolution_hrs]]&lt;=24,"Normal",IF(Ticket_Table[[#This Row],[resolution_hrs]]&lt;=48,"Slow","Very Slow")))</f>
        <v>Slow</v>
      </c>
      <c r="Q1390" s="3">
        <f>YEAR(Ticket_Table[[#This Row],[raised_date]])</f>
        <v>2021</v>
      </c>
    </row>
    <row r="1391" spans="1:17">
      <c r="A1391" t="s">
        <v>1950</v>
      </c>
      <c r="B1391" t="s">
        <v>183</v>
      </c>
      <c r="C1391" t="s">
        <v>201</v>
      </c>
      <c r="D1391" t="s">
        <v>36</v>
      </c>
      <c r="E1391" t="s">
        <v>166</v>
      </c>
      <c r="F1391" t="s">
        <v>45</v>
      </c>
      <c r="G1391" t="s">
        <v>46</v>
      </c>
      <c r="H1391" s="1">
        <v>44630</v>
      </c>
      <c r="I1391" s="2">
        <v>44630.05</v>
      </c>
      <c r="J1391">
        <v>1.2</v>
      </c>
      <c r="K1391" t="s">
        <v>24</v>
      </c>
      <c r="L1391">
        <v>0</v>
      </c>
      <c r="M1391">
        <v>4</v>
      </c>
      <c r="N1391" t="s">
        <v>506</v>
      </c>
      <c r="O1391" s="3" t="str">
        <f>TEXT(Ticket_Table[[#This Row],[raised_date]],"YYYY-MM")</f>
        <v>2022-03</v>
      </c>
      <c r="P1391" s="3" t="str">
        <f>IF(Ticket_Table[[#This Row],[resolution_hrs]]&lt;=4,"Fast",IF(Ticket_Table[[#This Row],[resolution_hrs]]&lt;=24,"Normal",IF(Ticket_Table[[#This Row],[resolution_hrs]]&lt;=48,"Slow","Very Slow")))</f>
        <v>Fast</v>
      </c>
      <c r="Q1391" s="3">
        <f>YEAR(Ticket_Table[[#This Row],[raised_date]])</f>
        <v>2022</v>
      </c>
    </row>
    <row r="1392" spans="1:17">
      <c r="A1392" t="s">
        <v>1951</v>
      </c>
      <c r="B1392" t="s">
        <v>197</v>
      </c>
      <c r="C1392" t="s">
        <v>64</v>
      </c>
      <c r="D1392" t="s">
        <v>20</v>
      </c>
      <c r="E1392" t="s">
        <v>83</v>
      </c>
      <c r="F1392" t="s">
        <v>22</v>
      </c>
      <c r="G1392" t="s">
        <v>23</v>
      </c>
      <c r="H1392" s="1">
        <v>44586</v>
      </c>
      <c r="I1392" s="2">
        <v>44589.9541666667</v>
      </c>
      <c r="J1392">
        <v>94.9</v>
      </c>
      <c r="K1392" t="s">
        <v>32</v>
      </c>
      <c r="L1392">
        <v>0</v>
      </c>
      <c r="M1392">
        <v>5</v>
      </c>
      <c r="N1392" t="s">
        <v>722</v>
      </c>
      <c r="O1392" s="3" t="str">
        <f>TEXT(Ticket_Table[[#This Row],[raised_date]],"YYYY-MM")</f>
        <v>2022-01</v>
      </c>
      <c r="P1392" s="3" t="str">
        <f>IF(Ticket_Table[[#This Row],[resolution_hrs]]&lt;=4,"Fast",IF(Ticket_Table[[#This Row],[resolution_hrs]]&lt;=24,"Normal",IF(Ticket_Table[[#This Row],[resolution_hrs]]&lt;=48,"Slow","Very Slow")))</f>
        <v>Very Slow</v>
      </c>
      <c r="Q1392" s="3">
        <f>YEAR(Ticket_Table[[#This Row],[raised_date]])</f>
        <v>2022</v>
      </c>
    </row>
    <row r="1393" spans="1:17">
      <c r="A1393" t="s">
        <v>1952</v>
      </c>
      <c r="B1393" t="s">
        <v>637</v>
      </c>
      <c r="C1393" t="s">
        <v>82</v>
      </c>
      <c r="D1393" t="s">
        <v>43</v>
      </c>
      <c r="E1393" t="s">
        <v>51</v>
      </c>
      <c r="F1393" t="s">
        <v>38</v>
      </c>
      <c r="G1393" t="s">
        <v>23</v>
      </c>
      <c r="H1393" s="1">
        <v>44437</v>
      </c>
      <c r="I1393" s="2">
        <v>44437.4333333333</v>
      </c>
      <c r="J1393">
        <v>10.4</v>
      </c>
      <c r="K1393" t="s">
        <v>24</v>
      </c>
      <c r="L1393">
        <v>0</v>
      </c>
      <c r="M1393">
        <v>1</v>
      </c>
      <c r="N1393" t="s">
        <v>116</v>
      </c>
      <c r="O1393" s="3" t="str">
        <f>TEXT(Ticket_Table[[#This Row],[raised_date]],"YYYY-MM")</f>
        <v>2021-08</v>
      </c>
      <c r="P1393" s="3" t="str">
        <f>IF(Ticket_Table[[#This Row],[resolution_hrs]]&lt;=4,"Fast",IF(Ticket_Table[[#This Row],[resolution_hrs]]&lt;=24,"Normal",IF(Ticket_Table[[#This Row],[resolution_hrs]]&lt;=48,"Slow","Very Slow")))</f>
        <v>Normal</v>
      </c>
      <c r="Q1393" s="3">
        <f>YEAR(Ticket_Table[[#This Row],[raised_date]])</f>
        <v>2021</v>
      </c>
    </row>
    <row r="1394" spans="1:17">
      <c r="A1394" t="s">
        <v>1953</v>
      </c>
      <c r="B1394" t="s">
        <v>646</v>
      </c>
      <c r="C1394" t="s">
        <v>55</v>
      </c>
      <c r="D1394" t="s">
        <v>90</v>
      </c>
      <c r="E1394" t="s">
        <v>83</v>
      </c>
      <c r="F1394" t="s">
        <v>45</v>
      </c>
      <c r="G1394" t="s">
        <v>31</v>
      </c>
      <c r="H1394" s="1">
        <v>45177</v>
      </c>
      <c r="I1394" s="2">
        <v>45177.075</v>
      </c>
      <c r="J1394">
        <v>1.8</v>
      </c>
      <c r="K1394" t="s">
        <v>24</v>
      </c>
      <c r="L1394">
        <v>1</v>
      </c>
      <c r="M1394">
        <v>3</v>
      </c>
      <c r="N1394" t="s">
        <v>493</v>
      </c>
      <c r="O1394" s="3" t="str">
        <f>TEXT(Ticket_Table[[#This Row],[raised_date]],"YYYY-MM")</f>
        <v>2023-09</v>
      </c>
      <c r="P1394" s="3" t="str">
        <f>IF(Ticket_Table[[#This Row],[resolution_hrs]]&lt;=4,"Fast",IF(Ticket_Table[[#This Row],[resolution_hrs]]&lt;=24,"Normal",IF(Ticket_Table[[#This Row],[resolution_hrs]]&lt;=48,"Slow","Very Slow")))</f>
        <v>Fast</v>
      </c>
      <c r="Q1394" s="3">
        <f>YEAR(Ticket_Table[[#This Row],[raised_date]])</f>
        <v>2023</v>
      </c>
    </row>
    <row r="1395" spans="1:17">
      <c r="A1395" t="s">
        <v>1954</v>
      </c>
      <c r="B1395" t="s">
        <v>655</v>
      </c>
      <c r="C1395" t="s">
        <v>175</v>
      </c>
      <c r="D1395" t="s">
        <v>90</v>
      </c>
      <c r="E1395" t="s">
        <v>21</v>
      </c>
      <c r="F1395" t="s">
        <v>22</v>
      </c>
      <c r="G1395" t="s">
        <v>46</v>
      </c>
      <c r="H1395" s="1">
        <v>44693</v>
      </c>
      <c r="I1395" s="2">
        <v>44696.1166666667</v>
      </c>
      <c r="J1395">
        <v>74.8</v>
      </c>
      <c r="K1395" t="s">
        <v>32</v>
      </c>
      <c r="L1395">
        <v>3</v>
      </c>
      <c r="M1395">
        <v>4</v>
      </c>
      <c r="N1395" t="s">
        <v>409</v>
      </c>
      <c r="O1395" s="3" t="str">
        <f>TEXT(Ticket_Table[[#This Row],[raised_date]],"YYYY-MM")</f>
        <v>2022-05</v>
      </c>
      <c r="P1395" s="3" t="str">
        <f>IF(Ticket_Table[[#This Row],[resolution_hrs]]&lt;=4,"Fast",IF(Ticket_Table[[#This Row],[resolution_hrs]]&lt;=24,"Normal",IF(Ticket_Table[[#This Row],[resolution_hrs]]&lt;=48,"Slow","Very Slow")))</f>
        <v>Very Slow</v>
      </c>
      <c r="Q1395" s="3">
        <f>YEAR(Ticket_Table[[#This Row],[raised_date]])</f>
        <v>2022</v>
      </c>
    </row>
    <row r="1396" spans="1:17">
      <c r="A1396" t="s">
        <v>1955</v>
      </c>
      <c r="B1396" t="s">
        <v>853</v>
      </c>
      <c r="C1396" t="s">
        <v>78</v>
      </c>
      <c r="D1396" t="s">
        <v>36</v>
      </c>
      <c r="E1396" t="s">
        <v>83</v>
      </c>
      <c r="F1396" t="s">
        <v>22</v>
      </c>
      <c r="G1396" t="s">
        <v>31</v>
      </c>
      <c r="H1396" s="1">
        <v>44615</v>
      </c>
      <c r="I1396" s="2">
        <v>44617.3375</v>
      </c>
      <c r="J1396">
        <v>56.1</v>
      </c>
      <c r="K1396" t="s">
        <v>24</v>
      </c>
      <c r="L1396">
        <v>0</v>
      </c>
      <c r="M1396">
        <v>2</v>
      </c>
      <c r="N1396" t="s">
        <v>255</v>
      </c>
      <c r="O1396" s="3" t="str">
        <f>TEXT(Ticket_Table[[#This Row],[raised_date]],"YYYY-MM")</f>
        <v>2022-02</v>
      </c>
      <c r="P1396" s="3" t="str">
        <f>IF(Ticket_Table[[#This Row],[resolution_hrs]]&lt;=4,"Fast",IF(Ticket_Table[[#This Row],[resolution_hrs]]&lt;=24,"Normal",IF(Ticket_Table[[#This Row],[resolution_hrs]]&lt;=48,"Slow","Very Slow")))</f>
        <v>Very Slow</v>
      </c>
      <c r="Q1396" s="3">
        <f>YEAR(Ticket_Table[[#This Row],[raised_date]])</f>
        <v>2022</v>
      </c>
    </row>
    <row r="1397" spans="1:17">
      <c r="A1397" t="s">
        <v>1956</v>
      </c>
      <c r="B1397" t="s">
        <v>1019</v>
      </c>
      <c r="C1397" t="s">
        <v>42</v>
      </c>
      <c r="D1397" t="s">
        <v>36</v>
      </c>
      <c r="E1397" t="s">
        <v>44</v>
      </c>
      <c r="F1397" t="s">
        <v>45</v>
      </c>
      <c r="G1397" t="s">
        <v>23</v>
      </c>
      <c r="H1397" s="1">
        <v>45009</v>
      </c>
      <c r="I1397" s="2">
        <v>45009.1791666667</v>
      </c>
      <c r="J1397">
        <v>4.3</v>
      </c>
      <c r="K1397" t="s">
        <v>32</v>
      </c>
      <c r="L1397">
        <v>0</v>
      </c>
      <c r="M1397">
        <v>3</v>
      </c>
      <c r="N1397" t="s">
        <v>228</v>
      </c>
      <c r="O1397" s="3" t="str">
        <f>TEXT(Ticket_Table[[#This Row],[raised_date]],"YYYY-MM")</f>
        <v>2023-03</v>
      </c>
      <c r="P1397" s="3" t="str">
        <f>IF(Ticket_Table[[#This Row],[resolution_hrs]]&lt;=4,"Fast",IF(Ticket_Table[[#This Row],[resolution_hrs]]&lt;=24,"Normal",IF(Ticket_Table[[#This Row],[resolution_hrs]]&lt;=48,"Slow","Very Slow")))</f>
        <v>Normal</v>
      </c>
      <c r="Q1397" s="3">
        <f>YEAR(Ticket_Table[[#This Row],[raised_date]])</f>
        <v>2023</v>
      </c>
    </row>
    <row r="1398" spans="1:17">
      <c r="A1398" t="s">
        <v>1957</v>
      </c>
      <c r="B1398" t="s">
        <v>608</v>
      </c>
      <c r="C1398" t="s">
        <v>213</v>
      </c>
      <c r="D1398" t="s">
        <v>43</v>
      </c>
      <c r="E1398" t="s">
        <v>166</v>
      </c>
      <c r="F1398" t="s">
        <v>70</v>
      </c>
      <c r="G1398" t="s">
        <v>74</v>
      </c>
      <c r="H1398" s="1">
        <v>44687</v>
      </c>
      <c r="I1398" s="2">
        <v>44689.1333333333</v>
      </c>
      <c r="J1398">
        <v>51.2</v>
      </c>
      <c r="K1398" t="s">
        <v>32</v>
      </c>
      <c r="L1398">
        <v>1</v>
      </c>
      <c r="M1398">
        <v>4</v>
      </c>
      <c r="N1398" t="s">
        <v>189</v>
      </c>
      <c r="O1398" s="3" t="str">
        <f>TEXT(Ticket_Table[[#This Row],[raised_date]],"YYYY-MM")</f>
        <v>2022-05</v>
      </c>
      <c r="P1398" s="3" t="str">
        <f>IF(Ticket_Table[[#This Row],[resolution_hrs]]&lt;=4,"Fast",IF(Ticket_Table[[#This Row],[resolution_hrs]]&lt;=24,"Normal",IF(Ticket_Table[[#This Row],[resolution_hrs]]&lt;=48,"Slow","Very Slow")))</f>
        <v>Very Slow</v>
      </c>
      <c r="Q1398" s="3">
        <f>YEAR(Ticket_Table[[#This Row],[raised_date]])</f>
        <v>2022</v>
      </c>
    </row>
    <row r="1399" spans="1:17">
      <c r="A1399" t="s">
        <v>1958</v>
      </c>
      <c r="B1399" t="s">
        <v>1100</v>
      </c>
      <c r="C1399" t="s">
        <v>133</v>
      </c>
      <c r="D1399" t="s">
        <v>20</v>
      </c>
      <c r="E1399" t="s">
        <v>51</v>
      </c>
      <c r="F1399" t="s">
        <v>22</v>
      </c>
      <c r="G1399" t="s">
        <v>23</v>
      </c>
      <c r="H1399" s="1">
        <v>44855</v>
      </c>
      <c r="I1399" s="2">
        <v>44859.1708333333</v>
      </c>
      <c r="J1399">
        <v>100.1</v>
      </c>
      <c r="K1399" t="s">
        <v>32</v>
      </c>
      <c r="L1399">
        <v>0</v>
      </c>
      <c r="M1399">
        <v>5</v>
      </c>
      <c r="N1399" t="s">
        <v>549</v>
      </c>
      <c r="O1399" s="3" t="str">
        <f>TEXT(Ticket_Table[[#This Row],[raised_date]],"YYYY-MM")</f>
        <v>2022-10</v>
      </c>
      <c r="P1399" s="3" t="str">
        <f>IF(Ticket_Table[[#This Row],[resolution_hrs]]&lt;=4,"Fast",IF(Ticket_Table[[#This Row],[resolution_hrs]]&lt;=24,"Normal",IF(Ticket_Table[[#This Row],[resolution_hrs]]&lt;=48,"Slow","Very Slow")))</f>
        <v>Very Slow</v>
      </c>
      <c r="Q1399" s="3">
        <f>YEAR(Ticket_Table[[#This Row],[raised_date]])</f>
        <v>2022</v>
      </c>
    </row>
    <row r="1400" spans="1:17">
      <c r="A1400" t="s">
        <v>1959</v>
      </c>
      <c r="B1400" t="s">
        <v>566</v>
      </c>
      <c r="C1400" t="s">
        <v>213</v>
      </c>
      <c r="D1400" t="s">
        <v>90</v>
      </c>
      <c r="E1400" t="s">
        <v>106</v>
      </c>
      <c r="F1400" t="s">
        <v>22</v>
      </c>
      <c r="G1400" t="s">
        <v>74</v>
      </c>
      <c r="H1400" s="1">
        <v>44776</v>
      </c>
      <c r="I1400" s="2">
        <v>44777.9916666667</v>
      </c>
      <c r="J1400">
        <v>47.8</v>
      </c>
      <c r="K1400" t="s">
        <v>24</v>
      </c>
      <c r="L1400">
        <v>0</v>
      </c>
      <c r="M1400">
        <v>3</v>
      </c>
      <c r="N1400" t="s">
        <v>207</v>
      </c>
      <c r="O1400" s="3" t="str">
        <f>TEXT(Ticket_Table[[#This Row],[raised_date]],"YYYY-MM")</f>
        <v>2022-08</v>
      </c>
      <c r="P1400" s="3" t="str">
        <f>IF(Ticket_Table[[#This Row],[resolution_hrs]]&lt;=4,"Fast",IF(Ticket_Table[[#This Row],[resolution_hrs]]&lt;=24,"Normal",IF(Ticket_Table[[#This Row],[resolution_hrs]]&lt;=48,"Slow","Very Slow")))</f>
        <v>Slow</v>
      </c>
      <c r="Q1400" s="3">
        <f>YEAR(Ticket_Table[[#This Row],[raised_date]])</f>
        <v>2022</v>
      </c>
    </row>
    <row r="1401" spans="1:17">
      <c r="A1401" t="s">
        <v>1960</v>
      </c>
      <c r="B1401" t="s">
        <v>138</v>
      </c>
      <c r="C1401" t="s">
        <v>133</v>
      </c>
      <c r="D1401" t="s">
        <v>20</v>
      </c>
      <c r="E1401" t="s">
        <v>56</v>
      </c>
      <c r="F1401" t="s">
        <v>70</v>
      </c>
      <c r="G1401" t="s">
        <v>31</v>
      </c>
      <c r="H1401" s="1">
        <v>44976</v>
      </c>
      <c r="I1401" s="2">
        <v>44977.3958333333</v>
      </c>
      <c r="J1401">
        <v>33.5</v>
      </c>
      <c r="K1401" t="s">
        <v>24</v>
      </c>
      <c r="L1401">
        <v>3</v>
      </c>
      <c r="M1401">
        <v>5</v>
      </c>
      <c r="N1401" t="s">
        <v>141</v>
      </c>
      <c r="O1401" s="3" t="str">
        <f>TEXT(Ticket_Table[[#This Row],[raised_date]],"YYYY-MM")</f>
        <v>2023-02</v>
      </c>
      <c r="P1401" s="3" t="str">
        <f>IF(Ticket_Table[[#This Row],[resolution_hrs]]&lt;=4,"Fast",IF(Ticket_Table[[#This Row],[resolution_hrs]]&lt;=24,"Normal",IF(Ticket_Table[[#This Row],[resolution_hrs]]&lt;=48,"Slow","Very Slow")))</f>
        <v>Slow</v>
      </c>
      <c r="Q1401" s="3">
        <f>YEAR(Ticket_Table[[#This Row],[raised_date]])</f>
        <v>2023</v>
      </c>
    </row>
    <row r="1402" spans="1:17">
      <c r="A1402" t="s">
        <v>1961</v>
      </c>
      <c r="B1402" t="s">
        <v>1337</v>
      </c>
      <c r="C1402" t="s">
        <v>95</v>
      </c>
      <c r="D1402" t="s">
        <v>43</v>
      </c>
      <c r="E1402" t="s">
        <v>37</v>
      </c>
      <c r="F1402" t="s">
        <v>38</v>
      </c>
      <c r="G1402" t="s">
        <v>23</v>
      </c>
      <c r="H1402" s="1">
        <v>45151</v>
      </c>
      <c r="I1402" s="2">
        <v>45152.2708333333</v>
      </c>
      <c r="J1402">
        <v>30.5</v>
      </c>
      <c r="K1402" t="s">
        <v>32</v>
      </c>
      <c r="L1402">
        <v>0</v>
      </c>
      <c r="M1402">
        <v>4</v>
      </c>
      <c r="N1402" t="s">
        <v>138</v>
      </c>
      <c r="O1402" s="3" t="str">
        <f>TEXT(Ticket_Table[[#This Row],[raised_date]],"YYYY-MM")</f>
        <v>2023-08</v>
      </c>
      <c r="P1402" s="3" t="str">
        <f>IF(Ticket_Table[[#This Row],[resolution_hrs]]&lt;=4,"Fast",IF(Ticket_Table[[#This Row],[resolution_hrs]]&lt;=24,"Normal",IF(Ticket_Table[[#This Row],[resolution_hrs]]&lt;=48,"Slow","Very Slow")))</f>
        <v>Slow</v>
      </c>
      <c r="Q1402" s="3">
        <f>YEAR(Ticket_Table[[#This Row],[raised_date]])</f>
        <v>2023</v>
      </c>
    </row>
    <row r="1403" spans="1:17">
      <c r="A1403" t="s">
        <v>1962</v>
      </c>
      <c r="B1403" t="s">
        <v>618</v>
      </c>
      <c r="C1403" t="s">
        <v>50</v>
      </c>
      <c r="D1403" t="s">
        <v>90</v>
      </c>
      <c r="E1403" t="s">
        <v>56</v>
      </c>
      <c r="F1403" t="s">
        <v>38</v>
      </c>
      <c r="G1403" t="s">
        <v>74</v>
      </c>
      <c r="H1403" s="1">
        <v>45289</v>
      </c>
      <c r="I1403" s="2">
        <v>45289.2041666667</v>
      </c>
      <c r="J1403">
        <v>4.9</v>
      </c>
      <c r="K1403" t="s">
        <v>24</v>
      </c>
      <c r="L1403">
        <v>0</v>
      </c>
      <c r="M1403">
        <v>4</v>
      </c>
      <c r="N1403" t="s">
        <v>273</v>
      </c>
      <c r="O1403" s="3" t="str">
        <f>TEXT(Ticket_Table[[#This Row],[raised_date]],"YYYY-MM")</f>
        <v>2023-12</v>
      </c>
      <c r="P1403" s="3" t="str">
        <f>IF(Ticket_Table[[#This Row],[resolution_hrs]]&lt;=4,"Fast",IF(Ticket_Table[[#This Row],[resolution_hrs]]&lt;=24,"Normal",IF(Ticket_Table[[#This Row],[resolution_hrs]]&lt;=48,"Slow","Very Slow")))</f>
        <v>Normal</v>
      </c>
      <c r="Q1403" s="3">
        <f>YEAR(Ticket_Table[[#This Row],[raised_date]])</f>
        <v>2023</v>
      </c>
    </row>
    <row r="1404" spans="1:17">
      <c r="A1404" t="s">
        <v>1963</v>
      </c>
      <c r="B1404" t="s">
        <v>209</v>
      </c>
      <c r="C1404" t="s">
        <v>28</v>
      </c>
      <c r="D1404" t="s">
        <v>90</v>
      </c>
      <c r="E1404" t="s">
        <v>69</v>
      </c>
      <c r="F1404" t="s">
        <v>45</v>
      </c>
      <c r="G1404" t="s">
        <v>46</v>
      </c>
      <c r="H1404" s="1">
        <v>44932</v>
      </c>
      <c r="I1404" s="2">
        <v>44932.0625</v>
      </c>
      <c r="J1404">
        <v>1.5</v>
      </c>
      <c r="K1404" t="s">
        <v>24</v>
      </c>
      <c r="L1404">
        <v>1</v>
      </c>
      <c r="M1404">
        <v>4</v>
      </c>
      <c r="N1404" t="s">
        <v>656</v>
      </c>
      <c r="O1404" s="3" t="str">
        <f>TEXT(Ticket_Table[[#This Row],[raised_date]],"YYYY-MM")</f>
        <v>2023-01</v>
      </c>
      <c r="P1404" s="3" t="str">
        <f>IF(Ticket_Table[[#This Row],[resolution_hrs]]&lt;=4,"Fast",IF(Ticket_Table[[#This Row],[resolution_hrs]]&lt;=24,"Normal",IF(Ticket_Table[[#This Row],[resolution_hrs]]&lt;=48,"Slow","Very Slow")))</f>
        <v>Fast</v>
      </c>
      <c r="Q1404" s="3">
        <f>YEAR(Ticket_Table[[#This Row],[raised_date]])</f>
        <v>2023</v>
      </c>
    </row>
    <row r="1405" spans="1:17">
      <c r="A1405" t="s">
        <v>1964</v>
      </c>
      <c r="B1405" t="s">
        <v>897</v>
      </c>
      <c r="C1405" t="s">
        <v>201</v>
      </c>
      <c r="D1405" t="s">
        <v>29</v>
      </c>
      <c r="E1405" t="s">
        <v>37</v>
      </c>
      <c r="F1405" t="s">
        <v>22</v>
      </c>
      <c r="G1405" t="s">
        <v>31</v>
      </c>
      <c r="H1405" s="1">
        <v>44828</v>
      </c>
      <c r="I1405" s="2">
        <v>44830.7625</v>
      </c>
      <c r="J1405">
        <v>66.3</v>
      </c>
      <c r="K1405" t="s">
        <v>24</v>
      </c>
      <c r="L1405">
        <v>2</v>
      </c>
      <c r="M1405">
        <v>1</v>
      </c>
      <c r="N1405" t="s">
        <v>1226</v>
      </c>
      <c r="O1405" s="3" t="str">
        <f>TEXT(Ticket_Table[[#This Row],[raised_date]],"YYYY-MM")</f>
        <v>2022-09</v>
      </c>
      <c r="P1405" s="3" t="str">
        <f>IF(Ticket_Table[[#This Row],[resolution_hrs]]&lt;=4,"Fast",IF(Ticket_Table[[#This Row],[resolution_hrs]]&lt;=24,"Normal",IF(Ticket_Table[[#This Row],[resolution_hrs]]&lt;=48,"Slow","Very Slow")))</f>
        <v>Very Slow</v>
      </c>
      <c r="Q1405" s="3">
        <f>YEAR(Ticket_Table[[#This Row],[raised_date]])</f>
        <v>2022</v>
      </c>
    </row>
    <row r="1406" spans="1:17">
      <c r="A1406" t="s">
        <v>1965</v>
      </c>
      <c r="B1406" t="s">
        <v>1156</v>
      </c>
      <c r="C1406" t="s">
        <v>42</v>
      </c>
      <c r="D1406" t="s">
        <v>43</v>
      </c>
      <c r="E1406" t="s">
        <v>21</v>
      </c>
      <c r="F1406" t="s">
        <v>70</v>
      </c>
      <c r="G1406" t="s">
        <v>23</v>
      </c>
      <c r="H1406" s="1">
        <v>44732</v>
      </c>
      <c r="I1406" s="2">
        <v>44734.3541666667</v>
      </c>
      <c r="J1406">
        <v>56.5</v>
      </c>
      <c r="K1406" t="s">
        <v>32</v>
      </c>
      <c r="L1406">
        <v>1</v>
      </c>
      <c r="M1406">
        <v>2</v>
      </c>
      <c r="N1406" t="s">
        <v>401</v>
      </c>
      <c r="O1406" s="3" t="str">
        <f>TEXT(Ticket_Table[[#This Row],[raised_date]],"YYYY-MM")</f>
        <v>2022-06</v>
      </c>
      <c r="P1406" s="3" t="str">
        <f>IF(Ticket_Table[[#This Row],[resolution_hrs]]&lt;=4,"Fast",IF(Ticket_Table[[#This Row],[resolution_hrs]]&lt;=24,"Normal",IF(Ticket_Table[[#This Row],[resolution_hrs]]&lt;=48,"Slow","Very Slow")))</f>
        <v>Very Slow</v>
      </c>
      <c r="Q1406" s="3">
        <f>YEAR(Ticket_Table[[#This Row],[raised_date]])</f>
        <v>2022</v>
      </c>
    </row>
    <row r="1407" spans="1:17">
      <c r="A1407" t="s">
        <v>1966</v>
      </c>
      <c r="B1407" t="s">
        <v>778</v>
      </c>
      <c r="C1407" t="s">
        <v>68</v>
      </c>
      <c r="D1407" t="s">
        <v>43</v>
      </c>
      <c r="E1407" t="s">
        <v>30</v>
      </c>
      <c r="F1407" t="s">
        <v>70</v>
      </c>
      <c r="G1407" t="s">
        <v>23</v>
      </c>
      <c r="H1407" s="1">
        <v>44933</v>
      </c>
      <c r="I1407" s="2">
        <v>44935.8458333333</v>
      </c>
      <c r="J1407">
        <v>68.3</v>
      </c>
      <c r="K1407" t="s">
        <v>32</v>
      </c>
      <c r="L1407">
        <v>0</v>
      </c>
      <c r="M1407">
        <v>3</v>
      </c>
      <c r="N1407" t="s">
        <v>1037</v>
      </c>
      <c r="O1407" s="3" t="str">
        <f>TEXT(Ticket_Table[[#This Row],[raised_date]],"YYYY-MM")</f>
        <v>2023-01</v>
      </c>
      <c r="P1407" s="3" t="str">
        <f>IF(Ticket_Table[[#This Row],[resolution_hrs]]&lt;=4,"Fast",IF(Ticket_Table[[#This Row],[resolution_hrs]]&lt;=24,"Normal",IF(Ticket_Table[[#This Row],[resolution_hrs]]&lt;=48,"Slow","Very Slow")))</f>
        <v>Very Slow</v>
      </c>
      <c r="Q1407" s="3">
        <f>YEAR(Ticket_Table[[#This Row],[raised_date]])</f>
        <v>2023</v>
      </c>
    </row>
    <row r="1408" spans="1:17">
      <c r="A1408" t="s">
        <v>1967</v>
      </c>
      <c r="B1408" t="s">
        <v>895</v>
      </c>
      <c r="C1408" t="s">
        <v>78</v>
      </c>
      <c r="D1408" t="s">
        <v>29</v>
      </c>
      <c r="E1408" t="s">
        <v>166</v>
      </c>
      <c r="F1408" t="s">
        <v>70</v>
      </c>
      <c r="G1408" t="s">
        <v>23</v>
      </c>
      <c r="H1408" s="1">
        <v>45247</v>
      </c>
      <c r="I1408" s="2">
        <v>45249.4791666667</v>
      </c>
      <c r="J1408">
        <v>59.5</v>
      </c>
      <c r="K1408" t="s">
        <v>32</v>
      </c>
      <c r="L1408">
        <v>2</v>
      </c>
      <c r="M1408">
        <v>2</v>
      </c>
      <c r="N1408" t="s">
        <v>670</v>
      </c>
      <c r="O1408" s="3" t="str">
        <f>TEXT(Ticket_Table[[#This Row],[raised_date]],"YYYY-MM")</f>
        <v>2023-11</v>
      </c>
      <c r="P1408" s="3" t="str">
        <f>IF(Ticket_Table[[#This Row],[resolution_hrs]]&lt;=4,"Fast",IF(Ticket_Table[[#This Row],[resolution_hrs]]&lt;=24,"Normal",IF(Ticket_Table[[#This Row],[resolution_hrs]]&lt;=48,"Slow","Very Slow")))</f>
        <v>Very Slow</v>
      </c>
      <c r="Q1408" s="3">
        <f>YEAR(Ticket_Table[[#This Row],[raised_date]])</f>
        <v>2023</v>
      </c>
    </row>
    <row r="1409" spans="1:17">
      <c r="A1409" t="s">
        <v>1968</v>
      </c>
      <c r="B1409" t="s">
        <v>926</v>
      </c>
      <c r="C1409" t="s">
        <v>213</v>
      </c>
      <c r="D1409" t="s">
        <v>20</v>
      </c>
      <c r="E1409" t="s">
        <v>106</v>
      </c>
      <c r="F1409" t="s">
        <v>22</v>
      </c>
      <c r="G1409" t="s">
        <v>31</v>
      </c>
      <c r="H1409" s="1">
        <v>45215</v>
      </c>
      <c r="I1409" s="2">
        <v>45215.2291666667</v>
      </c>
      <c r="J1409">
        <v>5.5</v>
      </c>
      <c r="K1409" t="s">
        <v>24</v>
      </c>
      <c r="L1409">
        <v>2</v>
      </c>
      <c r="M1409">
        <v>5</v>
      </c>
      <c r="N1409" t="s">
        <v>621</v>
      </c>
      <c r="O1409" s="3" t="str">
        <f>TEXT(Ticket_Table[[#This Row],[raised_date]],"YYYY-MM")</f>
        <v>2023-10</v>
      </c>
      <c r="P1409" s="3" t="str">
        <f>IF(Ticket_Table[[#This Row],[resolution_hrs]]&lt;=4,"Fast",IF(Ticket_Table[[#This Row],[resolution_hrs]]&lt;=24,"Normal",IF(Ticket_Table[[#This Row],[resolution_hrs]]&lt;=48,"Slow","Very Slow")))</f>
        <v>Normal</v>
      </c>
      <c r="Q1409" s="3">
        <f>YEAR(Ticket_Table[[#This Row],[raised_date]])</f>
        <v>2023</v>
      </c>
    </row>
    <row r="1410" spans="1:17">
      <c r="A1410" t="s">
        <v>1969</v>
      </c>
      <c r="B1410" t="s">
        <v>272</v>
      </c>
      <c r="C1410" t="s">
        <v>213</v>
      </c>
      <c r="D1410" t="s">
        <v>29</v>
      </c>
      <c r="E1410" t="s">
        <v>56</v>
      </c>
      <c r="F1410" t="s">
        <v>45</v>
      </c>
      <c r="G1410" t="s">
        <v>23</v>
      </c>
      <c r="H1410" s="1">
        <v>45151</v>
      </c>
      <c r="I1410" s="2">
        <v>45151.0625</v>
      </c>
      <c r="J1410">
        <v>1.5</v>
      </c>
      <c r="K1410" t="s">
        <v>24</v>
      </c>
      <c r="L1410">
        <v>2</v>
      </c>
      <c r="M1410">
        <v>4</v>
      </c>
      <c r="N1410" t="s">
        <v>1243</v>
      </c>
      <c r="O1410" s="3" t="str">
        <f>TEXT(Ticket_Table[[#This Row],[raised_date]],"YYYY-MM")</f>
        <v>2023-08</v>
      </c>
      <c r="P1410" s="3" t="str">
        <f>IF(Ticket_Table[[#This Row],[resolution_hrs]]&lt;=4,"Fast",IF(Ticket_Table[[#This Row],[resolution_hrs]]&lt;=24,"Normal",IF(Ticket_Table[[#This Row],[resolution_hrs]]&lt;=48,"Slow","Very Slow")))</f>
        <v>Fast</v>
      </c>
      <c r="Q1410" s="3">
        <f>YEAR(Ticket_Table[[#This Row],[raised_date]])</f>
        <v>2023</v>
      </c>
    </row>
    <row r="1411" spans="1:17">
      <c r="A1411" t="s">
        <v>1970</v>
      </c>
      <c r="B1411" t="s">
        <v>895</v>
      </c>
      <c r="C1411" t="s">
        <v>95</v>
      </c>
      <c r="D1411" t="s">
        <v>43</v>
      </c>
      <c r="E1411" t="s">
        <v>83</v>
      </c>
      <c r="F1411" t="s">
        <v>38</v>
      </c>
      <c r="G1411" t="s">
        <v>31</v>
      </c>
      <c r="H1411" s="1">
        <v>44398</v>
      </c>
      <c r="I1411" s="2">
        <v>44398.9583333333</v>
      </c>
      <c r="J1411">
        <v>23</v>
      </c>
      <c r="K1411" t="s">
        <v>24</v>
      </c>
      <c r="L1411">
        <v>0</v>
      </c>
      <c r="M1411">
        <v>4</v>
      </c>
      <c r="N1411" t="s">
        <v>152</v>
      </c>
      <c r="O1411" s="3" t="str">
        <f>TEXT(Ticket_Table[[#This Row],[raised_date]],"YYYY-MM")</f>
        <v>2021-07</v>
      </c>
      <c r="P1411" s="3" t="str">
        <f>IF(Ticket_Table[[#This Row],[resolution_hrs]]&lt;=4,"Fast",IF(Ticket_Table[[#This Row],[resolution_hrs]]&lt;=24,"Normal",IF(Ticket_Table[[#This Row],[resolution_hrs]]&lt;=48,"Slow","Very Slow")))</f>
        <v>Normal</v>
      </c>
      <c r="Q1411" s="3">
        <f>YEAR(Ticket_Table[[#This Row],[raised_date]])</f>
        <v>2021</v>
      </c>
    </row>
    <row r="1412" spans="1:17">
      <c r="A1412" t="s">
        <v>1971</v>
      </c>
      <c r="B1412" t="s">
        <v>331</v>
      </c>
      <c r="C1412" t="s">
        <v>287</v>
      </c>
      <c r="D1412" t="s">
        <v>20</v>
      </c>
      <c r="E1412" t="s">
        <v>166</v>
      </c>
      <c r="F1412" t="s">
        <v>70</v>
      </c>
      <c r="G1412" t="s">
        <v>74</v>
      </c>
      <c r="H1412" s="1">
        <v>45158</v>
      </c>
      <c r="I1412" s="2">
        <v>45160.6166666667</v>
      </c>
      <c r="J1412">
        <v>62.8</v>
      </c>
      <c r="K1412" t="s">
        <v>32</v>
      </c>
      <c r="L1412">
        <v>1</v>
      </c>
      <c r="M1412">
        <v>4</v>
      </c>
      <c r="N1412" t="s">
        <v>664</v>
      </c>
      <c r="O1412" s="3" t="str">
        <f>TEXT(Ticket_Table[[#This Row],[raised_date]],"YYYY-MM")</f>
        <v>2023-08</v>
      </c>
      <c r="P1412" s="3" t="str">
        <f>IF(Ticket_Table[[#This Row],[resolution_hrs]]&lt;=4,"Fast",IF(Ticket_Table[[#This Row],[resolution_hrs]]&lt;=24,"Normal",IF(Ticket_Table[[#This Row],[resolution_hrs]]&lt;=48,"Slow","Very Slow")))</f>
        <v>Very Slow</v>
      </c>
      <c r="Q1412" s="3">
        <f>YEAR(Ticket_Table[[#This Row],[raised_date]])</f>
        <v>2023</v>
      </c>
    </row>
    <row r="1413" spans="1:17">
      <c r="A1413" t="s">
        <v>1972</v>
      </c>
      <c r="B1413" t="s">
        <v>550</v>
      </c>
      <c r="C1413" t="s">
        <v>19</v>
      </c>
      <c r="D1413" t="s">
        <v>90</v>
      </c>
      <c r="E1413" t="s">
        <v>83</v>
      </c>
      <c r="F1413" t="s">
        <v>70</v>
      </c>
      <c r="G1413" t="s">
        <v>74</v>
      </c>
      <c r="H1413" s="1">
        <v>44852</v>
      </c>
      <c r="I1413" s="2">
        <v>44854.7375</v>
      </c>
      <c r="J1413">
        <v>65.7</v>
      </c>
      <c r="K1413" t="s">
        <v>32</v>
      </c>
      <c r="L1413">
        <v>0</v>
      </c>
      <c r="M1413">
        <v>5</v>
      </c>
      <c r="N1413" t="s">
        <v>1136</v>
      </c>
      <c r="O1413" s="3" t="str">
        <f>TEXT(Ticket_Table[[#This Row],[raised_date]],"YYYY-MM")</f>
        <v>2022-10</v>
      </c>
      <c r="P1413" s="3" t="str">
        <f>IF(Ticket_Table[[#This Row],[resolution_hrs]]&lt;=4,"Fast",IF(Ticket_Table[[#This Row],[resolution_hrs]]&lt;=24,"Normal",IF(Ticket_Table[[#This Row],[resolution_hrs]]&lt;=48,"Slow","Very Slow")))</f>
        <v>Very Slow</v>
      </c>
      <c r="Q1413" s="3">
        <f>YEAR(Ticket_Table[[#This Row],[raised_date]])</f>
        <v>2022</v>
      </c>
    </row>
    <row r="1414" spans="1:17">
      <c r="A1414" t="s">
        <v>1973</v>
      </c>
      <c r="B1414" t="s">
        <v>656</v>
      </c>
      <c r="C1414" t="s">
        <v>95</v>
      </c>
      <c r="D1414" t="s">
        <v>29</v>
      </c>
      <c r="E1414" t="s">
        <v>166</v>
      </c>
      <c r="F1414" t="s">
        <v>22</v>
      </c>
      <c r="G1414" t="s">
        <v>23</v>
      </c>
      <c r="H1414" s="1">
        <v>44613</v>
      </c>
      <c r="I1414" s="2">
        <v>44613.7416666667</v>
      </c>
      <c r="J1414">
        <v>17.8</v>
      </c>
      <c r="K1414" t="s">
        <v>24</v>
      </c>
      <c r="L1414">
        <v>0</v>
      </c>
      <c r="M1414">
        <v>5</v>
      </c>
      <c r="N1414" t="s">
        <v>1061</v>
      </c>
      <c r="O1414" s="3" t="str">
        <f>TEXT(Ticket_Table[[#This Row],[raised_date]],"YYYY-MM")</f>
        <v>2022-02</v>
      </c>
      <c r="P1414" s="3" t="str">
        <f>IF(Ticket_Table[[#This Row],[resolution_hrs]]&lt;=4,"Fast",IF(Ticket_Table[[#This Row],[resolution_hrs]]&lt;=24,"Normal",IF(Ticket_Table[[#This Row],[resolution_hrs]]&lt;=48,"Slow","Very Slow")))</f>
        <v>Normal</v>
      </c>
      <c r="Q1414" s="3">
        <f>YEAR(Ticket_Table[[#This Row],[raised_date]])</f>
        <v>2022</v>
      </c>
    </row>
    <row r="1415" spans="1:17">
      <c r="A1415" t="s">
        <v>1974</v>
      </c>
      <c r="B1415" t="s">
        <v>495</v>
      </c>
      <c r="C1415" t="s">
        <v>82</v>
      </c>
      <c r="D1415" t="s">
        <v>20</v>
      </c>
      <c r="E1415" t="s">
        <v>166</v>
      </c>
      <c r="F1415" t="s">
        <v>70</v>
      </c>
      <c r="G1415" t="s">
        <v>23</v>
      </c>
      <c r="H1415" s="1">
        <v>44956</v>
      </c>
      <c r="I1415" s="2">
        <v>44956.9041666667</v>
      </c>
      <c r="J1415">
        <v>21.7</v>
      </c>
      <c r="K1415" t="s">
        <v>24</v>
      </c>
      <c r="L1415">
        <v>0</v>
      </c>
      <c r="M1415">
        <v>4</v>
      </c>
      <c r="N1415" t="s">
        <v>403</v>
      </c>
      <c r="O1415" s="3" t="str">
        <f>TEXT(Ticket_Table[[#This Row],[raised_date]],"YYYY-MM")</f>
        <v>2023-01</v>
      </c>
      <c r="P1415" s="3" t="str">
        <f>IF(Ticket_Table[[#This Row],[resolution_hrs]]&lt;=4,"Fast",IF(Ticket_Table[[#This Row],[resolution_hrs]]&lt;=24,"Normal",IF(Ticket_Table[[#This Row],[resolution_hrs]]&lt;=48,"Slow","Very Slow")))</f>
        <v>Normal</v>
      </c>
      <c r="Q1415" s="3">
        <f>YEAR(Ticket_Table[[#This Row],[raised_date]])</f>
        <v>2023</v>
      </c>
    </row>
    <row r="1416" spans="1:17">
      <c r="A1416" t="s">
        <v>1975</v>
      </c>
      <c r="B1416" t="s">
        <v>63</v>
      </c>
      <c r="C1416" t="s">
        <v>201</v>
      </c>
      <c r="D1416" t="s">
        <v>20</v>
      </c>
      <c r="E1416" t="s">
        <v>69</v>
      </c>
      <c r="F1416" t="s">
        <v>38</v>
      </c>
      <c r="G1416" t="s">
        <v>31</v>
      </c>
      <c r="H1416" s="1">
        <v>44837</v>
      </c>
      <c r="I1416" s="2">
        <v>44837.6875</v>
      </c>
      <c r="J1416">
        <v>16.5</v>
      </c>
      <c r="K1416" t="s">
        <v>24</v>
      </c>
      <c r="L1416">
        <v>1</v>
      </c>
      <c r="M1416">
        <v>3</v>
      </c>
      <c r="N1416" t="s">
        <v>550</v>
      </c>
      <c r="O1416" s="3" t="str">
        <f>TEXT(Ticket_Table[[#This Row],[raised_date]],"YYYY-MM")</f>
        <v>2022-10</v>
      </c>
      <c r="P1416" s="3" t="str">
        <f>IF(Ticket_Table[[#This Row],[resolution_hrs]]&lt;=4,"Fast",IF(Ticket_Table[[#This Row],[resolution_hrs]]&lt;=24,"Normal",IF(Ticket_Table[[#This Row],[resolution_hrs]]&lt;=48,"Slow","Very Slow")))</f>
        <v>Normal</v>
      </c>
      <c r="Q1416" s="3">
        <f>YEAR(Ticket_Table[[#This Row],[raised_date]])</f>
        <v>2022</v>
      </c>
    </row>
    <row r="1417" spans="1:17">
      <c r="A1417" t="s">
        <v>1976</v>
      </c>
      <c r="B1417" t="s">
        <v>541</v>
      </c>
      <c r="C1417" t="s">
        <v>28</v>
      </c>
      <c r="D1417" t="s">
        <v>20</v>
      </c>
      <c r="E1417" t="s">
        <v>44</v>
      </c>
      <c r="F1417" t="s">
        <v>70</v>
      </c>
      <c r="G1417" t="s">
        <v>23</v>
      </c>
      <c r="H1417" s="1">
        <v>45044</v>
      </c>
      <c r="I1417" s="2">
        <v>45045.5375</v>
      </c>
      <c r="J1417">
        <v>36.9</v>
      </c>
      <c r="K1417" t="s">
        <v>24</v>
      </c>
      <c r="L1417">
        <v>1</v>
      </c>
      <c r="M1417">
        <v>2</v>
      </c>
      <c r="N1417" t="s">
        <v>579</v>
      </c>
      <c r="O1417" s="3" t="str">
        <f>TEXT(Ticket_Table[[#This Row],[raised_date]],"YYYY-MM")</f>
        <v>2023-04</v>
      </c>
      <c r="P1417" s="3" t="str">
        <f>IF(Ticket_Table[[#This Row],[resolution_hrs]]&lt;=4,"Fast",IF(Ticket_Table[[#This Row],[resolution_hrs]]&lt;=24,"Normal",IF(Ticket_Table[[#This Row],[resolution_hrs]]&lt;=48,"Slow","Very Slow")))</f>
        <v>Slow</v>
      </c>
      <c r="Q1417" s="3">
        <f>YEAR(Ticket_Table[[#This Row],[raised_date]])</f>
        <v>2023</v>
      </c>
    </row>
    <row r="1418" spans="1:17">
      <c r="A1418" t="s">
        <v>1977</v>
      </c>
      <c r="B1418" t="s">
        <v>138</v>
      </c>
      <c r="C1418" t="s">
        <v>175</v>
      </c>
      <c r="D1418" t="s">
        <v>29</v>
      </c>
      <c r="E1418" t="s">
        <v>21</v>
      </c>
      <c r="F1418" t="s">
        <v>45</v>
      </c>
      <c r="G1418" t="s">
        <v>23</v>
      </c>
      <c r="H1418" s="1">
        <v>44290</v>
      </c>
      <c r="I1418" s="2">
        <v>44290.1958333333</v>
      </c>
      <c r="J1418">
        <v>4.7</v>
      </c>
      <c r="K1418" t="s">
        <v>32</v>
      </c>
      <c r="L1418">
        <v>1</v>
      </c>
      <c r="M1418">
        <v>2</v>
      </c>
      <c r="N1418" t="s">
        <v>678</v>
      </c>
      <c r="O1418" s="3" t="str">
        <f>TEXT(Ticket_Table[[#This Row],[raised_date]],"YYYY-MM")</f>
        <v>2021-04</v>
      </c>
      <c r="P1418" s="3" t="str">
        <f>IF(Ticket_Table[[#This Row],[resolution_hrs]]&lt;=4,"Fast",IF(Ticket_Table[[#This Row],[resolution_hrs]]&lt;=24,"Normal",IF(Ticket_Table[[#This Row],[resolution_hrs]]&lt;=48,"Slow","Very Slow")))</f>
        <v>Normal</v>
      </c>
      <c r="Q1418" s="3">
        <f>YEAR(Ticket_Table[[#This Row],[raised_date]])</f>
        <v>2021</v>
      </c>
    </row>
    <row r="1419" spans="1:17">
      <c r="A1419" t="s">
        <v>1978</v>
      </c>
      <c r="B1419" t="s">
        <v>733</v>
      </c>
      <c r="C1419" t="s">
        <v>133</v>
      </c>
      <c r="D1419" t="s">
        <v>90</v>
      </c>
      <c r="E1419" t="s">
        <v>83</v>
      </c>
      <c r="F1419" t="s">
        <v>70</v>
      </c>
      <c r="G1419" t="s">
        <v>31</v>
      </c>
      <c r="H1419" s="1">
        <v>44650</v>
      </c>
      <c r="I1419" s="2">
        <v>44650.3333333333</v>
      </c>
      <c r="J1419">
        <v>8</v>
      </c>
      <c r="K1419" t="s">
        <v>24</v>
      </c>
      <c r="L1419">
        <v>0</v>
      </c>
      <c r="M1419">
        <v>1</v>
      </c>
      <c r="N1419" t="s">
        <v>675</v>
      </c>
      <c r="O1419" s="3" t="str">
        <f>TEXT(Ticket_Table[[#This Row],[raised_date]],"YYYY-MM")</f>
        <v>2022-03</v>
      </c>
      <c r="P1419" s="3" t="str">
        <f>IF(Ticket_Table[[#This Row],[resolution_hrs]]&lt;=4,"Fast",IF(Ticket_Table[[#This Row],[resolution_hrs]]&lt;=24,"Normal",IF(Ticket_Table[[#This Row],[resolution_hrs]]&lt;=48,"Slow","Very Slow")))</f>
        <v>Normal</v>
      </c>
      <c r="Q1419" s="3">
        <f>YEAR(Ticket_Table[[#This Row],[raised_date]])</f>
        <v>2022</v>
      </c>
    </row>
    <row r="1420" spans="1:17">
      <c r="A1420" t="s">
        <v>1979</v>
      </c>
      <c r="B1420" t="s">
        <v>57</v>
      </c>
      <c r="C1420" t="s">
        <v>68</v>
      </c>
      <c r="D1420" t="s">
        <v>20</v>
      </c>
      <c r="E1420" t="s">
        <v>83</v>
      </c>
      <c r="F1420" t="s">
        <v>70</v>
      </c>
      <c r="G1420" t="s">
        <v>46</v>
      </c>
      <c r="H1420" s="1">
        <v>44495</v>
      </c>
      <c r="I1420" s="2">
        <v>44496.9541666667</v>
      </c>
      <c r="J1420">
        <v>46.9</v>
      </c>
      <c r="K1420" t="s">
        <v>24</v>
      </c>
      <c r="L1420">
        <v>0</v>
      </c>
      <c r="M1420">
        <v>1</v>
      </c>
      <c r="N1420" t="s">
        <v>180</v>
      </c>
      <c r="O1420" s="3" t="str">
        <f>TEXT(Ticket_Table[[#This Row],[raised_date]],"YYYY-MM")</f>
        <v>2021-10</v>
      </c>
      <c r="P1420" s="3" t="str">
        <f>IF(Ticket_Table[[#This Row],[resolution_hrs]]&lt;=4,"Fast",IF(Ticket_Table[[#This Row],[resolution_hrs]]&lt;=24,"Normal",IF(Ticket_Table[[#This Row],[resolution_hrs]]&lt;=48,"Slow","Very Slow")))</f>
        <v>Slow</v>
      </c>
      <c r="Q1420" s="3">
        <f>YEAR(Ticket_Table[[#This Row],[raised_date]])</f>
        <v>2021</v>
      </c>
    </row>
    <row r="1421" spans="1:17">
      <c r="A1421" t="s">
        <v>1980</v>
      </c>
      <c r="B1421" t="s">
        <v>471</v>
      </c>
      <c r="C1421" t="s">
        <v>19</v>
      </c>
      <c r="D1421" t="s">
        <v>29</v>
      </c>
      <c r="E1421" t="s">
        <v>83</v>
      </c>
      <c r="F1421" t="s">
        <v>38</v>
      </c>
      <c r="G1421" t="s">
        <v>74</v>
      </c>
      <c r="H1421" s="1">
        <v>44230</v>
      </c>
      <c r="I1421" s="2">
        <v>44230.5291666667</v>
      </c>
      <c r="J1421">
        <v>12.7</v>
      </c>
      <c r="K1421" t="s">
        <v>24</v>
      </c>
      <c r="L1421">
        <v>0</v>
      </c>
      <c r="M1421">
        <v>5</v>
      </c>
      <c r="N1421" t="s">
        <v>228</v>
      </c>
      <c r="O1421" s="3" t="str">
        <f>TEXT(Ticket_Table[[#This Row],[raised_date]],"YYYY-MM")</f>
        <v>2021-02</v>
      </c>
      <c r="P1421" s="3" t="str">
        <f>IF(Ticket_Table[[#This Row],[resolution_hrs]]&lt;=4,"Fast",IF(Ticket_Table[[#This Row],[resolution_hrs]]&lt;=24,"Normal",IF(Ticket_Table[[#This Row],[resolution_hrs]]&lt;=48,"Slow","Very Slow")))</f>
        <v>Normal</v>
      </c>
      <c r="Q1421" s="3">
        <f>YEAR(Ticket_Table[[#This Row],[raised_date]])</f>
        <v>2021</v>
      </c>
    </row>
    <row r="1422" spans="1:17">
      <c r="A1422" t="s">
        <v>1981</v>
      </c>
      <c r="B1422" t="s">
        <v>501</v>
      </c>
      <c r="C1422" t="s">
        <v>50</v>
      </c>
      <c r="D1422" t="s">
        <v>43</v>
      </c>
      <c r="E1422" t="s">
        <v>69</v>
      </c>
      <c r="F1422" t="s">
        <v>22</v>
      </c>
      <c r="G1422" t="s">
        <v>31</v>
      </c>
      <c r="H1422" s="1">
        <v>44731</v>
      </c>
      <c r="I1422" s="2">
        <v>44731.6541666667</v>
      </c>
      <c r="J1422">
        <v>15.7</v>
      </c>
      <c r="K1422" t="s">
        <v>24</v>
      </c>
      <c r="L1422">
        <v>1</v>
      </c>
      <c r="M1422">
        <v>5</v>
      </c>
      <c r="N1422" t="s">
        <v>828</v>
      </c>
      <c r="O1422" s="3" t="str">
        <f>TEXT(Ticket_Table[[#This Row],[raised_date]],"YYYY-MM")</f>
        <v>2022-06</v>
      </c>
      <c r="P1422" s="3" t="str">
        <f>IF(Ticket_Table[[#This Row],[resolution_hrs]]&lt;=4,"Fast",IF(Ticket_Table[[#This Row],[resolution_hrs]]&lt;=24,"Normal",IF(Ticket_Table[[#This Row],[resolution_hrs]]&lt;=48,"Slow","Very Slow")))</f>
        <v>Normal</v>
      </c>
      <c r="Q1422" s="3">
        <f>YEAR(Ticket_Table[[#This Row],[raised_date]])</f>
        <v>2022</v>
      </c>
    </row>
    <row r="1423" spans="1:17">
      <c r="A1423" t="s">
        <v>1982</v>
      </c>
      <c r="B1423" t="s">
        <v>318</v>
      </c>
      <c r="C1423" t="s">
        <v>261</v>
      </c>
      <c r="D1423" t="s">
        <v>29</v>
      </c>
      <c r="E1423" t="s">
        <v>56</v>
      </c>
      <c r="F1423" t="s">
        <v>70</v>
      </c>
      <c r="G1423" t="s">
        <v>23</v>
      </c>
      <c r="H1423" s="1">
        <v>45052</v>
      </c>
      <c r="I1423" s="2">
        <v>45054.5541666667</v>
      </c>
      <c r="J1423">
        <v>61.3</v>
      </c>
      <c r="K1423" t="s">
        <v>32</v>
      </c>
      <c r="L1423">
        <v>0</v>
      </c>
      <c r="M1423">
        <v>4</v>
      </c>
      <c r="N1423" t="s">
        <v>924</v>
      </c>
      <c r="O1423" s="3" t="str">
        <f>TEXT(Ticket_Table[[#This Row],[raised_date]],"YYYY-MM")</f>
        <v>2023-05</v>
      </c>
      <c r="P1423" s="3" t="str">
        <f>IF(Ticket_Table[[#This Row],[resolution_hrs]]&lt;=4,"Fast",IF(Ticket_Table[[#This Row],[resolution_hrs]]&lt;=24,"Normal",IF(Ticket_Table[[#This Row],[resolution_hrs]]&lt;=48,"Slow","Very Slow")))</f>
        <v>Very Slow</v>
      </c>
      <c r="Q1423" s="3">
        <f>YEAR(Ticket_Table[[#This Row],[raised_date]])</f>
        <v>2023</v>
      </c>
    </row>
    <row r="1424" spans="1:17">
      <c r="A1424" t="s">
        <v>1983</v>
      </c>
      <c r="B1424" t="s">
        <v>165</v>
      </c>
      <c r="C1424" t="s">
        <v>55</v>
      </c>
      <c r="D1424" t="s">
        <v>29</v>
      </c>
      <c r="E1424" t="s">
        <v>51</v>
      </c>
      <c r="F1424" t="s">
        <v>70</v>
      </c>
      <c r="G1424" t="s">
        <v>23</v>
      </c>
      <c r="H1424" s="1">
        <v>44801</v>
      </c>
      <c r="I1424" s="2">
        <v>44802.3416666667</v>
      </c>
      <c r="J1424">
        <v>32.2</v>
      </c>
      <c r="K1424" t="s">
        <v>24</v>
      </c>
      <c r="L1424">
        <v>1</v>
      </c>
      <c r="M1424">
        <v>4</v>
      </c>
      <c r="N1424" t="s">
        <v>318</v>
      </c>
      <c r="O1424" s="3" t="str">
        <f>TEXT(Ticket_Table[[#This Row],[raised_date]],"YYYY-MM")</f>
        <v>2022-08</v>
      </c>
      <c r="P1424" s="3" t="str">
        <f>IF(Ticket_Table[[#This Row],[resolution_hrs]]&lt;=4,"Fast",IF(Ticket_Table[[#This Row],[resolution_hrs]]&lt;=24,"Normal",IF(Ticket_Table[[#This Row],[resolution_hrs]]&lt;=48,"Slow","Very Slow")))</f>
        <v>Slow</v>
      </c>
      <c r="Q1424" s="3">
        <f>YEAR(Ticket_Table[[#This Row],[raised_date]])</f>
        <v>2022</v>
      </c>
    </row>
    <row r="1425" spans="1:17">
      <c r="A1425" t="s">
        <v>1984</v>
      </c>
      <c r="B1425" t="s">
        <v>564</v>
      </c>
      <c r="C1425" t="s">
        <v>82</v>
      </c>
      <c r="D1425" t="s">
        <v>29</v>
      </c>
      <c r="E1425" t="s">
        <v>83</v>
      </c>
      <c r="F1425" t="s">
        <v>70</v>
      </c>
      <c r="G1425" t="s">
        <v>23</v>
      </c>
      <c r="H1425" s="1">
        <v>44509</v>
      </c>
      <c r="I1425" s="2">
        <v>44510.2708333333</v>
      </c>
      <c r="J1425">
        <v>30.5</v>
      </c>
      <c r="K1425" t="s">
        <v>24</v>
      </c>
      <c r="L1425">
        <v>0</v>
      </c>
      <c r="M1425">
        <v>4</v>
      </c>
      <c r="N1425" t="s">
        <v>1180</v>
      </c>
      <c r="O1425" s="3" t="str">
        <f>TEXT(Ticket_Table[[#This Row],[raised_date]],"YYYY-MM")</f>
        <v>2021-11</v>
      </c>
      <c r="P1425" s="3" t="str">
        <f>IF(Ticket_Table[[#This Row],[resolution_hrs]]&lt;=4,"Fast",IF(Ticket_Table[[#This Row],[resolution_hrs]]&lt;=24,"Normal",IF(Ticket_Table[[#This Row],[resolution_hrs]]&lt;=48,"Slow","Very Slow")))</f>
        <v>Slow</v>
      </c>
      <c r="Q1425" s="3">
        <f>YEAR(Ticket_Table[[#This Row],[raised_date]])</f>
        <v>2021</v>
      </c>
    </row>
    <row r="1426" spans="1:17">
      <c r="A1426" t="s">
        <v>1985</v>
      </c>
      <c r="B1426" t="s">
        <v>749</v>
      </c>
      <c r="C1426" t="s">
        <v>50</v>
      </c>
      <c r="D1426" t="s">
        <v>20</v>
      </c>
      <c r="E1426" t="s">
        <v>56</v>
      </c>
      <c r="F1426" t="s">
        <v>38</v>
      </c>
      <c r="G1426" t="s">
        <v>23</v>
      </c>
      <c r="H1426" s="1">
        <v>44598</v>
      </c>
      <c r="I1426" s="2">
        <v>44599.1625</v>
      </c>
      <c r="J1426">
        <v>27.9</v>
      </c>
      <c r="K1426" t="s">
        <v>32</v>
      </c>
      <c r="L1426">
        <v>2</v>
      </c>
      <c r="M1426">
        <v>3</v>
      </c>
      <c r="N1426" t="s">
        <v>143</v>
      </c>
      <c r="O1426" s="3" t="str">
        <f>TEXT(Ticket_Table[[#This Row],[raised_date]],"YYYY-MM")</f>
        <v>2022-02</v>
      </c>
      <c r="P1426" s="3" t="str">
        <f>IF(Ticket_Table[[#This Row],[resolution_hrs]]&lt;=4,"Fast",IF(Ticket_Table[[#This Row],[resolution_hrs]]&lt;=24,"Normal",IF(Ticket_Table[[#This Row],[resolution_hrs]]&lt;=48,"Slow","Very Slow")))</f>
        <v>Slow</v>
      </c>
      <c r="Q1426" s="3">
        <f>YEAR(Ticket_Table[[#This Row],[raised_date]])</f>
        <v>2022</v>
      </c>
    </row>
    <row r="1427" spans="1:17">
      <c r="A1427" t="s">
        <v>1986</v>
      </c>
      <c r="B1427" t="s">
        <v>385</v>
      </c>
      <c r="C1427" t="s">
        <v>28</v>
      </c>
      <c r="D1427" t="s">
        <v>29</v>
      </c>
      <c r="E1427" t="s">
        <v>44</v>
      </c>
      <c r="F1427" t="s">
        <v>70</v>
      </c>
      <c r="G1427" t="s">
        <v>74</v>
      </c>
      <c r="H1427" s="1">
        <v>44872</v>
      </c>
      <c r="I1427" s="2">
        <v>44872.7666666667</v>
      </c>
      <c r="J1427">
        <v>18.4</v>
      </c>
      <c r="K1427" t="s">
        <v>24</v>
      </c>
      <c r="L1427">
        <v>0</v>
      </c>
      <c r="M1427">
        <v>5</v>
      </c>
      <c r="N1427" t="s">
        <v>576</v>
      </c>
      <c r="O1427" s="3" t="str">
        <f>TEXT(Ticket_Table[[#This Row],[raised_date]],"YYYY-MM")</f>
        <v>2022-11</v>
      </c>
      <c r="P1427" s="3" t="str">
        <f>IF(Ticket_Table[[#This Row],[resolution_hrs]]&lt;=4,"Fast",IF(Ticket_Table[[#This Row],[resolution_hrs]]&lt;=24,"Normal",IF(Ticket_Table[[#This Row],[resolution_hrs]]&lt;=48,"Slow","Very Slow")))</f>
        <v>Normal</v>
      </c>
      <c r="Q1427" s="3">
        <f>YEAR(Ticket_Table[[#This Row],[raised_date]])</f>
        <v>2022</v>
      </c>
    </row>
    <row r="1428" spans="1:17">
      <c r="A1428" t="s">
        <v>1987</v>
      </c>
      <c r="B1428" t="s">
        <v>466</v>
      </c>
      <c r="C1428" t="s">
        <v>95</v>
      </c>
      <c r="D1428" t="s">
        <v>43</v>
      </c>
      <c r="E1428" t="s">
        <v>83</v>
      </c>
      <c r="F1428" t="s">
        <v>38</v>
      </c>
      <c r="G1428" t="s">
        <v>31</v>
      </c>
      <c r="H1428" s="1">
        <v>44668</v>
      </c>
      <c r="I1428" s="2">
        <v>44669.2208333333</v>
      </c>
      <c r="J1428">
        <v>29.3</v>
      </c>
      <c r="K1428" t="s">
        <v>32</v>
      </c>
      <c r="L1428">
        <v>0</v>
      </c>
      <c r="M1428">
        <v>3</v>
      </c>
      <c r="N1428" t="s">
        <v>1050</v>
      </c>
      <c r="O1428" s="3" t="str">
        <f>TEXT(Ticket_Table[[#This Row],[raised_date]],"YYYY-MM")</f>
        <v>2022-04</v>
      </c>
      <c r="P1428" s="3" t="str">
        <f>IF(Ticket_Table[[#This Row],[resolution_hrs]]&lt;=4,"Fast",IF(Ticket_Table[[#This Row],[resolution_hrs]]&lt;=24,"Normal",IF(Ticket_Table[[#This Row],[resolution_hrs]]&lt;=48,"Slow","Very Slow")))</f>
        <v>Slow</v>
      </c>
      <c r="Q1428" s="3">
        <f>YEAR(Ticket_Table[[#This Row],[raised_date]])</f>
        <v>2022</v>
      </c>
    </row>
    <row r="1429" spans="1:17">
      <c r="A1429" t="s">
        <v>1988</v>
      </c>
      <c r="B1429" t="s">
        <v>323</v>
      </c>
      <c r="C1429" t="s">
        <v>28</v>
      </c>
      <c r="D1429" t="s">
        <v>20</v>
      </c>
      <c r="E1429" t="s">
        <v>21</v>
      </c>
      <c r="F1429" t="s">
        <v>70</v>
      </c>
      <c r="G1429" t="s">
        <v>23</v>
      </c>
      <c r="H1429" s="1">
        <v>44974</v>
      </c>
      <c r="I1429" s="2">
        <v>44975.05</v>
      </c>
      <c r="J1429">
        <v>25.2</v>
      </c>
      <c r="K1429" t="s">
        <v>24</v>
      </c>
      <c r="L1429">
        <v>3</v>
      </c>
      <c r="M1429">
        <v>4</v>
      </c>
      <c r="N1429" t="s">
        <v>595</v>
      </c>
      <c r="O1429" s="3" t="str">
        <f>TEXT(Ticket_Table[[#This Row],[raised_date]],"YYYY-MM")</f>
        <v>2023-02</v>
      </c>
      <c r="P1429" s="3" t="str">
        <f>IF(Ticket_Table[[#This Row],[resolution_hrs]]&lt;=4,"Fast",IF(Ticket_Table[[#This Row],[resolution_hrs]]&lt;=24,"Normal",IF(Ticket_Table[[#This Row],[resolution_hrs]]&lt;=48,"Slow","Very Slow")))</f>
        <v>Slow</v>
      </c>
      <c r="Q1429" s="3">
        <f>YEAR(Ticket_Table[[#This Row],[raised_date]])</f>
        <v>2023</v>
      </c>
    </row>
    <row r="1430" spans="1:17">
      <c r="A1430" t="s">
        <v>1989</v>
      </c>
      <c r="B1430" t="s">
        <v>527</v>
      </c>
      <c r="C1430" t="s">
        <v>78</v>
      </c>
      <c r="D1430" t="s">
        <v>43</v>
      </c>
      <c r="E1430" t="s">
        <v>106</v>
      </c>
      <c r="F1430" t="s">
        <v>70</v>
      </c>
      <c r="G1430" t="s">
        <v>74</v>
      </c>
      <c r="H1430" s="1">
        <v>44700</v>
      </c>
      <c r="I1430" s="2">
        <v>44701.5375</v>
      </c>
      <c r="J1430">
        <v>36.9</v>
      </c>
      <c r="K1430" t="s">
        <v>24</v>
      </c>
      <c r="L1430">
        <v>1</v>
      </c>
      <c r="M1430">
        <v>3</v>
      </c>
      <c r="N1430" t="s">
        <v>876</v>
      </c>
      <c r="O1430" s="3" t="str">
        <f>TEXT(Ticket_Table[[#This Row],[raised_date]],"YYYY-MM")</f>
        <v>2022-05</v>
      </c>
      <c r="P1430" s="3" t="str">
        <f>IF(Ticket_Table[[#This Row],[resolution_hrs]]&lt;=4,"Fast",IF(Ticket_Table[[#This Row],[resolution_hrs]]&lt;=24,"Normal",IF(Ticket_Table[[#This Row],[resolution_hrs]]&lt;=48,"Slow","Very Slow")))</f>
        <v>Slow</v>
      </c>
      <c r="Q1430" s="3">
        <f>YEAR(Ticket_Table[[#This Row],[raised_date]])</f>
        <v>2022</v>
      </c>
    </row>
    <row r="1431" spans="1:17">
      <c r="A1431" t="s">
        <v>1990</v>
      </c>
      <c r="B1431" t="s">
        <v>286</v>
      </c>
      <c r="C1431" t="s">
        <v>175</v>
      </c>
      <c r="D1431" t="s">
        <v>36</v>
      </c>
      <c r="E1431" t="s">
        <v>30</v>
      </c>
      <c r="F1431" t="s">
        <v>38</v>
      </c>
      <c r="G1431" t="s">
        <v>31</v>
      </c>
      <c r="H1431" s="1">
        <v>45219</v>
      </c>
      <c r="I1431" s="2">
        <v>45219.1666666667</v>
      </c>
      <c r="J1431">
        <v>4</v>
      </c>
      <c r="K1431" t="s">
        <v>24</v>
      </c>
      <c r="L1431">
        <v>0</v>
      </c>
      <c r="M1431">
        <v>5</v>
      </c>
      <c r="N1431" t="s">
        <v>567</v>
      </c>
      <c r="O1431" s="3" t="str">
        <f>TEXT(Ticket_Table[[#This Row],[raised_date]],"YYYY-MM")</f>
        <v>2023-10</v>
      </c>
      <c r="P1431" s="3" t="str">
        <f>IF(Ticket_Table[[#This Row],[resolution_hrs]]&lt;=4,"Fast",IF(Ticket_Table[[#This Row],[resolution_hrs]]&lt;=24,"Normal",IF(Ticket_Table[[#This Row],[resolution_hrs]]&lt;=48,"Slow","Very Slow")))</f>
        <v>Fast</v>
      </c>
      <c r="Q1431" s="3">
        <f>YEAR(Ticket_Table[[#This Row],[raised_date]])</f>
        <v>2023</v>
      </c>
    </row>
    <row r="1432" spans="1:17">
      <c r="A1432" t="s">
        <v>1991</v>
      </c>
      <c r="B1432" t="s">
        <v>185</v>
      </c>
      <c r="C1432" t="s">
        <v>117</v>
      </c>
      <c r="D1432" t="s">
        <v>29</v>
      </c>
      <c r="E1432" t="s">
        <v>83</v>
      </c>
      <c r="F1432" t="s">
        <v>22</v>
      </c>
      <c r="G1432" t="s">
        <v>23</v>
      </c>
      <c r="H1432" s="1">
        <v>44888</v>
      </c>
      <c r="I1432" s="2">
        <v>44889.7041666667</v>
      </c>
      <c r="J1432">
        <v>40.9</v>
      </c>
      <c r="K1432" t="s">
        <v>24</v>
      </c>
      <c r="L1432">
        <v>0</v>
      </c>
      <c r="M1432">
        <v>4</v>
      </c>
      <c r="N1432" t="s">
        <v>376</v>
      </c>
      <c r="O1432" s="3" t="str">
        <f>TEXT(Ticket_Table[[#This Row],[raised_date]],"YYYY-MM")</f>
        <v>2022-11</v>
      </c>
      <c r="P1432" s="3" t="str">
        <f>IF(Ticket_Table[[#This Row],[resolution_hrs]]&lt;=4,"Fast",IF(Ticket_Table[[#This Row],[resolution_hrs]]&lt;=24,"Normal",IF(Ticket_Table[[#This Row],[resolution_hrs]]&lt;=48,"Slow","Very Slow")))</f>
        <v>Slow</v>
      </c>
      <c r="Q1432" s="3">
        <f>YEAR(Ticket_Table[[#This Row],[raised_date]])</f>
        <v>2022</v>
      </c>
    </row>
    <row r="1433" spans="1:17">
      <c r="A1433" t="s">
        <v>1992</v>
      </c>
      <c r="B1433" t="s">
        <v>452</v>
      </c>
      <c r="C1433" t="s">
        <v>213</v>
      </c>
      <c r="D1433" t="s">
        <v>20</v>
      </c>
      <c r="E1433" t="s">
        <v>51</v>
      </c>
      <c r="F1433" t="s">
        <v>22</v>
      </c>
      <c r="G1433" t="s">
        <v>31</v>
      </c>
      <c r="H1433" s="1">
        <v>44724</v>
      </c>
      <c r="I1433" s="2">
        <v>44727.4083333333</v>
      </c>
      <c r="J1433">
        <v>81.8</v>
      </c>
      <c r="K1433" t="s">
        <v>32</v>
      </c>
      <c r="L1433">
        <v>1</v>
      </c>
      <c r="M1433">
        <v>4</v>
      </c>
      <c r="N1433" t="s">
        <v>466</v>
      </c>
      <c r="O1433" s="3" t="str">
        <f>TEXT(Ticket_Table[[#This Row],[raised_date]],"YYYY-MM")</f>
        <v>2022-06</v>
      </c>
      <c r="P1433" s="3" t="str">
        <f>IF(Ticket_Table[[#This Row],[resolution_hrs]]&lt;=4,"Fast",IF(Ticket_Table[[#This Row],[resolution_hrs]]&lt;=24,"Normal",IF(Ticket_Table[[#This Row],[resolution_hrs]]&lt;=48,"Slow","Very Slow")))</f>
        <v>Very Slow</v>
      </c>
      <c r="Q1433" s="3">
        <f>YEAR(Ticket_Table[[#This Row],[raised_date]])</f>
        <v>2022</v>
      </c>
    </row>
    <row r="1434" spans="1:17">
      <c r="A1434" t="s">
        <v>1993</v>
      </c>
      <c r="B1434" t="s">
        <v>18</v>
      </c>
      <c r="C1434" t="s">
        <v>140</v>
      </c>
      <c r="D1434" t="s">
        <v>20</v>
      </c>
      <c r="E1434" t="s">
        <v>106</v>
      </c>
      <c r="F1434" t="s">
        <v>70</v>
      </c>
      <c r="G1434" t="s">
        <v>74</v>
      </c>
      <c r="H1434" s="1">
        <v>45197</v>
      </c>
      <c r="I1434" s="2">
        <v>45198.1083333333</v>
      </c>
      <c r="J1434">
        <v>26.6</v>
      </c>
      <c r="K1434" t="s">
        <v>24</v>
      </c>
      <c r="L1434">
        <v>0</v>
      </c>
      <c r="M1434">
        <v>2</v>
      </c>
      <c r="N1434" t="s">
        <v>235</v>
      </c>
      <c r="O1434" s="3" t="str">
        <f>TEXT(Ticket_Table[[#This Row],[raised_date]],"YYYY-MM")</f>
        <v>2023-09</v>
      </c>
      <c r="P1434" s="3" t="str">
        <f>IF(Ticket_Table[[#This Row],[resolution_hrs]]&lt;=4,"Fast",IF(Ticket_Table[[#This Row],[resolution_hrs]]&lt;=24,"Normal",IF(Ticket_Table[[#This Row],[resolution_hrs]]&lt;=48,"Slow","Very Slow")))</f>
        <v>Slow</v>
      </c>
      <c r="Q1434" s="3">
        <f>YEAR(Ticket_Table[[#This Row],[raised_date]])</f>
        <v>2023</v>
      </c>
    </row>
    <row r="1435" spans="1:17">
      <c r="A1435" t="s">
        <v>1994</v>
      </c>
      <c r="B1435" t="s">
        <v>367</v>
      </c>
      <c r="C1435" t="s">
        <v>175</v>
      </c>
      <c r="D1435" t="s">
        <v>29</v>
      </c>
      <c r="E1435" t="s">
        <v>21</v>
      </c>
      <c r="F1435" t="s">
        <v>22</v>
      </c>
      <c r="G1435" t="s">
        <v>74</v>
      </c>
      <c r="H1435" s="1">
        <v>45201</v>
      </c>
      <c r="I1435" s="2">
        <v>45204.0083333333</v>
      </c>
      <c r="J1435">
        <v>72.2</v>
      </c>
      <c r="K1435" t="s">
        <v>32</v>
      </c>
      <c r="L1435">
        <v>1</v>
      </c>
      <c r="M1435">
        <v>4</v>
      </c>
      <c r="N1435" t="s">
        <v>730</v>
      </c>
      <c r="O1435" s="3" t="str">
        <f>TEXT(Ticket_Table[[#This Row],[raised_date]],"YYYY-MM")</f>
        <v>2023-10</v>
      </c>
      <c r="P1435" s="3" t="str">
        <f>IF(Ticket_Table[[#This Row],[resolution_hrs]]&lt;=4,"Fast",IF(Ticket_Table[[#This Row],[resolution_hrs]]&lt;=24,"Normal",IF(Ticket_Table[[#This Row],[resolution_hrs]]&lt;=48,"Slow","Very Slow")))</f>
        <v>Very Slow</v>
      </c>
      <c r="Q1435" s="3">
        <f>YEAR(Ticket_Table[[#This Row],[raised_date]])</f>
        <v>2023</v>
      </c>
    </row>
    <row r="1436" spans="1:17">
      <c r="A1436" t="s">
        <v>1995</v>
      </c>
      <c r="B1436" t="s">
        <v>280</v>
      </c>
      <c r="C1436" t="s">
        <v>201</v>
      </c>
      <c r="D1436" t="s">
        <v>90</v>
      </c>
      <c r="E1436" t="s">
        <v>69</v>
      </c>
      <c r="F1436" t="s">
        <v>22</v>
      </c>
      <c r="G1436" t="s">
        <v>46</v>
      </c>
      <c r="H1436" s="1">
        <v>45140</v>
      </c>
      <c r="I1436" s="2">
        <v>45140.7166666667</v>
      </c>
      <c r="J1436">
        <v>17.2</v>
      </c>
      <c r="K1436" t="s">
        <v>24</v>
      </c>
      <c r="L1436">
        <v>0</v>
      </c>
      <c r="M1436">
        <v>4</v>
      </c>
      <c r="N1436" t="s">
        <v>1278</v>
      </c>
      <c r="O1436" s="3" t="str">
        <f>TEXT(Ticket_Table[[#This Row],[raised_date]],"YYYY-MM")</f>
        <v>2023-08</v>
      </c>
      <c r="P1436" s="3" t="str">
        <f>IF(Ticket_Table[[#This Row],[resolution_hrs]]&lt;=4,"Fast",IF(Ticket_Table[[#This Row],[resolution_hrs]]&lt;=24,"Normal",IF(Ticket_Table[[#This Row],[resolution_hrs]]&lt;=48,"Slow","Very Slow")))</f>
        <v>Normal</v>
      </c>
      <c r="Q1436" s="3">
        <f>YEAR(Ticket_Table[[#This Row],[raised_date]])</f>
        <v>2023</v>
      </c>
    </row>
    <row r="1437" spans="1:17">
      <c r="A1437" t="s">
        <v>1996</v>
      </c>
      <c r="B1437" t="s">
        <v>361</v>
      </c>
      <c r="C1437" t="s">
        <v>64</v>
      </c>
      <c r="D1437" t="s">
        <v>90</v>
      </c>
      <c r="E1437" t="s">
        <v>30</v>
      </c>
      <c r="F1437" t="s">
        <v>70</v>
      </c>
      <c r="G1437" t="s">
        <v>46</v>
      </c>
      <c r="H1437" s="1">
        <v>44541</v>
      </c>
      <c r="I1437" s="2">
        <v>44543.2708333333</v>
      </c>
      <c r="J1437">
        <v>54.5</v>
      </c>
      <c r="K1437" t="s">
        <v>32</v>
      </c>
      <c r="L1437">
        <v>3</v>
      </c>
      <c r="M1437">
        <v>3</v>
      </c>
      <c r="N1437" t="s">
        <v>209</v>
      </c>
      <c r="O1437" s="3" t="str">
        <f>TEXT(Ticket_Table[[#This Row],[raised_date]],"YYYY-MM")</f>
        <v>2021-12</v>
      </c>
      <c r="P1437" s="3" t="str">
        <f>IF(Ticket_Table[[#This Row],[resolution_hrs]]&lt;=4,"Fast",IF(Ticket_Table[[#This Row],[resolution_hrs]]&lt;=24,"Normal",IF(Ticket_Table[[#This Row],[resolution_hrs]]&lt;=48,"Slow","Very Slow")))</f>
        <v>Very Slow</v>
      </c>
      <c r="Q1437" s="3">
        <f>YEAR(Ticket_Table[[#This Row],[raised_date]])</f>
        <v>2021</v>
      </c>
    </row>
    <row r="1438" spans="1:17">
      <c r="A1438" t="s">
        <v>1997</v>
      </c>
      <c r="B1438" t="s">
        <v>283</v>
      </c>
      <c r="C1438" t="s">
        <v>50</v>
      </c>
      <c r="D1438" t="s">
        <v>43</v>
      </c>
      <c r="E1438" t="s">
        <v>69</v>
      </c>
      <c r="F1438" t="s">
        <v>70</v>
      </c>
      <c r="G1438" t="s">
        <v>31</v>
      </c>
      <c r="H1438" s="1">
        <v>44918</v>
      </c>
      <c r="I1438" s="2">
        <v>44919.2875</v>
      </c>
      <c r="J1438">
        <v>30.9</v>
      </c>
      <c r="K1438" t="s">
        <v>24</v>
      </c>
      <c r="L1438">
        <v>0</v>
      </c>
      <c r="M1438">
        <v>5</v>
      </c>
      <c r="N1438" t="s">
        <v>63</v>
      </c>
      <c r="O1438" s="3" t="str">
        <f>TEXT(Ticket_Table[[#This Row],[raised_date]],"YYYY-MM")</f>
        <v>2022-12</v>
      </c>
      <c r="P1438" s="3" t="str">
        <f>IF(Ticket_Table[[#This Row],[resolution_hrs]]&lt;=4,"Fast",IF(Ticket_Table[[#This Row],[resolution_hrs]]&lt;=24,"Normal",IF(Ticket_Table[[#This Row],[resolution_hrs]]&lt;=48,"Slow","Very Slow")))</f>
        <v>Slow</v>
      </c>
      <c r="Q1438" s="3">
        <f>YEAR(Ticket_Table[[#This Row],[raised_date]])</f>
        <v>2022</v>
      </c>
    </row>
    <row r="1439" spans="1:17">
      <c r="A1439" t="s">
        <v>1998</v>
      </c>
      <c r="B1439" t="s">
        <v>207</v>
      </c>
      <c r="C1439" t="s">
        <v>19</v>
      </c>
      <c r="D1439" t="s">
        <v>29</v>
      </c>
      <c r="E1439" t="s">
        <v>51</v>
      </c>
      <c r="F1439" t="s">
        <v>70</v>
      </c>
      <c r="G1439" t="s">
        <v>31</v>
      </c>
      <c r="H1439" s="1">
        <v>44543</v>
      </c>
      <c r="I1439" s="2">
        <v>44543.7166666667</v>
      </c>
      <c r="J1439">
        <v>17.2</v>
      </c>
      <c r="K1439" t="s">
        <v>24</v>
      </c>
      <c r="L1439">
        <v>1</v>
      </c>
      <c r="M1439">
        <v>5</v>
      </c>
      <c r="N1439" t="s">
        <v>169</v>
      </c>
      <c r="O1439" s="3" t="str">
        <f>TEXT(Ticket_Table[[#This Row],[raised_date]],"YYYY-MM")</f>
        <v>2021-12</v>
      </c>
      <c r="P1439" s="3" t="str">
        <f>IF(Ticket_Table[[#This Row],[resolution_hrs]]&lt;=4,"Fast",IF(Ticket_Table[[#This Row],[resolution_hrs]]&lt;=24,"Normal",IF(Ticket_Table[[#This Row],[resolution_hrs]]&lt;=48,"Slow","Very Slow")))</f>
        <v>Normal</v>
      </c>
      <c r="Q1439" s="3">
        <f>YEAR(Ticket_Table[[#This Row],[raised_date]])</f>
        <v>2021</v>
      </c>
    </row>
    <row r="1440" spans="1:17">
      <c r="A1440" t="s">
        <v>1999</v>
      </c>
      <c r="B1440" t="s">
        <v>171</v>
      </c>
      <c r="C1440" t="s">
        <v>133</v>
      </c>
      <c r="D1440" t="s">
        <v>29</v>
      </c>
      <c r="E1440" t="s">
        <v>30</v>
      </c>
      <c r="F1440" t="s">
        <v>45</v>
      </c>
      <c r="G1440" t="s">
        <v>23</v>
      </c>
      <c r="H1440" s="1">
        <v>44483</v>
      </c>
      <c r="I1440" s="2">
        <v>44483.2083333333</v>
      </c>
      <c r="J1440">
        <v>5</v>
      </c>
      <c r="K1440" t="s">
        <v>32</v>
      </c>
      <c r="L1440">
        <v>0</v>
      </c>
      <c r="M1440">
        <v>4</v>
      </c>
      <c r="N1440" t="s">
        <v>383</v>
      </c>
      <c r="O1440" s="3" t="str">
        <f>TEXT(Ticket_Table[[#This Row],[raised_date]],"YYYY-MM")</f>
        <v>2021-10</v>
      </c>
      <c r="P1440" s="3" t="str">
        <f>IF(Ticket_Table[[#This Row],[resolution_hrs]]&lt;=4,"Fast",IF(Ticket_Table[[#This Row],[resolution_hrs]]&lt;=24,"Normal",IF(Ticket_Table[[#This Row],[resolution_hrs]]&lt;=48,"Slow","Very Slow")))</f>
        <v>Normal</v>
      </c>
      <c r="Q1440" s="3">
        <f>YEAR(Ticket_Table[[#This Row],[raised_date]])</f>
        <v>2021</v>
      </c>
    </row>
    <row r="1441" spans="1:17">
      <c r="A1441" t="s">
        <v>2000</v>
      </c>
      <c r="B1441" t="s">
        <v>592</v>
      </c>
      <c r="C1441" t="s">
        <v>28</v>
      </c>
      <c r="D1441" t="s">
        <v>36</v>
      </c>
      <c r="E1441" t="s">
        <v>51</v>
      </c>
      <c r="F1441" t="s">
        <v>70</v>
      </c>
      <c r="G1441" t="s">
        <v>31</v>
      </c>
      <c r="H1441" s="1">
        <v>45197</v>
      </c>
      <c r="I1441" s="2">
        <v>45198.2666666667</v>
      </c>
      <c r="J1441">
        <v>30.4</v>
      </c>
      <c r="K1441" t="s">
        <v>24</v>
      </c>
      <c r="L1441">
        <v>0</v>
      </c>
      <c r="M1441">
        <v>3</v>
      </c>
      <c r="N1441" t="s">
        <v>124</v>
      </c>
      <c r="O1441" s="3" t="str">
        <f>TEXT(Ticket_Table[[#This Row],[raised_date]],"YYYY-MM")</f>
        <v>2023-09</v>
      </c>
      <c r="P1441" s="3" t="str">
        <f>IF(Ticket_Table[[#This Row],[resolution_hrs]]&lt;=4,"Fast",IF(Ticket_Table[[#This Row],[resolution_hrs]]&lt;=24,"Normal",IF(Ticket_Table[[#This Row],[resolution_hrs]]&lt;=48,"Slow","Very Slow")))</f>
        <v>Slow</v>
      </c>
      <c r="Q1441" s="3">
        <f>YEAR(Ticket_Table[[#This Row],[raised_date]])</f>
        <v>2023</v>
      </c>
    </row>
    <row r="1442" spans="1:17">
      <c r="A1442" t="s">
        <v>2001</v>
      </c>
      <c r="B1442" t="s">
        <v>151</v>
      </c>
      <c r="C1442" t="s">
        <v>102</v>
      </c>
      <c r="D1442" t="s">
        <v>90</v>
      </c>
      <c r="E1442" t="s">
        <v>69</v>
      </c>
      <c r="F1442" t="s">
        <v>38</v>
      </c>
      <c r="G1442" t="s">
        <v>46</v>
      </c>
      <c r="H1442" s="1">
        <v>44573</v>
      </c>
      <c r="I1442" s="2">
        <v>44573.6375</v>
      </c>
      <c r="J1442">
        <v>15.3</v>
      </c>
      <c r="K1442" t="s">
        <v>24</v>
      </c>
      <c r="L1442">
        <v>0</v>
      </c>
      <c r="M1442">
        <v>5</v>
      </c>
      <c r="N1442" t="s">
        <v>245</v>
      </c>
      <c r="O1442" s="3" t="str">
        <f>TEXT(Ticket_Table[[#This Row],[raised_date]],"YYYY-MM")</f>
        <v>2022-01</v>
      </c>
      <c r="P1442" s="3" t="str">
        <f>IF(Ticket_Table[[#This Row],[resolution_hrs]]&lt;=4,"Fast",IF(Ticket_Table[[#This Row],[resolution_hrs]]&lt;=24,"Normal",IF(Ticket_Table[[#This Row],[resolution_hrs]]&lt;=48,"Slow","Very Slow")))</f>
        <v>Normal</v>
      </c>
      <c r="Q1442" s="3">
        <f>YEAR(Ticket_Table[[#This Row],[raised_date]])</f>
        <v>2022</v>
      </c>
    </row>
    <row r="1443" spans="1:17">
      <c r="A1443" t="s">
        <v>2002</v>
      </c>
      <c r="B1443" t="s">
        <v>1013</v>
      </c>
      <c r="C1443" t="s">
        <v>102</v>
      </c>
      <c r="D1443" t="s">
        <v>90</v>
      </c>
      <c r="E1443" t="s">
        <v>21</v>
      </c>
      <c r="F1443" t="s">
        <v>22</v>
      </c>
      <c r="G1443" t="s">
        <v>31</v>
      </c>
      <c r="H1443" s="1">
        <v>44317</v>
      </c>
      <c r="I1443" s="2">
        <v>44319.0875</v>
      </c>
      <c r="J1443">
        <v>50.1</v>
      </c>
      <c r="K1443" t="s">
        <v>24</v>
      </c>
      <c r="L1443">
        <v>1</v>
      </c>
      <c r="M1443">
        <v>3</v>
      </c>
      <c r="N1443" t="s">
        <v>126</v>
      </c>
      <c r="O1443" s="3" t="str">
        <f>TEXT(Ticket_Table[[#This Row],[raised_date]],"YYYY-MM")</f>
        <v>2021-05</v>
      </c>
      <c r="P1443" s="3" t="str">
        <f>IF(Ticket_Table[[#This Row],[resolution_hrs]]&lt;=4,"Fast",IF(Ticket_Table[[#This Row],[resolution_hrs]]&lt;=24,"Normal",IF(Ticket_Table[[#This Row],[resolution_hrs]]&lt;=48,"Slow","Very Slow")))</f>
        <v>Very Slow</v>
      </c>
      <c r="Q1443" s="3">
        <f>YEAR(Ticket_Table[[#This Row],[raised_date]])</f>
        <v>2021</v>
      </c>
    </row>
    <row r="1444" spans="1:17">
      <c r="A1444" t="s">
        <v>2003</v>
      </c>
      <c r="B1444" t="s">
        <v>334</v>
      </c>
      <c r="C1444" t="s">
        <v>64</v>
      </c>
      <c r="D1444" t="s">
        <v>29</v>
      </c>
      <c r="E1444" t="s">
        <v>30</v>
      </c>
      <c r="F1444" t="s">
        <v>70</v>
      </c>
      <c r="G1444" t="s">
        <v>31</v>
      </c>
      <c r="H1444" s="1">
        <v>45270</v>
      </c>
      <c r="I1444" s="2">
        <v>45272.5625</v>
      </c>
      <c r="J1444">
        <v>61.5</v>
      </c>
      <c r="K1444" t="s">
        <v>32</v>
      </c>
      <c r="L1444">
        <v>1</v>
      </c>
      <c r="M1444">
        <v>2</v>
      </c>
      <c r="N1444" t="s">
        <v>192</v>
      </c>
      <c r="O1444" s="3" t="str">
        <f>TEXT(Ticket_Table[[#This Row],[raised_date]],"YYYY-MM")</f>
        <v>2023-12</v>
      </c>
      <c r="P1444" s="3" t="str">
        <f>IF(Ticket_Table[[#This Row],[resolution_hrs]]&lt;=4,"Fast",IF(Ticket_Table[[#This Row],[resolution_hrs]]&lt;=24,"Normal",IF(Ticket_Table[[#This Row],[resolution_hrs]]&lt;=48,"Slow","Very Slow")))</f>
        <v>Very Slow</v>
      </c>
      <c r="Q1444" s="3">
        <f>YEAR(Ticket_Table[[#This Row],[raised_date]])</f>
        <v>2023</v>
      </c>
    </row>
    <row r="1445" spans="1:17">
      <c r="A1445" t="s">
        <v>2004</v>
      </c>
      <c r="B1445" t="s">
        <v>246</v>
      </c>
      <c r="C1445" t="s">
        <v>28</v>
      </c>
      <c r="D1445" t="s">
        <v>43</v>
      </c>
      <c r="E1445" t="s">
        <v>37</v>
      </c>
      <c r="F1445" t="s">
        <v>38</v>
      </c>
      <c r="G1445" t="s">
        <v>23</v>
      </c>
      <c r="H1445" s="1">
        <v>44266</v>
      </c>
      <c r="I1445" s="2">
        <v>44267.2</v>
      </c>
      <c r="J1445">
        <v>28.8</v>
      </c>
      <c r="K1445" t="s">
        <v>32</v>
      </c>
      <c r="L1445">
        <v>0</v>
      </c>
      <c r="M1445">
        <v>1</v>
      </c>
      <c r="N1445" t="s">
        <v>41</v>
      </c>
      <c r="O1445" s="3" t="str">
        <f>TEXT(Ticket_Table[[#This Row],[raised_date]],"YYYY-MM")</f>
        <v>2021-03</v>
      </c>
      <c r="P1445" s="3" t="str">
        <f>IF(Ticket_Table[[#This Row],[resolution_hrs]]&lt;=4,"Fast",IF(Ticket_Table[[#This Row],[resolution_hrs]]&lt;=24,"Normal",IF(Ticket_Table[[#This Row],[resolution_hrs]]&lt;=48,"Slow","Very Slow")))</f>
        <v>Slow</v>
      </c>
      <c r="Q1445" s="3">
        <f>YEAR(Ticket_Table[[#This Row],[raised_date]])</f>
        <v>2021</v>
      </c>
    </row>
    <row r="1446" spans="1:17">
      <c r="A1446" t="s">
        <v>2005</v>
      </c>
      <c r="B1446" t="s">
        <v>515</v>
      </c>
      <c r="C1446" t="s">
        <v>68</v>
      </c>
      <c r="D1446" t="s">
        <v>29</v>
      </c>
      <c r="E1446" t="s">
        <v>56</v>
      </c>
      <c r="F1446" t="s">
        <v>70</v>
      </c>
      <c r="G1446" t="s">
        <v>74</v>
      </c>
      <c r="H1446" s="1">
        <v>44349</v>
      </c>
      <c r="I1446" s="2">
        <v>44350.1125</v>
      </c>
      <c r="J1446">
        <v>26.7</v>
      </c>
      <c r="K1446" t="s">
        <v>24</v>
      </c>
      <c r="L1446">
        <v>0</v>
      </c>
      <c r="M1446">
        <v>1</v>
      </c>
      <c r="N1446" t="s">
        <v>1019</v>
      </c>
      <c r="O1446" s="3" t="str">
        <f>TEXT(Ticket_Table[[#This Row],[raised_date]],"YYYY-MM")</f>
        <v>2021-06</v>
      </c>
      <c r="P1446" s="3" t="str">
        <f>IF(Ticket_Table[[#This Row],[resolution_hrs]]&lt;=4,"Fast",IF(Ticket_Table[[#This Row],[resolution_hrs]]&lt;=24,"Normal",IF(Ticket_Table[[#This Row],[resolution_hrs]]&lt;=48,"Slow","Very Slow")))</f>
        <v>Slow</v>
      </c>
      <c r="Q1446" s="3">
        <f>YEAR(Ticket_Table[[#This Row],[raised_date]])</f>
        <v>2021</v>
      </c>
    </row>
    <row r="1447" spans="1:17">
      <c r="A1447" t="s">
        <v>2006</v>
      </c>
      <c r="B1447" t="s">
        <v>464</v>
      </c>
      <c r="C1447" t="s">
        <v>117</v>
      </c>
      <c r="D1447" t="s">
        <v>43</v>
      </c>
      <c r="E1447" t="s">
        <v>21</v>
      </c>
      <c r="F1447" t="s">
        <v>38</v>
      </c>
      <c r="G1447" t="s">
        <v>31</v>
      </c>
      <c r="H1447" s="1">
        <v>44296</v>
      </c>
      <c r="I1447" s="2">
        <v>44296.0833333333</v>
      </c>
      <c r="J1447">
        <v>2</v>
      </c>
      <c r="K1447" t="s">
        <v>24</v>
      </c>
      <c r="L1447">
        <v>1</v>
      </c>
      <c r="M1447">
        <v>4</v>
      </c>
      <c r="N1447" t="s">
        <v>588</v>
      </c>
      <c r="O1447" s="3" t="str">
        <f>TEXT(Ticket_Table[[#This Row],[raised_date]],"YYYY-MM")</f>
        <v>2021-04</v>
      </c>
      <c r="P1447" s="3" t="str">
        <f>IF(Ticket_Table[[#This Row],[resolution_hrs]]&lt;=4,"Fast",IF(Ticket_Table[[#This Row],[resolution_hrs]]&lt;=24,"Normal",IF(Ticket_Table[[#This Row],[resolution_hrs]]&lt;=48,"Slow","Very Slow")))</f>
        <v>Fast</v>
      </c>
      <c r="Q1447" s="3">
        <f>YEAR(Ticket_Table[[#This Row],[raised_date]])</f>
        <v>2021</v>
      </c>
    </row>
    <row r="1448" spans="1:17">
      <c r="A1448" t="s">
        <v>2007</v>
      </c>
      <c r="B1448" t="s">
        <v>647</v>
      </c>
      <c r="C1448" t="s">
        <v>133</v>
      </c>
      <c r="D1448" t="s">
        <v>90</v>
      </c>
      <c r="E1448" t="s">
        <v>30</v>
      </c>
      <c r="F1448" t="s">
        <v>70</v>
      </c>
      <c r="G1448" t="s">
        <v>23</v>
      </c>
      <c r="H1448" s="1">
        <v>44210</v>
      </c>
      <c r="I1448" s="2">
        <v>44210.4708333333</v>
      </c>
      <c r="J1448">
        <v>11.3</v>
      </c>
      <c r="K1448" t="s">
        <v>24</v>
      </c>
      <c r="L1448">
        <v>1</v>
      </c>
      <c r="M1448">
        <v>3</v>
      </c>
      <c r="N1448" t="s">
        <v>1195</v>
      </c>
      <c r="O1448" s="3" t="str">
        <f>TEXT(Ticket_Table[[#This Row],[raised_date]],"YYYY-MM")</f>
        <v>2021-01</v>
      </c>
      <c r="P1448" s="3" t="str">
        <f>IF(Ticket_Table[[#This Row],[resolution_hrs]]&lt;=4,"Fast",IF(Ticket_Table[[#This Row],[resolution_hrs]]&lt;=24,"Normal",IF(Ticket_Table[[#This Row],[resolution_hrs]]&lt;=48,"Slow","Very Slow")))</f>
        <v>Normal</v>
      </c>
      <c r="Q1448" s="3">
        <f>YEAR(Ticket_Table[[#This Row],[raised_date]])</f>
        <v>2021</v>
      </c>
    </row>
    <row r="1449" spans="1:17">
      <c r="A1449" t="s">
        <v>2008</v>
      </c>
      <c r="B1449" t="s">
        <v>191</v>
      </c>
      <c r="C1449" t="s">
        <v>68</v>
      </c>
      <c r="D1449" t="s">
        <v>36</v>
      </c>
      <c r="E1449" t="s">
        <v>51</v>
      </c>
      <c r="F1449" t="s">
        <v>22</v>
      </c>
      <c r="G1449" t="s">
        <v>31</v>
      </c>
      <c r="H1449" s="1">
        <v>45041</v>
      </c>
      <c r="I1449" s="2">
        <v>45041.0875</v>
      </c>
      <c r="J1449">
        <v>2.1</v>
      </c>
      <c r="K1449" t="s">
        <v>24</v>
      </c>
      <c r="L1449">
        <v>0</v>
      </c>
      <c r="M1449">
        <v>4</v>
      </c>
      <c r="N1449" t="s">
        <v>1006</v>
      </c>
      <c r="O1449" s="3" t="str">
        <f>TEXT(Ticket_Table[[#This Row],[raised_date]],"YYYY-MM")</f>
        <v>2023-04</v>
      </c>
      <c r="P1449" s="3" t="str">
        <f>IF(Ticket_Table[[#This Row],[resolution_hrs]]&lt;=4,"Fast",IF(Ticket_Table[[#This Row],[resolution_hrs]]&lt;=24,"Normal",IF(Ticket_Table[[#This Row],[resolution_hrs]]&lt;=48,"Slow","Very Slow")))</f>
        <v>Fast</v>
      </c>
      <c r="Q1449" s="3">
        <f>YEAR(Ticket_Table[[#This Row],[raised_date]])</f>
        <v>2023</v>
      </c>
    </row>
    <row r="1450" spans="1:17">
      <c r="A1450" t="s">
        <v>2009</v>
      </c>
      <c r="B1450" t="s">
        <v>331</v>
      </c>
      <c r="C1450" t="s">
        <v>133</v>
      </c>
      <c r="D1450" t="s">
        <v>20</v>
      </c>
      <c r="E1450" t="s">
        <v>51</v>
      </c>
      <c r="F1450" t="s">
        <v>70</v>
      </c>
      <c r="G1450" t="s">
        <v>46</v>
      </c>
      <c r="H1450" s="1">
        <v>44478</v>
      </c>
      <c r="I1450" s="2">
        <v>44480.425</v>
      </c>
      <c r="J1450">
        <v>58.2</v>
      </c>
      <c r="K1450" t="s">
        <v>32</v>
      </c>
      <c r="L1450">
        <v>3</v>
      </c>
      <c r="M1450">
        <v>4</v>
      </c>
      <c r="N1450" t="s">
        <v>826</v>
      </c>
      <c r="O1450" s="3" t="str">
        <f>TEXT(Ticket_Table[[#This Row],[raised_date]],"YYYY-MM")</f>
        <v>2021-10</v>
      </c>
      <c r="P1450" s="3" t="str">
        <f>IF(Ticket_Table[[#This Row],[resolution_hrs]]&lt;=4,"Fast",IF(Ticket_Table[[#This Row],[resolution_hrs]]&lt;=24,"Normal",IF(Ticket_Table[[#This Row],[resolution_hrs]]&lt;=48,"Slow","Very Slow")))</f>
        <v>Very Slow</v>
      </c>
      <c r="Q1450" s="3">
        <f>YEAR(Ticket_Table[[#This Row],[raised_date]])</f>
        <v>2021</v>
      </c>
    </row>
    <row r="1451" spans="1:17">
      <c r="A1451" t="s">
        <v>2010</v>
      </c>
      <c r="B1451" t="s">
        <v>138</v>
      </c>
      <c r="C1451" t="s">
        <v>19</v>
      </c>
      <c r="D1451" t="s">
        <v>90</v>
      </c>
      <c r="E1451" t="s">
        <v>44</v>
      </c>
      <c r="F1451" t="s">
        <v>70</v>
      </c>
      <c r="G1451" t="s">
        <v>23</v>
      </c>
      <c r="H1451" s="1">
        <v>44670</v>
      </c>
      <c r="I1451" s="2">
        <v>44672.8333333333</v>
      </c>
      <c r="J1451">
        <v>68</v>
      </c>
      <c r="K1451" t="s">
        <v>32</v>
      </c>
      <c r="L1451">
        <v>1</v>
      </c>
      <c r="M1451">
        <v>4</v>
      </c>
      <c r="N1451" t="s">
        <v>542</v>
      </c>
      <c r="O1451" s="3" t="str">
        <f>TEXT(Ticket_Table[[#This Row],[raised_date]],"YYYY-MM")</f>
        <v>2022-04</v>
      </c>
      <c r="P1451" s="3" t="str">
        <f>IF(Ticket_Table[[#This Row],[resolution_hrs]]&lt;=4,"Fast",IF(Ticket_Table[[#This Row],[resolution_hrs]]&lt;=24,"Normal",IF(Ticket_Table[[#This Row],[resolution_hrs]]&lt;=48,"Slow","Very Slow")))</f>
        <v>Very Slow</v>
      </c>
      <c r="Q1451" s="3">
        <f>YEAR(Ticket_Table[[#This Row],[raised_date]])</f>
        <v>2022</v>
      </c>
    </row>
    <row r="1452" spans="1:17">
      <c r="A1452" t="s">
        <v>2011</v>
      </c>
      <c r="B1452" t="s">
        <v>280</v>
      </c>
      <c r="C1452" t="s">
        <v>261</v>
      </c>
      <c r="D1452" t="s">
        <v>43</v>
      </c>
      <c r="E1452" t="s">
        <v>21</v>
      </c>
      <c r="F1452" t="s">
        <v>38</v>
      </c>
      <c r="G1452" t="s">
        <v>23</v>
      </c>
      <c r="H1452" s="1">
        <v>44336</v>
      </c>
      <c r="I1452" s="2">
        <v>44336.1666666667</v>
      </c>
      <c r="J1452">
        <v>4</v>
      </c>
      <c r="K1452" t="s">
        <v>24</v>
      </c>
      <c r="L1452">
        <v>0</v>
      </c>
      <c r="M1452">
        <v>3</v>
      </c>
      <c r="N1452" t="s">
        <v>445</v>
      </c>
      <c r="O1452" s="3" t="str">
        <f>TEXT(Ticket_Table[[#This Row],[raised_date]],"YYYY-MM")</f>
        <v>2021-05</v>
      </c>
      <c r="P1452" s="3" t="str">
        <f>IF(Ticket_Table[[#This Row],[resolution_hrs]]&lt;=4,"Fast",IF(Ticket_Table[[#This Row],[resolution_hrs]]&lt;=24,"Normal",IF(Ticket_Table[[#This Row],[resolution_hrs]]&lt;=48,"Slow","Very Slow")))</f>
        <v>Fast</v>
      </c>
      <c r="Q1452" s="3">
        <f>YEAR(Ticket_Table[[#This Row],[raised_date]])</f>
        <v>2021</v>
      </c>
    </row>
    <row r="1453" spans="1:17">
      <c r="A1453" t="s">
        <v>2012</v>
      </c>
      <c r="B1453" t="s">
        <v>73</v>
      </c>
      <c r="C1453" t="s">
        <v>68</v>
      </c>
      <c r="D1453" t="s">
        <v>29</v>
      </c>
      <c r="E1453" t="s">
        <v>51</v>
      </c>
      <c r="F1453" t="s">
        <v>22</v>
      </c>
      <c r="G1453" t="s">
        <v>46</v>
      </c>
      <c r="H1453" s="1">
        <v>44506</v>
      </c>
      <c r="I1453" s="2">
        <v>44507.4458333333</v>
      </c>
      <c r="J1453">
        <v>34.7</v>
      </c>
      <c r="K1453" t="s">
        <v>24</v>
      </c>
      <c r="L1453">
        <v>0</v>
      </c>
      <c r="M1453">
        <v>5</v>
      </c>
      <c r="N1453" t="s">
        <v>331</v>
      </c>
      <c r="O1453" s="3" t="str">
        <f>TEXT(Ticket_Table[[#This Row],[raised_date]],"YYYY-MM")</f>
        <v>2021-11</v>
      </c>
      <c r="P1453" s="3" t="str">
        <f>IF(Ticket_Table[[#This Row],[resolution_hrs]]&lt;=4,"Fast",IF(Ticket_Table[[#This Row],[resolution_hrs]]&lt;=24,"Normal",IF(Ticket_Table[[#This Row],[resolution_hrs]]&lt;=48,"Slow","Very Slow")))</f>
        <v>Slow</v>
      </c>
      <c r="Q1453" s="3">
        <f>YEAR(Ticket_Table[[#This Row],[raised_date]])</f>
        <v>2021</v>
      </c>
    </row>
    <row r="1454" spans="1:17">
      <c r="A1454" t="s">
        <v>2013</v>
      </c>
      <c r="B1454" t="s">
        <v>1301</v>
      </c>
      <c r="C1454" t="s">
        <v>19</v>
      </c>
      <c r="D1454" t="s">
        <v>90</v>
      </c>
      <c r="E1454" t="s">
        <v>166</v>
      </c>
      <c r="F1454" t="s">
        <v>45</v>
      </c>
      <c r="G1454" t="s">
        <v>23</v>
      </c>
      <c r="H1454" s="1">
        <v>44215</v>
      </c>
      <c r="I1454" s="2">
        <v>44215.2458333333</v>
      </c>
      <c r="J1454">
        <v>5.9</v>
      </c>
      <c r="K1454" t="s">
        <v>32</v>
      </c>
      <c r="L1454">
        <v>0</v>
      </c>
      <c r="M1454">
        <v>4</v>
      </c>
      <c r="N1454" t="s">
        <v>758</v>
      </c>
      <c r="O1454" s="3" t="str">
        <f>TEXT(Ticket_Table[[#This Row],[raised_date]],"YYYY-MM")</f>
        <v>2021-01</v>
      </c>
      <c r="P1454" s="3" t="str">
        <f>IF(Ticket_Table[[#This Row],[resolution_hrs]]&lt;=4,"Fast",IF(Ticket_Table[[#This Row],[resolution_hrs]]&lt;=24,"Normal",IF(Ticket_Table[[#This Row],[resolution_hrs]]&lt;=48,"Slow","Very Slow")))</f>
        <v>Normal</v>
      </c>
      <c r="Q1454" s="3">
        <f>YEAR(Ticket_Table[[#This Row],[raised_date]])</f>
        <v>2021</v>
      </c>
    </row>
    <row r="1455" spans="1:17">
      <c r="A1455" t="s">
        <v>2014</v>
      </c>
      <c r="B1455" t="s">
        <v>707</v>
      </c>
      <c r="C1455" t="s">
        <v>64</v>
      </c>
      <c r="D1455" t="s">
        <v>36</v>
      </c>
      <c r="E1455" t="s">
        <v>56</v>
      </c>
      <c r="F1455" t="s">
        <v>45</v>
      </c>
      <c r="G1455" t="s">
        <v>74</v>
      </c>
      <c r="H1455" s="1">
        <v>44644</v>
      </c>
      <c r="I1455" s="2">
        <v>44644.075</v>
      </c>
      <c r="J1455">
        <v>1.8</v>
      </c>
      <c r="K1455" t="s">
        <v>24</v>
      </c>
      <c r="L1455">
        <v>1</v>
      </c>
      <c r="M1455">
        <v>3</v>
      </c>
      <c r="N1455" t="s">
        <v>145</v>
      </c>
      <c r="O1455" s="3" t="str">
        <f>TEXT(Ticket_Table[[#This Row],[raised_date]],"YYYY-MM")</f>
        <v>2022-03</v>
      </c>
      <c r="P1455" s="3" t="str">
        <f>IF(Ticket_Table[[#This Row],[resolution_hrs]]&lt;=4,"Fast",IF(Ticket_Table[[#This Row],[resolution_hrs]]&lt;=24,"Normal",IF(Ticket_Table[[#This Row],[resolution_hrs]]&lt;=48,"Slow","Very Slow")))</f>
        <v>Fast</v>
      </c>
      <c r="Q1455" s="3">
        <f>YEAR(Ticket_Table[[#This Row],[raised_date]])</f>
        <v>2022</v>
      </c>
    </row>
    <row r="1456" spans="1:17">
      <c r="A1456" t="s">
        <v>2015</v>
      </c>
      <c r="B1456" t="s">
        <v>578</v>
      </c>
      <c r="C1456" t="s">
        <v>213</v>
      </c>
      <c r="D1456" t="s">
        <v>43</v>
      </c>
      <c r="E1456" t="s">
        <v>69</v>
      </c>
      <c r="F1456" t="s">
        <v>22</v>
      </c>
      <c r="G1456" t="s">
        <v>23</v>
      </c>
      <c r="H1456" s="1">
        <v>45232</v>
      </c>
      <c r="I1456" s="2">
        <v>45232.3166666667</v>
      </c>
      <c r="J1456">
        <v>7.6</v>
      </c>
      <c r="K1456" t="s">
        <v>24</v>
      </c>
      <c r="L1456">
        <v>0</v>
      </c>
      <c r="M1456">
        <v>4</v>
      </c>
      <c r="N1456" t="s">
        <v>462</v>
      </c>
      <c r="O1456" s="3" t="str">
        <f>TEXT(Ticket_Table[[#This Row],[raised_date]],"YYYY-MM")</f>
        <v>2023-11</v>
      </c>
      <c r="P1456" s="3" t="str">
        <f>IF(Ticket_Table[[#This Row],[resolution_hrs]]&lt;=4,"Fast",IF(Ticket_Table[[#This Row],[resolution_hrs]]&lt;=24,"Normal",IF(Ticket_Table[[#This Row],[resolution_hrs]]&lt;=48,"Slow","Very Slow")))</f>
        <v>Normal</v>
      </c>
      <c r="Q1456" s="3">
        <f>YEAR(Ticket_Table[[#This Row],[raised_date]])</f>
        <v>2023</v>
      </c>
    </row>
    <row r="1457" spans="1:17">
      <c r="A1457" t="s">
        <v>2016</v>
      </c>
      <c r="B1457" t="s">
        <v>114</v>
      </c>
      <c r="C1457" t="s">
        <v>287</v>
      </c>
      <c r="D1457" t="s">
        <v>29</v>
      </c>
      <c r="E1457" t="s">
        <v>106</v>
      </c>
      <c r="F1457" t="s">
        <v>70</v>
      </c>
      <c r="G1457" t="s">
        <v>31</v>
      </c>
      <c r="H1457" s="1">
        <v>45130</v>
      </c>
      <c r="I1457" s="2">
        <v>45132.2875</v>
      </c>
      <c r="J1457">
        <v>54.9</v>
      </c>
      <c r="K1457" t="s">
        <v>32</v>
      </c>
      <c r="L1457">
        <v>1</v>
      </c>
      <c r="M1457">
        <v>3</v>
      </c>
      <c r="N1457" t="s">
        <v>849</v>
      </c>
      <c r="O1457" s="3" t="str">
        <f>TEXT(Ticket_Table[[#This Row],[raised_date]],"YYYY-MM")</f>
        <v>2023-07</v>
      </c>
      <c r="P1457" s="3" t="str">
        <f>IF(Ticket_Table[[#This Row],[resolution_hrs]]&lt;=4,"Fast",IF(Ticket_Table[[#This Row],[resolution_hrs]]&lt;=24,"Normal",IF(Ticket_Table[[#This Row],[resolution_hrs]]&lt;=48,"Slow","Very Slow")))</f>
        <v>Very Slow</v>
      </c>
      <c r="Q1457" s="3">
        <f>YEAR(Ticket_Table[[#This Row],[raised_date]])</f>
        <v>2023</v>
      </c>
    </row>
    <row r="1458" spans="1:17">
      <c r="A1458" t="s">
        <v>2017</v>
      </c>
      <c r="B1458" t="s">
        <v>567</v>
      </c>
      <c r="C1458" t="s">
        <v>55</v>
      </c>
      <c r="D1458" t="s">
        <v>20</v>
      </c>
      <c r="E1458" t="s">
        <v>44</v>
      </c>
      <c r="F1458" t="s">
        <v>38</v>
      </c>
      <c r="G1458" t="s">
        <v>23</v>
      </c>
      <c r="H1458" s="1">
        <v>44961</v>
      </c>
      <c r="I1458" s="2">
        <v>44962.0041666667</v>
      </c>
      <c r="J1458">
        <v>24.1</v>
      </c>
      <c r="K1458" t="s">
        <v>32</v>
      </c>
      <c r="L1458">
        <v>0</v>
      </c>
      <c r="M1458">
        <v>3</v>
      </c>
      <c r="N1458" t="s">
        <v>655</v>
      </c>
      <c r="O1458" s="3" t="str">
        <f>TEXT(Ticket_Table[[#This Row],[raised_date]],"YYYY-MM")</f>
        <v>2023-02</v>
      </c>
      <c r="P1458" s="3" t="str">
        <f>IF(Ticket_Table[[#This Row],[resolution_hrs]]&lt;=4,"Fast",IF(Ticket_Table[[#This Row],[resolution_hrs]]&lt;=24,"Normal",IF(Ticket_Table[[#This Row],[resolution_hrs]]&lt;=48,"Slow","Very Slow")))</f>
        <v>Slow</v>
      </c>
      <c r="Q1458" s="3">
        <f>YEAR(Ticket_Table[[#This Row],[raised_date]])</f>
        <v>2023</v>
      </c>
    </row>
    <row r="1459" spans="1:17">
      <c r="A1459" t="s">
        <v>2018</v>
      </c>
      <c r="B1459" t="s">
        <v>163</v>
      </c>
      <c r="C1459" t="s">
        <v>78</v>
      </c>
      <c r="D1459" t="s">
        <v>43</v>
      </c>
      <c r="E1459" t="s">
        <v>51</v>
      </c>
      <c r="F1459" t="s">
        <v>45</v>
      </c>
      <c r="G1459" t="s">
        <v>31</v>
      </c>
      <c r="H1459" s="1">
        <v>44320</v>
      </c>
      <c r="I1459" s="2">
        <v>44320.175</v>
      </c>
      <c r="J1459">
        <v>4.2</v>
      </c>
      <c r="K1459" t="s">
        <v>32</v>
      </c>
      <c r="L1459">
        <v>2</v>
      </c>
      <c r="M1459">
        <v>5</v>
      </c>
      <c r="N1459" t="s">
        <v>189</v>
      </c>
      <c r="O1459" s="3" t="str">
        <f>TEXT(Ticket_Table[[#This Row],[raised_date]],"YYYY-MM")</f>
        <v>2021-05</v>
      </c>
      <c r="P1459" s="3" t="str">
        <f>IF(Ticket_Table[[#This Row],[resolution_hrs]]&lt;=4,"Fast",IF(Ticket_Table[[#This Row],[resolution_hrs]]&lt;=24,"Normal",IF(Ticket_Table[[#This Row],[resolution_hrs]]&lt;=48,"Slow","Very Slow")))</f>
        <v>Normal</v>
      </c>
      <c r="Q1459" s="3">
        <f>YEAR(Ticket_Table[[#This Row],[raised_date]])</f>
        <v>2021</v>
      </c>
    </row>
    <row r="1460" spans="1:17">
      <c r="A1460" t="s">
        <v>2019</v>
      </c>
      <c r="B1460" t="s">
        <v>643</v>
      </c>
      <c r="C1460" t="s">
        <v>82</v>
      </c>
      <c r="D1460" t="s">
        <v>29</v>
      </c>
      <c r="E1460" t="s">
        <v>166</v>
      </c>
      <c r="F1460" t="s">
        <v>70</v>
      </c>
      <c r="G1460" t="s">
        <v>46</v>
      </c>
      <c r="H1460" s="1">
        <v>45186</v>
      </c>
      <c r="I1460" s="2">
        <v>45188.7125</v>
      </c>
      <c r="J1460">
        <v>65.1</v>
      </c>
      <c r="K1460" t="s">
        <v>32</v>
      </c>
      <c r="L1460">
        <v>1</v>
      </c>
      <c r="M1460">
        <v>3</v>
      </c>
      <c r="N1460" t="s">
        <v>438</v>
      </c>
      <c r="O1460" s="3" t="str">
        <f>TEXT(Ticket_Table[[#This Row],[raised_date]],"YYYY-MM")</f>
        <v>2023-09</v>
      </c>
      <c r="P1460" s="3" t="str">
        <f>IF(Ticket_Table[[#This Row],[resolution_hrs]]&lt;=4,"Fast",IF(Ticket_Table[[#This Row],[resolution_hrs]]&lt;=24,"Normal",IF(Ticket_Table[[#This Row],[resolution_hrs]]&lt;=48,"Slow","Very Slow")))</f>
        <v>Very Slow</v>
      </c>
      <c r="Q1460" s="3">
        <f>YEAR(Ticket_Table[[#This Row],[raised_date]])</f>
        <v>2023</v>
      </c>
    </row>
    <row r="1461" spans="1:17">
      <c r="A1461" t="s">
        <v>2020</v>
      </c>
      <c r="B1461" t="s">
        <v>380</v>
      </c>
      <c r="C1461" t="s">
        <v>201</v>
      </c>
      <c r="D1461" t="s">
        <v>20</v>
      </c>
      <c r="E1461" t="s">
        <v>44</v>
      </c>
      <c r="F1461" t="s">
        <v>70</v>
      </c>
      <c r="G1461" t="s">
        <v>31</v>
      </c>
      <c r="H1461" s="1">
        <v>45196</v>
      </c>
      <c r="I1461" s="2">
        <v>45196.2125</v>
      </c>
      <c r="J1461">
        <v>5.1</v>
      </c>
      <c r="K1461" t="s">
        <v>24</v>
      </c>
      <c r="L1461">
        <v>0</v>
      </c>
      <c r="M1461">
        <v>4</v>
      </c>
      <c r="N1461" t="s">
        <v>833</v>
      </c>
      <c r="O1461" s="3" t="str">
        <f>TEXT(Ticket_Table[[#This Row],[raised_date]],"YYYY-MM")</f>
        <v>2023-09</v>
      </c>
      <c r="P1461" s="3" t="str">
        <f>IF(Ticket_Table[[#This Row],[resolution_hrs]]&lt;=4,"Fast",IF(Ticket_Table[[#This Row],[resolution_hrs]]&lt;=24,"Normal",IF(Ticket_Table[[#This Row],[resolution_hrs]]&lt;=48,"Slow","Very Slow")))</f>
        <v>Normal</v>
      </c>
      <c r="Q1461" s="3">
        <f>YEAR(Ticket_Table[[#This Row],[raised_date]])</f>
        <v>2023</v>
      </c>
    </row>
    <row r="1462" spans="1:17">
      <c r="A1462" t="s">
        <v>2021</v>
      </c>
      <c r="B1462" t="s">
        <v>1025</v>
      </c>
      <c r="C1462" t="s">
        <v>55</v>
      </c>
      <c r="D1462" t="s">
        <v>29</v>
      </c>
      <c r="E1462" t="s">
        <v>166</v>
      </c>
      <c r="F1462" t="s">
        <v>70</v>
      </c>
      <c r="G1462" t="s">
        <v>31</v>
      </c>
      <c r="H1462" s="1">
        <v>44229</v>
      </c>
      <c r="I1462" s="2">
        <v>44230.9083333333</v>
      </c>
      <c r="J1462">
        <v>45.8</v>
      </c>
      <c r="K1462" t="s">
        <v>24</v>
      </c>
      <c r="L1462">
        <v>0</v>
      </c>
      <c r="M1462">
        <v>3</v>
      </c>
      <c r="N1462" t="s">
        <v>207</v>
      </c>
      <c r="O1462" s="3" t="str">
        <f>TEXT(Ticket_Table[[#This Row],[raised_date]],"YYYY-MM")</f>
        <v>2021-02</v>
      </c>
      <c r="P1462" s="3" t="str">
        <f>IF(Ticket_Table[[#This Row],[resolution_hrs]]&lt;=4,"Fast",IF(Ticket_Table[[#This Row],[resolution_hrs]]&lt;=24,"Normal",IF(Ticket_Table[[#This Row],[resolution_hrs]]&lt;=48,"Slow","Very Slow")))</f>
        <v>Slow</v>
      </c>
      <c r="Q1462" s="3">
        <f>YEAR(Ticket_Table[[#This Row],[raised_date]])</f>
        <v>2021</v>
      </c>
    </row>
    <row r="1463" spans="1:17">
      <c r="A1463" t="s">
        <v>2022</v>
      </c>
      <c r="B1463" t="s">
        <v>600</v>
      </c>
      <c r="C1463" t="s">
        <v>117</v>
      </c>
      <c r="D1463" t="s">
        <v>20</v>
      </c>
      <c r="E1463" t="s">
        <v>44</v>
      </c>
      <c r="F1463" t="s">
        <v>38</v>
      </c>
      <c r="G1463" t="s">
        <v>23</v>
      </c>
      <c r="H1463" s="1">
        <v>44210</v>
      </c>
      <c r="I1463" s="2">
        <v>44211.0833333333</v>
      </c>
      <c r="J1463">
        <v>26</v>
      </c>
      <c r="K1463" t="s">
        <v>32</v>
      </c>
      <c r="L1463">
        <v>0</v>
      </c>
      <c r="M1463">
        <v>5</v>
      </c>
      <c r="N1463" t="s">
        <v>372</v>
      </c>
      <c r="O1463" s="3" t="str">
        <f>TEXT(Ticket_Table[[#This Row],[raised_date]],"YYYY-MM")</f>
        <v>2021-01</v>
      </c>
      <c r="P1463" s="3" t="str">
        <f>IF(Ticket_Table[[#This Row],[resolution_hrs]]&lt;=4,"Fast",IF(Ticket_Table[[#This Row],[resolution_hrs]]&lt;=24,"Normal",IF(Ticket_Table[[#This Row],[resolution_hrs]]&lt;=48,"Slow","Very Slow")))</f>
        <v>Slow</v>
      </c>
      <c r="Q1463" s="3">
        <f>YEAR(Ticket_Table[[#This Row],[raised_date]])</f>
        <v>2021</v>
      </c>
    </row>
    <row r="1464" spans="1:17">
      <c r="A1464" t="s">
        <v>2023</v>
      </c>
      <c r="B1464" t="s">
        <v>149</v>
      </c>
      <c r="C1464" t="s">
        <v>287</v>
      </c>
      <c r="D1464" t="s">
        <v>20</v>
      </c>
      <c r="E1464" t="s">
        <v>51</v>
      </c>
      <c r="F1464" t="s">
        <v>22</v>
      </c>
      <c r="G1464" t="s">
        <v>31</v>
      </c>
      <c r="H1464" s="1">
        <v>45286</v>
      </c>
      <c r="I1464" s="2">
        <v>45288.9875</v>
      </c>
      <c r="J1464">
        <v>71.7</v>
      </c>
      <c r="K1464" t="s">
        <v>24</v>
      </c>
      <c r="L1464">
        <v>1</v>
      </c>
      <c r="M1464">
        <v>3</v>
      </c>
      <c r="N1464" t="s">
        <v>1129</v>
      </c>
      <c r="O1464" s="3" t="str">
        <f>TEXT(Ticket_Table[[#This Row],[raised_date]],"YYYY-MM")</f>
        <v>2023-12</v>
      </c>
      <c r="P1464" s="3" t="str">
        <f>IF(Ticket_Table[[#This Row],[resolution_hrs]]&lt;=4,"Fast",IF(Ticket_Table[[#This Row],[resolution_hrs]]&lt;=24,"Normal",IF(Ticket_Table[[#This Row],[resolution_hrs]]&lt;=48,"Slow","Very Slow")))</f>
        <v>Very Slow</v>
      </c>
      <c r="Q1464" s="3">
        <f>YEAR(Ticket_Table[[#This Row],[raised_date]])</f>
        <v>2023</v>
      </c>
    </row>
    <row r="1465" spans="1:17">
      <c r="A1465" t="s">
        <v>2024</v>
      </c>
      <c r="B1465" t="s">
        <v>124</v>
      </c>
      <c r="C1465" t="s">
        <v>175</v>
      </c>
      <c r="D1465" t="s">
        <v>20</v>
      </c>
      <c r="E1465" t="s">
        <v>166</v>
      </c>
      <c r="F1465" t="s">
        <v>38</v>
      </c>
      <c r="G1465" t="s">
        <v>23</v>
      </c>
      <c r="H1465" s="1">
        <v>45039</v>
      </c>
      <c r="I1465" s="2">
        <v>45039.8</v>
      </c>
      <c r="J1465">
        <v>19.2</v>
      </c>
      <c r="K1465" t="s">
        <v>24</v>
      </c>
      <c r="L1465">
        <v>1</v>
      </c>
      <c r="M1465">
        <v>3</v>
      </c>
      <c r="N1465" t="s">
        <v>39</v>
      </c>
      <c r="O1465" s="3" t="str">
        <f>TEXT(Ticket_Table[[#This Row],[raised_date]],"YYYY-MM")</f>
        <v>2023-04</v>
      </c>
      <c r="P1465" s="3" t="str">
        <f>IF(Ticket_Table[[#This Row],[resolution_hrs]]&lt;=4,"Fast",IF(Ticket_Table[[#This Row],[resolution_hrs]]&lt;=24,"Normal",IF(Ticket_Table[[#This Row],[resolution_hrs]]&lt;=48,"Slow","Very Slow")))</f>
        <v>Normal</v>
      </c>
      <c r="Q1465" s="3">
        <f>YEAR(Ticket_Table[[#This Row],[raised_date]])</f>
        <v>2023</v>
      </c>
    </row>
    <row r="1466" spans="1:17">
      <c r="A1466" t="s">
        <v>2025</v>
      </c>
      <c r="B1466" t="s">
        <v>347</v>
      </c>
      <c r="C1466" t="s">
        <v>175</v>
      </c>
      <c r="D1466" t="s">
        <v>29</v>
      </c>
      <c r="E1466" t="s">
        <v>30</v>
      </c>
      <c r="F1466" t="s">
        <v>22</v>
      </c>
      <c r="G1466" t="s">
        <v>23</v>
      </c>
      <c r="H1466" s="1">
        <v>44221</v>
      </c>
      <c r="I1466" s="2">
        <v>44222.3583333333</v>
      </c>
      <c r="J1466">
        <v>32.6</v>
      </c>
      <c r="K1466" t="s">
        <v>24</v>
      </c>
      <c r="L1466">
        <v>0</v>
      </c>
      <c r="M1466">
        <v>4</v>
      </c>
      <c r="N1466" t="s">
        <v>1502</v>
      </c>
      <c r="O1466" s="3" t="str">
        <f>TEXT(Ticket_Table[[#This Row],[raised_date]],"YYYY-MM")</f>
        <v>2021-01</v>
      </c>
      <c r="P1466" s="3" t="str">
        <f>IF(Ticket_Table[[#This Row],[resolution_hrs]]&lt;=4,"Fast",IF(Ticket_Table[[#This Row],[resolution_hrs]]&lt;=24,"Normal",IF(Ticket_Table[[#This Row],[resolution_hrs]]&lt;=48,"Slow","Very Slow")))</f>
        <v>Slow</v>
      </c>
      <c r="Q1466" s="3">
        <f>YEAR(Ticket_Table[[#This Row],[raised_date]])</f>
        <v>2021</v>
      </c>
    </row>
    <row r="1467" spans="1:17">
      <c r="A1467" t="s">
        <v>2026</v>
      </c>
      <c r="B1467" t="s">
        <v>491</v>
      </c>
      <c r="C1467" t="s">
        <v>201</v>
      </c>
      <c r="D1467" t="s">
        <v>20</v>
      </c>
      <c r="E1467" t="s">
        <v>21</v>
      </c>
      <c r="F1467" t="s">
        <v>22</v>
      </c>
      <c r="G1467" t="s">
        <v>31</v>
      </c>
      <c r="H1467" s="1">
        <v>44231</v>
      </c>
      <c r="I1467" s="2">
        <v>44232.8333333333</v>
      </c>
      <c r="J1467">
        <v>44</v>
      </c>
      <c r="K1467" t="s">
        <v>24</v>
      </c>
      <c r="L1467">
        <v>0</v>
      </c>
      <c r="M1467">
        <v>4</v>
      </c>
      <c r="N1467" t="s">
        <v>1123</v>
      </c>
      <c r="O1467" s="3" t="str">
        <f>TEXT(Ticket_Table[[#This Row],[raised_date]],"YYYY-MM")</f>
        <v>2021-02</v>
      </c>
      <c r="P1467" s="3" t="str">
        <f>IF(Ticket_Table[[#This Row],[resolution_hrs]]&lt;=4,"Fast",IF(Ticket_Table[[#This Row],[resolution_hrs]]&lt;=24,"Normal",IF(Ticket_Table[[#This Row],[resolution_hrs]]&lt;=48,"Slow","Very Slow")))</f>
        <v>Slow</v>
      </c>
      <c r="Q1467" s="3">
        <f>YEAR(Ticket_Table[[#This Row],[raised_date]])</f>
        <v>2021</v>
      </c>
    </row>
    <row r="1468" spans="1:17">
      <c r="A1468" t="s">
        <v>2027</v>
      </c>
      <c r="B1468" t="s">
        <v>248</v>
      </c>
      <c r="C1468" t="s">
        <v>201</v>
      </c>
      <c r="D1468" t="s">
        <v>43</v>
      </c>
      <c r="E1468" t="s">
        <v>106</v>
      </c>
      <c r="F1468" t="s">
        <v>70</v>
      </c>
      <c r="G1468" t="s">
        <v>74</v>
      </c>
      <c r="H1468" s="1">
        <v>45281</v>
      </c>
      <c r="I1468" s="2">
        <v>45283.0541666667</v>
      </c>
      <c r="J1468">
        <v>49.3</v>
      </c>
      <c r="K1468" t="s">
        <v>32</v>
      </c>
      <c r="L1468">
        <v>0</v>
      </c>
      <c r="M1468">
        <v>4</v>
      </c>
      <c r="N1468" t="s">
        <v>549</v>
      </c>
      <c r="O1468" s="3" t="str">
        <f>TEXT(Ticket_Table[[#This Row],[raised_date]],"YYYY-MM")</f>
        <v>2023-12</v>
      </c>
      <c r="P1468" s="3" t="str">
        <f>IF(Ticket_Table[[#This Row],[resolution_hrs]]&lt;=4,"Fast",IF(Ticket_Table[[#This Row],[resolution_hrs]]&lt;=24,"Normal",IF(Ticket_Table[[#This Row],[resolution_hrs]]&lt;=48,"Slow","Very Slow")))</f>
        <v>Very Slow</v>
      </c>
      <c r="Q1468" s="3">
        <f>YEAR(Ticket_Table[[#This Row],[raised_date]])</f>
        <v>2023</v>
      </c>
    </row>
    <row r="1469" spans="1:17">
      <c r="A1469" t="s">
        <v>2028</v>
      </c>
      <c r="B1469" t="s">
        <v>212</v>
      </c>
      <c r="C1469" t="s">
        <v>19</v>
      </c>
      <c r="D1469" t="s">
        <v>36</v>
      </c>
      <c r="E1469" t="s">
        <v>69</v>
      </c>
      <c r="F1469" t="s">
        <v>70</v>
      </c>
      <c r="G1469" t="s">
        <v>74</v>
      </c>
      <c r="H1469" s="1">
        <v>44759</v>
      </c>
      <c r="I1469" s="2">
        <v>44760.6791666667</v>
      </c>
      <c r="J1469">
        <v>40.3</v>
      </c>
      <c r="K1469" t="s">
        <v>24</v>
      </c>
      <c r="L1469">
        <v>0</v>
      </c>
      <c r="M1469">
        <v>4</v>
      </c>
      <c r="N1469" t="s">
        <v>101</v>
      </c>
      <c r="O1469" s="3" t="str">
        <f>TEXT(Ticket_Table[[#This Row],[raised_date]],"YYYY-MM")</f>
        <v>2022-07</v>
      </c>
      <c r="P1469" s="3" t="str">
        <f>IF(Ticket_Table[[#This Row],[resolution_hrs]]&lt;=4,"Fast",IF(Ticket_Table[[#This Row],[resolution_hrs]]&lt;=24,"Normal",IF(Ticket_Table[[#This Row],[resolution_hrs]]&lt;=48,"Slow","Very Slow")))</f>
        <v>Slow</v>
      </c>
      <c r="Q1469" s="3">
        <f>YEAR(Ticket_Table[[#This Row],[raised_date]])</f>
        <v>2022</v>
      </c>
    </row>
    <row r="1470" spans="1:17">
      <c r="A1470" t="s">
        <v>2029</v>
      </c>
      <c r="B1470" t="s">
        <v>708</v>
      </c>
      <c r="C1470" t="s">
        <v>55</v>
      </c>
      <c r="D1470" t="s">
        <v>36</v>
      </c>
      <c r="E1470" t="s">
        <v>106</v>
      </c>
      <c r="F1470" t="s">
        <v>70</v>
      </c>
      <c r="G1470" t="s">
        <v>23</v>
      </c>
      <c r="H1470" s="1">
        <v>44784</v>
      </c>
      <c r="I1470" s="2">
        <v>44784.9416666667</v>
      </c>
      <c r="J1470">
        <v>22.6</v>
      </c>
      <c r="K1470" t="s">
        <v>24</v>
      </c>
      <c r="L1470">
        <v>0</v>
      </c>
      <c r="M1470">
        <v>3</v>
      </c>
      <c r="N1470" t="s">
        <v>876</v>
      </c>
      <c r="O1470" s="3" t="str">
        <f>TEXT(Ticket_Table[[#This Row],[raised_date]],"YYYY-MM")</f>
        <v>2022-08</v>
      </c>
      <c r="P1470" s="3" t="str">
        <f>IF(Ticket_Table[[#This Row],[resolution_hrs]]&lt;=4,"Fast",IF(Ticket_Table[[#This Row],[resolution_hrs]]&lt;=24,"Normal",IF(Ticket_Table[[#This Row],[resolution_hrs]]&lt;=48,"Slow","Very Slow")))</f>
        <v>Normal</v>
      </c>
      <c r="Q1470" s="3">
        <f>YEAR(Ticket_Table[[#This Row],[raised_date]])</f>
        <v>2022</v>
      </c>
    </row>
    <row r="1471" spans="1:17">
      <c r="A1471" t="s">
        <v>2030</v>
      </c>
      <c r="B1471" t="s">
        <v>275</v>
      </c>
      <c r="C1471" t="s">
        <v>78</v>
      </c>
      <c r="D1471" t="s">
        <v>20</v>
      </c>
      <c r="E1471" t="s">
        <v>69</v>
      </c>
      <c r="F1471" t="s">
        <v>70</v>
      </c>
      <c r="G1471" t="s">
        <v>31</v>
      </c>
      <c r="H1471" s="1">
        <v>44232</v>
      </c>
      <c r="I1471" s="2">
        <v>44234.2375</v>
      </c>
      <c r="J1471">
        <v>53.7</v>
      </c>
      <c r="K1471" t="s">
        <v>32</v>
      </c>
      <c r="L1471">
        <v>0</v>
      </c>
      <c r="M1471">
        <v>4</v>
      </c>
      <c r="N1471" t="s">
        <v>320</v>
      </c>
      <c r="O1471" s="3" t="str">
        <f>TEXT(Ticket_Table[[#This Row],[raised_date]],"YYYY-MM")</f>
        <v>2021-02</v>
      </c>
      <c r="P1471" s="3" t="str">
        <f>IF(Ticket_Table[[#This Row],[resolution_hrs]]&lt;=4,"Fast",IF(Ticket_Table[[#This Row],[resolution_hrs]]&lt;=24,"Normal",IF(Ticket_Table[[#This Row],[resolution_hrs]]&lt;=48,"Slow","Very Slow")))</f>
        <v>Very Slow</v>
      </c>
      <c r="Q1471" s="3">
        <f>YEAR(Ticket_Table[[#This Row],[raised_date]])</f>
        <v>2021</v>
      </c>
    </row>
    <row r="1472" spans="1:17">
      <c r="A1472" t="s">
        <v>2031</v>
      </c>
      <c r="B1472" t="s">
        <v>1243</v>
      </c>
      <c r="C1472" t="s">
        <v>102</v>
      </c>
      <c r="D1472" t="s">
        <v>36</v>
      </c>
      <c r="E1472" t="s">
        <v>37</v>
      </c>
      <c r="F1472" t="s">
        <v>70</v>
      </c>
      <c r="G1472" t="s">
        <v>31</v>
      </c>
      <c r="H1472" s="1">
        <v>45225</v>
      </c>
      <c r="I1472" s="2">
        <v>45227.7333333333</v>
      </c>
      <c r="J1472">
        <v>65.6</v>
      </c>
      <c r="K1472" t="s">
        <v>32</v>
      </c>
      <c r="L1472">
        <v>0</v>
      </c>
      <c r="M1472">
        <v>4</v>
      </c>
      <c r="N1472" t="s">
        <v>643</v>
      </c>
      <c r="O1472" s="3" t="str">
        <f>TEXT(Ticket_Table[[#This Row],[raised_date]],"YYYY-MM")</f>
        <v>2023-10</v>
      </c>
      <c r="P1472" s="3" t="str">
        <f>IF(Ticket_Table[[#This Row],[resolution_hrs]]&lt;=4,"Fast",IF(Ticket_Table[[#This Row],[resolution_hrs]]&lt;=24,"Normal",IF(Ticket_Table[[#This Row],[resolution_hrs]]&lt;=48,"Slow","Very Slow")))</f>
        <v>Very Slow</v>
      </c>
      <c r="Q1472" s="3">
        <f>YEAR(Ticket_Table[[#This Row],[raised_date]])</f>
        <v>2023</v>
      </c>
    </row>
    <row r="1473" spans="1:17">
      <c r="A1473" t="s">
        <v>2032</v>
      </c>
      <c r="B1473" t="s">
        <v>218</v>
      </c>
      <c r="C1473" t="s">
        <v>19</v>
      </c>
      <c r="D1473" t="s">
        <v>36</v>
      </c>
      <c r="E1473" t="s">
        <v>56</v>
      </c>
      <c r="F1473" t="s">
        <v>22</v>
      </c>
      <c r="G1473" t="s">
        <v>74</v>
      </c>
      <c r="H1473" s="1">
        <v>45078</v>
      </c>
      <c r="I1473" s="2">
        <v>45078.075</v>
      </c>
      <c r="J1473">
        <v>1.8</v>
      </c>
      <c r="K1473" t="s">
        <v>24</v>
      </c>
      <c r="L1473">
        <v>0</v>
      </c>
      <c r="M1473">
        <v>4</v>
      </c>
      <c r="N1473" t="s">
        <v>567</v>
      </c>
      <c r="O1473" s="3" t="str">
        <f>TEXT(Ticket_Table[[#This Row],[raised_date]],"YYYY-MM")</f>
        <v>2023-06</v>
      </c>
      <c r="P1473" s="3" t="str">
        <f>IF(Ticket_Table[[#This Row],[resolution_hrs]]&lt;=4,"Fast",IF(Ticket_Table[[#This Row],[resolution_hrs]]&lt;=24,"Normal",IF(Ticket_Table[[#This Row],[resolution_hrs]]&lt;=48,"Slow","Very Slow")))</f>
        <v>Fast</v>
      </c>
      <c r="Q1473" s="3">
        <f>YEAR(Ticket_Table[[#This Row],[raised_date]])</f>
        <v>2023</v>
      </c>
    </row>
    <row r="1474" spans="1:17">
      <c r="A1474" t="s">
        <v>2033</v>
      </c>
      <c r="B1474" t="s">
        <v>308</v>
      </c>
      <c r="C1474" t="s">
        <v>140</v>
      </c>
      <c r="D1474" t="s">
        <v>20</v>
      </c>
      <c r="E1474" t="s">
        <v>37</v>
      </c>
      <c r="F1474" t="s">
        <v>70</v>
      </c>
      <c r="G1474" t="s">
        <v>91</v>
      </c>
      <c r="H1474" s="1">
        <v>44564</v>
      </c>
      <c r="I1474" s="2">
        <v>44564.8708333333</v>
      </c>
      <c r="J1474">
        <v>20.9</v>
      </c>
      <c r="K1474" t="s">
        <v>24</v>
      </c>
      <c r="L1474">
        <v>0</v>
      </c>
      <c r="M1474">
        <v>3</v>
      </c>
      <c r="N1474" t="s">
        <v>594</v>
      </c>
      <c r="O1474" s="3" t="str">
        <f>TEXT(Ticket_Table[[#This Row],[raised_date]],"YYYY-MM")</f>
        <v>2022-01</v>
      </c>
      <c r="P1474" s="3" t="str">
        <f>IF(Ticket_Table[[#This Row],[resolution_hrs]]&lt;=4,"Fast",IF(Ticket_Table[[#This Row],[resolution_hrs]]&lt;=24,"Normal",IF(Ticket_Table[[#This Row],[resolution_hrs]]&lt;=48,"Slow","Very Slow")))</f>
        <v>Normal</v>
      </c>
      <c r="Q1474" s="3">
        <f>YEAR(Ticket_Table[[#This Row],[raised_date]])</f>
        <v>2022</v>
      </c>
    </row>
    <row r="1475" spans="1:17">
      <c r="A1475" t="s">
        <v>2034</v>
      </c>
      <c r="B1475" t="s">
        <v>529</v>
      </c>
      <c r="C1475" t="s">
        <v>60</v>
      </c>
      <c r="D1475" t="s">
        <v>20</v>
      </c>
      <c r="E1475" t="s">
        <v>83</v>
      </c>
      <c r="F1475" t="s">
        <v>45</v>
      </c>
      <c r="G1475" t="s">
        <v>31</v>
      </c>
      <c r="H1475" s="1">
        <v>44416</v>
      </c>
      <c r="I1475" s="2">
        <v>44416.15</v>
      </c>
      <c r="J1475">
        <v>3.6</v>
      </c>
      <c r="K1475" t="s">
        <v>24</v>
      </c>
      <c r="L1475">
        <v>1</v>
      </c>
      <c r="M1475">
        <v>4</v>
      </c>
      <c r="N1475" t="s">
        <v>295</v>
      </c>
      <c r="O1475" s="3" t="str">
        <f>TEXT(Ticket_Table[[#This Row],[raised_date]],"YYYY-MM")</f>
        <v>2021-08</v>
      </c>
      <c r="P1475" s="3" t="str">
        <f>IF(Ticket_Table[[#This Row],[resolution_hrs]]&lt;=4,"Fast",IF(Ticket_Table[[#This Row],[resolution_hrs]]&lt;=24,"Normal",IF(Ticket_Table[[#This Row],[resolution_hrs]]&lt;=48,"Slow","Very Slow")))</f>
        <v>Fast</v>
      </c>
      <c r="Q1475" s="3">
        <f>YEAR(Ticket_Table[[#This Row],[raised_date]])</f>
        <v>2021</v>
      </c>
    </row>
    <row r="1476" spans="1:17">
      <c r="A1476" t="s">
        <v>2035</v>
      </c>
      <c r="B1476" t="s">
        <v>670</v>
      </c>
      <c r="C1476" t="s">
        <v>201</v>
      </c>
      <c r="D1476" t="s">
        <v>43</v>
      </c>
      <c r="E1476" t="s">
        <v>51</v>
      </c>
      <c r="F1476" t="s">
        <v>70</v>
      </c>
      <c r="G1476" t="s">
        <v>31</v>
      </c>
      <c r="H1476" s="1">
        <v>44394</v>
      </c>
      <c r="I1476" s="2">
        <v>44396.7666666667</v>
      </c>
      <c r="J1476">
        <v>66.4</v>
      </c>
      <c r="K1476" t="s">
        <v>32</v>
      </c>
      <c r="L1476">
        <v>0</v>
      </c>
      <c r="M1476">
        <v>5</v>
      </c>
      <c r="N1476" t="s">
        <v>1123</v>
      </c>
      <c r="O1476" s="3" t="str">
        <f>TEXT(Ticket_Table[[#This Row],[raised_date]],"YYYY-MM")</f>
        <v>2021-07</v>
      </c>
      <c r="P1476" s="3" t="str">
        <f>IF(Ticket_Table[[#This Row],[resolution_hrs]]&lt;=4,"Fast",IF(Ticket_Table[[#This Row],[resolution_hrs]]&lt;=24,"Normal",IF(Ticket_Table[[#This Row],[resolution_hrs]]&lt;=48,"Slow","Very Slow")))</f>
        <v>Very Slow</v>
      </c>
      <c r="Q1476" s="3">
        <f>YEAR(Ticket_Table[[#This Row],[raised_date]])</f>
        <v>2021</v>
      </c>
    </row>
    <row r="1477" spans="1:17">
      <c r="A1477" t="s">
        <v>2036</v>
      </c>
      <c r="B1477" t="s">
        <v>782</v>
      </c>
      <c r="C1477" t="s">
        <v>261</v>
      </c>
      <c r="D1477" t="s">
        <v>90</v>
      </c>
      <c r="E1477" t="s">
        <v>30</v>
      </c>
      <c r="F1477" t="s">
        <v>70</v>
      </c>
      <c r="G1477" t="s">
        <v>23</v>
      </c>
      <c r="H1477" s="1">
        <v>45270</v>
      </c>
      <c r="I1477" s="2">
        <v>45272.1125</v>
      </c>
      <c r="J1477">
        <v>50.7</v>
      </c>
      <c r="K1477" t="s">
        <v>32</v>
      </c>
      <c r="L1477">
        <v>0</v>
      </c>
      <c r="M1477">
        <v>4</v>
      </c>
      <c r="N1477" t="s">
        <v>653</v>
      </c>
      <c r="O1477" s="3" t="str">
        <f>TEXT(Ticket_Table[[#This Row],[raised_date]],"YYYY-MM")</f>
        <v>2023-12</v>
      </c>
      <c r="P1477" s="3" t="str">
        <f>IF(Ticket_Table[[#This Row],[resolution_hrs]]&lt;=4,"Fast",IF(Ticket_Table[[#This Row],[resolution_hrs]]&lt;=24,"Normal",IF(Ticket_Table[[#This Row],[resolution_hrs]]&lt;=48,"Slow","Very Slow")))</f>
        <v>Very Slow</v>
      </c>
      <c r="Q1477" s="3">
        <f>YEAR(Ticket_Table[[#This Row],[raised_date]])</f>
        <v>2023</v>
      </c>
    </row>
    <row r="1478" spans="1:17">
      <c r="A1478" t="s">
        <v>2037</v>
      </c>
      <c r="B1478" t="s">
        <v>760</v>
      </c>
      <c r="C1478" t="s">
        <v>60</v>
      </c>
      <c r="D1478" t="s">
        <v>29</v>
      </c>
      <c r="E1478" t="s">
        <v>21</v>
      </c>
      <c r="F1478" t="s">
        <v>70</v>
      </c>
      <c r="G1478" t="s">
        <v>31</v>
      </c>
      <c r="H1478" s="1">
        <v>44501</v>
      </c>
      <c r="I1478" s="2">
        <v>44502.3625</v>
      </c>
      <c r="J1478">
        <v>32.7</v>
      </c>
      <c r="K1478" t="s">
        <v>24</v>
      </c>
      <c r="L1478">
        <v>0</v>
      </c>
      <c r="M1478">
        <v>2</v>
      </c>
      <c r="N1478" t="s">
        <v>1156</v>
      </c>
      <c r="O1478" s="3" t="str">
        <f>TEXT(Ticket_Table[[#This Row],[raised_date]],"YYYY-MM")</f>
        <v>2021-11</v>
      </c>
      <c r="P1478" s="3" t="str">
        <f>IF(Ticket_Table[[#This Row],[resolution_hrs]]&lt;=4,"Fast",IF(Ticket_Table[[#This Row],[resolution_hrs]]&lt;=24,"Normal",IF(Ticket_Table[[#This Row],[resolution_hrs]]&lt;=48,"Slow","Very Slow")))</f>
        <v>Slow</v>
      </c>
      <c r="Q1478" s="3">
        <f>YEAR(Ticket_Table[[#This Row],[raised_date]])</f>
        <v>2021</v>
      </c>
    </row>
    <row r="1479" spans="1:17">
      <c r="A1479" t="s">
        <v>2038</v>
      </c>
      <c r="B1479" t="s">
        <v>109</v>
      </c>
      <c r="C1479" t="s">
        <v>102</v>
      </c>
      <c r="D1479" t="s">
        <v>20</v>
      </c>
      <c r="E1479" t="s">
        <v>30</v>
      </c>
      <c r="F1479" t="s">
        <v>45</v>
      </c>
      <c r="G1479" t="s">
        <v>31</v>
      </c>
      <c r="H1479" s="1">
        <v>44690</v>
      </c>
      <c r="I1479" s="2">
        <v>44690.0833333333</v>
      </c>
      <c r="J1479">
        <v>2</v>
      </c>
      <c r="K1479" t="s">
        <v>24</v>
      </c>
      <c r="L1479">
        <v>0</v>
      </c>
      <c r="M1479">
        <v>4</v>
      </c>
      <c r="N1479" t="s">
        <v>579</v>
      </c>
      <c r="O1479" s="3" t="str">
        <f>TEXT(Ticket_Table[[#This Row],[raised_date]],"YYYY-MM")</f>
        <v>2022-05</v>
      </c>
      <c r="P1479" s="3" t="str">
        <f>IF(Ticket_Table[[#This Row],[resolution_hrs]]&lt;=4,"Fast",IF(Ticket_Table[[#This Row],[resolution_hrs]]&lt;=24,"Normal",IF(Ticket_Table[[#This Row],[resolution_hrs]]&lt;=48,"Slow","Very Slow")))</f>
        <v>Fast</v>
      </c>
      <c r="Q1479" s="3">
        <f>YEAR(Ticket_Table[[#This Row],[raised_date]])</f>
        <v>2022</v>
      </c>
    </row>
    <row r="1480" spans="1:17">
      <c r="A1480" t="s">
        <v>2039</v>
      </c>
      <c r="B1480" t="s">
        <v>378</v>
      </c>
      <c r="C1480" t="s">
        <v>55</v>
      </c>
      <c r="D1480" t="s">
        <v>20</v>
      </c>
      <c r="E1480" t="s">
        <v>106</v>
      </c>
      <c r="F1480" t="s">
        <v>22</v>
      </c>
      <c r="G1480" t="s">
        <v>23</v>
      </c>
      <c r="H1480" s="1">
        <v>44590</v>
      </c>
      <c r="I1480" s="2">
        <v>44592.4708333333</v>
      </c>
      <c r="J1480">
        <v>59.3</v>
      </c>
      <c r="K1480" t="s">
        <v>24</v>
      </c>
      <c r="L1480">
        <v>2</v>
      </c>
      <c r="M1480">
        <v>4</v>
      </c>
      <c r="N1480" t="s">
        <v>538</v>
      </c>
      <c r="O1480" s="3" t="str">
        <f>TEXT(Ticket_Table[[#This Row],[raised_date]],"YYYY-MM")</f>
        <v>2022-01</v>
      </c>
      <c r="P1480" s="3" t="str">
        <f>IF(Ticket_Table[[#This Row],[resolution_hrs]]&lt;=4,"Fast",IF(Ticket_Table[[#This Row],[resolution_hrs]]&lt;=24,"Normal",IF(Ticket_Table[[#This Row],[resolution_hrs]]&lt;=48,"Slow","Very Slow")))</f>
        <v>Very Slow</v>
      </c>
      <c r="Q1480" s="3">
        <f>YEAR(Ticket_Table[[#This Row],[raised_date]])</f>
        <v>2022</v>
      </c>
    </row>
    <row r="1481" spans="1:17">
      <c r="A1481" t="s">
        <v>2040</v>
      </c>
      <c r="B1481" t="s">
        <v>221</v>
      </c>
      <c r="C1481" t="s">
        <v>102</v>
      </c>
      <c r="D1481" t="s">
        <v>36</v>
      </c>
      <c r="E1481" t="s">
        <v>69</v>
      </c>
      <c r="F1481" t="s">
        <v>38</v>
      </c>
      <c r="G1481" t="s">
        <v>91</v>
      </c>
      <c r="H1481" s="1">
        <v>45275</v>
      </c>
      <c r="I1481" s="2">
        <v>45276.1916666667</v>
      </c>
      <c r="J1481">
        <v>28.6</v>
      </c>
      <c r="K1481" t="s">
        <v>32</v>
      </c>
      <c r="L1481">
        <v>0</v>
      </c>
      <c r="M1481">
        <v>3</v>
      </c>
      <c r="N1481" t="s">
        <v>884</v>
      </c>
      <c r="O1481" s="3" t="str">
        <f>TEXT(Ticket_Table[[#This Row],[raised_date]],"YYYY-MM")</f>
        <v>2023-12</v>
      </c>
      <c r="P1481" s="3" t="str">
        <f>IF(Ticket_Table[[#This Row],[resolution_hrs]]&lt;=4,"Fast",IF(Ticket_Table[[#This Row],[resolution_hrs]]&lt;=24,"Normal",IF(Ticket_Table[[#This Row],[resolution_hrs]]&lt;=48,"Slow","Very Slow")))</f>
        <v>Slow</v>
      </c>
      <c r="Q1481" s="3">
        <f>YEAR(Ticket_Table[[#This Row],[raised_date]])</f>
        <v>2023</v>
      </c>
    </row>
    <row r="1482" spans="1:17">
      <c r="A1482" t="s">
        <v>2041</v>
      </c>
      <c r="B1482" t="s">
        <v>858</v>
      </c>
      <c r="C1482" t="s">
        <v>60</v>
      </c>
      <c r="D1482" t="s">
        <v>43</v>
      </c>
      <c r="E1482" t="s">
        <v>37</v>
      </c>
      <c r="F1482" t="s">
        <v>38</v>
      </c>
      <c r="G1482" t="s">
        <v>23</v>
      </c>
      <c r="H1482" s="1">
        <v>44713</v>
      </c>
      <c r="I1482" s="2">
        <v>44713.9916666667</v>
      </c>
      <c r="J1482">
        <v>23.8</v>
      </c>
      <c r="K1482" t="s">
        <v>24</v>
      </c>
      <c r="L1482">
        <v>0</v>
      </c>
      <c r="M1482">
        <v>4</v>
      </c>
      <c r="N1482" t="s">
        <v>671</v>
      </c>
      <c r="O1482" s="3" t="str">
        <f>TEXT(Ticket_Table[[#This Row],[raised_date]],"YYYY-MM")</f>
        <v>2022-06</v>
      </c>
      <c r="P1482" s="3" t="str">
        <f>IF(Ticket_Table[[#This Row],[resolution_hrs]]&lt;=4,"Fast",IF(Ticket_Table[[#This Row],[resolution_hrs]]&lt;=24,"Normal",IF(Ticket_Table[[#This Row],[resolution_hrs]]&lt;=48,"Slow","Very Slow")))</f>
        <v>Normal</v>
      </c>
      <c r="Q1482" s="3">
        <f>YEAR(Ticket_Table[[#This Row],[raised_date]])</f>
        <v>2022</v>
      </c>
    </row>
    <row r="1483" spans="1:17">
      <c r="A1483" t="s">
        <v>2042</v>
      </c>
      <c r="B1483" t="s">
        <v>544</v>
      </c>
      <c r="C1483" t="s">
        <v>287</v>
      </c>
      <c r="D1483" t="s">
        <v>36</v>
      </c>
      <c r="E1483" t="s">
        <v>30</v>
      </c>
      <c r="F1483" t="s">
        <v>70</v>
      </c>
      <c r="G1483" t="s">
        <v>23</v>
      </c>
      <c r="H1483" s="1">
        <v>44922</v>
      </c>
      <c r="I1483" s="2">
        <v>44924.1041666667</v>
      </c>
      <c r="J1483">
        <v>50.5</v>
      </c>
      <c r="K1483" t="s">
        <v>32</v>
      </c>
      <c r="L1483">
        <v>0</v>
      </c>
      <c r="M1483">
        <v>4</v>
      </c>
      <c r="N1483" t="s">
        <v>685</v>
      </c>
      <c r="O1483" s="3" t="str">
        <f>TEXT(Ticket_Table[[#This Row],[raised_date]],"YYYY-MM")</f>
        <v>2022-12</v>
      </c>
      <c r="P1483" s="3" t="str">
        <f>IF(Ticket_Table[[#This Row],[resolution_hrs]]&lt;=4,"Fast",IF(Ticket_Table[[#This Row],[resolution_hrs]]&lt;=24,"Normal",IF(Ticket_Table[[#This Row],[resolution_hrs]]&lt;=48,"Slow","Very Slow")))</f>
        <v>Very Slow</v>
      </c>
      <c r="Q1483" s="3">
        <f>YEAR(Ticket_Table[[#This Row],[raised_date]])</f>
        <v>2022</v>
      </c>
    </row>
    <row r="1484" spans="1:17">
      <c r="A1484" t="s">
        <v>2043</v>
      </c>
      <c r="B1484" t="s">
        <v>332</v>
      </c>
      <c r="C1484" t="s">
        <v>42</v>
      </c>
      <c r="D1484" t="s">
        <v>20</v>
      </c>
      <c r="E1484" t="s">
        <v>37</v>
      </c>
      <c r="F1484" t="s">
        <v>22</v>
      </c>
      <c r="G1484" t="s">
        <v>31</v>
      </c>
      <c r="H1484" s="1">
        <v>44744</v>
      </c>
      <c r="I1484" s="2">
        <v>44748</v>
      </c>
      <c r="J1484">
        <v>96</v>
      </c>
      <c r="K1484" t="s">
        <v>32</v>
      </c>
      <c r="L1484">
        <v>0</v>
      </c>
      <c r="M1484">
        <v>1</v>
      </c>
      <c r="N1484" t="s">
        <v>1356</v>
      </c>
      <c r="O1484" s="3" t="str">
        <f>TEXT(Ticket_Table[[#This Row],[raised_date]],"YYYY-MM")</f>
        <v>2022-07</v>
      </c>
      <c r="P1484" s="3" t="str">
        <f>IF(Ticket_Table[[#This Row],[resolution_hrs]]&lt;=4,"Fast",IF(Ticket_Table[[#This Row],[resolution_hrs]]&lt;=24,"Normal",IF(Ticket_Table[[#This Row],[resolution_hrs]]&lt;=48,"Slow","Very Slow")))</f>
        <v>Very Slow</v>
      </c>
      <c r="Q1484" s="3">
        <f>YEAR(Ticket_Table[[#This Row],[raised_date]])</f>
        <v>2022</v>
      </c>
    </row>
    <row r="1485" spans="1:17">
      <c r="A1485" t="s">
        <v>2044</v>
      </c>
      <c r="B1485" t="s">
        <v>858</v>
      </c>
      <c r="C1485" t="s">
        <v>50</v>
      </c>
      <c r="D1485" t="s">
        <v>20</v>
      </c>
      <c r="E1485" t="s">
        <v>56</v>
      </c>
      <c r="F1485" t="s">
        <v>38</v>
      </c>
      <c r="G1485" t="s">
        <v>91</v>
      </c>
      <c r="H1485" s="1">
        <v>45009</v>
      </c>
      <c r="I1485" s="2">
        <v>45010.1833333333</v>
      </c>
      <c r="J1485">
        <v>28.4</v>
      </c>
      <c r="K1485" t="s">
        <v>32</v>
      </c>
      <c r="L1485">
        <v>0</v>
      </c>
      <c r="M1485">
        <v>3</v>
      </c>
      <c r="N1485" t="s">
        <v>462</v>
      </c>
      <c r="O1485" s="3" t="str">
        <f>TEXT(Ticket_Table[[#This Row],[raised_date]],"YYYY-MM")</f>
        <v>2023-03</v>
      </c>
      <c r="P1485" s="3" t="str">
        <f>IF(Ticket_Table[[#This Row],[resolution_hrs]]&lt;=4,"Fast",IF(Ticket_Table[[#This Row],[resolution_hrs]]&lt;=24,"Normal",IF(Ticket_Table[[#This Row],[resolution_hrs]]&lt;=48,"Slow","Very Slow")))</f>
        <v>Slow</v>
      </c>
      <c r="Q1485" s="3">
        <f>YEAR(Ticket_Table[[#This Row],[raised_date]])</f>
        <v>2023</v>
      </c>
    </row>
    <row r="1486" spans="1:17">
      <c r="A1486" t="s">
        <v>2045</v>
      </c>
      <c r="B1486" t="s">
        <v>794</v>
      </c>
      <c r="C1486" t="s">
        <v>287</v>
      </c>
      <c r="D1486" t="s">
        <v>36</v>
      </c>
      <c r="E1486" t="s">
        <v>56</v>
      </c>
      <c r="F1486" t="s">
        <v>22</v>
      </c>
      <c r="G1486" t="s">
        <v>23</v>
      </c>
      <c r="H1486" s="1">
        <v>44358</v>
      </c>
      <c r="I1486" s="2">
        <v>44359.8458333333</v>
      </c>
      <c r="J1486">
        <v>44.3</v>
      </c>
      <c r="K1486" t="s">
        <v>24</v>
      </c>
      <c r="L1486">
        <v>0</v>
      </c>
      <c r="M1486">
        <v>3</v>
      </c>
      <c r="N1486" t="s">
        <v>335</v>
      </c>
      <c r="O1486" s="3" t="str">
        <f>TEXT(Ticket_Table[[#This Row],[raised_date]],"YYYY-MM")</f>
        <v>2021-06</v>
      </c>
      <c r="P1486" s="3" t="str">
        <f>IF(Ticket_Table[[#This Row],[resolution_hrs]]&lt;=4,"Fast",IF(Ticket_Table[[#This Row],[resolution_hrs]]&lt;=24,"Normal",IF(Ticket_Table[[#This Row],[resolution_hrs]]&lt;=48,"Slow","Very Slow")))</f>
        <v>Slow</v>
      </c>
      <c r="Q1486" s="3">
        <f>YEAR(Ticket_Table[[#This Row],[raised_date]])</f>
        <v>2021</v>
      </c>
    </row>
    <row r="1487" spans="1:17">
      <c r="A1487" t="s">
        <v>2046</v>
      </c>
      <c r="B1487" t="s">
        <v>105</v>
      </c>
      <c r="C1487" t="s">
        <v>42</v>
      </c>
      <c r="D1487" t="s">
        <v>20</v>
      </c>
      <c r="E1487" t="s">
        <v>69</v>
      </c>
      <c r="F1487" t="s">
        <v>70</v>
      </c>
      <c r="G1487" t="s">
        <v>46</v>
      </c>
      <c r="H1487" s="1">
        <v>44961</v>
      </c>
      <c r="I1487" s="2">
        <v>44961.625</v>
      </c>
      <c r="J1487">
        <v>15</v>
      </c>
      <c r="K1487" t="s">
        <v>24</v>
      </c>
      <c r="L1487">
        <v>0</v>
      </c>
      <c r="M1487">
        <v>3</v>
      </c>
      <c r="N1487" t="s">
        <v>1291</v>
      </c>
      <c r="O1487" s="3" t="str">
        <f>TEXT(Ticket_Table[[#This Row],[raised_date]],"YYYY-MM")</f>
        <v>2023-02</v>
      </c>
      <c r="P1487" s="3" t="str">
        <f>IF(Ticket_Table[[#This Row],[resolution_hrs]]&lt;=4,"Fast",IF(Ticket_Table[[#This Row],[resolution_hrs]]&lt;=24,"Normal",IF(Ticket_Table[[#This Row],[resolution_hrs]]&lt;=48,"Slow","Very Slow")))</f>
        <v>Normal</v>
      </c>
      <c r="Q1487" s="3">
        <f>YEAR(Ticket_Table[[#This Row],[raised_date]])</f>
        <v>2023</v>
      </c>
    </row>
    <row r="1488" spans="1:17">
      <c r="A1488" t="s">
        <v>2047</v>
      </c>
      <c r="B1488" t="s">
        <v>227</v>
      </c>
      <c r="C1488" t="s">
        <v>19</v>
      </c>
      <c r="D1488" t="s">
        <v>90</v>
      </c>
      <c r="E1488" t="s">
        <v>83</v>
      </c>
      <c r="F1488" t="s">
        <v>38</v>
      </c>
      <c r="G1488" t="s">
        <v>31</v>
      </c>
      <c r="H1488" s="1">
        <v>45028</v>
      </c>
      <c r="I1488" s="2">
        <v>45028.4833333333</v>
      </c>
      <c r="J1488">
        <v>11.6</v>
      </c>
      <c r="K1488" t="s">
        <v>24</v>
      </c>
      <c r="L1488">
        <v>1</v>
      </c>
      <c r="M1488">
        <v>3</v>
      </c>
      <c r="N1488" t="s">
        <v>687</v>
      </c>
      <c r="O1488" s="3" t="str">
        <f>TEXT(Ticket_Table[[#This Row],[raised_date]],"YYYY-MM")</f>
        <v>2023-04</v>
      </c>
      <c r="P1488" s="3" t="str">
        <f>IF(Ticket_Table[[#This Row],[resolution_hrs]]&lt;=4,"Fast",IF(Ticket_Table[[#This Row],[resolution_hrs]]&lt;=24,"Normal",IF(Ticket_Table[[#This Row],[resolution_hrs]]&lt;=48,"Slow","Very Slow")))</f>
        <v>Normal</v>
      </c>
      <c r="Q1488" s="3">
        <f>YEAR(Ticket_Table[[#This Row],[raised_date]])</f>
        <v>2023</v>
      </c>
    </row>
    <row r="1489" spans="1:17">
      <c r="A1489" t="s">
        <v>2048</v>
      </c>
      <c r="B1489" t="s">
        <v>67</v>
      </c>
      <c r="C1489" t="s">
        <v>261</v>
      </c>
      <c r="D1489" t="s">
        <v>29</v>
      </c>
      <c r="E1489" t="s">
        <v>30</v>
      </c>
      <c r="F1489" t="s">
        <v>22</v>
      </c>
      <c r="G1489" t="s">
        <v>31</v>
      </c>
      <c r="H1489" s="1">
        <v>45137</v>
      </c>
      <c r="I1489" s="2">
        <v>45137.2083333333</v>
      </c>
      <c r="J1489">
        <v>5</v>
      </c>
      <c r="K1489" t="s">
        <v>24</v>
      </c>
      <c r="L1489">
        <v>0</v>
      </c>
      <c r="M1489">
        <v>2</v>
      </c>
      <c r="N1489" t="s">
        <v>452</v>
      </c>
      <c r="O1489" s="3" t="str">
        <f>TEXT(Ticket_Table[[#This Row],[raised_date]],"YYYY-MM")</f>
        <v>2023-07</v>
      </c>
      <c r="P1489" s="3" t="str">
        <f>IF(Ticket_Table[[#This Row],[resolution_hrs]]&lt;=4,"Fast",IF(Ticket_Table[[#This Row],[resolution_hrs]]&lt;=24,"Normal",IF(Ticket_Table[[#This Row],[resolution_hrs]]&lt;=48,"Slow","Very Slow")))</f>
        <v>Normal</v>
      </c>
      <c r="Q1489" s="3">
        <f>YEAR(Ticket_Table[[#This Row],[raised_date]])</f>
        <v>2023</v>
      </c>
    </row>
    <row r="1490" spans="1:17">
      <c r="A1490" t="s">
        <v>2049</v>
      </c>
      <c r="B1490" t="s">
        <v>312</v>
      </c>
      <c r="C1490" t="s">
        <v>213</v>
      </c>
      <c r="D1490" t="s">
        <v>29</v>
      </c>
      <c r="E1490" t="s">
        <v>21</v>
      </c>
      <c r="F1490" t="s">
        <v>38</v>
      </c>
      <c r="G1490" t="s">
        <v>23</v>
      </c>
      <c r="H1490" s="1">
        <v>44695</v>
      </c>
      <c r="I1490" s="2">
        <v>44695.5291666667</v>
      </c>
      <c r="J1490">
        <v>12.7</v>
      </c>
      <c r="K1490" t="s">
        <v>24</v>
      </c>
      <c r="L1490">
        <v>0</v>
      </c>
      <c r="M1490">
        <v>3</v>
      </c>
      <c r="N1490" t="s">
        <v>1760</v>
      </c>
      <c r="O1490" s="3" t="str">
        <f>TEXT(Ticket_Table[[#This Row],[raised_date]],"YYYY-MM")</f>
        <v>2022-05</v>
      </c>
      <c r="P1490" s="3" t="str">
        <f>IF(Ticket_Table[[#This Row],[resolution_hrs]]&lt;=4,"Fast",IF(Ticket_Table[[#This Row],[resolution_hrs]]&lt;=24,"Normal",IF(Ticket_Table[[#This Row],[resolution_hrs]]&lt;=48,"Slow","Very Slow")))</f>
        <v>Normal</v>
      </c>
      <c r="Q1490" s="3">
        <f>YEAR(Ticket_Table[[#This Row],[raised_date]])</f>
        <v>2022</v>
      </c>
    </row>
    <row r="1491" spans="1:17">
      <c r="A1491" t="s">
        <v>2050</v>
      </c>
      <c r="B1491" t="s">
        <v>1243</v>
      </c>
      <c r="C1491" t="s">
        <v>82</v>
      </c>
      <c r="D1491" t="s">
        <v>29</v>
      </c>
      <c r="E1491" t="s">
        <v>37</v>
      </c>
      <c r="F1491" t="s">
        <v>22</v>
      </c>
      <c r="G1491" t="s">
        <v>23</v>
      </c>
      <c r="H1491" s="1">
        <v>44659</v>
      </c>
      <c r="I1491" s="2">
        <v>44662.275</v>
      </c>
      <c r="J1491">
        <v>78.6</v>
      </c>
      <c r="K1491" t="s">
        <v>32</v>
      </c>
      <c r="L1491">
        <v>2</v>
      </c>
      <c r="M1491">
        <v>5</v>
      </c>
      <c r="N1491" t="s">
        <v>161</v>
      </c>
      <c r="O1491" s="3" t="str">
        <f>TEXT(Ticket_Table[[#This Row],[raised_date]],"YYYY-MM")</f>
        <v>2022-04</v>
      </c>
      <c r="P1491" s="3" t="str">
        <f>IF(Ticket_Table[[#This Row],[resolution_hrs]]&lt;=4,"Fast",IF(Ticket_Table[[#This Row],[resolution_hrs]]&lt;=24,"Normal",IF(Ticket_Table[[#This Row],[resolution_hrs]]&lt;=48,"Slow","Very Slow")))</f>
        <v>Very Slow</v>
      </c>
      <c r="Q1491" s="3">
        <f>YEAR(Ticket_Table[[#This Row],[raised_date]])</f>
        <v>2022</v>
      </c>
    </row>
    <row r="1492" spans="1:17">
      <c r="A1492" t="s">
        <v>2051</v>
      </c>
      <c r="B1492" t="s">
        <v>353</v>
      </c>
      <c r="C1492" t="s">
        <v>133</v>
      </c>
      <c r="D1492" t="s">
        <v>90</v>
      </c>
      <c r="E1492" t="s">
        <v>37</v>
      </c>
      <c r="F1492" t="s">
        <v>38</v>
      </c>
      <c r="G1492" t="s">
        <v>31</v>
      </c>
      <c r="H1492" s="1">
        <v>44811</v>
      </c>
      <c r="I1492" s="2">
        <v>44812.1208333333</v>
      </c>
      <c r="J1492">
        <v>26.9</v>
      </c>
      <c r="K1492" t="s">
        <v>32</v>
      </c>
      <c r="L1492">
        <v>0</v>
      </c>
      <c r="M1492">
        <v>4</v>
      </c>
      <c r="N1492" t="s">
        <v>1013</v>
      </c>
      <c r="O1492" s="3" t="str">
        <f>TEXT(Ticket_Table[[#This Row],[raised_date]],"YYYY-MM")</f>
        <v>2022-09</v>
      </c>
      <c r="P1492" s="3" t="str">
        <f>IF(Ticket_Table[[#This Row],[resolution_hrs]]&lt;=4,"Fast",IF(Ticket_Table[[#This Row],[resolution_hrs]]&lt;=24,"Normal",IF(Ticket_Table[[#This Row],[resolution_hrs]]&lt;=48,"Slow","Very Slow")))</f>
        <v>Slow</v>
      </c>
      <c r="Q1492" s="3">
        <f>YEAR(Ticket_Table[[#This Row],[raised_date]])</f>
        <v>2022</v>
      </c>
    </row>
    <row r="1493" spans="1:17">
      <c r="A1493" t="s">
        <v>2052</v>
      </c>
      <c r="B1493" t="s">
        <v>335</v>
      </c>
      <c r="C1493" t="s">
        <v>213</v>
      </c>
      <c r="D1493" t="s">
        <v>20</v>
      </c>
      <c r="E1493" t="s">
        <v>56</v>
      </c>
      <c r="F1493" t="s">
        <v>70</v>
      </c>
      <c r="G1493" t="s">
        <v>46</v>
      </c>
      <c r="H1493" s="1">
        <v>44362</v>
      </c>
      <c r="I1493" s="2">
        <v>44362.4125</v>
      </c>
      <c r="J1493">
        <v>9.9</v>
      </c>
      <c r="K1493" t="s">
        <v>24</v>
      </c>
      <c r="L1493">
        <v>1</v>
      </c>
      <c r="M1493">
        <v>4</v>
      </c>
      <c r="N1493" t="s">
        <v>1022</v>
      </c>
      <c r="O1493" s="3" t="str">
        <f>TEXT(Ticket_Table[[#This Row],[raised_date]],"YYYY-MM")</f>
        <v>2021-06</v>
      </c>
      <c r="P1493" s="3" t="str">
        <f>IF(Ticket_Table[[#This Row],[resolution_hrs]]&lt;=4,"Fast",IF(Ticket_Table[[#This Row],[resolution_hrs]]&lt;=24,"Normal",IF(Ticket_Table[[#This Row],[resolution_hrs]]&lt;=48,"Slow","Very Slow")))</f>
        <v>Normal</v>
      </c>
      <c r="Q1493" s="3">
        <f>YEAR(Ticket_Table[[#This Row],[raised_date]])</f>
        <v>2021</v>
      </c>
    </row>
    <row r="1494" spans="1:17">
      <c r="A1494" t="s">
        <v>2053</v>
      </c>
      <c r="B1494" t="s">
        <v>491</v>
      </c>
      <c r="C1494" t="s">
        <v>175</v>
      </c>
      <c r="D1494" t="s">
        <v>36</v>
      </c>
      <c r="E1494" t="s">
        <v>51</v>
      </c>
      <c r="F1494" t="s">
        <v>22</v>
      </c>
      <c r="G1494" t="s">
        <v>91</v>
      </c>
      <c r="H1494" s="1">
        <v>44261</v>
      </c>
      <c r="I1494" s="2">
        <v>44265.4625</v>
      </c>
      <c r="J1494">
        <v>107.1</v>
      </c>
      <c r="K1494" t="s">
        <v>32</v>
      </c>
      <c r="L1494">
        <v>3</v>
      </c>
      <c r="M1494">
        <v>5</v>
      </c>
      <c r="N1494" t="s">
        <v>966</v>
      </c>
      <c r="O1494" s="3" t="str">
        <f>TEXT(Ticket_Table[[#This Row],[raised_date]],"YYYY-MM")</f>
        <v>2021-03</v>
      </c>
      <c r="P1494" s="3" t="str">
        <f>IF(Ticket_Table[[#This Row],[resolution_hrs]]&lt;=4,"Fast",IF(Ticket_Table[[#This Row],[resolution_hrs]]&lt;=24,"Normal",IF(Ticket_Table[[#This Row],[resolution_hrs]]&lt;=48,"Slow","Very Slow")))</f>
        <v>Very Slow</v>
      </c>
      <c r="Q1494" s="3">
        <f>YEAR(Ticket_Table[[#This Row],[raised_date]])</f>
        <v>2021</v>
      </c>
    </row>
    <row r="1495" spans="1:17">
      <c r="A1495" t="s">
        <v>2054</v>
      </c>
      <c r="B1495" t="s">
        <v>109</v>
      </c>
      <c r="C1495" t="s">
        <v>60</v>
      </c>
      <c r="D1495" t="s">
        <v>43</v>
      </c>
      <c r="E1495" t="s">
        <v>69</v>
      </c>
      <c r="F1495" t="s">
        <v>22</v>
      </c>
      <c r="G1495" t="s">
        <v>23</v>
      </c>
      <c r="H1495" s="1">
        <v>44388</v>
      </c>
      <c r="I1495" s="2">
        <v>44389.3083333333</v>
      </c>
      <c r="J1495">
        <v>31.4</v>
      </c>
      <c r="K1495" t="s">
        <v>24</v>
      </c>
      <c r="L1495">
        <v>0</v>
      </c>
      <c r="M1495">
        <v>3</v>
      </c>
      <c r="N1495" t="s">
        <v>424</v>
      </c>
      <c r="O1495" s="3" t="str">
        <f>TEXT(Ticket_Table[[#This Row],[raised_date]],"YYYY-MM")</f>
        <v>2021-07</v>
      </c>
      <c r="P1495" s="3" t="str">
        <f>IF(Ticket_Table[[#This Row],[resolution_hrs]]&lt;=4,"Fast",IF(Ticket_Table[[#This Row],[resolution_hrs]]&lt;=24,"Normal",IF(Ticket_Table[[#This Row],[resolution_hrs]]&lt;=48,"Slow","Very Slow")))</f>
        <v>Slow</v>
      </c>
      <c r="Q1495" s="3">
        <f>YEAR(Ticket_Table[[#This Row],[raised_date]])</f>
        <v>2021</v>
      </c>
    </row>
    <row r="1496" spans="1:17">
      <c r="A1496" t="s">
        <v>2055</v>
      </c>
      <c r="B1496" t="s">
        <v>343</v>
      </c>
      <c r="C1496" t="s">
        <v>60</v>
      </c>
      <c r="D1496" t="s">
        <v>20</v>
      </c>
      <c r="E1496" t="s">
        <v>37</v>
      </c>
      <c r="F1496" t="s">
        <v>45</v>
      </c>
      <c r="G1496" t="s">
        <v>23</v>
      </c>
      <c r="H1496" s="1">
        <v>45027</v>
      </c>
      <c r="I1496" s="2">
        <v>45027.0625</v>
      </c>
      <c r="J1496">
        <v>1.5</v>
      </c>
      <c r="K1496" t="s">
        <v>24</v>
      </c>
      <c r="L1496">
        <v>0</v>
      </c>
      <c r="M1496">
        <v>4</v>
      </c>
      <c r="N1496" t="s">
        <v>331</v>
      </c>
      <c r="O1496" s="3" t="str">
        <f>TEXT(Ticket_Table[[#This Row],[raised_date]],"YYYY-MM")</f>
        <v>2023-04</v>
      </c>
      <c r="P1496" s="3" t="str">
        <f>IF(Ticket_Table[[#This Row],[resolution_hrs]]&lt;=4,"Fast",IF(Ticket_Table[[#This Row],[resolution_hrs]]&lt;=24,"Normal",IF(Ticket_Table[[#This Row],[resolution_hrs]]&lt;=48,"Slow","Very Slow")))</f>
        <v>Fast</v>
      </c>
      <c r="Q1496" s="3">
        <f>YEAR(Ticket_Table[[#This Row],[raised_date]])</f>
        <v>2023</v>
      </c>
    </row>
    <row r="1497" spans="1:17">
      <c r="A1497" t="s">
        <v>2056</v>
      </c>
      <c r="B1497" t="s">
        <v>787</v>
      </c>
      <c r="C1497" t="s">
        <v>261</v>
      </c>
      <c r="D1497" t="s">
        <v>90</v>
      </c>
      <c r="E1497" t="s">
        <v>56</v>
      </c>
      <c r="F1497" t="s">
        <v>22</v>
      </c>
      <c r="G1497" t="s">
        <v>23</v>
      </c>
      <c r="H1497" s="1">
        <v>44973</v>
      </c>
      <c r="I1497" s="2">
        <v>44975.5</v>
      </c>
      <c r="J1497">
        <v>60</v>
      </c>
      <c r="K1497" t="s">
        <v>24</v>
      </c>
      <c r="L1497">
        <v>0</v>
      </c>
      <c r="M1497">
        <v>2</v>
      </c>
      <c r="N1497" t="s">
        <v>581</v>
      </c>
      <c r="O1497" s="3" t="str">
        <f>TEXT(Ticket_Table[[#This Row],[raised_date]],"YYYY-MM")</f>
        <v>2023-02</v>
      </c>
      <c r="P1497" s="3" t="str">
        <f>IF(Ticket_Table[[#This Row],[resolution_hrs]]&lt;=4,"Fast",IF(Ticket_Table[[#This Row],[resolution_hrs]]&lt;=24,"Normal",IF(Ticket_Table[[#This Row],[resolution_hrs]]&lt;=48,"Slow","Very Slow")))</f>
        <v>Very Slow</v>
      </c>
      <c r="Q1497" s="3">
        <f>YEAR(Ticket_Table[[#This Row],[raised_date]])</f>
        <v>2023</v>
      </c>
    </row>
    <row r="1498" spans="1:17">
      <c r="A1498" t="s">
        <v>2057</v>
      </c>
      <c r="B1498" t="s">
        <v>956</v>
      </c>
      <c r="C1498" t="s">
        <v>68</v>
      </c>
      <c r="D1498" t="s">
        <v>90</v>
      </c>
      <c r="E1498" t="s">
        <v>56</v>
      </c>
      <c r="F1498" t="s">
        <v>22</v>
      </c>
      <c r="G1498" t="s">
        <v>23</v>
      </c>
      <c r="H1498" s="1">
        <v>44969</v>
      </c>
      <c r="I1498" s="2">
        <v>44971.3666666667</v>
      </c>
      <c r="J1498">
        <v>56.8</v>
      </c>
      <c r="K1498" t="s">
        <v>24</v>
      </c>
      <c r="L1498">
        <v>1</v>
      </c>
      <c r="M1498">
        <v>5</v>
      </c>
      <c r="N1498" t="s">
        <v>434</v>
      </c>
      <c r="O1498" s="3" t="str">
        <f>TEXT(Ticket_Table[[#This Row],[raised_date]],"YYYY-MM")</f>
        <v>2023-02</v>
      </c>
      <c r="P1498" s="3" t="str">
        <f>IF(Ticket_Table[[#This Row],[resolution_hrs]]&lt;=4,"Fast",IF(Ticket_Table[[#This Row],[resolution_hrs]]&lt;=24,"Normal",IF(Ticket_Table[[#This Row],[resolution_hrs]]&lt;=48,"Slow","Very Slow")))</f>
        <v>Very Slow</v>
      </c>
      <c r="Q1498" s="3">
        <f>YEAR(Ticket_Table[[#This Row],[raised_date]])</f>
        <v>2023</v>
      </c>
    </row>
    <row r="1499" spans="1:17">
      <c r="A1499" t="s">
        <v>2058</v>
      </c>
      <c r="B1499" t="s">
        <v>584</v>
      </c>
      <c r="C1499" t="s">
        <v>68</v>
      </c>
      <c r="D1499" t="s">
        <v>29</v>
      </c>
      <c r="E1499" t="s">
        <v>166</v>
      </c>
      <c r="F1499" t="s">
        <v>70</v>
      </c>
      <c r="G1499" t="s">
        <v>31</v>
      </c>
      <c r="H1499" s="1">
        <v>45171</v>
      </c>
      <c r="I1499" s="2">
        <v>45173.2833333333</v>
      </c>
      <c r="J1499">
        <v>54.8</v>
      </c>
      <c r="K1499" t="s">
        <v>32</v>
      </c>
      <c r="L1499">
        <v>0</v>
      </c>
      <c r="M1499">
        <v>2</v>
      </c>
      <c r="N1499" t="s">
        <v>137</v>
      </c>
      <c r="O1499" s="3" t="str">
        <f>TEXT(Ticket_Table[[#This Row],[raised_date]],"YYYY-MM")</f>
        <v>2023-09</v>
      </c>
      <c r="P1499" s="3" t="str">
        <f>IF(Ticket_Table[[#This Row],[resolution_hrs]]&lt;=4,"Fast",IF(Ticket_Table[[#This Row],[resolution_hrs]]&lt;=24,"Normal",IF(Ticket_Table[[#This Row],[resolution_hrs]]&lt;=48,"Slow","Very Slow")))</f>
        <v>Very Slow</v>
      </c>
      <c r="Q1499" s="3">
        <f>YEAR(Ticket_Table[[#This Row],[raised_date]])</f>
        <v>2023</v>
      </c>
    </row>
    <row r="1500" spans="1:17">
      <c r="A1500" t="s">
        <v>2059</v>
      </c>
      <c r="B1500" t="s">
        <v>662</v>
      </c>
      <c r="C1500" t="s">
        <v>60</v>
      </c>
      <c r="D1500" t="s">
        <v>20</v>
      </c>
      <c r="E1500" t="s">
        <v>37</v>
      </c>
      <c r="F1500" t="s">
        <v>70</v>
      </c>
      <c r="G1500" t="s">
        <v>91</v>
      </c>
      <c r="H1500" s="1">
        <v>44311</v>
      </c>
      <c r="I1500" s="2">
        <v>44311.5166666667</v>
      </c>
      <c r="J1500">
        <v>12.4</v>
      </c>
      <c r="K1500" t="s">
        <v>24</v>
      </c>
      <c r="L1500">
        <v>1</v>
      </c>
      <c r="M1500">
        <v>1</v>
      </c>
      <c r="N1500" t="s">
        <v>350</v>
      </c>
      <c r="O1500" s="3" t="str">
        <f>TEXT(Ticket_Table[[#This Row],[raised_date]],"YYYY-MM")</f>
        <v>2021-04</v>
      </c>
      <c r="P1500" s="3" t="str">
        <f>IF(Ticket_Table[[#This Row],[resolution_hrs]]&lt;=4,"Fast",IF(Ticket_Table[[#This Row],[resolution_hrs]]&lt;=24,"Normal",IF(Ticket_Table[[#This Row],[resolution_hrs]]&lt;=48,"Slow","Very Slow")))</f>
        <v>Normal</v>
      </c>
      <c r="Q1500" s="3">
        <f>YEAR(Ticket_Table[[#This Row],[raised_date]])</f>
        <v>2021</v>
      </c>
    </row>
    <row r="1501" spans="1:17">
      <c r="A1501" t="s">
        <v>2060</v>
      </c>
      <c r="B1501" t="s">
        <v>496</v>
      </c>
      <c r="C1501" t="s">
        <v>19</v>
      </c>
      <c r="D1501" t="s">
        <v>29</v>
      </c>
      <c r="E1501" t="s">
        <v>166</v>
      </c>
      <c r="F1501" t="s">
        <v>70</v>
      </c>
      <c r="G1501" t="s">
        <v>31</v>
      </c>
      <c r="H1501" s="1">
        <v>44216</v>
      </c>
      <c r="I1501" s="2">
        <v>44216.125</v>
      </c>
      <c r="J1501">
        <v>3</v>
      </c>
      <c r="K1501" t="s">
        <v>24</v>
      </c>
      <c r="L1501">
        <v>3</v>
      </c>
      <c r="M1501">
        <v>3</v>
      </c>
      <c r="N1501" t="s">
        <v>237</v>
      </c>
      <c r="O1501" s="3" t="str">
        <f>TEXT(Ticket_Table[[#This Row],[raised_date]],"YYYY-MM")</f>
        <v>2021-01</v>
      </c>
      <c r="P1501" s="3" t="str">
        <f>IF(Ticket_Table[[#This Row],[resolution_hrs]]&lt;=4,"Fast",IF(Ticket_Table[[#This Row],[resolution_hrs]]&lt;=24,"Normal",IF(Ticket_Table[[#This Row],[resolution_hrs]]&lt;=48,"Slow","Very Slow")))</f>
        <v>Fast</v>
      </c>
      <c r="Q1501" s="3">
        <f>YEAR(Ticket_Table[[#This Row],[raised_date]])</f>
        <v>2021</v>
      </c>
    </row>
    <row r="1502" spans="1:17">
      <c r="A1502" t="s">
        <v>2061</v>
      </c>
      <c r="B1502" t="s">
        <v>296</v>
      </c>
      <c r="C1502" t="s">
        <v>95</v>
      </c>
      <c r="D1502" t="s">
        <v>43</v>
      </c>
      <c r="E1502" t="s">
        <v>21</v>
      </c>
      <c r="F1502" t="s">
        <v>22</v>
      </c>
      <c r="G1502" t="s">
        <v>31</v>
      </c>
      <c r="H1502" s="1">
        <v>44547</v>
      </c>
      <c r="I1502" s="2">
        <v>44550.5916666667</v>
      </c>
      <c r="J1502">
        <v>86.2</v>
      </c>
      <c r="K1502" t="s">
        <v>32</v>
      </c>
      <c r="L1502">
        <v>1</v>
      </c>
      <c r="M1502">
        <v>5</v>
      </c>
      <c r="N1502" t="s">
        <v>764</v>
      </c>
      <c r="O1502" s="3" t="str">
        <f>TEXT(Ticket_Table[[#This Row],[raised_date]],"YYYY-MM")</f>
        <v>2021-12</v>
      </c>
      <c r="P1502" s="3" t="str">
        <f>IF(Ticket_Table[[#This Row],[resolution_hrs]]&lt;=4,"Fast",IF(Ticket_Table[[#This Row],[resolution_hrs]]&lt;=24,"Normal",IF(Ticket_Table[[#This Row],[resolution_hrs]]&lt;=48,"Slow","Very Slow")))</f>
        <v>Very Slow</v>
      </c>
      <c r="Q1502" s="3">
        <f>YEAR(Ticket_Table[[#This Row],[raised_date]])</f>
        <v>2021</v>
      </c>
    </row>
    <row r="1503" spans="1:17">
      <c r="A1503" t="s">
        <v>2062</v>
      </c>
      <c r="B1503" t="s">
        <v>103</v>
      </c>
      <c r="C1503" t="s">
        <v>213</v>
      </c>
      <c r="D1503" t="s">
        <v>29</v>
      </c>
      <c r="E1503" t="s">
        <v>21</v>
      </c>
      <c r="F1503" t="s">
        <v>22</v>
      </c>
      <c r="G1503" t="s">
        <v>74</v>
      </c>
      <c r="H1503" s="1">
        <v>44366</v>
      </c>
      <c r="I1503" s="2">
        <v>44368.6833333333</v>
      </c>
      <c r="J1503">
        <v>64.4</v>
      </c>
      <c r="K1503" t="s">
        <v>24</v>
      </c>
      <c r="L1503">
        <v>2</v>
      </c>
      <c r="M1503">
        <v>2</v>
      </c>
      <c r="N1503" t="s">
        <v>323</v>
      </c>
      <c r="O1503" s="3" t="str">
        <f>TEXT(Ticket_Table[[#This Row],[raised_date]],"YYYY-MM")</f>
        <v>2021-06</v>
      </c>
      <c r="P1503" s="3" t="str">
        <f>IF(Ticket_Table[[#This Row],[resolution_hrs]]&lt;=4,"Fast",IF(Ticket_Table[[#This Row],[resolution_hrs]]&lt;=24,"Normal",IF(Ticket_Table[[#This Row],[resolution_hrs]]&lt;=48,"Slow","Very Slow")))</f>
        <v>Very Slow</v>
      </c>
      <c r="Q1503" s="3">
        <f>YEAR(Ticket_Table[[#This Row],[raised_date]])</f>
        <v>2021</v>
      </c>
    </row>
    <row r="1504" spans="1:17">
      <c r="A1504" t="s">
        <v>2063</v>
      </c>
      <c r="B1504" t="s">
        <v>73</v>
      </c>
      <c r="C1504" t="s">
        <v>287</v>
      </c>
      <c r="D1504" t="s">
        <v>43</v>
      </c>
      <c r="E1504" t="s">
        <v>56</v>
      </c>
      <c r="F1504" t="s">
        <v>22</v>
      </c>
      <c r="G1504" t="s">
        <v>31</v>
      </c>
      <c r="H1504" s="1">
        <v>45220</v>
      </c>
      <c r="I1504" s="2">
        <v>45221.1166666667</v>
      </c>
      <c r="J1504">
        <v>26.8</v>
      </c>
      <c r="K1504" t="s">
        <v>24</v>
      </c>
      <c r="L1504">
        <v>1</v>
      </c>
      <c r="M1504">
        <v>3</v>
      </c>
      <c r="N1504" t="s">
        <v>447</v>
      </c>
      <c r="O1504" s="3" t="str">
        <f>TEXT(Ticket_Table[[#This Row],[raised_date]],"YYYY-MM")</f>
        <v>2023-10</v>
      </c>
      <c r="P1504" s="3" t="str">
        <f>IF(Ticket_Table[[#This Row],[resolution_hrs]]&lt;=4,"Fast",IF(Ticket_Table[[#This Row],[resolution_hrs]]&lt;=24,"Normal",IF(Ticket_Table[[#This Row],[resolution_hrs]]&lt;=48,"Slow","Very Slow")))</f>
        <v>Slow</v>
      </c>
      <c r="Q1504" s="3">
        <f>YEAR(Ticket_Table[[#This Row],[raised_date]])</f>
        <v>2023</v>
      </c>
    </row>
    <row r="1505" spans="1:17">
      <c r="A1505" t="s">
        <v>2064</v>
      </c>
      <c r="B1505" t="s">
        <v>733</v>
      </c>
      <c r="C1505" t="s">
        <v>82</v>
      </c>
      <c r="D1505" t="s">
        <v>90</v>
      </c>
      <c r="E1505" t="s">
        <v>51</v>
      </c>
      <c r="F1505" t="s">
        <v>22</v>
      </c>
      <c r="G1505" t="s">
        <v>23</v>
      </c>
      <c r="H1505" s="1">
        <v>45085</v>
      </c>
      <c r="I1505" s="2">
        <v>45088.4916666667</v>
      </c>
      <c r="J1505">
        <v>83.8</v>
      </c>
      <c r="K1505" t="s">
        <v>32</v>
      </c>
      <c r="L1505">
        <v>2</v>
      </c>
      <c r="M1505">
        <v>3</v>
      </c>
      <c r="N1505" t="s">
        <v>428</v>
      </c>
      <c r="O1505" s="3" t="str">
        <f>TEXT(Ticket_Table[[#This Row],[raised_date]],"YYYY-MM")</f>
        <v>2023-06</v>
      </c>
      <c r="P1505" s="3" t="str">
        <f>IF(Ticket_Table[[#This Row],[resolution_hrs]]&lt;=4,"Fast",IF(Ticket_Table[[#This Row],[resolution_hrs]]&lt;=24,"Normal",IF(Ticket_Table[[#This Row],[resolution_hrs]]&lt;=48,"Slow","Very Slow")))</f>
        <v>Very Slow</v>
      </c>
      <c r="Q1505" s="3">
        <f>YEAR(Ticket_Table[[#This Row],[raised_date]])</f>
        <v>2023</v>
      </c>
    </row>
    <row r="1506" spans="1:17">
      <c r="A1506" t="s">
        <v>2065</v>
      </c>
      <c r="B1506" t="s">
        <v>73</v>
      </c>
      <c r="C1506" t="s">
        <v>78</v>
      </c>
      <c r="D1506" t="s">
        <v>29</v>
      </c>
      <c r="E1506" t="s">
        <v>51</v>
      </c>
      <c r="F1506" t="s">
        <v>70</v>
      </c>
      <c r="G1506" t="s">
        <v>46</v>
      </c>
      <c r="H1506" s="1">
        <v>44875</v>
      </c>
      <c r="I1506" s="2">
        <v>44877.1916666667</v>
      </c>
      <c r="J1506">
        <v>52.6</v>
      </c>
      <c r="K1506" t="s">
        <v>32</v>
      </c>
      <c r="L1506">
        <v>0</v>
      </c>
      <c r="M1506">
        <v>5</v>
      </c>
      <c r="N1506" t="s">
        <v>536</v>
      </c>
      <c r="O1506" s="3" t="str">
        <f>TEXT(Ticket_Table[[#This Row],[raised_date]],"YYYY-MM")</f>
        <v>2022-11</v>
      </c>
      <c r="P1506" s="3" t="str">
        <f>IF(Ticket_Table[[#This Row],[resolution_hrs]]&lt;=4,"Fast",IF(Ticket_Table[[#This Row],[resolution_hrs]]&lt;=24,"Normal",IF(Ticket_Table[[#This Row],[resolution_hrs]]&lt;=48,"Slow","Very Slow")))</f>
        <v>Very Slow</v>
      </c>
      <c r="Q1506" s="3">
        <f>YEAR(Ticket_Table[[#This Row],[raised_date]])</f>
        <v>2022</v>
      </c>
    </row>
    <row r="1507" spans="1:17">
      <c r="A1507" t="s">
        <v>2066</v>
      </c>
      <c r="B1507" t="s">
        <v>160</v>
      </c>
      <c r="C1507" t="s">
        <v>78</v>
      </c>
      <c r="D1507" t="s">
        <v>29</v>
      </c>
      <c r="E1507" t="s">
        <v>166</v>
      </c>
      <c r="F1507" t="s">
        <v>38</v>
      </c>
      <c r="G1507" t="s">
        <v>46</v>
      </c>
      <c r="H1507" s="1">
        <v>44392</v>
      </c>
      <c r="I1507" s="2">
        <v>44393.4791666667</v>
      </c>
      <c r="J1507">
        <v>35.5</v>
      </c>
      <c r="K1507" t="s">
        <v>32</v>
      </c>
      <c r="L1507">
        <v>1</v>
      </c>
      <c r="M1507">
        <v>4</v>
      </c>
      <c r="N1507" t="s">
        <v>1200</v>
      </c>
      <c r="O1507" s="3" t="str">
        <f>TEXT(Ticket_Table[[#This Row],[raised_date]],"YYYY-MM")</f>
        <v>2021-07</v>
      </c>
      <c r="P1507" s="3" t="str">
        <f>IF(Ticket_Table[[#This Row],[resolution_hrs]]&lt;=4,"Fast",IF(Ticket_Table[[#This Row],[resolution_hrs]]&lt;=24,"Normal",IF(Ticket_Table[[#This Row],[resolution_hrs]]&lt;=48,"Slow","Very Slow")))</f>
        <v>Slow</v>
      </c>
      <c r="Q1507" s="3">
        <f>YEAR(Ticket_Table[[#This Row],[raised_date]])</f>
        <v>2021</v>
      </c>
    </row>
    <row r="1508" spans="1:17">
      <c r="A1508" t="s">
        <v>2067</v>
      </c>
      <c r="B1508" t="s">
        <v>653</v>
      </c>
      <c r="C1508" t="s">
        <v>55</v>
      </c>
      <c r="D1508" t="s">
        <v>36</v>
      </c>
      <c r="E1508" t="s">
        <v>56</v>
      </c>
      <c r="F1508" t="s">
        <v>22</v>
      </c>
      <c r="G1508" t="s">
        <v>31</v>
      </c>
      <c r="H1508" s="1">
        <v>45278</v>
      </c>
      <c r="I1508" s="2">
        <v>45278.5333333333</v>
      </c>
      <c r="J1508">
        <v>12.8</v>
      </c>
      <c r="K1508" t="s">
        <v>24</v>
      </c>
      <c r="L1508">
        <v>1</v>
      </c>
      <c r="M1508">
        <v>4</v>
      </c>
      <c r="N1508" t="s">
        <v>530</v>
      </c>
      <c r="O1508" s="3" t="str">
        <f>TEXT(Ticket_Table[[#This Row],[raised_date]],"YYYY-MM")</f>
        <v>2023-12</v>
      </c>
      <c r="P1508" s="3" t="str">
        <f>IF(Ticket_Table[[#This Row],[resolution_hrs]]&lt;=4,"Fast",IF(Ticket_Table[[#This Row],[resolution_hrs]]&lt;=24,"Normal",IF(Ticket_Table[[#This Row],[resolution_hrs]]&lt;=48,"Slow","Very Slow")))</f>
        <v>Normal</v>
      </c>
      <c r="Q1508" s="3">
        <f>YEAR(Ticket_Table[[#This Row],[raised_date]])</f>
        <v>2023</v>
      </c>
    </row>
    <row r="1509" spans="1:17">
      <c r="A1509" t="s">
        <v>2068</v>
      </c>
      <c r="B1509" t="s">
        <v>248</v>
      </c>
      <c r="C1509" t="s">
        <v>133</v>
      </c>
      <c r="D1509" t="s">
        <v>90</v>
      </c>
      <c r="E1509" t="s">
        <v>166</v>
      </c>
      <c r="F1509" t="s">
        <v>70</v>
      </c>
      <c r="G1509" t="s">
        <v>91</v>
      </c>
      <c r="H1509" s="1">
        <v>44284</v>
      </c>
      <c r="I1509" s="2">
        <v>44284.2208333333</v>
      </c>
      <c r="J1509">
        <v>5.3</v>
      </c>
      <c r="K1509" t="s">
        <v>24</v>
      </c>
      <c r="L1509">
        <v>0</v>
      </c>
      <c r="M1509">
        <v>4</v>
      </c>
      <c r="N1509" t="s">
        <v>1857</v>
      </c>
      <c r="O1509" s="3" t="str">
        <f>TEXT(Ticket_Table[[#This Row],[raised_date]],"YYYY-MM")</f>
        <v>2021-03</v>
      </c>
      <c r="P1509" s="3" t="str">
        <f>IF(Ticket_Table[[#This Row],[resolution_hrs]]&lt;=4,"Fast",IF(Ticket_Table[[#This Row],[resolution_hrs]]&lt;=24,"Normal",IF(Ticket_Table[[#This Row],[resolution_hrs]]&lt;=48,"Slow","Very Slow")))</f>
        <v>Normal</v>
      </c>
      <c r="Q1509" s="3">
        <f>YEAR(Ticket_Table[[#This Row],[raised_date]])</f>
        <v>2021</v>
      </c>
    </row>
    <row r="1510" spans="1:17">
      <c r="A1510" t="s">
        <v>2069</v>
      </c>
      <c r="B1510" t="s">
        <v>169</v>
      </c>
      <c r="C1510" t="s">
        <v>55</v>
      </c>
      <c r="D1510" t="s">
        <v>36</v>
      </c>
      <c r="E1510" t="s">
        <v>69</v>
      </c>
      <c r="F1510" t="s">
        <v>70</v>
      </c>
      <c r="G1510" t="s">
        <v>31</v>
      </c>
      <c r="H1510" s="1">
        <v>44667</v>
      </c>
      <c r="I1510" s="2">
        <v>44668.1458333333</v>
      </c>
      <c r="J1510">
        <v>27.5</v>
      </c>
      <c r="K1510" t="s">
        <v>24</v>
      </c>
      <c r="L1510">
        <v>0</v>
      </c>
      <c r="M1510">
        <v>4</v>
      </c>
      <c r="N1510" t="s">
        <v>749</v>
      </c>
      <c r="O1510" s="3" t="str">
        <f>TEXT(Ticket_Table[[#This Row],[raised_date]],"YYYY-MM")</f>
        <v>2022-04</v>
      </c>
      <c r="P1510" s="3" t="str">
        <f>IF(Ticket_Table[[#This Row],[resolution_hrs]]&lt;=4,"Fast",IF(Ticket_Table[[#This Row],[resolution_hrs]]&lt;=24,"Normal",IF(Ticket_Table[[#This Row],[resolution_hrs]]&lt;=48,"Slow","Very Slow")))</f>
        <v>Slow</v>
      </c>
      <c r="Q1510" s="3">
        <f>YEAR(Ticket_Table[[#This Row],[raised_date]])</f>
        <v>2022</v>
      </c>
    </row>
    <row r="1511" spans="1:17">
      <c r="A1511" t="s">
        <v>2070</v>
      </c>
      <c r="B1511" t="s">
        <v>1191</v>
      </c>
      <c r="C1511" t="s">
        <v>55</v>
      </c>
      <c r="D1511" t="s">
        <v>43</v>
      </c>
      <c r="E1511" t="s">
        <v>166</v>
      </c>
      <c r="F1511" t="s">
        <v>45</v>
      </c>
      <c r="G1511" t="s">
        <v>23</v>
      </c>
      <c r="H1511" s="1">
        <v>44629</v>
      </c>
      <c r="I1511" s="2">
        <v>44629.1708333333</v>
      </c>
      <c r="J1511">
        <v>4.1</v>
      </c>
      <c r="K1511" t="s">
        <v>32</v>
      </c>
      <c r="L1511">
        <v>0</v>
      </c>
      <c r="M1511">
        <v>2</v>
      </c>
      <c r="N1511" t="s">
        <v>57</v>
      </c>
      <c r="O1511" s="3" t="str">
        <f>TEXT(Ticket_Table[[#This Row],[raised_date]],"YYYY-MM")</f>
        <v>2022-03</v>
      </c>
      <c r="P1511" s="3" t="str">
        <f>IF(Ticket_Table[[#This Row],[resolution_hrs]]&lt;=4,"Fast",IF(Ticket_Table[[#This Row],[resolution_hrs]]&lt;=24,"Normal",IF(Ticket_Table[[#This Row],[resolution_hrs]]&lt;=48,"Slow","Very Slow")))</f>
        <v>Normal</v>
      </c>
      <c r="Q1511" s="3">
        <f>YEAR(Ticket_Table[[#This Row],[raised_date]])</f>
        <v>2022</v>
      </c>
    </row>
    <row r="1512" spans="1:17">
      <c r="A1512" t="s">
        <v>2071</v>
      </c>
      <c r="B1512" t="s">
        <v>620</v>
      </c>
      <c r="C1512" t="s">
        <v>42</v>
      </c>
      <c r="D1512" t="s">
        <v>43</v>
      </c>
      <c r="E1512" t="s">
        <v>83</v>
      </c>
      <c r="F1512" t="s">
        <v>45</v>
      </c>
      <c r="G1512" t="s">
        <v>46</v>
      </c>
      <c r="H1512" s="1">
        <v>45170</v>
      </c>
      <c r="I1512" s="2">
        <v>45170.1166666667</v>
      </c>
      <c r="J1512">
        <v>2.8</v>
      </c>
      <c r="K1512" t="s">
        <v>24</v>
      </c>
      <c r="L1512">
        <v>0</v>
      </c>
      <c r="M1512">
        <v>3</v>
      </c>
      <c r="N1512" t="s">
        <v>256</v>
      </c>
      <c r="O1512" s="3" t="str">
        <f>TEXT(Ticket_Table[[#This Row],[raised_date]],"YYYY-MM")</f>
        <v>2023-09</v>
      </c>
      <c r="P1512" s="3" t="str">
        <f>IF(Ticket_Table[[#This Row],[resolution_hrs]]&lt;=4,"Fast",IF(Ticket_Table[[#This Row],[resolution_hrs]]&lt;=24,"Normal",IF(Ticket_Table[[#This Row],[resolution_hrs]]&lt;=48,"Slow","Very Slow")))</f>
        <v>Fast</v>
      </c>
      <c r="Q1512" s="3">
        <f>YEAR(Ticket_Table[[#This Row],[raised_date]])</f>
        <v>2023</v>
      </c>
    </row>
    <row r="1513" spans="1:17">
      <c r="A1513" t="s">
        <v>2072</v>
      </c>
      <c r="B1513" t="s">
        <v>811</v>
      </c>
      <c r="C1513" t="s">
        <v>19</v>
      </c>
      <c r="D1513" t="s">
        <v>90</v>
      </c>
      <c r="E1513" t="s">
        <v>37</v>
      </c>
      <c r="F1513" t="s">
        <v>38</v>
      </c>
      <c r="G1513" t="s">
        <v>23</v>
      </c>
      <c r="H1513" s="1">
        <v>44752</v>
      </c>
      <c r="I1513" s="2">
        <v>44752.1125</v>
      </c>
      <c r="J1513">
        <v>2.7</v>
      </c>
      <c r="K1513" t="s">
        <v>24</v>
      </c>
      <c r="L1513">
        <v>0</v>
      </c>
      <c r="M1513">
        <v>5</v>
      </c>
      <c r="N1513" t="s">
        <v>512</v>
      </c>
      <c r="O1513" s="3" t="str">
        <f>TEXT(Ticket_Table[[#This Row],[raised_date]],"YYYY-MM")</f>
        <v>2022-07</v>
      </c>
      <c r="P1513" s="3" t="str">
        <f>IF(Ticket_Table[[#This Row],[resolution_hrs]]&lt;=4,"Fast",IF(Ticket_Table[[#This Row],[resolution_hrs]]&lt;=24,"Normal",IF(Ticket_Table[[#This Row],[resolution_hrs]]&lt;=48,"Slow","Very Slow")))</f>
        <v>Fast</v>
      </c>
      <c r="Q1513" s="3">
        <f>YEAR(Ticket_Table[[#This Row],[raised_date]])</f>
        <v>2022</v>
      </c>
    </row>
    <row r="1514" spans="1:17">
      <c r="A1514" t="s">
        <v>2073</v>
      </c>
      <c r="B1514" t="s">
        <v>293</v>
      </c>
      <c r="C1514" t="s">
        <v>19</v>
      </c>
      <c r="D1514" t="s">
        <v>43</v>
      </c>
      <c r="E1514" t="s">
        <v>21</v>
      </c>
      <c r="F1514" t="s">
        <v>22</v>
      </c>
      <c r="G1514" t="s">
        <v>74</v>
      </c>
      <c r="H1514" s="1">
        <v>44292</v>
      </c>
      <c r="I1514" s="2">
        <v>44294.9458333333</v>
      </c>
      <c r="J1514">
        <v>70.7</v>
      </c>
      <c r="K1514" t="s">
        <v>24</v>
      </c>
      <c r="L1514">
        <v>0</v>
      </c>
      <c r="M1514">
        <v>4</v>
      </c>
      <c r="N1514" t="s">
        <v>1067</v>
      </c>
      <c r="O1514" s="3" t="str">
        <f>TEXT(Ticket_Table[[#This Row],[raised_date]],"YYYY-MM")</f>
        <v>2021-04</v>
      </c>
      <c r="P1514" s="3" t="str">
        <f>IF(Ticket_Table[[#This Row],[resolution_hrs]]&lt;=4,"Fast",IF(Ticket_Table[[#This Row],[resolution_hrs]]&lt;=24,"Normal",IF(Ticket_Table[[#This Row],[resolution_hrs]]&lt;=48,"Slow","Very Slow")))</f>
        <v>Very Slow</v>
      </c>
      <c r="Q1514" s="3">
        <f>YEAR(Ticket_Table[[#This Row],[raised_date]])</f>
        <v>2021</v>
      </c>
    </row>
    <row r="1515" spans="1:17">
      <c r="A1515" t="s">
        <v>2074</v>
      </c>
      <c r="B1515" t="s">
        <v>1037</v>
      </c>
      <c r="C1515" t="s">
        <v>55</v>
      </c>
      <c r="D1515" t="s">
        <v>90</v>
      </c>
      <c r="E1515" t="s">
        <v>44</v>
      </c>
      <c r="F1515" t="s">
        <v>22</v>
      </c>
      <c r="G1515" t="s">
        <v>23</v>
      </c>
      <c r="H1515" s="1">
        <v>44349</v>
      </c>
      <c r="I1515" s="2">
        <v>44349.5958333333</v>
      </c>
      <c r="J1515">
        <v>14.3</v>
      </c>
      <c r="K1515" t="s">
        <v>24</v>
      </c>
      <c r="L1515">
        <v>3</v>
      </c>
      <c r="M1515">
        <v>5</v>
      </c>
      <c r="N1515" t="s">
        <v>346</v>
      </c>
      <c r="O1515" s="3" t="str">
        <f>TEXT(Ticket_Table[[#This Row],[raised_date]],"YYYY-MM")</f>
        <v>2021-06</v>
      </c>
      <c r="P1515" s="3" t="str">
        <f>IF(Ticket_Table[[#This Row],[resolution_hrs]]&lt;=4,"Fast",IF(Ticket_Table[[#This Row],[resolution_hrs]]&lt;=24,"Normal",IF(Ticket_Table[[#This Row],[resolution_hrs]]&lt;=48,"Slow","Very Slow")))</f>
        <v>Normal</v>
      </c>
      <c r="Q1515" s="3">
        <f>YEAR(Ticket_Table[[#This Row],[raised_date]])</f>
        <v>2021</v>
      </c>
    </row>
    <row r="1516" spans="1:17">
      <c r="A1516" t="s">
        <v>2075</v>
      </c>
      <c r="B1516" t="s">
        <v>708</v>
      </c>
      <c r="C1516" t="s">
        <v>95</v>
      </c>
      <c r="D1516" t="s">
        <v>43</v>
      </c>
      <c r="E1516" t="s">
        <v>56</v>
      </c>
      <c r="F1516" t="s">
        <v>70</v>
      </c>
      <c r="G1516" t="s">
        <v>31</v>
      </c>
      <c r="H1516" s="1">
        <v>44771</v>
      </c>
      <c r="I1516" s="2">
        <v>44771.925</v>
      </c>
      <c r="J1516">
        <v>22.2</v>
      </c>
      <c r="K1516" t="s">
        <v>24</v>
      </c>
      <c r="L1516">
        <v>0</v>
      </c>
      <c r="M1516">
        <v>4</v>
      </c>
      <c r="N1516" t="s">
        <v>630</v>
      </c>
      <c r="O1516" s="3" t="str">
        <f>TEXT(Ticket_Table[[#This Row],[raised_date]],"YYYY-MM")</f>
        <v>2022-07</v>
      </c>
      <c r="P1516" s="3" t="str">
        <f>IF(Ticket_Table[[#This Row],[resolution_hrs]]&lt;=4,"Fast",IF(Ticket_Table[[#This Row],[resolution_hrs]]&lt;=24,"Normal",IF(Ticket_Table[[#This Row],[resolution_hrs]]&lt;=48,"Slow","Very Slow")))</f>
        <v>Normal</v>
      </c>
      <c r="Q1516" s="3">
        <f>YEAR(Ticket_Table[[#This Row],[raised_date]])</f>
        <v>2022</v>
      </c>
    </row>
    <row r="1517" spans="1:17">
      <c r="A1517" t="s">
        <v>2076</v>
      </c>
      <c r="B1517" t="s">
        <v>720</v>
      </c>
      <c r="C1517" t="s">
        <v>117</v>
      </c>
      <c r="D1517" t="s">
        <v>20</v>
      </c>
      <c r="E1517" t="s">
        <v>51</v>
      </c>
      <c r="F1517" t="s">
        <v>22</v>
      </c>
      <c r="G1517" t="s">
        <v>91</v>
      </c>
      <c r="H1517" s="1">
        <v>44264</v>
      </c>
      <c r="I1517" s="2">
        <v>44267.325</v>
      </c>
      <c r="J1517">
        <v>79.8</v>
      </c>
      <c r="K1517" t="s">
        <v>32</v>
      </c>
      <c r="L1517">
        <v>1</v>
      </c>
      <c r="M1517">
        <v>4</v>
      </c>
      <c r="N1517" t="s">
        <v>790</v>
      </c>
      <c r="O1517" s="3" t="str">
        <f>TEXT(Ticket_Table[[#This Row],[raised_date]],"YYYY-MM")</f>
        <v>2021-03</v>
      </c>
      <c r="P1517" s="3" t="str">
        <f>IF(Ticket_Table[[#This Row],[resolution_hrs]]&lt;=4,"Fast",IF(Ticket_Table[[#This Row],[resolution_hrs]]&lt;=24,"Normal",IF(Ticket_Table[[#This Row],[resolution_hrs]]&lt;=48,"Slow","Very Slow")))</f>
        <v>Very Slow</v>
      </c>
      <c r="Q1517" s="3">
        <f>YEAR(Ticket_Table[[#This Row],[raised_date]])</f>
        <v>2021</v>
      </c>
    </row>
    <row r="1518" spans="1:17">
      <c r="A1518" t="s">
        <v>2077</v>
      </c>
      <c r="B1518" t="s">
        <v>707</v>
      </c>
      <c r="C1518" t="s">
        <v>28</v>
      </c>
      <c r="D1518" t="s">
        <v>29</v>
      </c>
      <c r="E1518" t="s">
        <v>30</v>
      </c>
      <c r="F1518" t="s">
        <v>70</v>
      </c>
      <c r="G1518" t="s">
        <v>23</v>
      </c>
      <c r="H1518" s="1">
        <v>44564</v>
      </c>
      <c r="I1518" s="2">
        <v>44565.3833333333</v>
      </c>
      <c r="J1518">
        <v>33.2</v>
      </c>
      <c r="K1518" t="s">
        <v>24</v>
      </c>
      <c r="L1518">
        <v>0</v>
      </c>
      <c r="M1518">
        <v>4</v>
      </c>
      <c r="N1518" t="s">
        <v>445</v>
      </c>
      <c r="O1518" s="3" t="str">
        <f>TEXT(Ticket_Table[[#This Row],[raised_date]],"YYYY-MM")</f>
        <v>2022-01</v>
      </c>
      <c r="P1518" s="3" t="str">
        <f>IF(Ticket_Table[[#This Row],[resolution_hrs]]&lt;=4,"Fast",IF(Ticket_Table[[#This Row],[resolution_hrs]]&lt;=24,"Normal",IF(Ticket_Table[[#This Row],[resolution_hrs]]&lt;=48,"Slow","Very Slow")))</f>
        <v>Slow</v>
      </c>
      <c r="Q1518" s="3">
        <f>YEAR(Ticket_Table[[#This Row],[raised_date]])</f>
        <v>2022</v>
      </c>
    </row>
    <row r="1519" spans="1:17">
      <c r="A1519" t="s">
        <v>2078</v>
      </c>
      <c r="B1519" t="s">
        <v>207</v>
      </c>
      <c r="C1519" t="s">
        <v>117</v>
      </c>
      <c r="D1519" t="s">
        <v>20</v>
      </c>
      <c r="E1519" t="s">
        <v>37</v>
      </c>
      <c r="F1519" t="s">
        <v>38</v>
      </c>
      <c r="G1519" t="s">
        <v>46</v>
      </c>
      <c r="H1519" s="1">
        <v>44841</v>
      </c>
      <c r="I1519" s="2">
        <v>44842.475</v>
      </c>
      <c r="J1519">
        <v>35.4</v>
      </c>
      <c r="K1519" t="s">
        <v>32</v>
      </c>
      <c r="L1519">
        <v>0</v>
      </c>
      <c r="M1519">
        <v>4</v>
      </c>
      <c r="N1519" t="s">
        <v>289</v>
      </c>
      <c r="O1519" s="3" t="str">
        <f>TEXT(Ticket_Table[[#This Row],[raised_date]],"YYYY-MM")</f>
        <v>2022-10</v>
      </c>
      <c r="P1519" s="3" t="str">
        <f>IF(Ticket_Table[[#This Row],[resolution_hrs]]&lt;=4,"Fast",IF(Ticket_Table[[#This Row],[resolution_hrs]]&lt;=24,"Normal",IF(Ticket_Table[[#This Row],[resolution_hrs]]&lt;=48,"Slow","Very Slow")))</f>
        <v>Slow</v>
      </c>
      <c r="Q1519" s="3">
        <f>YEAR(Ticket_Table[[#This Row],[raised_date]])</f>
        <v>2022</v>
      </c>
    </row>
    <row r="1520" spans="1:17">
      <c r="A1520" t="s">
        <v>2079</v>
      </c>
      <c r="B1520" t="s">
        <v>854</v>
      </c>
      <c r="C1520" t="s">
        <v>213</v>
      </c>
      <c r="D1520" t="s">
        <v>90</v>
      </c>
      <c r="E1520" t="s">
        <v>44</v>
      </c>
      <c r="F1520" t="s">
        <v>38</v>
      </c>
      <c r="G1520" t="s">
        <v>31</v>
      </c>
      <c r="H1520" s="1">
        <v>44229</v>
      </c>
      <c r="I1520" s="2">
        <v>44230.2166666667</v>
      </c>
      <c r="J1520">
        <v>29.2</v>
      </c>
      <c r="K1520" t="s">
        <v>32</v>
      </c>
      <c r="L1520">
        <v>0</v>
      </c>
      <c r="M1520">
        <v>3</v>
      </c>
      <c r="N1520" t="s">
        <v>197</v>
      </c>
      <c r="O1520" s="3" t="str">
        <f>TEXT(Ticket_Table[[#This Row],[raised_date]],"YYYY-MM")</f>
        <v>2021-02</v>
      </c>
      <c r="P1520" s="3" t="str">
        <f>IF(Ticket_Table[[#This Row],[resolution_hrs]]&lt;=4,"Fast",IF(Ticket_Table[[#This Row],[resolution_hrs]]&lt;=24,"Normal",IF(Ticket_Table[[#This Row],[resolution_hrs]]&lt;=48,"Slow","Very Slow")))</f>
        <v>Slow</v>
      </c>
      <c r="Q1520" s="3">
        <f>YEAR(Ticket_Table[[#This Row],[raised_date]])</f>
        <v>2021</v>
      </c>
    </row>
    <row r="1521" spans="1:17">
      <c r="A1521" t="s">
        <v>2080</v>
      </c>
      <c r="B1521" t="s">
        <v>191</v>
      </c>
      <c r="C1521" t="s">
        <v>140</v>
      </c>
      <c r="D1521" t="s">
        <v>90</v>
      </c>
      <c r="E1521" t="s">
        <v>83</v>
      </c>
      <c r="F1521" t="s">
        <v>38</v>
      </c>
      <c r="G1521" t="s">
        <v>31</v>
      </c>
      <c r="H1521" s="1">
        <v>44621</v>
      </c>
      <c r="I1521" s="2">
        <v>44622.4833333333</v>
      </c>
      <c r="J1521">
        <v>35.6</v>
      </c>
      <c r="K1521" t="s">
        <v>32</v>
      </c>
      <c r="L1521">
        <v>0</v>
      </c>
      <c r="M1521">
        <v>2</v>
      </c>
      <c r="N1521" t="s">
        <v>109</v>
      </c>
      <c r="O1521" s="3" t="str">
        <f>TEXT(Ticket_Table[[#This Row],[raised_date]],"YYYY-MM")</f>
        <v>2022-03</v>
      </c>
      <c r="P1521" s="3" t="str">
        <f>IF(Ticket_Table[[#This Row],[resolution_hrs]]&lt;=4,"Fast",IF(Ticket_Table[[#This Row],[resolution_hrs]]&lt;=24,"Normal",IF(Ticket_Table[[#This Row],[resolution_hrs]]&lt;=48,"Slow","Very Slow")))</f>
        <v>Slow</v>
      </c>
      <c r="Q1521" s="3">
        <f>YEAR(Ticket_Table[[#This Row],[raised_date]])</f>
        <v>2022</v>
      </c>
    </row>
    <row r="1522" spans="1:17">
      <c r="A1522" t="s">
        <v>2081</v>
      </c>
      <c r="B1522" t="s">
        <v>401</v>
      </c>
      <c r="C1522" t="s">
        <v>102</v>
      </c>
      <c r="D1522" t="s">
        <v>20</v>
      </c>
      <c r="E1522" t="s">
        <v>30</v>
      </c>
      <c r="F1522" t="s">
        <v>70</v>
      </c>
      <c r="G1522" t="s">
        <v>31</v>
      </c>
      <c r="H1522" s="1">
        <v>44492</v>
      </c>
      <c r="I1522" s="2">
        <v>44493.7166666667</v>
      </c>
      <c r="J1522">
        <v>41.2</v>
      </c>
      <c r="K1522" t="s">
        <v>24</v>
      </c>
      <c r="L1522">
        <v>1</v>
      </c>
      <c r="M1522">
        <v>4</v>
      </c>
      <c r="N1522" t="s">
        <v>367</v>
      </c>
      <c r="O1522" s="3" t="str">
        <f>TEXT(Ticket_Table[[#This Row],[raised_date]],"YYYY-MM")</f>
        <v>2021-10</v>
      </c>
      <c r="P1522" s="3" t="str">
        <f>IF(Ticket_Table[[#This Row],[resolution_hrs]]&lt;=4,"Fast",IF(Ticket_Table[[#This Row],[resolution_hrs]]&lt;=24,"Normal",IF(Ticket_Table[[#This Row],[resolution_hrs]]&lt;=48,"Slow","Very Slow")))</f>
        <v>Slow</v>
      </c>
      <c r="Q1522" s="3">
        <f>YEAR(Ticket_Table[[#This Row],[raised_date]])</f>
        <v>2021</v>
      </c>
    </row>
    <row r="1523" spans="1:17">
      <c r="A1523" t="s">
        <v>2082</v>
      </c>
      <c r="B1523" t="s">
        <v>541</v>
      </c>
      <c r="C1523" t="s">
        <v>42</v>
      </c>
      <c r="D1523" t="s">
        <v>29</v>
      </c>
      <c r="E1523" t="s">
        <v>51</v>
      </c>
      <c r="F1523" t="s">
        <v>38</v>
      </c>
      <c r="G1523" t="s">
        <v>46</v>
      </c>
      <c r="H1523" s="1">
        <v>45012</v>
      </c>
      <c r="I1523" s="2">
        <v>45013.3458333333</v>
      </c>
      <c r="J1523">
        <v>32.3</v>
      </c>
      <c r="K1523" t="s">
        <v>32</v>
      </c>
      <c r="L1523">
        <v>1</v>
      </c>
      <c r="M1523">
        <v>2</v>
      </c>
      <c r="N1523" t="s">
        <v>929</v>
      </c>
      <c r="O1523" s="3" t="str">
        <f>TEXT(Ticket_Table[[#This Row],[raised_date]],"YYYY-MM")</f>
        <v>2023-03</v>
      </c>
      <c r="P1523" s="3" t="str">
        <f>IF(Ticket_Table[[#This Row],[resolution_hrs]]&lt;=4,"Fast",IF(Ticket_Table[[#This Row],[resolution_hrs]]&lt;=24,"Normal",IF(Ticket_Table[[#This Row],[resolution_hrs]]&lt;=48,"Slow","Very Slow")))</f>
        <v>Slow</v>
      </c>
      <c r="Q1523" s="3">
        <f>YEAR(Ticket_Table[[#This Row],[raised_date]])</f>
        <v>2023</v>
      </c>
    </row>
    <row r="1524" spans="1:17">
      <c r="A1524" t="s">
        <v>2083</v>
      </c>
      <c r="B1524" t="s">
        <v>86</v>
      </c>
      <c r="C1524" t="s">
        <v>60</v>
      </c>
      <c r="D1524" t="s">
        <v>29</v>
      </c>
      <c r="E1524" t="s">
        <v>83</v>
      </c>
      <c r="F1524" t="s">
        <v>70</v>
      </c>
      <c r="G1524" t="s">
        <v>23</v>
      </c>
      <c r="H1524" s="1">
        <v>44354</v>
      </c>
      <c r="I1524" s="2">
        <v>44355.9</v>
      </c>
      <c r="J1524">
        <v>45.6</v>
      </c>
      <c r="K1524" t="s">
        <v>24</v>
      </c>
      <c r="L1524">
        <v>1</v>
      </c>
      <c r="M1524">
        <v>3</v>
      </c>
      <c r="N1524" t="s">
        <v>1123</v>
      </c>
      <c r="O1524" s="3" t="str">
        <f>TEXT(Ticket_Table[[#This Row],[raised_date]],"YYYY-MM")</f>
        <v>2021-06</v>
      </c>
      <c r="P1524" s="3" t="str">
        <f>IF(Ticket_Table[[#This Row],[resolution_hrs]]&lt;=4,"Fast",IF(Ticket_Table[[#This Row],[resolution_hrs]]&lt;=24,"Normal",IF(Ticket_Table[[#This Row],[resolution_hrs]]&lt;=48,"Slow","Very Slow")))</f>
        <v>Slow</v>
      </c>
      <c r="Q1524" s="3">
        <f>YEAR(Ticket_Table[[#This Row],[raised_date]])</f>
        <v>2021</v>
      </c>
    </row>
    <row r="1525" spans="1:17">
      <c r="A1525" t="s">
        <v>2084</v>
      </c>
      <c r="B1525" t="s">
        <v>293</v>
      </c>
      <c r="C1525" t="s">
        <v>201</v>
      </c>
      <c r="D1525" t="s">
        <v>36</v>
      </c>
      <c r="E1525" t="s">
        <v>51</v>
      </c>
      <c r="F1525" t="s">
        <v>22</v>
      </c>
      <c r="G1525" t="s">
        <v>91</v>
      </c>
      <c r="H1525" s="1">
        <v>44809</v>
      </c>
      <c r="I1525" s="2">
        <v>44811.4208333333</v>
      </c>
      <c r="J1525">
        <v>58.1</v>
      </c>
      <c r="K1525" t="s">
        <v>24</v>
      </c>
      <c r="L1525">
        <v>0</v>
      </c>
      <c r="M1525">
        <v>5</v>
      </c>
      <c r="N1525" t="s">
        <v>542</v>
      </c>
      <c r="O1525" s="3" t="str">
        <f>TEXT(Ticket_Table[[#This Row],[raised_date]],"YYYY-MM")</f>
        <v>2022-09</v>
      </c>
      <c r="P1525" s="3" t="str">
        <f>IF(Ticket_Table[[#This Row],[resolution_hrs]]&lt;=4,"Fast",IF(Ticket_Table[[#This Row],[resolution_hrs]]&lt;=24,"Normal",IF(Ticket_Table[[#This Row],[resolution_hrs]]&lt;=48,"Slow","Very Slow")))</f>
        <v>Very Slow</v>
      </c>
      <c r="Q1525" s="3">
        <f>YEAR(Ticket_Table[[#This Row],[raised_date]])</f>
        <v>2022</v>
      </c>
    </row>
    <row r="1526" spans="1:17">
      <c r="A1526" t="s">
        <v>2085</v>
      </c>
      <c r="B1526" t="s">
        <v>397</v>
      </c>
      <c r="C1526" t="s">
        <v>201</v>
      </c>
      <c r="D1526" t="s">
        <v>43</v>
      </c>
      <c r="E1526" t="s">
        <v>51</v>
      </c>
      <c r="F1526" t="s">
        <v>38</v>
      </c>
      <c r="G1526" t="s">
        <v>46</v>
      </c>
      <c r="H1526" s="1">
        <v>44529</v>
      </c>
      <c r="I1526" s="2">
        <v>44529.9083333333</v>
      </c>
      <c r="J1526">
        <v>21.8</v>
      </c>
      <c r="K1526" t="s">
        <v>24</v>
      </c>
      <c r="L1526">
        <v>1</v>
      </c>
      <c r="M1526">
        <v>5</v>
      </c>
      <c r="N1526" t="s">
        <v>1025</v>
      </c>
      <c r="O1526" s="3" t="str">
        <f>TEXT(Ticket_Table[[#This Row],[raised_date]],"YYYY-MM")</f>
        <v>2021-11</v>
      </c>
      <c r="P1526" s="3" t="str">
        <f>IF(Ticket_Table[[#This Row],[resolution_hrs]]&lt;=4,"Fast",IF(Ticket_Table[[#This Row],[resolution_hrs]]&lt;=24,"Normal",IF(Ticket_Table[[#This Row],[resolution_hrs]]&lt;=48,"Slow","Very Slow")))</f>
        <v>Normal</v>
      </c>
      <c r="Q1526" s="3">
        <f>YEAR(Ticket_Table[[#This Row],[raised_date]])</f>
        <v>2021</v>
      </c>
    </row>
    <row r="1527" spans="1:17">
      <c r="A1527" t="s">
        <v>2086</v>
      </c>
      <c r="B1527" t="s">
        <v>272</v>
      </c>
      <c r="C1527" t="s">
        <v>213</v>
      </c>
      <c r="D1527" t="s">
        <v>36</v>
      </c>
      <c r="E1527" t="s">
        <v>56</v>
      </c>
      <c r="F1527" t="s">
        <v>22</v>
      </c>
      <c r="G1527" t="s">
        <v>31</v>
      </c>
      <c r="H1527" s="1">
        <v>44689</v>
      </c>
      <c r="I1527" s="2">
        <v>44690.6041666667</v>
      </c>
      <c r="J1527">
        <v>38.5</v>
      </c>
      <c r="K1527" t="s">
        <v>24</v>
      </c>
      <c r="L1527">
        <v>0</v>
      </c>
      <c r="M1527">
        <v>4</v>
      </c>
      <c r="N1527" t="s">
        <v>491</v>
      </c>
      <c r="O1527" s="3" t="str">
        <f>TEXT(Ticket_Table[[#This Row],[raised_date]],"YYYY-MM")</f>
        <v>2022-05</v>
      </c>
      <c r="P1527" s="3" t="str">
        <f>IF(Ticket_Table[[#This Row],[resolution_hrs]]&lt;=4,"Fast",IF(Ticket_Table[[#This Row],[resolution_hrs]]&lt;=24,"Normal",IF(Ticket_Table[[#This Row],[resolution_hrs]]&lt;=48,"Slow","Very Slow")))</f>
        <v>Slow</v>
      </c>
      <c r="Q1527" s="3">
        <f>YEAR(Ticket_Table[[#This Row],[raised_date]])</f>
        <v>2022</v>
      </c>
    </row>
    <row r="1528" spans="1:17">
      <c r="A1528" t="s">
        <v>2087</v>
      </c>
      <c r="B1528" t="s">
        <v>186</v>
      </c>
      <c r="C1528" t="s">
        <v>201</v>
      </c>
      <c r="D1528" t="s">
        <v>29</v>
      </c>
      <c r="E1528" t="s">
        <v>30</v>
      </c>
      <c r="F1528" t="s">
        <v>70</v>
      </c>
      <c r="G1528" t="s">
        <v>46</v>
      </c>
      <c r="H1528" s="1">
        <v>44993</v>
      </c>
      <c r="I1528" s="2">
        <v>44993.8833333333</v>
      </c>
      <c r="J1528">
        <v>21.2</v>
      </c>
      <c r="K1528" t="s">
        <v>24</v>
      </c>
      <c r="L1528">
        <v>0</v>
      </c>
      <c r="M1528">
        <v>4</v>
      </c>
      <c r="N1528" t="s">
        <v>701</v>
      </c>
      <c r="O1528" s="3" t="str">
        <f>TEXT(Ticket_Table[[#This Row],[raised_date]],"YYYY-MM")</f>
        <v>2023-03</v>
      </c>
      <c r="P1528" s="3" t="str">
        <f>IF(Ticket_Table[[#This Row],[resolution_hrs]]&lt;=4,"Fast",IF(Ticket_Table[[#This Row],[resolution_hrs]]&lt;=24,"Normal",IF(Ticket_Table[[#This Row],[resolution_hrs]]&lt;=48,"Slow","Very Slow")))</f>
        <v>Normal</v>
      </c>
      <c r="Q1528" s="3">
        <f>YEAR(Ticket_Table[[#This Row],[raised_date]])</f>
        <v>2023</v>
      </c>
    </row>
    <row r="1529" spans="1:17">
      <c r="A1529" t="s">
        <v>2088</v>
      </c>
      <c r="B1529" t="s">
        <v>79</v>
      </c>
      <c r="C1529" t="s">
        <v>117</v>
      </c>
      <c r="D1529" t="s">
        <v>20</v>
      </c>
      <c r="E1529" t="s">
        <v>69</v>
      </c>
      <c r="F1529" t="s">
        <v>70</v>
      </c>
      <c r="G1529" t="s">
        <v>23</v>
      </c>
      <c r="H1529" s="1">
        <v>44876</v>
      </c>
      <c r="I1529" s="2">
        <v>44878.3625</v>
      </c>
      <c r="J1529">
        <v>56.7</v>
      </c>
      <c r="K1529" t="s">
        <v>32</v>
      </c>
      <c r="L1529">
        <v>1</v>
      </c>
      <c r="M1529">
        <v>3</v>
      </c>
      <c r="N1529" t="s">
        <v>599</v>
      </c>
      <c r="O1529" s="3" t="str">
        <f>TEXT(Ticket_Table[[#This Row],[raised_date]],"YYYY-MM")</f>
        <v>2022-11</v>
      </c>
      <c r="P1529" s="3" t="str">
        <f>IF(Ticket_Table[[#This Row],[resolution_hrs]]&lt;=4,"Fast",IF(Ticket_Table[[#This Row],[resolution_hrs]]&lt;=24,"Normal",IF(Ticket_Table[[#This Row],[resolution_hrs]]&lt;=48,"Slow","Very Slow")))</f>
        <v>Very Slow</v>
      </c>
      <c r="Q1529" s="3">
        <f>YEAR(Ticket_Table[[#This Row],[raised_date]])</f>
        <v>2022</v>
      </c>
    </row>
    <row r="1530" spans="1:17">
      <c r="A1530" t="s">
        <v>2089</v>
      </c>
      <c r="B1530" t="s">
        <v>562</v>
      </c>
      <c r="C1530" t="s">
        <v>201</v>
      </c>
      <c r="D1530" t="s">
        <v>43</v>
      </c>
      <c r="E1530" t="s">
        <v>166</v>
      </c>
      <c r="F1530" t="s">
        <v>38</v>
      </c>
      <c r="G1530" t="s">
        <v>31</v>
      </c>
      <c r="H1530" s="1">
        <v>44983</v>
      </c>
      <c r="I1530" s="2">
        <v>44984.0833333333</v>
      </c>
      <c r="J1530">
        <v>26</v>
      </c>
      <c r="K1530" t="s">
        <v>32</v>
      </c>
      <c r="L1530">
        <v>1</v>
      </c>
      <c r="M1530">
        <v>4</v>
      </c>
      <c r="N1530" t="s">
        <v>464</v>
      </c>
      <c r="O1530" s="3" t="str">
        <f>TEXT(Ticket_Table[[#This Row],[raised_date]],"YYYY-MM")</f>
        <v>2023-02</v>
      </c>
      <c r="P1530" s="3" t="str">
        <f>IF(Ticket_Table[[#This Row],[resolution_hrs]]&lt;=4,"Fast",IF(Ticket_Table[[#This Row],[resolution_hrs]]&lt;=24,"Normal",IF(Ticket_Table[[#This Row],[resolution_hrs]]&lt;=48,"Slow","Very Slow")))</f>
        <v>Slow</v>
      </c>
      <c r="Q1530" s="3">
        <f>YEAR(Ticket_Table[[#This Row],[raised_date]])</f>
        <v>2023</v>
      </c>
    </row>
    <row r="1531" spans="1:17">
      <c r="A1531" t="s">
        <v>2090</v>
      </c>
      <c r="B1531" t="s">
        <v>833</v>
      </c>
      <c r="C1531" t="s">
        <v>60</v>
      </c>
      <c r="D1531" t="s">
        <v>20</v>
      </c>
      <c r="E1531" t="s">
        <v>166</v>
      </c>
      <c r="F1531" t="s">
        <v>38</v>
      </c>
      <c r="G1531" t="s">
        <v>23</v>
      </c>
      <c r="H1531" s="1">
        <v>44483</v>
      </c>
      <c r="I1531" s="2">
        <v>44484.0208333333</v>
      </c>
      <c r="J1531">
        <v>24.5</v>
      </c>
      <c r="K1531" t="s">
        <v>32</v>
      </c>
      <c r="L1531">
        <v>0</v>
      </c>
      <c r="M1531">
        <v>4</v>
      </c>
      <c r="N1531" t="s">
        <v>1003</v>
      </c>
      <c r="O1531" s="3" t="str">
        <f>TEXT(Ticket_Table[[#This Row],[raised_date]],"YYYY-MM")</f>
        <v>2021-10</v>
      </c>
      <c r="P1531" s="3" t="str">
        <f>IF(Ticket_Table[[#This Row],[resolution_hrs]]&lt;=4,"Fast",IF(Ticket_Table[[#This Row],[resolution_hrs]]&lt;=24,"Normal",IF(Ticket_Table[[#This Row],[resolution_hrs]]&lt;=48,"Slow","Very Slow")))</f>
        <v>Slow</v>
      </c>
      <c r="Q1531" s="3">
        <f>YEAR(Ticket_Table[[#This Row],[raised_date]])</f>
        <v>2021</v>
      </c>
    </row>
    <row r="1532" spans="1:17">
      <c r="A1532" t="s">
        <v>2091</v>
      </c>
      <c r="B1532" t="s">
        <v>320</v>
      </c>
      <c r="C1532" t="s">
        <v>201</v>
      </c>
      <c r="D1532" t="s">
        <v>36</v>
      </c>
      <c r="E1532" t="s">
        <v>37</v>
      </c>
      <c r="F1532" t="s">
        <v>70</v>
      </c>
      <c r="G1532" t="s">
        <v>31</v>
      </c>
      <c r="H1532" s="1">
        <v>44357</v>
      </c>
      <c r="I1532" s="2">
        <v>44359.1541666667</v>
      </c>
      <c r="J1532">
        <v>51.7</v>
      </c>
      <c r="K1532" t="s">
        <v>32</v>
      </c>
      <c r="L1532">
        <v>2</v>
      </c>
      <c r="M1532">
        <v>4</v>
      </c>
      <c r="N1532" t="s">
        <v>266</v>
      </c>
      <c r="O1532" s="3" t="str">
        <f>TEXT(Ticket_Table[[#This Row],[raised_date]],"YYYY-MM")</f>
        <v>2021-06</v>
      </c>
      <c r="P1532" s="3" t="str">
        <f>IF(Ticket_Table[[#This Row],[resolution_hrs]]&lt;=4,"Fast",IF(Ticket_Table[[#This Row],[resolution_hrs]]&lt;=24,"Normal",IF(Ticket_Table[[#This Row],[resolution_hrs]]&lt;=48,"Slow","Very Slow")))</f>
        <v>Very Slow</v>
      </c>
      <c r="Q1532" s="3">
        <f>YEAR(Ticket_Table[[#This Row],[raised_date]])</f>
        <v>2021</v>
      </c>
    </row>
    <row r="1533" spans="1:17">
      <c r="A1533" t="s">
        <v>2092</v>
      </c>
      <c r="B1533" t="s">
        <v>605</v>
      </c>
      <c r="C1533" t="s">
        <v>60</v>
      </c>
      <c r="D1533" t="s">
        <v>90</v>
      </c>
      <c r="E1533" t="s">
        <v>51</v>
      </c>
      <c r="F1533" t="s">
        <v>38</v>
      </c>
      <c r="G1533" t="s">
        <v>23</v>
      </c>
      <c r="H1533" s="1">
        <v>45222</v>
      </c>
      <c r="I1533" s="2">
        <v>45222.8</v>
      </c>
      <c r="J1533">
        <v>19.2</v>
      </c>
      <c r="K1533" t="s">
        <v>24</v>
      </c>
      <c r="L1533">
        <v>1</v>
      </c>
      <c r="M1533">
        <v>5</v>
      </c>
      <c r="N1533" t="s">
        <v>258</v>
      </c>
      <c r="O1533" s="3" t="str">
        <f>TEXT(Ticket_Table[[#This Row],[raised_date]],"YYYY-MM")</f>
        <v>2023-10</v>
      </c>
      <c r="P1533" s="3" t="str">
        <f>IF(Ticket_Table[[#This Row],[resolution_hrs]]&lt;=4,"Fast",IF(Ticket_Table[[#This Row],[resolution_hrs]]&lt;=24,"Normal",IF(Ticket_Table[[#This Row],[resolution_hrs]]&lt;=48,"Slow","Very Slow")))</f>
        <v>Normal</v>
      </c>
      <c r="Q1533" s="3">
        <f>YEAR(Ticket_Table[[#This Row],[raised_date]])</f>
        <v>2023</v>
      </c>
    </row>
    <row r="1534" spans="1:17">
      <c r="A1534" t="s">
        <v>2093</v>
      </c>
      <c r="B1534" t="s">
        <v>608</v>
      </c>
      <c r="C1534" t="s">
        <v>55</v>
      </c>
      <c r="D1534" t="s">
        <v>20</v>
      </c>
      <c r="E1534" t="s">
        <v>37</v>
      </c>
      <c r="F1534" t="s">
        <v>22</v>
      </c>
      <c r="G1534" t="s">
        <v>91</v>
      </c>
      <c r="H1534" s="1">
        <v>44905</v>
      </c>
      <c r="I1534" s="2">
        <v>44906.1458333333</v>
      </c>
      <c r="J1534">
        <v>27.5</v>
      </c>
      <c r="K1534" t="s">
        <v>24</v>
      </c>
      <c r="L1534">
        <v>0</v>
      </c>
      <c r="M1534">
        <v>3</v>
      </c>
      <c r="N1534" t="s">
        <v>560</v>
      </c>
      <c r="O1534" s="3" t="str">
        <f>TEXT(Ticket_Table[[#This Row],[raised_date]],"YYYY-MM")</f>
        <v>2022-12</v>
      </c>
      <c r="P1534" s="3" t="str">
        <f>IF(Ticket_Table[[#This Row],[resolution_hrs]]&lt;=4,"Fast",IF(Ticket_Table[[#This Row],[resolution_hrs]]&lt;=24,"Normal",IF(Ticket_Table[[#This Row],[resolution_hrs]]&lt;=48,"Slow","Very Slow")))</f>
        <v>Slow</v>
      </c>
      <c r="Q1534" s="3">
        <f>YEAR(Ticket_Table[[#This Row],[raised_date]])</f>
        <v>2022</v>
      </c>
    </row>
    <row r="1535" spans="1:17">
      <c r="A1535" t="s">
        <v>2094</v>
      </c>
      <c r="B1535" t="s">
        <v>541</v>
      </c>
      <c r="C1535" t="s">
        <v>50</v>
      </c>
      <c r="D1535" t="s">
        <v>36</v>
      </c>
      <c r="E1535" t="s">
        <v>30</v>
      </c>
      <c r="F1535" t="s">
        <v>70</v>
      </c>
      <c r="G1535" t="s">
        <v>23</v>
      </c>
      <c r="H1535" s="1">
        <v>44306</v>
      </c>
      <c r="I1535" s="2">
        <v>44307.0125</v>
      </c>
      <c r="J1535">
        <v>24.3</v>
      </c>
      <c r="K1535" t="s">
        <v>24</v>
      </c>
      <c r="L1535">
        <v>0</v>
      </c>
      <c r="M1535">
        <v>3</v>
      </c>
      <c r="N1535" t="s">
        <v>544</v>
      </c>
      <c r="O1535" s="3" t="str">
        <f>TEXT(Ticket_Table[[#This Row],[raised_date]],"YYYY-MM")</f>
        <v>2021-04</v>
      </c>
      <c r="P1535" s="3" t="str">
        <f>IF(Ticket_Table[[#This Row],[resolution_hrs]]&lt;=4,"Fast",IF(Ticket_Table[[#This Row],[resolution_hrs]]&lt;=24,"Normal",IF(Ticket_Table[[#This Row],[resolution_hrs]]&lt;=48,"Slow","Very Slow")))</f>
        <v>Slow</v>
      </c>
      <c r="Q1535" s="3">
        <f>YEAR(Ticket_Table[[#This Row],[raised_date]])</f>
        <v>2021</v>
      </c>
    </row>
    <row r="1536" spans="1:17">
      <c r="A1536" t="s">
        <v>2095</v>
      </c>
      <c r="B1536" t="s">
        <v>501</v>
      </c>
      <c r="C1536" t="s">
        <v>102</v>
      </c>
      <c r="D1536" t="s">
        <v>36</v>
      </c>
      <c r="E1536" t="s">
        <v>51</v>
      </c>
      <c r="F1536" t="s">
        <v>38</v>
      </c>
      <c r="G1536" t="s">
        <v>46</v>
      </c>
      <c r="H1536" s="1">
        <v>44397</v>
      </c>
      <c r="I1536" s="2">
        <v>44397.8916666667</v>
      </c>
      <c r="J1536">
        <v>21.4</v>
      </c>
      <c r="K1536" t="s">
        <v>24</v>
      </c>
      <c r="L1536">
        <v>3</v>
      </c>
      <c r="M1536">
        <v>4</v>
      </c>
      <c r="N1536" t="s">
        <v>525</v>
      </c>
      <c r="O1536" s="3" t="str">
        <f>TEXT(Ticket_Table[[#This Row],[raised_date]],"YYYY-MM")</f>
        <v>2021-07</v>
      </c>
      <c r="P1536" s="3" t="str">
        <f>IF(Ticket_Table[[#This Row],[resolution_hrs]]&lt;=4,"Fast",IF(Ticket_Table[[#This Row],[resolution_hrs]]&lt;=24,"Normal",IF(Ticket_Table[[#This Row],[resolution_hrs]]&lt;=48,"Slow","Very Slow")))</f>
        <v>Normal</v>
      </c>
      <c r="Q1536" s="3">
        <f>YEAR(Ticket_Table[[#This Row],[raised_date]])</f>
        <v>2021</v>
      </c>
    </row>
    <row r="1537" spans="1:17">
      <c r="A1537" t="s">
        <v>2096</v>
      </c>
      <c r="B1537" t="s">
        <v>157</v>
      </c>
      <c r="C1537" t="s">
        <v>60</v>
      </c>
      <c r="D1537" t="s">
        <v>36</v>
      </c>
      <c r="E1537" t="s">
        <v>51</v>
      </c>
      <c r="F1537" t="s">
        <v>38</v>
      </c>
      <c r="G1537" t="s">
        <v>23</v>
      </c>
      <c r="H1537" s="1">
        <v>45092</v>
      </c>
      <c r="I1537" s="2">
        <v>45093.2416666667</v>
      </c>
      <c r="J1537">
        <v>29.8</v>
      </c>
      <c r="K1537" t="s">
        <v>32</v>
      </c>
      <c r="L1537">
        <v>1</v>
      </c>
      <c r="M1537">
        <v>4</v>
      </c>
      <c r="N1537" t="s">
        <v>1123</v>
      </c>
      <c r="O1537" s="3" t="str">
        <f>TEXT(Ticket_Table[[#This Row],[raised_date]],"YYYY-MM")</f>
        <v>2023-06</v>
      </c>
      <c r="P1537" s="3" t="str">
        <f>IF(Ticket_Table[[#This Row],[resolution_hrs]]&lt;=4,"Fast",IF(Ticket_Table[[#This Row],[resolution_hrs]]&lt;=24,"Normal",IF(Ticket_Table[[#This Row],[resolution_hrs]]&lt;=48,"Slow","Very Slow")))</f>
        <v>Slow</v>
      </c>
      <c r="Q1537" s="3">
        <f>YEAR(Ticket_Table[[#This Row],[raised_date]])</f>
        <v>2023</v>
      </c>
    </row>
    <row r="1538" spans="1:17">
      <c r="A1538" t="s">
        <v>2097</v>
      </c>
      <c r="B1538" t="s">
        <v>600</v>
      </c>
      <c r="C1538" t="s">
        <v>261</v>
      </c>
      <c r="D1538" t="s">
        <v>90</v>
      </c>
      <c r="E1538" t="s">
        <v>44</v>
      </c>
      <c r="F1538" t="s">
        <v>45</v>
      </c>
      <c r="G1538" t="s">
        <v>31</v>
      </c>
      <c r="H1538" s="1">
        <v>44672</v>
      </c>
      <c r="I1538" s="2">
        <v>44672.1166666667</v>
      </c>
      <c r="J1538">
        <v>2.8</v>
      </c>
      <c r="K1538" t="s">
        <v>24</v>
      </c>
      <c r="L1538">
        <v>0</v>
      </c>
      <c r="M1538">
        <v>1</v>
      </c>
      <c r="N1538" t="s">
        <v>487</v>
      </c>
      <c r="O1538" s="3" t="str">
        <f>TEXT(Ticket_Table[[#This Row],[raised_date]],"YYYY-MM")</f>
        <v>2022-04</v>
      </c>
      <c r="P1538" s="3" t="str">
        <f>IF(Ticket_Table[[#This Row],[resolution_hrs]]&lt;=4,"Fast",IF(Ticket_Table[[#This Row],[resolution_hrs]]&lt;=24,"Normal",IF(Ticket_Table[[#This Row],[resolution_hrs]]&lt;=48,"Slow","Very Slow")))</f>
        <v>Fast</v>
      </c>
      <c r="Q1538" s="3">
        <f>YEAR(Ticket_Table[[#This Row],[raised_date]])</f>
        <v>2022</v>
      </c>
    </row>
    <row r="1539" spans="1:17">
      <c r="A1539" t="s">
        <v>2098</v>
      </c>
      <c r="B1539" t="s">
        <v>413</v>
      </c>
      <c r="C1539" t="s">
        <v>213</v>
      </c>
      <c r="D1539" t="s">
        <v>90</v>
      </c>
      <c r="E1539" t="s">
        <v>21</v>
      </c>
      <c r="F1539" t="s">
        <v>22</v>
      </c>
      <c r="G1539" t="s">
        <v>31</v>
      </c>
      <c r="H1539" s="1">
        <v>44352</v>
      </c>
      <c r="I1539" s="2">
        <v>44352.4791666667</v>
      </c>
      <c r="J1539">
        <v>11.5</v>
      </c>
      <c r="K1539" t="s">
        <v>24</v>
      </c>
      <c r="L1539">
        <v>0</v>
      </c>
      <c r="M1539">
        <v>5</v>
      </c>
      <c r="N1539" t="s">
        <v>189</v>
      </c>
      <c r="O1539" s="3" t="str">
        <f>TEXT(Ticket_Table[[#This Row],[raised_date]],"YYYY-MM")</f>
        <v>2021-06</v>
      </c>
      <c r="P1539" s="3" t="str">
        <f>IF(Ticket_Table[[#This Row],[resolution_hrs]]&lt;=4,"Fast",IF(Ticket_Table[[#This Row],[resolution_hrs]]&lt;=24,"Normal",IF(Ticket_Table[[#This Row],[resolution_hrs]]&lt;=48,"Slow","Very Slow")))</f>
        <v>Normal</v>
      </c>
      <c r="Q1539" s="3">
        <f>YEAR(Ticket_Table[[#This Row],[raised_date]])</f>
        <v>2021</v>
      </c>
    </row>
    <row r="1540" spans="1:17">
      <c r="A1540" t="s">
        <v>2099</v>
      </c>
      <c r="B1540" t="s">
        <v>103</v>
      </c>
      <c r="C1540" t="s">
        <v>19</v>
      </c>
      <c r="D1540" t="s">
        <v>90</v>
      </c>
      <c r="E1540" t="s">
        <v>166</v>
      </c>
      <c r="F1540" t="s">
        <v>38</v>
      </c>
      <c r="G1540" t="s">
        <v>23</v>
      </c>
      <c r="H1540" s="1">
        <v>44894</v>
      </c>
      <c r="I1540" s="2">
        <v>44895.0791666667</v>
      </c>
      <c r="J1540">
        <v>25.9</v>
      </c>
      <c r="K1540" t="s">
        <v>32</v>
      </c>
      <c r="L1540">
        <v>0</v>
      </c>
      <c r="M1540">
        <v>5</v>
      </c>
      <c r="N1540" t="s">
        <v>493</v>
      </c>
      <c r="O1540" s="3" t="str">
        <f>TEXT(Ticket_Table[[#This Row],[raised_date]],"YYYY-MM")</f>
        <v>2022-11</v>
      </c>
      <c r="P1540" s="3" t="str">
        <f>IF(Ticket_Table[[#This Row],[resolution_hrs]]&lt;=4,"Fast",IF(Ticket_Table[[#This Row],[resolution_hrs]]&lt;=24,"Normal",IF(Ticket_Table[[#This Row],[resolution_hrs]]&lt;=48,"Slow","Very Slow")))</f>
        <v>Slow</v>
      </c>
      <c r="Q1540" s="3">
        <f>YEAR(Ticket_Table[[#This Row],[raised_date]])</f>
        <v>2022</v>
      </c>
    </row>
    <row r="1541" spans="1:17">
      <c r="A1541" t="s">
        <v>2100</v>
      </c>
      <c r="B1541" t="s">
        <v>1278</v>
      </c>
      <c r="C1541" t="s">
        <v>42</v>
      </c>
      <c r="D1541" t="s">
        <v>43</v>
      </c>
      <c r="E1541" t="s">
        <v>30</v>
      </c>
      <c r="F1541" t="s">
        <v>70</v>
      </c>
      <c r="G1541" t="s">
        <v>23</v>
      </c>
      <c r="H1541" s="1">
        <v>45009</v>
      </c>
      <c r="I1541" s="2">
        <v>45011.4916666667</v>
      </c>
      <c r="J1541">
        <v>59.8</v>
      </c>
      <c r="K1541" t="s">
        <v>32</v>
      </c>
      <c r="L1541">
        <v>0</v>
      </c>
      <c r="M1541">
        <v>5</v>
      </c>
      <c r="N1541" t="s">
        <v>73</v>
      </c>
      <c r="O1541" s="3" t="str">
        <f>TEXT(Ticket_Table[[#This Row],[raised_date]],"YYYY-MM")</f>
        <v>2023-03</v>
      </c>
      <c r="P1541" s="3" t="str">
        <f>IF(Ticket_Table[[#This Row],[resolution_hrs]]&lt;=4,"Fast",IF(Ticket_Table[[#This Row],[resolution_hrs]]&lt;=24,"Normal",IF(Ticket_Table[[#This Row],[resolution_hrs]]&lt;=48,"Slow","Very Slow")))</f>
        <v>Very Slow</v>
      </c>
      <c r="Q1541" s="3">
        <f>YEAR(Ticket_Table[[#This Row],[raised_date]])</f>
        <v>2023</v>
      </c>
    </row>
    <row r="1542" spans="1:17">
      <c r="A1542" t="s">
        <v>2101</v>
      </c>
      <c r="B1542" t="s">
        <v>822</v>
      </c>
      <c r="C1542" t="s">
        <v>102</v>
      </c>
      <c r="D1542" t="s">
        <v>90</v>
      </c>
      <c r="E1542" t="s">
        <v>83</v>
      </c>
      <c r="F1542" t="s">
        <v>45</v>
      </c>
      <c r="G1542" t="s">
        <v>31</v>
      </c>
      <c r="H1542" s="1">
        <v>44865</v>
      </c>
      <c r="I1542" s="2">
        <v>44865.0583333333</v>
      </c>
      <c r="J1542">
        <v>1.4</v>
      </c>
      <c r="K1542" t="s">
        <v>24</v>
      </c>
      <c r="L1542">
        <v>0</v>
      </c>
      <c r="M1542">
        <v>5</v>
      </c>
      <c r="N1542" t="s">
        <v>1252</v>
      </c>
      <c r="O1542" s="3" t="str">
        <f>TEXT(Ticket_Table[[#This Row],[raised_date]],"YYYY-MM")</f>
        <v>2022-10</v>
      </c>
      <c r="P1542" s="3" t="str">
        <f>IF(Ticket_Table[[#This Row],[resolution_hrs]]&lt;=4,"Fast",IF(Ticket_Table[[#This Row],[resolution_hrs]]&lt;=24,"Normal",IF(Ticket_Table[[#This Row],[resolution_hrs]]&lt;=48,"Slow","Very Slow")))</f>
        <v>Fast</v>
      </c>
      <c r="Q1542" s="3">
        <f>YEAR(Ticket_Table[[#This Row],[raised_date]])</f>
        <v>2022</v>
      </c>
    </row>
    <row r="1543" spans="1:17">
      <c r="A1543" t="s">
        <v>2102</v>
      </c>
      <c r="B1543" t="s">
        <v>476</v>
      </c>
      <c r="C1543" t="s">
        <v>287</v>
      </c>
      <c r="D1543" t="s">
        <v>90</v>
      </c>
      <c r="E1543" t="s">
        <v>83</v>
      </c>
      <c r="F1543" t="s">
        <v>22</v>
      </c>
      <c r="G1543" t="s">
        <v>31</v>
      </c>
      <c r="H1543" s="1">
        <v>44257</v>
      </c>
      <c r="I1543" s="2">
        <v>44257.3208333333</v>
      </c>
      <c r="J1543">
        <v>7.7</v>
      </c>
      <c r="K1543" t="s">
        <v>24</v>
      </c>
      <c r="L1543">
        <v>0</v>
      </c>
      <c r="M1543">
        <v>5</v>
      </c>
      <c r="N1543" t="s">
        <v>549</v>
      </c>
      <c r="O1543" s="3" t="str">
        <f>TEXT(Ticket_Table[[#This Row],[raised_date]],"YYYY-MM")</f>
        <v>2021-03</v>
      </c>
      <c r="P1543" s="3" t="str">
        <f>IF(Ticket_Table[[#This Row],[resolution_hrs]]&lt;=4,"Fast",IF(Ticket_Table[[#This Row],[resolution_hrs]]&lt;=24,"Normal",IF(Ticket_Table[[#This Row],[resolution_hrs]]&lt;=48,"Slow","Very Slow")))</f>
        <v>Normal</v>
      </c>
      <c r="Q1543" s="3">
        <f>YEAR(Ticket_Table[[#This Row],[raised_date]])</f>
        <v>2021</v>
      </c>
    </row>
    <row r="1544" spans="1:17">
      <c r="A1544" t="s">
        <v>2103</v>
      </c>
      <c r="B1544" t="s">
        <v>151</v>
      </c>
      <c r="C1544" t="s">
        <v>213</v>
      </c>
      <c r="D1544" t="s">
        <v>90</v>
      </c>
      <c r="E1544" t="s">
        <v>69</v>
      </c>
      <c r="F1544" t="s">
        <v>38</v>
      </c>
      <c r="G1544" t="s">
        <v>31</v>
      </c>
      <c r="H1544" s="1">
        <v>44756</v>
      </c>
      <c r="I1544" s="2">
        <v>44757.3375</v>
      </c>
      <c r="J1544">
        <v>32.1</v>
      </c>
      <c r="K1544" t="s">
        <v>32</v>
      </c>
      <c r="L1544">
        <v>0</v>
      </c>
      <c r="M1544">
        <v>5</v>
      </c>
      <c r="N1544" t="s">
        <v>1039</v>
      </c>
      <c r="O1544" s="3" t="str">
        <f>TEXT(Ticket_Table[[#This Row],[raised_date]],"YYYY-MM")</f>
        <v>2022-07</v>
      </c>
      <c r="P1544" s="3" t="str">
        <f>IF(Ticket_Table[[#This Row],[resolution_hrs]]&lt;=4,"Fast",IF(Ticket_Table[[#This Row],[resolution_hrs]]&lt;=24,"Normal",IF(Ticket_Table[[#This Row],[resolution_hrs]]&lt;=48,"Slow","Very Slow")))</f>
        <v>Slow</v>
      </c>
      <c r="Q1544" s="3">
        <f>YEAR(Ticket_Table[[#This Row],[raised_date]])</f>
        <v>2022</v>
      </c>
    </row>
    <row r="1545" spans="1:17">
      <c r="A1545" t="s">
        <v>2104</v>
      </c>
      <c r="B1545" t="s">
        <v>914</v>
      </c>
      <c r="C1545" t="s">
        <v>55</v>
      </c>
      <c r="D1545" t="s">
        <v>20</v>
      </c>
      <c r="E1545" t="s">
        <v>106</v>
      </c>
      <c r="F1545" t="s">
        <v>70</v>
      </c>
      <c r="G1545" t="s">
        <v>31</v>
      </c>
      <c r="H1545" s="1">
        <v>45119</v>
      </c>
      <c r="I1545" s="2">
        <v>45120.45</v>
      </c>
      <c r="J1545">
        <v>34.8</v>
      </c>
      <c r="K1545" t="s">
        <v>24</v>
      </c>
      <c r="L1545">
        <v>2</v>
      </c>
      <c r="M1545">
        <v>4</v>
      </c>
      <c r="N1545" t="s">
        <v>182</v>
      </c>
      <c r="O1545" s="3" t="str">
        <f>TEXT(Ticket_Table[[#This Row],[raised_date]],"YYYY-MM")</f>
        <v>2023-07</v>
      </c>
      <c r="P1545" s="3" t="str">
        <f>IF(Ticket_Table[[#This Row],[resolution_hrs]]&lt;=4,"Fast",IF(Ticket_Table[[#This Row],[resolution_hrs]]&lt;=24,"Normal",IF(Ticket_Table[[#This Row],[resolution_hrs]]&lt;=48,"Slow","Very Slow")))</f>
        <v>Slow</v>
      </c>
      <c r="Q1545" s="3">
        <f>YEAR(Ticket_Table[[#This Row],[raised_date]])</f>
        <v>2023</v>
      </c>
    </row>
    <row r="1546" spans="1:17">
      <c r="A1546" t="s">
        <v>2105</v>
      </c>
      <c r="B1546" t="s">
        <v>185</v>
      </c>
      <c r="C1546" t="s">
        <v>117</v>
      </c>
      <c r="D1546" t="s">
        <v>90</v>
      </c>
      <c r="E1546" t="s">
        <v>30</v>
      </c>
      <c r="F1546" t="s">
        <v>22</v>
      </c>
      <c r="G1546" t="s">
        <v>23</v>
      </c>
      <c r="H1546" s="1">
        <v>45201</v>
      </c>
      <c r="I1546" s="2">
        <v>45203.0291666667</v>
      </c>
      <c r="J1546">
        <v>48.7</v>
      </c>
      <c r="K1546" t="s">
        <v>24</v>
      </c>
      <c r="L1546">
        <v>3</v>
      </c>
      <c r="M1546">
        <v>3</v>
      </c>
      <c r="N1546" t="s">
        <v>123</v>
      </c>
      <c r="O1546" s="3" t="str">
        <f>TEXT(Ticket_Table[[#This Row],[raised_date]],"YYYY-MM")</f>
        <v>2023-10</v>
      </c>
      <c r="P1546" s="3" t="str">
        <f>IF(Ticket_Table[[#This Row],[resolution_hrs]]&lt;=4,"Fast",IF(Ticket_Table[[#This Row],[resolution_hrs]]&lt;=24,"Normal",IF(Ticket_Table[[#This Row],[resolution_hrs]]&lt;=48,"Slow","Very Slow")))</f>
        <v>Very Slow</v>
      </c>
      <c r="Q1546" s="3">
        <f>YEAR(Ticket_Table[[#This Row],[raised_date]])</f>
        <v>2023</v>
      </c>
    </row>
    <row r="1547" spans="1:17">
      <c r="A1547" t="s">
        <v>2106</v>
      </c>
      <c r="B1547" t="s">
        <v>216</v>
      </c>
      <c r="C1547" t="s">
        <v>68</v>
      </c>
      <c r="D1547" t="s">
        <v>43</v>
      </c>
      <c r="E1547" t="s">
        <v>106</v>
      </c>
      <c r="F1547" t="s">
        <v>70</v>
      </c>
      <c r="G1547" t="s">
        <v>74</v>
      </c>
      <c r="H1547" s="1">
        <v>44664</v>
      </c>
      <c r="I1547" s="2">
        <v>44665.1333333333</v>
      </c>
      <c r="J1547">
        <v>27.2</v>
      </c>
      <c r="K1547" t="s">
        <v>24</v>
      </c>
      <c r="L1547">
        <v>1</v>
      </c>
      <c r="M1547">
        <v>3</v>
      </c>
      <c r="N1547" t="s">
        <v>924</v>
      </c>
      <c r="O1547" s="3" t="str">
        <f>TEXT(Ticket_Table[[#This Row],[raised_date]],"YYYY-MM")</f>
        <v>2022-04</v>
      </c>
      <c r="P1547" s="3" t="str">
        <f>IF(Ticket_Table[[#This Row],[resolution_hrs]]&lt;=4,"Fast",IF(Ticket_Table[[#This Row],[resolution_hrs]]&lt;=24,"Normal",IF(Ticket_Table[[#This Row],[resolution_hrs]]&lt;=48,"Slow","Very Slow")))</f>
        <v>Slow</v>
      </c>
      <c r="Q1547" s="3">
        <f>YEAR(Ticket_Table[[#This Row],[raised_date]])</f>
        <v>2022</v>
      </c>
    </row>
    <row r="1548" spans="1:17">
      <c r="A1548" t="s">
        <v>2107</v>
      </c>
      <c r="B1548" t="s">
        <v>344</v>
      </c>
      <c r="C1548" t="s">
        <v>55</v>
      </c>
      <c r="D1548" t="s">
        <v>36</v>
      </c>
      <c r="E1548" t="s">
        <v>44</v>
      </c>
      <c r="F1548" t="s">
        <v>70</v>
      </c>
      <c r="G1548" t="s">
        <v>74</v>
      </c>
      <c r="H1548" s="1">
        <v>44925</v>
      </c>
      <c r="I1548" s="2">
        <v>44926.6</v>
      </c>
      <c r="J1548">
        <v>38.4</v>
      </c>
      <c r="K1548" t="s">
        <v>24</v>
      </c>
      <c r="L1548">
        <v>2</v>
      </c>
      <c r="M1548">
        <v>1</v>
      </c>
      <c r="N1548" t="s">
        <v>716</v>
      </c>
      <c r="O1548" s="3" t="str">
        <f>TEXT(Ticket_Table[[#This Row],[raised_date]],"YYYY-MM")</f>
        <v>2022-12</v>
      </c>
      <c r="P1548" s="3" t="str">
        <f>IF(Ticket_Table[[#This Row],[resolution_hrs]]&lt;=4,"Fast",IF(Ticket_Table[[#This Row],[resolution_hrs]]&lt;=24,"Normal",IF(Ticket_Table[[#This Row],[resolution_hrs]]&lt;=48,"Slow","Very Slow")))</f>
        <v>Slow</v>
      </c>
      <c r="Q1548" s="3">
        <f>YEAR(Ticket_Table[[#This Row],[raised_date]])</f>
        <v>2022</v>
      </c>
    </row>
    <row r="1549" spans="1:17">
      <c r="A1549" t="s">
        <v>2108</v>
      </c>
      <c r="B1549" t="s">
        <v>321</v>
      </c>
      <c r="C1549" t="s">
        <v>175</v>
      </c>
      <c r="D1549" t="s">
        <v>20</v>
      </c>
      <c r="E1549" t="s">
        <v>83</v>
      </c>
      <c r="F1549" t="s">
        <v>70</v>
      </c>
      <c r="G1549" t="s">
        <v>91</v>
      </c>
      <c r="H1549" s="1">
        <v>44965</v>
      </c>
      <c r="I1549" s="2">
        <v>44966.7833333333</v>
      </c>
      <c r="J1549">
        <v>42.8</v>
      </c>
      <c r="K1549" t="s">
        <v>24</v>
      </c>
      <c r="L1549">
        <v>1</v>
      </c>
      <c r="M1549">
        <v>4</v>
      </c>
      <c r="N1549" t="s">
        <v>172</v>
      </c>
      <c r="O1549" s="3" t="str">
        <f>TEXT(Ticket_Table[[#This Row],[raised_date]],"YYYY-MM")</f>
        <v>2023-02</v>
      </c>
      <c r="P1549" s="3" t="str">
        <f>IF(Ticket_Table[[#This Row],[resolution_hrs]]&lt;=4,"Fast",IF(Ticket_Table[[#This Row],[resolution_hrs]]&lt;=24,"Normal",IF(Ticket_Table[[#This Row],[resolution_hrs]]&lt;=48,"Slow","Very Slow")))</f>
        <v>Slow</v>
      </c>
      <c r="Q1549" s="3">
        <f>YEAR(Ticket_Table[[#This Row],[raised_date]])</f>
        <v>2023</v>
      </c>
    </row>
    <row r="1550" spans="1:17">
      <c r="A1550" t="s">
        <v>2109</v>
      </c>
      <c r="B1550" t="s">
        <v>931</v>
      </c>
      <c r="C1550" t="s">
        <v>102</v>
      </c>
      <c r="D1550" t="s">
        <v>29</v>
      </c>
      <c r="E1550" t="s">
        <v>30</v>
      </c>
      <c r="F1550" t="s">
        <v>38</v>
      </c>
      <c r="G1550" t="s">
        <v>46</v>
      </c>
      <c r="H1550" s="1">
        <v>45081</v>
      </c>
      <c r="I1550" s="2">
        <v>45081.8</v>
      </c>
      <c r="J1550">
        <v>19.2</v>
      </c>
      <c r="K1550" t="s">
        <v>24</v>
      </c>
      <c r="L1550">
        <v>0</v>
      </c>
      <c r="M1550">
        <v>5</v>
      </c>
      <c r="N1550" t="s">
        <v>1833</v>
      </c>
      <c r="O1550" s="3" t="str">
        <f>TEXT(Ticket_Table[[#This Row],[raised_date]],"YYYY-MM")</f>
        <v>2023-06</v>
      </c>
      <c r="P1550" s="3" t="str">
        <f>IF(Ticket_Table[[#This Row],[resolution_hrs]]&lt;=4,"Fast",IF(Ticket_Table[[#This Row],[resolution_hrs]]&lt;=24,"Normal",IF(Ticket_Table[[#This Row],[resolution_hrs]]&lt;=48,"Slow","Very Slow")))</f>
        <v>Normal</v>
      </c>
      <c r="Q1550" s="3">
        <f>YEAR(Ticket_Table[[#This Row],[raised_date]])</f>
        <v>2023</v>
      </c>
    </row>
    <row r="1551" spans="1:17">
      <c r="A1551" t="s">
        <v>2110</v>
      </c>
      <c r="B1551" t="s">
        <v>680</v>
      </c>
      <c r="C1551" t="s">
        <v>175</v>
      </c>
      <c r="D1551" t="s">
        <v>90</v>
      </c>
      <c r="E1551" t="s">
        <v>51</v>
      </c>
      <c r="F1551" t="s">
        <v>70</v>
      </c>
      <c r="G1551" t="s">
        <v>23</v>
      </c>
      <c r="H1551" s="1">
        <v>44577</v>
      </c>
      <c r="I1551" s="2">
        <v>44578.2083333333</v>
      </c>
      <c r="J1551">
        <v>29</v>
      </c>
      <c r="K1551" t="s">
        <v>24</v>
      </c>
      <c r="L1551">
        <v>2</v>
      </c>
      <c r="M1551">
        <v>4</v>
      </c>
      <c r="N1551" t="s">
        <v>529</v>
      </c>
      <c r="O1551" s="3" t="str">
        <f>TEXT(Ticket_Table[[#This Row],[raised_date]],"YYYY-MM")</f>
        <v>2022-01</v>
      </c>
      <c r="P1551" s="3" t="str">
        <f>IF(Ticket_Table[[#This Row],[resolution_hrs]]&lt;=4,"Fast",IF(Ticket_Table[[#This Row],[resolution_hrs]]&lt;=24,"Normal",IF(Ticket_Table[[#This Row],[resolution_hrs]]&lt;=48,"Slow","Very Slow")))</f>
        <v>Slow</v>
      </c>
      <c r="Q1551" s="3">
        <f>YEAR(Ticket_Table[[#This Row],[raised_date]])</f>
        <v>2022</v>
      </c>
    </row>
    <row r="1552" spans="1:17">
      <c r="A1552" t="s">
        <v>2111</v>
      </c>
      <c r="B1552" t="s">
        <v>794</v>
      </c>
      <c r="C1552" t="s">
        <v>133</v>
      </c>
      <c r="D1552" t="s">
        <v>36</v>
      </c>
      <c r="E1552" t="s">
        <v>21</v>
      </c>
      <c r="F1552" t="s">
        <v>70</v>
      </c>
      <c r="G1552" t="s">
        <v>31</v>
      </c>
      <c r="H1552" s="1">
        <v>44975</v>
      </c>
      <c r="I1552" s="2">
        <v>44975.8208333333</v>
      </c>
      <c r="J1552">
        <v>19.7</v>
      </c>
      <c r="K1552" t="s">
        <v>24</v>
      </c>
      <c r="L1552">
        <v>0</v>
      </c>
      <c r="M1552">
        <v>3</v>
      </c>
      <c r="N1552" t="s">
        <v>387</v>
      </c>
      <c r="O1552" s="3" t="str">
        <f>TEXT(Ticket_Table[[#This Row],[raised_date]],"YYYY-MM")</f>
        <v>2023-02</v>
      </c>
      <c r="P1552" s="3" t="str">
        <f>IF(Ticket_Table[[#This Row],[resolution_hrs]]&lt;=4,"Fast",IF(Ticket_Table[[#This Row],[resolution_hrs]]&lt;=24,"Normal",IF(Ticket_Table[[#This Row],[resolution_hrs]]&lt;=48,"Slow","Very Slow")))</f>
        <v>Normal</v>
      </c>
      <c r="Q1552" s="3">
        <f>YEAR(Ticket_Table[[#This Row],[raised_date]])</f>
        <v>2023</v>
      </c>
    </row>
    <row r="1553" spans="1:17">
      <c r="A1553" t="s">
        <v>2112</v>
      </c>
      <c r="B1553" t="s">
        <v>1202</v>
      </c>
      <c r="C1553" t="s">
        <v>50</v>
      </c>
      <c r="D1553" t="s">
        <v>36</v>
      </c>
      <c r="E1553" t="s">
        <v>56</v>
      </c>
      <c r="F1553" t="s">
        <v>70</v>
      </c>
      <c r="G1553" t="s">
        <v>46</v>
      </c>
      <c r="H1553" s="1">
        <v>44372</v>
      </c>
      <c r="I1553" s="2">
        <v>44373.5166666667</v>
      </c>
      <c r="J1553">
        <v>36.4</v>
      </c>
      <c r="K1553" t="s">
        <v>24</v>
      </c>
      <c r="L1553">
        <v>0</v>
      </c>
      <c r="M1553">
        <v>2</v>
      </c>
      <c r="N1553" t="s">
        <v>435</v>
      </c>
      <c r="O1553" s="3" t="str">
        <f>TEXT(Ticket_Table[[#This Row],[raised_date]],"YYYY-MM")</f>
        <v>2021-06</v>
      </c>
      <c r="P1553" s="3" t="str">
        <f>IF(Ticket_Table[[#This Row],[resolution_hrs]]&lt;=4,"Fast",IF(Ticket_Table[[#This Row],[resolution_hrs]]&lt;=24,"Normal",IF(Ticket_Table[[#This Row],[resolution_hrs]]&lt;=48,"Slow","Very Slow")))</f>
        <v>Slow</v>
      </c>
      <c r="Q1553" s="3">
        <f>YEAR(Ticket_Table[[#This Row],[raised_date]])</f>
        <v>2021</v>
      </c>
    </row>
    <row r="1554" spans="1:17">
      <c r="A1554" t="s">
        <v>2113</v>
      </c>
      <c r="B1554" t="s">
        <v>121</v>
      </c>
      <c r="C1554" t="s">
        <v>201</v>
      </c>
      <c r="D1554" t="s">
        <v>20</v>
      </c>
      <c r="E1554" t="s">
        <v>21</v>
      </c>
      <c r="F1554" t="s">
        <v>22</v>
      </c>
      <c r="G1554" t="s">
        <v>31</v>
      </c>
      <c r="H1554" s="1">
        <v>44801</v>
      </c>
      <c r="I1554" s="2">
        <v>44802.9291666667</v>
      </c>
      <c r="J1554">
        <v>46.3</v>
      </c>
      <c r="K1554" t="s">
        <v>24</v>
      </c>
      <c r="L1554">
        <v>0</v>
      </c>
      <c r="M1554">
        <v>2</v>
      </c>
      <c r="N1554" t="s">
        <v>541</v>
      </c>
      <c r="O1554" s="3" t="str">
        <f>TEXT(Ticket_Table[[#This Row],[raised_date]],"YYYY-MM")</f>
        <v>2022-08</v>
      </c>
      <c r="P1554" s="3" t="str">
        <f>IF(Ticket_Table[[#This Row],[resolution_hrs]]&lt;=4,"Fast",IF(Ticket_Table[[#This Row],[resolution_hrs]]&lt;=24,"Normal",IF(Ticket_Table[[#This Row],[resolution_hrs]]&lt;=48,"Slow","Very Slow")))</f>
        <v>Slow</v>
      </c>
      <c r="Q1554" s="3">
        <f>YEAR(Ticket_Table[[#This Row],[raised_date]])</f>
        <v>2022</v>
      </c>
    </row>
    <row r="1555" spans="1:17">
      <c r="A1555" t="s">
        <v>2114</v>
      </c>
      <c r="B1555" t="s">
        <v>562</v>
      </c>
      <c r="C1555" t="s">
        <v>55</v>
      </c>
      <c r="D1555" t="s">
        <v>29</v>
      </c>
      <c r="E1555" t="s">
        <v>69</v>
      </c>
      <c r="F1555" t="s">
        <v>22</v>
      </c>
      <c r="G1555" t="s">
        <v>31</v>
      </c>
      <c r="H1555" s="1">
        <v>44701</v>
      </c>
      <c r="I1555" s="2">
        <v>44703.0041666667</v>
      </c>
      <c r="J1555">
        <v>48.1</v>
      </c>
      <c r="K1555" t="s">
        <v>24</v>
      </c>
      <c r="L1555">
        <v>0</v>
      </c>
      <c r="M1555">
        <v>3</v>
      </c>
      <c r="N1555" t="s">
        <v>178</v>
      </c>
      <c r="O1555" s="3" t="str">
        <f>TEXT(Ticket_Table[[#This Row],[raised_date]],"YYYY-MM")</f>
        <v>2022-05</v>
      </c>
      <c r="P1555" s="3" t="str">
        <f>IF(Ticket_Table[[#This Row],[resolution_hrs]]&lt;=4,"Fast",IF(Ticket_Table[[#This Row],[resolution_hrs]]&lt;=24,"Normal",IF(Ticket_Table[[#This Row],[resolution_hrs]]&lt;=48,"Slow","Very Slow")))</f>
        <v>Very Slow</v>
      </c>
      <c r="Q1555" s="3">
        <f>YEAR(Ticket_Table[[#This Row],[raised_date]])</f>
        <v>2022</v>
      </c>
    </row>
    <row r="1556" spans="1:17">
      <c r="A1556" t="s">
        <v>2115</v>
      </c>
      <c r="B1556" t="s">
        <v>849</v>
      </c>
      <c r="C1556" t="s">
        <v>42</v>
      </c>
      <c r="D1556" t="s">
        <v>43</v>
      </c>
      <c r="E1556" t="s">
        <v>83</v>
      </c>
      <c r="F1556" t="s">
        <v>70</v>
      </c>
      <c r="G1556" t="s">
        <v>91</v>
      </c>
      <c r="H1556" s="1">
        <v>44347</v>
      </c>
      <c r="I1556" s="2">
        <v>44349.7958333333</v>
      </c>
      <c r="J1556">
        <v>67.1</v>
      </c>
      <c r="K1556" t="s">
        <v>32</v>
      </c>
      <c r="L1556">
        <v>0</v>
      </c>
      <c r="M1556">
        <v>2</v>
      </c>
      <c r="N1556" t="s">
        <v>458</v>
      </c>
      <c r="O1556" s="3" t="str">
        <f>TEXT(Ticket_Table[[#This Row],[raised_date]],"YYYY-MM")</f>
        <v>2021-05</v>
      </c>
      <c r="P1556" s="3" t="str">
        <f>IF(Ticket_Table[[#This Row],[resolution_hrs]]&lt;=4,"Fast",IF(Ticket_Table[[#This Row],[resolution_hrs]]&lt;=24,"Normal",IF(Ticket_Table[[#This Row],[resolution_hrs]]&lt;=48,"Slow","Very Slow")))</f>
        <v>Very Slow</v>
      </c>
      <c r="Q1556" s="3">
        <f>YEAR(Ticket_Table[[#This Row],[raised_date]])</f>
        <v>2021</v>
      </c>
    </row>
    <row r="1557" spans="1:17">
      <c r="A1557" t="s">
        <v>2116</v>
      </c>
      <c r="B1557" t="s">
        <v>1067</v>
      </c>
      <c r="C1557" t="s">
        <v>95</v>
      </c>
      <c r="D1557" t="s">
        <v>36</v>
      </c>
      <c r="E1557" t="s">
        <v>37</v>
      </c>
      <c r="F1557" t="s">
        <v>70</v>
      </c>
      <c r="G1557" t="s">
        <v>23</v>
      </c>
      <c r="H1557" s="1">
        <v>44365</v>
      </c>
      <c r="I1557" s="2">
        <v>44366.4916666667</v>
      </c>
      <c r="J1557">
        <v>35.8</v>
      </c>
      <c r="K1557" t="s">
        <v>24</v>
      </c>
      <c r="L1557">
        <v>1</v>
      </c>
      <c r="M1557">
        <v>2</v>
      </c>
      <c r="N1557" t="s">
        <v>331</v>
      </c>
      <c r="O1557" s="3" t="str">
        <f>TEXT(Ticket_Table[[#This Row],[raised_date]],"YYYY-MM")</f>
        <v>2021-06</v>
      </c>
      <c r="P1557" s="3" t="str">
        <f>IF(Ticket_Table[[#This Row],[resolution_hrs]]&lt;=4,"Fast",IF(Ticket_Table[[#This Row],[resolution_hrs]]&lt;=24,"Normal",IF(Ticket_Table[[#This Row],[resolution_hrs]]&lt;=48,"Slow","Very Slow")))</f>
        <v>Slow</v>
      </c>
      <c r="Q1557" s="3">
        <f>YEAR(Ticket_Table[[#This Row],[raised_date]])</f>
        <v>2021</v>
      </c>
    </row>
    <row r="1558" spans="1:17">
      <c r="A1558" t="s">
        <v>2117</v>
      </c>
      <c r="B1558" t="s">
        <v>749</v>
      </c>
      <c r="C1558" t="s">
        <v>117</v>
      </c>
      <c r="D1558" t="s">
        <v>36</v>
      </c>
      <c r="E1558" t="s">
        <v>37</v>
      </c>
      <c r="F1558" t="s">
        <v>22</v>
      </c>
      <c r="G1558" t="s">
        <v>23</v>
      </c>
      <c r="H1558" s="1">
        <v>44745</v>
      </c>
      <c r="I1558" s="2">
        <v>44749.3791666667</v>
      </c>
      <c r="J1558">
        <v>105.1</v>
      </c>
      <c r="K1558" t="s">
        <v>32</v>
      </c>
      <c r="L1558">
        <v>0</v>
      </c>
      <c r="M1558">
        <v>3</v>
      </c>
      <c r="N1558" t="s">
        <v>1337</v>
      </c>
      <c r="O1558" s="3" t="str">
        <f>TEXT(Ticket_Table[[#This Row],[raised_date]],"YYYY-MM")</f>
        <v>2022-07</v>
      </c>
      <c r="P1558" s="3" t="str">
        <f>IF(Ticket_Table[[#This Row],[resolution_hrs]]&lt;=4,"Fast",IF(Ticket_Table[[#This Row],[resolution_hrs]]&lt;=24,"Normal",IF(Ticket_Table[[#This Row],[resolution_hrs]]&lt;=48,"Slow","Very Slow")))</f>
        <v>Very Slow</v>
      </c>
      <c r="Q1558" s="3">
        <f>YEAR(Ticket_Table[[#This Row],[raised_date]])</f>
        <v>2022</v>
      </c>
    </row>
    <row r="1559" spans="1:17">
      <c r="A1559" t="s">
        <v>2118</v>
      </c>
      <c r="B1559" t="s">
        <v>886</v>
      </c>
      <c r="C1559" t="s">
        <v>201</v>
      </c>
      <c r="D1559" t="s">
        <v>36</v>
      </c>
      <c r="E1559" t="s">
        <v>56</v>
      </c>
      <c r="F1559" t="s">
        <v>70</v>
      </c>
      <c r="G1559" t="s">
        <v>31</v>
      </c>
      <c r="H1559" s="1">
        <v>44512</v>
      </c>
      <c r="I1559" s="2">
        <v>44514.4791666667</v>
      </c>
      <c r="J1559">
        <v>59.5</v>
      </c>
      <c r="K1559" t="s">
        <v>32</v>
      </c>
      <c r="L1559">
        <v>3</v>
      </c>
      <c r="M1559">
        <v>4</v>
      </c>
      <c r="N1559" t="s">
        <v>39</v>
      </c>
      <c r="O1559" s="3" t="str">
        <f>TEXT(Ticket_Table[[#This Row],[raised_date]],"YYYY-MM")</f>
        <v>2021-11</v>
      </c>
      <c r="P1559" s="3" t="str">
        <f>IF(Ticket_Table[[#This Row],[resolution_hrs]]&lt;=4,"Fast",IF(Ticket_Table[[#This Row],[resolution_hrs]]&lt;=24,"Normal",IF(Ticket_Table[[#This Row],[resolution_hrs]]&lt;=48,"Slow","Very Slow")))</f>
        <v>Very Slow</v>
      </c>
      <c r="Q1559" s="3">
        <f>YEAR(Ticket_Table[[#This Row],[raised_date]])</f>
        <v>2021</v>
      </c>
    </row>
    <row r="1560" spans="1:17">
      <c r="A1560" t="s">
        <v>2119</v>
      </c>
      <c r="B1560" t="s">
        <v>204</v>
      </c>
      <c r="C1560" t="s">
        <v>140</v>
      </c>
      <c r="D1560" t="s">
        <v>36</v>
      </c>
      <c r="E1560" t="s">
        <v>83</v>
      </c>
      <c r="F1560" t="s">
        <v>70</v>
      </c>
      <c r="G1560" t="s">
        <v>46</v>
      </c>
      <c r="H1560" s="1">
        <v>44975</v>
      </c>
      <c r="I1560" s="2">
        <v>44975.4666666667</v>
      </c>
      <c r="J1560">
        <v>11.2</v>
      </c>
      <c r="K1560" t="s">
        <v>24</v>
      </c>
      <c r="L1560">
        <v>0</v>
      </c>
      <c r="M1560">
        <v>3</v>
      </c>
      <c r="N1560" t="s">
        <v>27</v>
      </c>
      <c r="O1560" s="3" t="str">
        <f>TEXT(Ticket_Table[[#This Row],[raised_date]],"YYYY-MM")</f>
        <v>2023-02</v>
      </c>
      <c r="P1560" s="3" t="str">
        <f>IF(Ticket_Table[[#This Row],[resolution_hrs]]&lt;=4,"Fast",IF(Ticket_Table[[#This Row],[resolution_hrs]]&lt;=24,"Normal",IF(Ticket_Table[[#This Row],[resolution_hrs]]&lt;=48,"Slow","Very Slow")))</f>
        <v>Normal</v>
      </c>
      <c r="Q1560" s="3">
        <f>YEAR(Ticket_Table[[#This Row],[raised_date]])</f>
        <v>2023</v>
      </c>
    </row>
    <row r="1561" spans="1:17">
      <c r="A1561" t="s">
        <v>2120</v>
      </c>
      <c r="B1561" t="s">
        <v>466</v>
      </c>
      <c r="C1561" t="s">
        <v>213</v>
      </c>
      <c r="D1561" t="s">
        <v>20</v>
      </c>
      <c r="E1561" t="s">
        <v>30</v>
      </c>
      <c r="F1561" t="s">
        <v>22</v>
      </c>
      <c r="G1561" t="s">
        <v>23</v>
      </c>
      <c r="H1561" s="1">
        <v>44512</v>
      </c>
      <c r="I1561" s="2">
        <v>44512.6083333333</v>
      </c>
      <c r="J1561">
        <v>14.6</v>
      </c>
      <c r="K1561" t="s">
        <v>24</v>
      </c>
      <c r="L1561">
        <v>2</v>
      </c>
      <c r="M1561">
        <v>4</v>
      </c>
      <c r="N1561" t="s">
        <v>735</v>
      </c>
      <c r="O1561" s="3" t="str">
        <f>TEXT(Ticket_Table[[#This Row],[raised_date]],"YYYY-MM")</f>
        <v>2021-11</v>
      </c>
      <c r="P1561" s="3" t="str">
        <f>IF(Ticket_Table[[#This Row],[resolution_hrs]]&lt;=4,"Fast",IF(Ticket_Table[[#This Row],[resolution_hrs]]&lt;=24,"Normal",IF(Ticket_Table[[#This Row],[resolution_hrs]]&lt;=48,"Slow","Very Slow")))</f>
        <v>Normal</v>
      </c>
      <c r="Q1561" s="3">
        <f>YEAR(Ticket_Table[[#This Row],[raised_date]])</f>
        <v>2021</v>
      </c>
    </row>
    <row r="1562" spans="1:17">
      <c r="A1562" t="s">
        <v>2121</v>
      </c>
      <c r="B1562" t="s">
        <v>808</v>
      </c>
      <c r="C1562" t="s">
        <v>19</v>
      </c>
      <c r="D1562" t="s">
        <v>29</v>
      </c>
      <c r="E1562" t="s">
        <v>51</v>
      </c>
      <c r="F1562" t="s">
        <v>70</v>
      </c>
      <c r="G1562" t="s">
        <v>31</v>
      </c>
      <c r="H1562" s="1">
        <v>44994</v>
      </c>
      <c r="I1562" s="2">
        <v>44996.1458333333</v>
      </c>
      <c r="J1562">
        <v>51.5</v>
      </c>
      <c r="K1562" t="s">
        <v>32</v>
      </c>
      <c r="L1562">
        <v>0</v>
      </c>
      <c r="M1562">
        <v>4</v>
      </c>
      <c r="N1562" t="s">
        <v>358</v>
      </c>
      <c r="O1562" s="3" t="str">
        <f>TEXT(Ticket_Table[[#This Row],[raised_date]],"YYYY-MM")</f>
        <v>2023-03</v>
      </c>
      <c r="P1562" s="3" t="str">
        <f>IF(Ticket_Table[[#This Row],[resolution_hrs]]&lt;=4,"Fast",IF(Ticket_Table[[#This Row],[resolution_hrs]]&lt;=24,"Normal",IF(Ticket_Table[[#This Row],[resolution_hrs]]&lt;=48,"Slow","Very Slow")))</f>
        <v>Very Slow</v>
      </c>
      <c r="Q1562" s="3">
        <f>YEAR(Ticket_Table[[#This Row],[raised_date]])</f>
        <v>2023</v>
      </c>
    </row>
    <row r="1563" spans="1:17">
      <c r="A1563" t="s">
        <v>2122</v>
      </c>
      <c r="B1563" t="s">
        <v>866</v>
      </c>
      <c r="C1563" t="s">
        <v>95</v>
      </c>
      <c r="D1563" t="s">
        <v>36</v>
      </c>
      <c r="E1563" t="s">
        <v>69</v>
      </c>
      <c r="F1563" t="s">
        <v>22</v>
      </c>
      <c r="G1563" t="s">
        <v>23</v>
      </c>
      <c r="H1563" s="1">
        <v>44845</v>
      </c>
      <c r="I1563" s="2">
        <v>44845.6166666667</v>
      </c>
      <c r="J1563">
        <v>14.8</v>
      </c>
      <c r="K1563" t="s">
        <v>24</v>
      </c>
      <c r="L1563">
        <v>0</v>
      </c>
      <c r="M1563">
        <v>2</v>
      </c>
      <c r="N1563" t="s">
        <v>776</v>
      </c>
      <c r="O1563" s="3" t="str">
        <f>TEXT(Ticket_Table[[#This Row],[raised_date]],"YYYY-MM")</f>
        <v>2022-10</v>
      </c>
      <c r="P1563" s="3" t="str">
        <f>IF(Ticket_Table[[#This Row],[resolution_hrs]]&lt;=4,"Fast",IF(Ticket_Table[[#This Row],[resolution_hrs]]&lt;=24,"Normal",IF(Ticket_Table[[#This Row],[resolution_hrs]]&lt;=48,"Slow","Very Slow")))</f>
        <v>Normal</v>
      </c>
      <c r="Q1563" s="3">
        <f>YEAR(Ticket_Table[[#This Row],[raised_date]])</f>
        <v>2022</v>
      </c>
    </row>
    <row r="1564" spans="1:17">
      <c r="A1564" t="s">
        <v>2123</v>
      </c>
      <c r="B1564" t="s">
        <v>1180</v>
      </c>
      <c r="C1564" t="s">
        <v>95</v>
      </c>
      <c r="D1564" t="s">
        <v>43</v>
      </c>
      <c r="E1564" t="s">
        <v>37</v>
      </c>
      <c r="F1564" t="s">
        <v>45</v>
      </c>
      <c r="G1564" t="s">
        <v>31</v>
      </c>
      <c r="H1564" s="1">
        <v>44935</v>
      </c>
      <c r="I1564" s="2">
        <v>44935.1875</v>
      </c>
      <c r="J1564">
        <v>4.5</v>
      </c>
      <c r="K1564" t="s">
        <v>32</v>
      </c>
      <c r="L1564">
        <v>0</v>
      </c>
      <c r="M1564">
        <v>4</v>
      </c>
      <c r="N1564" t="s">
        <v>517</v>
      </c>
      <c r="O1564" s="3" t="str">
        <f>TEXT(Ticket_Table[[#This Row],[raised_date]],"YYYY-MM")</f>
        <v>2023-01</v>
      </c>
      <c r="P1564" s="3" t="str">
        <f>IF(Ticket_Table[[#This Row],[resolution_hrs]]&lt;=4,"Fast",IF(Ticket_Table[[#This Row],[resolution_hrs]]&lt;=24,"Normal",IF(Ticket_Table[[#This Row],[resolution_hrs]]&lt;=48,"Slow","Very Slow")))</f>
        <v>Normal</v>
      </c>
      <c r="Q1564" s="3">
        <f>YEAR(Ticket_Table[[#This Row],[raised_date]])</f>
        <v>2023</v>
      </c>
    </row>
    <row r="1565" spans="1:17">
      <c r="A1565" t="s">
        <v>2124</v>
      </c>
      <c r="B1565" t="s">
        <v>1156</v>
      </c>
      <c r="C1565" t="s">
        <v>117</v>
      </c>
      <c r="D1565" t="s">
        <v>43</v>
      </c>
      <c r="E1565" t="s">
        <v>56</v>
      </c>
      <c r="F1565" t="s">
        <v>38</v>
      </c>
      <c r="G1565" t="s">
        <v>31</v>
      </c>
      <c r="H1565" s="1">
        <v>44415</v>
      </c>
      <c r="I1565" s="2">
        <v>44416.3</v>
      </c>
      <c r="J1565">
        <v>31.2</v>
      </c>
      <c r="K1565" t="s">
        <v>32</v>
      </c>
      <c r="L1565">
        <v>0</v>
      </c>
      <c r="M1565">
        <v>3</v>
      </c>
      <c r="N1565" t="s">
        <v>744</v>
      </c>
      <c r="O1565" s="3" t="str">
        <f>TEXT(Ticket_Table[[#This Row],[raised_date]],"YYYY-MM")</f>
        <v>2021-08</v>
      </c>
      <c r="P1565" s="3" t="str">
        <f>IF(Ticket_Table[[#This Row],[resolution_hrs]]&lt;=4,"Fast",IF(Ticket_Table[[#This Row],[resolution_hrs]]&lt;=24,"Normal",IF(Ticket_Table[[#This Row],[resolution_hrs]]&lt;=48,"Slow","Very Slow")))</f>
        <v>Slow</v>
      </c>
      <c r="Q1565" s="3">
        <f>YEAR(Ticket_Table[[#This Row],[raised_date]])</f>
        <v>2021</v>
      </c>
    </row>
    <row r="1566" spans="1:17">
      <c r="A1566" t="s">
        <v>2125</v>
      </c>
      <c r="B1566" t="s">
        <v>277</v>
      </c>
      <c r="C1566" t="s">
        <v>55</v>
      </c>
      <c r="D1566" t="s">
        <v>90</v>
      </c>
      <c r="E1566" t="s">
        <v>21</v>
      </c>
      <c r="F1566" t="s">
        <v>38</v>
      </c>
      <c r="G1566" t="s">
        <v>74</v>
      </c>
      <c r="H1566" s="1">
        <v>44384</v>
      </c>
      <c r="I1566" s="2">
        <v>44384.2125</v>
      </c>
      <c r="J1566">
        <v>5.1</v>
      </c>
      <c r="K1566" t="s">
        <v>24</v>
      </c>
      <c r="L1566">
        <v>0</v>
      </c>
      <c r="M1566">
        <v>2</v>
      </c>
      <c r="N1566" t="s">
        <v>1039</v>
      </c>
      <c r="O1566" s="3" t="str">
        <f>TEXT(Ticket_Table[[#This Row],[raised_date]],"YYYY-MM")</f>
        <v>2021-07</v>
      </c>
      <c r="P1566" s="3" t="str">
        <f>IF(Ticket_Table[[#This Row],[resolution_hrs]]&lt;=4,"Fast",IF(Ticket_Table[[#This Row],[resolution_hrs]]&lt;=24,"Normal",IF(Ticket_Table[[#This Row],[resolution_hrs]]&lt;=48,"Slow","Very Slow")))</f>
        <v>Normal</v>
      </c>
      <c r="Q1566" s="3">
        <f>YEAR(Ticket_Table[[#This Row],[raised_date]])</f>
        <v>2021</v>
      </c>
    </row>
    <row r="1567" spans="1:17">
      <c r="A1567" t="s">
        <v>2126</v>
      </c>
      <c r="B1567" t="s">
        <v>192</v>
      </c>
      <c r="C1567" t="s">
        <v>68</v>
      </c>
      <c r="D1567" t="s">
        <v>36</v>
      </c>
      <c r="E1567" t="s">
        <v>51</v>
      </c>
      <c r="F1567" t="s">
        <v>22</v>
      </c>
      <c r="G1567" t="s">
        <v>46</v>
      </c>
      <c r="H1567" s="1">
        <v>44207</v>
      </c>
      <c r="I1567" s="2">
        <v>44207.9916666667</v>
      </c>
      <c r="J1567">
        <v>23.8</v>
      </c>
      <c r="K1567" t="s">
        <v>24</v>
      </c>
      <c r="L1567">
        <v>0</v>
      </c>
      <c r="M1567">
        <v>5</v>
      </c>
      <c r="N1567" t="s">
        <v>523</v>
      </c>
      <c r="O1567" s="3" t="str">
        <f>TEXT(Ticket_Table[[#This Row],[raised_date]],"YYYY-MM")</f>
        <v>2021-01</v>
      </c>
      <c r="P1567" s="3" t="str">
        <f>IF(Ticket_Table[[#This Row],[resolution_hrs]]&lt;=4,"Fast",IF(Ticket_Table[[#This Row],[resolution_hrs]]&lt;=24,"Normal",IF(Ticket_Table[[#This Row],[resolution_hrs]]&lt;=48,"Slow","Very Slow")))</f>
        <v>Normal</v>
      </c>
      <c r="Q1567" s="3">
        <f>YEAR(Ticket_Table[[#This Row],[raised_date]])</f>
        <v>2021</v>
      </c>
    </row>
    <row r="1568" spans="1:17">
      <c r="A1568" t="s">
        <v>2127</v>
      </c>
      <c r="B1568" t="s">
        <v>621</v>
      </c>
      <c r="C1568" t="s">
        <v>175</v>
      </c>
      <c r="D1568" t="s">
        <v>36</v>
      </c>
      <c r="E1568" t="s">
        <v>37</v>
      </c>
      <c r="F1568" t="s">
        <v>38</v>
      </c>
      <c r="G1568" t="s">
        <v>46</v>
      </c>
      <c r="H1568" s="1">
        <v>44828</v>
      </c>
      <c r="I1568" s="2">
        <v>44828.7333333333</v>
      </c>
      <c r="J1568">
        <v>17.6</v>
      </c>
      <c r="K1568" t="s">
        <v>24</v>
      </c>
      <c r="L1568">
        <v>0</v>
      </c>
      <c r="M1568">
        <v>4</v>
      </c>
      <c r="N1568" t="s">
        <v>447</v>
      </c>
      <c r="O1568" s="3" t="str">
        <f>TEXT(Ticket_Table[[#This Row],[raised_date]],"YYYY-MM")</f>
        <v>2022-09</v>
      </c>
      <c r="P1568" s="3" t="str">
        <f>IF(Ticket_Table[[#This Row],[resolution_hrs]]&lt;=4,"Fast",IF(Ticket_Table[[#This Row],[resolution_hrs]]&lt;=24,"Normal",IF(Ticket_Table[[#This Row],[resolution_hrs]]&lt;=48,"Slow","Very Slow")))</f>
        <v>Normal</v>
      </c>
      <c r="Q1568" s="3">
        <f>YEAR(Ticket_Table[[#This Row],[raised_date]])</f>
        <v>2022</v>
      </c>
    </row>
    <row r="1569" spans="1:17">
      <c r="A1569" t="s">
        <v>2128</v>
      </c>
      <c r="B1569" t="s">
        <v>383</v>
      </c>
      <c r="C1569" t="s">
        <v>28</v>
      </c>
      <c r="D1569" t="s">
        <v>36</v>
      </c>
      <c r="E1569" t="s">
        <v>21</v>
      </c>
      <c r="F1569" t="s">
        <v>38</v>
      </c>
      <c r="G1569" t="s">
        <v>46</v>
      </c>
      <c r="H1569" s="1">
        <v>45107</v>
      </c>
      <c r="I1569" s="2">
        <v>45108.1291666667</v>
      </c>
      <c r="J1569">
        <v>27.1</v>
      </c>
      <c r="K1569" t="s">
        <v>32</v>
      </c>
      <c r="L1569">
        <v>0</v>
      </c>
      <c r="M1569">
        <v>4</v>
      </c>
      <c r="N1569" t="s">
        <v>550</v>
      </c>
      <c r="O1569" s="3" t="str">
        <f>TEXT(Ticket_Table[[#This Row],[raised_date]],"YYYY-MM")</f>
        <v>2023-06</v>
      </c>
      <c r="P1569" s="3" t="str">
        <f>IF(Ticket_Table[[#This Row],[resolution_hrs]]&lt;=4,"Fast",IF(Ticket_Table[[#This Row],[resolution_hrs]]&lt;=24,"Normal",IF(Ticket_Table[[#This Row],[resolution_hrs]]&lt;=48,"Slow","Very Slow")))</f>
        <v>Slow</v>
      </c>
      <c r="Q1569" s="3">
        <f>YEAR(Ticket_Table[[#This Row],[raised_date]])</f>
        <v>2023</v>
      </c>
    </row>
    <row r="1570" spans="1:17">
      <c r="A1570" t="s">
        <v>2129</v>
      </c>
      <c r="B1570" t="s">
        <v>458</v>
      </c>
      <c r="C1570" t="s">
        <v>287</v>
      </c>
      <c r="D1570" t="s">
        <v>36</v>
      </c>
      <c r="E1570" t="s">
        <v>30</v>
      </c>
      <c r="F1570" t="s">
        <v>38</v>
      </c>
      <c r="G1570" t="s">
        <v>31</v>
      </c>
      <c r="H1570" s="1">
        <v>44934</v>
      </c>
      <c r="I1570" s="2">
        <v>44935.4166666667</v>
      </c>
      <c r="J1570">
        <v>34</v>
      </c>
      <c r="K1570" t="s">
        <v>32</v>
      </c>
      <c r="L1570">
        <v>2</v>
      </c>
      <c r="M1570">
        <v>5</v>
      </c>
      <c r="N1570" t="s">
        <v>924</v>
      </c>
      <c r="O1570" s="3" t="str">
        <f>TEXT(Ticket_Table[[#This Row],[raised_date]],"YYYY-MM")</f>
        <v>2023-01</v>
      </c>
      <c r="P1570" s="3" t="str">
        <f>IF(Ticket_Table[[#This Row],[resolution_hrs]]&lt;=4,"Fast",IF(Ticket_Table[[#This Row],[resolution_hrs]]&lt;=24,"Normal",IF(Ticket_Table[[#This Row],[resolution_hrs]]&lt;=48,"Slow","Very Slow")))</f>
        <v>Slow</v>
      </c>
      <c r="Q1570" s="3">
        <f>YEAR(Ticket_Table[[#This Row],[raised_date]])</f>
        <v>2023</v>
      </c>
    </row>
    <row r="1571" spans="1:17">
      <c r="A1571" t="s">
        <v>2130</v>
      </c>
      <c r="B1571" t="s">
        <v>833</v>
      </c>
      <c r="C1571" t="s">
        <v>95</v>
      </c>
      <c r="D1571" t="s">
        <v>36</v>
      </c>
      <c r="E1571" t="s">
        <v>21</v>
      </c>
      <c r="F1571" t="s">
        <v>22</v>
      </c>
      <c r="G1571" t="s">
        <v>74</v>
      </c>
      <c r="H1571" s="1">
        <v>44749</v>
      </c>
      <c r="I1571" s="2">
        <v>44750.6875</v>
      </c>
      <c r="J1571">
        <v>40.5</v>
      </c>
      <c r="K1571" t="s">
        <v>24</v>
      </c>
      <c r="L1571">
        <v>0</v>
      </c>
      <c r="M1571">
        <v>5</v>
      </c>
      <c r="N1571" t="s">
        <v>112</v>
      </c>
      <c r="O1571" s="3" t="str">
        <f>TEXT(Ticket_Table[[#This Row],[raised_date]],"YYYY-MM")</f>
        <v>2022-07</v>
      </c>
      <c r="P1571" s="3" t="str">
        <f>IF(Ticket_Table[[#This Row],[resolution_hrs]]&lt;=4,"Fast",IF(Ticket_Table[[#This Row],[resolution_hrs]]&lt;=24,"Normal",IF(Ticket_Table[[#This Row],[resolution_hrs]]&lt;=48,"Slow","Very Slow")))</f>
        <v>Slow</v>
      </c>
      <c r="Q1571" s="3">
        <f>YEAR(Ticket_Table[[#This Row],[raised_date]])</f>
        <v>2022</v>
      </c>
    </row>
    <row r="1572" spans="1:17">
      <c r="A1572" t="s">
        <v>2131</v>
      </c>
      <c r="B1572" t="s">
        <v>876</v>
      </c>
      <c r="C1572" t="s">
        <v>82</v>
      </c>
      <c r="D1572" t="s">
        <v>43</v>
      </c>
      <c r="E1572" t="s">
        <v>51</v>
      </c>
      <c r="F1572" t="s">
        <v>70</v>
      </c>
      <c r="G1572" t="s">
        <v>23</v>
      </c>
      <c r="H1572" s="1">
        <v>44406</v>
      </c>
      <c r="I1572" s="2">
        <v>44408.8583333333</v>
      </c>
      <c r="J1572">
        <v>68.6</v>
      </c>
      <c r="K1572" t="s">
        <v>32</v>
      </c>
      <c r="L1572">
        <v>0</v>
      </c>
      <c r="M1572">
        <v>3</v>
      </c>
      <c r="N1572" t="s">
        <v>398</v>
      </c>
      <c r="O1572" s="3" t="str">
        <f>TEXT(Ticket_Table[[#This Row],[raised_date]],"YYYY-MM")</f>
        <v>2021-07</v>
      </c>
      <c r="P1572" s="3" t="str">
        <f>IF(Ticket_Table[[#This Row],[resolution_hrs]]&lt;=4,"Fast",IF(Ticket_Table[[#This Row],[resolution_hrs]]&lt;=24,"Normal",IF(Ticket_Table[[#This Row],[resolution_hrs]]&lt;=48,"Slow","Very Slow")))</f>
        <v>Very Slow</v>
      </c>
      <c r="Q1572" s="3">
        <f>YEAR(Ticket_Table[[#This Row],[raised_date]])</f>
        <v>2021</v>
      </c>
    </row>
    <row r="1573" spans="1:17">
      <c r="A1573" t="s">
        <v>2132</v>
      </c>
      <c r="B1573" t="s">
        <v>499</v>
      </c>
      <c r="C1573" t="s">
        <v>140</v>
      </c>
      <c r="D1573" t="s">
        <v>29</v>
      </c>
      <c r="E1573" t="s">
        <v>21</v>
      </c>
      <c r="F1573" t="s">
        <v>38</v>
      </c>
      <c r="G1573" t="s">
        <v>31</v>
      </c>
      <c r="H1573" s="1">
        <v>44468</v>
      </c>
      <c r="I1573" s="2">
        <v>44468.9208333333</v>
      </c>
      <c r="J1573">
        <v>22.1</v>
      </c>
      <c r="K1573" t="s">
        <v>24</v>
      </c>
      <c r="L1573">
        <v>1</v>
      </c>
      <c r="M1573">
        <v>5</v>
      </c>
      <c r="N1573" t="s">
        <v>796</v>
      </c>
      <c r="O1573" s="3" t="str">
        <f>TEXT(Ticket_Table[[#This Row],[raised_date]],"YYYY-MM")</f>
        <v>2021-09</v>
      </c>
      <c r="P1573" s="3" t="str">
        <f>IF(Ticket_Table[[#This Row],[resolution_hrs]]&lt;=4,"Fast",IF(Ticket_Table[[#This Row],[resolution_hrs]]&lt;=24,"Normal",IF(Ticket_Table[[#This Row],[resolution_hrs]]&lt;=48,"Slow","Very Slow")))</f>
        <v>Normal</v>
      </c>
      <c r="Q1573" s="3">
        <f>YEAR(Ticket_Table[[#This Row],[raised_date]])</f>
        <v>2021</v>
      </c>
    </row>
    <row r="1574" spans="1:17">
      <c r="A1574" t="s">
        <v>2133</v>
      </c>
      <c r="B1574" t="s">
        <v>253</v>
      </c>
      <c r="C1574" t="s">
        <v>261</v>
      </c>
      <c r="D1574" t="s">
        <v>29</v>
      </c>
      <c r="E1574" t="s">
        <v>30</v>
      </c>
      <c r="F1574" t="s">
        <v>70</v>
      </c>
      <c r="G1574" t="s">
        <v>23</v>
      </c>
      <c r="H1574" s="1">
        <v>44375</v>
      </c>
      <c r="I1574" s="2">
        <v>44376.25</v>
      </c>
      <c r="J1574">
        <v>30</v>
      </c>
      <c r="K1574" t="s">
        <v>24</v>
      </c>
      <c r="L1574">
        <v>0</v>
      </c>
      <c r="M1574">
        <v>5</v>
      </c>
      <c r="N1574" t="s">
        <v>109</v>
      </c>
      <c r="O1574" s="3" t="str">
        <f>TEXT(Ticket_Table[[#This Row],[raised_date]],"YYYY-MM")</f>
        <v>2021-06</v>
      </c>
      <c r="P1574" s="3" t="str">
        <f>IF(Ticket_Table[[#This Row],[resolution_hrs]]&lt;=4,"Fast",IF(Ticket_Table[[#This Row],[resolution_hrs]]&lt;=24,"Normal",IF(Ticket_Table[[#This Row],[resolution_hrs]]&lt;=48,"Slow","Very Slow")))</f>
        <v>Slow</v>
      </c>
      <c r="Q1574" s="3">
        <f>YEAR(Ticket_Table[[#This Row],[raised_date]])</f>
        <v>2021</v>
      </c>
    </row>
    <row r="1575" spans="1:17">
      <c r="A1575" t="s">
        <v>2134</v>
      </c>
      <c r="B1575" t="s">
        <v>666</v>
      </c>
      <c r="C1575" t="s">
        <v>68</v>
      </c>
      <c r="D1575" t="s">
        <v>90</v>
      </c>
      <c r="E1575" t="s">
        <v>69</v>
      </c>
      <c r="F1575" t="s">
        <v>70</v>
      </c>
      <c r="G1575" t="s">
        <v>23</v>
      </c>
      <c r="H1575" s="1">
        <v>44580</v>
      </c>
      <c r="I1575" s="2">
        <v>44580.4</v>
      </c>
      <c r="J1575">
        <v>9.6</v>
      </c>
      <c r="K1575" t="s">
        <v>24</v>
      </c>
      <c r="L1575">
        <v>0</v>
      </c>
      <c r="M1575">
        <v>2</v>
      </c>
      <c r="N1575" t="s">
        <v>970</v>
      </c>
      <c r="O1575" s="3" t="str">
        <f>TEXT(Ticket_Table[[#This Row],[raised_date]],"YYYY-MM")</f>
        <v>2022-01</v>
      </c>
      <c r="P1575" s="3" t="str">
        <f>IF(Ticket_Table[[#This Row],[resolution_hrs]]&lt;=4,"Fast",IF(Ticket_Table[[#This Row],[resolution_hrs]]&lt;=24,"Normal",IF(Ticket_Table[[#This Row],[resolution_hrs]]&lt;=48,"Slow","Very Slow")))</f>
        <v>Normal</v>
      </c>
      <c r="Q1575" s="3">
        <f>YEAR(Ticket_Table[[#This Row],[raised_date]])</f>
        <v>2022</v>
      </c>
    </row>
    <row r="1576" spans="1:17">
      <c r="A1576" t="s">
        <v>2135</v>
      </c>
      <c r="B1576" t="s">
        <v>105</v>
      </c>
      <c r="C1576" t="s">
        <v>82</v>
      </c>
      <c r="D1576" t="s">
        <v>43</v>
      </c>
      <c r="E1576" t="s">
        <v>51</v>
      </c>
      <c r="F1576" t="s">
        <v>70</v>
      </c>
      <c r="G1576" t="s">
        <v>91</v>
      </c>
      <c r="H1576" s="1">
        <v>45079</v>
      </c>
      <c r="I1576" s="2">
        <v>45080.7333333333</v>
      </c>
      <c r="J1576">
        <v>41.6</v>
      </c>
      <c r="K1576" t="s">
        <v>24</v>
      </c>
      <c r="L1576">
        <v>0</v>
      </c>
      <c r="M1576">
        <v>4</v>
      </c>
      <c r="N1576" t="s">
        <v>1050</v>
      </c>
      <c r="O1576" s="3" t="str">
        <f>TEXT(Ticket_Table[[#This Row],[raised_date]],"YYYY-MM")</f>
        <v>2023-06</v>
      </c>
      <c r="P1576" s="3" t="str">
        <f>IF(Ticket_Table[[#This Row],[resolution_hrs]]&lt;=4,"Fast",IF(Ticket_Table[[#This Row],[resolution_hrs]]&lt;=24,"Normal",IF(Ticket_Table[[#This Row],[resolution_hrs]]&lt;=48,"Slow","Very Slow")))</f>
        <v>Slow</v>
      </c>
      <c r="Q1576" s="3">
        <f>YEAR(Ticket_Table[[#This Row],[raised_date]])</f>
        <v>2023</v>
      </c>
    </row>
    <row r="1577" spans="1:17">
      <c r="A1577" t="s">
        <v>2136</v>
      </c>
      <c r="B1577" t="s">
        <v>733</v>
      </c>
      <c r="C1577" t="s">
        <v>42</v>
      </c>
      <c r="D1577" t="s">
        <v>36</v>
      </c>
      <c r="E1577" t="s">
        <v>69</v>
      </c>
      <c r="F1577" t="s">
        <v>70</v>
      </c>
      <c r="G1577" t="s">
        <v>46</v>
      </c>
      <c r="H1577" s="1">
        <v>45116</v>
      </c>
      <c r="I1577" s="2">
        <v>45116.1625</v>
      </c>
      <c r="J1577">
        <v>3.9</v>
      </c>
      <c r="K1577" t="s">
        <v>24</v>
      </c>
      <c r="L1577">
        <v>0</v>
      </c>
      <c r="M1577">
        <v>2</v>
      </c>
      <c r="N1577" t="s">
        <v>283</v>
      </c>
      <c r="O1577" s="3" t="str">
        <f>TEXT(Ticket_Table[[#This Row],[raised_date]],"YYYY-MM")</f>
        <v>2023-07</v>
      </c>
      <c r="P1577" s="3" t="str">
        <f>IF(Ticket_Table[[#This Row],[resolution_hrs]]&lt;=4,"Fast",IF(Ticket_Table[[#This Row],[resolution_hrs]]&lt;=24,"Normal",IF(Ticket_Table[[#This Row],[resolution_hrs]]&lt;=48,"Slow","Very Slow")))</f>
        <v>Fast</v>
      </c>
      <c r="Q1577" s="3">
        <f>YEAR(Ticket_Table[[#This Row],[raised_date]])</f>
        <v>2023</v>
      </c>
    </row>
    <row r="1578" spans="1:17">
      <c r="A1578" t="s">
        <v>2137</v>
      </c>
      <c r="B1578" t="s">
        <v>621</v>
      </c>
      <c r="C1578" t="s">
        <v>117</v>
      </c>
      <c r="D1578" t="s">
        <v>29</v>
      </c>
      <c r="E1578" t="s">
        <v>56</v>
      </c>
      <c r="F1578" t="s">
        <v>22</v>
      </c>
      <c r="G1578" t="s">
        <v>31</v>
      </c>
      <c r="H1578" s="1">
        <v>45246</v>
      </c>
      <c r="I1578" s="2">
        <v>45246.725</v>
      </c>
      <c r="J1578">
        <v>17.4</v>
      </c>
      <c r="K1578" t="s">
        <v>24</v>
      </c>
      <c r="L1578">
        <v>0</v>
      </c>
      <c r="M1578">
        <v>4</v>
      </c>
      <c r="N1578" t="s">
        <v>49</v>
      </c>
      <c r="O1578" s="3" t="str">
        <f>TEXT(Ticket_Table[[#This Row],[raised_date]],"YYYY-MM")</f>
        <v>2023-11</v>
      </c>
      <c r="P1578" s="3" t="str">
        <f>IF(Ticket_Table[[#This Row],[resolution_hrs]]&lt;=4,"Fast",IF(Ticket_Table[[#This Row],[resolution_hrs]]&lt;=24,"Normal",IF(Ticket_Table[[#This Row],[resolution_hrs]]&lt;=48,"Slow","Very Slow")))</f>
        <v>Normal</v>
      </c>
      <c r="Q1578" s="3">
        <f>YEAR(Ticket_Table[[#This Row],[raised_date]])</f>
        <v>2023</v>
      </c>
    </row>
    <row r="1579" spans="1:17">
      <c r="A1579" t="s">
        <v>2138</v>
      </c>
      <c r="B1579" t="s">
        <v>259</v>
      </c>
      <c r="C1579" t="s">
        <v>28</v>
      </c>
      <c r="D1579" t="s">
        <v>20</v>
      </c>
      <c r="E1579" t="s">
        <v>83</v>
      </c>
      <c r="F1579" t="s">
        <v>70</v>
      </c>
      <c r="G1579" t="s">
        <v>31</v>
      </c>
      <c r="H1579" s="1">
        <v>45032</v>
      </c>
      <c r="I1579" s="2">
        <v>45033.1416666667</v>
      </c>
      <c r="J1579">
        <v>27.4</v>
      </c>
      <c r="K1579" t="s">
        <v>24</v>
      </c>
      <c r="L1579">
        <v>0</v>
      </c>
      <c r="M1579">
        <v>4</v>
      </c>
      <c r="N1579" t="s">
        <v>248</v>
      </c>
      <c r="O1579" s="3" t="str">
        <f>TEXT(Ticket_Table[[#This Row],[raised_date]],"YYYY-MM")</f>
        <v>2023-04</v>
      </c>
      <c r="P1579" s="3" t="str">
        <f>IF(Ticket_Table[[#This Row],[resolution_hrs]]&lt;=4,"Fast",IF(Ticket_Table[[#This Row],[resolution_hrs]]&lt;=24,"Normal",IF(Ticket_Table[[#This Row],[resolution_hrs]]&lt;=48,"Slow","Very Slow")))</f>
        <v>Slow</v>
      </c>
      <c r="Q1579" s="3">
        <f>YEAR(Ticket_Table[[#This Row],[raised_date]])</f>
        <v>2023</v>
      </c>
    </row>
    <row r="1580" spans="1:17">
      <c r="A1580" t="s">
        <v>2139</v>
      </c>
      <c r="B1580" t="s">
        <v>942</v>
      </c>
      <c r="C1580" t="s">
        <v>175</v>
      </c>
      <c r="D1580" t="s">
        <v>20</v>
      </c>
      <c r="E1580" t="s">
        <v>21</v>
      </c>
      <c r="F1580" t="s">
        <v>22</v>
      </c>
      <c r="G1580" t="s">
        <v>31</v>
      </c>
      <c r="H1580" s="1">
        <v>44408</v>
      </c>
      <c r="I1580" s="2">
        <v>44412.4583333333</v>
      </c>
      <c r="J1580">
        <v>107</v>
      </c>
      <c r="K1580" t="s">
        <v>32</v>
      </c>
      <c r="L1580">
        <v>0</v>
      </c>
      <c r="M1580">
        <v>3</v>
      </c>
      <c r="N1580" t="s">
        <v>550</v>
      </c>
      <c r="O1580" s="3" t="str">
        <f>TEXT(Ticket_Table[[#This Row],[raised_date]],"YYYY-MM")</f>
        <v>2021-07</v>
      </c>
      <c r="P1580" s="3" t="str">
        <f>IF(Ticket_Table[[#This Row],[resolution_hrs]]&lt;=4,"Fast",IF(Ticket_Table[[#This Row],[resolution_hrs]]&lt;=24,"Normal",IF(Ticket_Table[[#This Row],[resolution_hrs]]&lt;=48,"Slow","Very Slow")))</f>
        <v>Very Slow</v>
      </c>
      <c r="Q1580" s="3">
        <f>YEAR(Ticket_Table[[#This Row],[raised_date]])</f>
        <v>2021</v>
      </c>
    </row>
    <row r="1581" spans="1:17">
      <c r="A1581" t="s">
        <v>2140</v>
      </c>
      <c r="B1581" t="s">
        <v>283</v>
      </c>
      <c r="C1581" t="s">
        <v>201</v>
      </c>
      <c r="D1581" t="s">
        <v>20</v>
      </c>
      <c r="E1581" t="s">
        <v>44</v>
      </c>
      <c r="F1581" t="s">
        <v>70</v>
      </c>
      <c r="G1581" t="s">
        <v>31</v>
      </c>
      <c r="H1581" s="1">
        <v>44250</v>
      </c>
      <c r="I1581" s="2">
        <v>44250.9375</v>
      </c>
      <c r="J1581">
        <v>22.5</v>
      </c>
      <c r="K1581" t="s">
        <v>24</v>
      </c>
      <c r="L1581">
        <v>1</v>
      </c>
      <c r="M1581">
        <v>5</v>
      </c>
      <c r="N1581" t="s">
        <v>826</v>
      </c>
      <c r="O1581" s="3" t="str">
        <f>TEXT(Ticket_Table[[#This Row],[raised_date]],"YYYY-MM")</f>
        <v>2021-02</v>
      </c>
      <c r="P1581" s="3" t="str">
        <f>IF(Ticket_Table[[#This Row],[resolution_hrs]]&lt;=4,"Fast",IF(Ticket_Table[[#This Row],[resolution_hrs]]&lt;=24,"Normal",IF(Ticket_Table[[#This Row],[resolution_hrs]]&lt;=48,"Slow","Very Slow")))</f>
        <v>Normal</v>
      </c>
      <c r="Q1581" s="3">
        <f>YEAR(Ticket_Table[[#This Row],[raised_date]])</f>
        <v>2021</v>
      </c>
    </row>
    <row r="1582" spans="1:17">
      <c r="A1582" t="s">
        <v>2141</v>
      </c>
      <c r="B1582" t="s">
        <v>589</v>
      </c>
      <c r="C1582" t="s">
        <v>140</v>
      </c>
      <c r="D1582" t="s">
        <v>36</v>
      </c>
      <c r="E1582" t="s">
        <v>69</v>
      </c>
      <c r="F1582" t="s">
        <v>22</v>
      </c>
      <c r="G1582" t="s">
        <v>23</v>
      </c>
      <c r="H1582" s="1">
        <v>44380</v>
      </c>
      <c r="I1582" s="2">
        <v>44382.2083333333</v>
      </c>
      <c r="J1582">
        <v>53</v>
      </c>
      <c r="K1582" t="s">
        <v>24</v>
      </c>
      <c r="L1582">
        <v>1</v>
      </c>
      <c r="M1582">
        <v>5</v>
      </c>
      <c r="N1582" t="s">
        <v>130</v>
      </c>
      <c r="O1582" s="3" t="str">
        <f>TEXT(Ticket_Table[[#This Row],[raised_date]],"YYYY-MM")</f>
        <v>2021-07</v>
      </c>
      <c r="P1582" s="3" t="str">
        <f>IF(Ticket_Table[[#This Row],[resolution_hrs]]&lt;=4,"Fast",IF(Ticket_Table[[#This Row],[resolution_hrs]]&lt;=24,"Normal",IF(Ticket_Table[[#This Row],[resolution_hrs]]&lt;=48,"Slow","Very Slow")))</f>
        <v>Very Slow</v>
      </c>
      <c r="Q1582" s="3">
        <f>YEAR(Ticket_Table[[#This Row],[raised_date]])</f>
        <v>2021</v>
      </c>
    </row>
    <row r="1583" spans="1:17">
      <c r="A1583" t="s">
        <v>2142</v>
      </c>
      <c r="B1583" t="s">
        <v>300</v>
      </c>
      <c r="C1583" t="s">
        <v>102</v>
      </c>
      <c r="D1583" t="s">
        <v>36</v>
      </c>
      <c r="E1583" t="s">
        <v>30</v>
      </c>
      <c r="F1583" t="s">
        <v>70</v>
      </c>
      <c r="G1583" t="s">
        <v>31</v>
      </c>
      <c r="H1583" s="1">
        <v>44921</v>
      </c>
      <c r="I1583" s="2">
        <v>44923.3833333333</v>
      </c>
      <c r="J1583">
        <v>57.2</v>
      </c>
      <c r="K1583" t="s">
        <v>32</v>
      </c>
      <c r="L1583">
        <v>1</v>
      </c>
      <c r="M1583">
        <v>5</v>
      </c>
      <c r="N1583" t="s">
        <v>811</v>
      </c>
      <c r="O1583" s="3" t="str">
        <f>TEXT(Ticket_Table[[#This Row],[raised_date]],"YYYY-MM")</f>
        <v>2022-12</v>
      </c>
      <c r="P1583" s="3" t="str">
        <f>IF(Ticket_Table[[#This Row],[resolution_hrs]]&lt;=4,"Fast",IF(Ticket_Table[[#This Row],[resolution_hrs]]&lt;=24,"Normal",IF(Ticket_Table[[#This Row],[resolution_hrs]]&lt;=48,"Slow","Very Slow")))</f>
        <v>Very Slow</v>
      </c>
      <c r="Q1583" s="3">
        <f>YEAR(Ticket_Table[[#This Row],[raised_date]])</f>
        <v>2022</v>
      </c>
    </row>
    <row r="1584" spans="1:17">
      <c r="A1584" t="s">
        <v>2143</v>
      </c>
      <c r="B1584" t="s">
        <v>1216</v>
      </c>
      <c r="C1584" t="s">
        <v>261</v>
      </c>
      <c r="D1584" t="s">
        <v>90</v>
      </c>
      <c r="E1584" t="s">
        <v>37</v>
      </c>
      <c r="F1584" t="s">
        <v>22</v>
      </c>
      <c r="G1584" t="s">
        <v>31</v>
      </c>
      <c r="H1584" s="1">
        <v>44387</v>
      </c>
      <c r="I1584" s="2">
        <v>44387.675</v>
      </c>
      <c r="J1584">
        <v>16.2</v>
      </c>
      <c r="K1584" t="s">
        <v>24</v>
      </c>
      <c r="L1584">
        <v>0</v>
      </c>
      <c r="M1584">
        <v>3</v>
      </c>
      <c r="N1584" t="s">
        <v>186</v>
      </c>
      <c r="O1584" s="3" t="str">
        <f>TEXT(Ticket_Table[[#This Row],[raised_date]],"YYYY-MM")</f>
        <v>2021-07</v>
      </c>
      <c r="P1584" s="3" t="str">
        <f>IF(Ticket_Table[[#This Row],[resolution_hrs]]&lt;=4,"Fast",IF(Ticket_Table[[#This Row],[resolution_hrs]]&lt;=24,"Normal",IF(Ticket_Table[[#This Row],[resolution_hrs]]&lt;=48,"Slow","Very Slow")))</f>
        <v>Normal</v>
      </c>
      <c r="Q1584" s="3">
        <f>YEAR(Ticket_Table[[#This Row],[raised_date]])</f>
        <v>2021</v>
      </c>
    </row>
    <row r="1585" spans="1:17">
      <c r="A1585" t="s">
        <v>2144</v>
      </c>
      <c r="B1585" t="s">
        <v>387</v>
      </c>
      <c r="C1585" t="s">
        <v>28</v>
      </c>
      <c r="D1585" t="s">
        <v>90</v>
      </c>
      <c r="E1585" t="s">
        <v>69</v>
      </c>
      <c r="F1585" t="s">
        <v>38</v>
      </c>
      <c r="G1585" t="s">
        <v>23</v>
      </c>
      <c r="H1585" s="1">
        <v>44861</v>
      </c>
      <c r="I1585" s="2">
        <v>44861.9</v>
      </c>
      <c r="J1585">
        <v>21.6</v>
      </c>
      <c r="K1585" t="s">
        <v>24</v>
      </c>
      <c r="L1585">
        <v>0</v>
      </c>
      <c r="M1585">
        <v>1</v>
      </c>
      <c r="N1585" t="s">
        <v>126</v>
      </c>
      <c r="O1585" s="3" t="str">
        <f>TEXT(Ticket_Table[[#This Row],[raised_date]],"YYYY-MM")</f>
        <v>2022-10</v>
      </c>
      <c r="P1585" s="3" t="str">
        <f>IF(Ticket_Table[[#This Row],[resolution_hrs]]&lt;=4,"Fast",IF(Ticket_Table[[#This Row],[resolution_hrs]]&lt;=24,"Normal",IF(Ticket_Table[[#This Row],[resolution_hrs]]&lt;=48,"Slow","Very Slow")))</f>
        <v>Normal</v>
      </c>
      <c r="Q1585" s="3">
        <f>YEAR(Ticket_Table[[#This Row],[raised_date]])</f>
        <v>2022</v>
      </c>
    </row>
    <row r="1586" spans="1:17">
      <c r="A1586" t="s">
        <v>2145</v>
      </c>
      <c r="B1586" t="s">
        <v>712</v>
      </c>
      <c r="C1586" t="s">
        <v>78</v>
      </c>
      <c r="D1586" t="s">
        <v>90</v>
      </c>
      <c r="E1586" t="s">
        <v>37</v>
      </c>
      <c r="F1586" t="s">
        <v>38</v>
      </c>
      <c r="G1586" t="s">
        <v>23</v>
      </c>
      <c r="H1586" s="1">
        <v>44985</v>
      </c>
      <c r="I1586" s="2">
        <v>44985.1125</v>
      </c>
      <c r="J1586">
        <v>2.7</v>
      </c>
      <c r="K1586" t="s">
        <v>24</v>
      </c>
      <c r="L1586">
        <v>0</v>
      </c>
      <c r="M1586">
        <v>5</v>
      </c>
      <c r="N1586" t="s">
        <v>317</v>
      </c>
      <c r="O1586" s="3" t="str">
        <f>TEXT(Ticket_Table[[#This Row],[raised_date]],"YYYY-MM")</f>
        <v>2023-02</v>
      </c>
      <c r="P1586" s="3" t="str">
        <f>IF(Ticket_Table[[#This Row],[resolution_hrs]]&lt;=4,"Fast",IF(Ticket_Table[[#This Row],[resolution_hrs]]&lt;=24,"Normal",IF(Ticket_Table[[#This Row],[resolution_hrs]]&lt;=48,"Slow","Very Slow")))</f>
        <v>Fast</v>
      </c>
      <c r="Q1586" s="3">
        <f>YEAR(Ticket_Table[[#This Row],[raised_date]])</f>
        <v>2023</v>
      </c>
    </row>
    <row r="1587" spans="1:17">
      <c r="A1587" t="s">
        <v>2146</v>
      </c>
      <c r="B1587" t="s">
        <v>749</v>
      </c>
      <c r="C1587" t="s">
        <v>50</v>
      </c>
      <c r="D1587" t="s">
        <v>20</v>
      </c>
      <c r="E1587" t="s">
        <v>21</v>
      </c>
      <c r="F1587" t="s">
        <v>22</v>
      </c>
      <c r="G1587" t="s">
        <v>31</v>
      </c>
      <c r="H1587" s="1">
        <v>44222</v>
      </c>
      <c r="I1587" s="2">
        <v>44226.0291666667</v>
      </c>
      <c r="J1587">
        <v>96.7</v>
      </c>
      <c r="K1587" t="s">
        <v>32</v>
      </c>
      <c r="L1587">
        <v>0</v>
      </c>
      <c r="M1587">
        <v>3</v>
      </c>
      <c r="N1587" t="s">
        <v>620</v>
      </c>
      <c r="O1587" s="3" t="str">
        <f>TEXT(Ticket_Table[[#This Row],[raised_date]],"YYYY-MM")</f>
        <v>2021-01</v>
      </c>
      <c r="P1587" s="3" t="str">
        <f>IF(Ticket_Table[[#This Row],[resolution_hrs]]&lt;=4,"Fast",IF(Ticket_Table[[#This Row],[resolution_hrs]]&lt;=24,"Normal",IF(Ticket_Table[[#This Row],[resolution_hrs]]&lt;=48,"Slow","Very Slow")))</f>
        <v>Very Slow</v>
      </c>
      <c r="Q1587" s="3">
        <f>YEAR(Ticket_Table[[#This Row],[raised_date]])</f>
        <v>2021</v>
      </c>
    </row>
    <row r="1588" spans="1:17">
      <c r="A1588" t="s">
        <v>2147</v>
      </c>
      <c r="B1588" t="s">
        <v>87</v>
      </c>
      <c r="C1588" t="s">
        <v>28</v>
      </c>
      <c r="D1588" t="s">
        <v>36</v>
      </c>
      <c r="E1588" t="s">
        <v>56</v>
      </c>
      <c r="F1588" t="s">
        <v>22</v>
      </c>
      <c r="G1588" t="s">
        <v>23</v>
      </c>
      <c r="H1588" s="1">
        <v>44794</v>
      </c>
      <c r="I1588" s="2">
        <v>44798.0041666667</v>
      </c>
      <c r="J1588">
        <v>96.1</v>
      </c>
      <c r="K1588" t="s">
        <v>32</v>
      </c>
      <c r="L1588">
        <v>0</v>
      </c>
      <c r="M1588">
        <v>4</v>
      </c>
      <c r="N1588" t="s">
        <v>703</v>
      </c>
      <c r="O1588" s="3" t="str">
        <f>TEXT(Ticket_Table[[#This Row],[raised_date]],"YYYY-MM")</f>
        <v>2022-08</v>
      </c>
      <c r="P1588" s="3" t="str">
        <f>IF(Ticket_Table[[#This Row],[resolution_hrs]]&lt;=4,"Fast",IF(Ticket_Table[[#This Row],[resolution_hrs]]&lt;=24,"Normal",IF(Ticket_Table[[#This Row],[resolution_hrs]]&lt;=48,"Slow","Very Slow")))</f>
        <v>Very Slow</v>
      </c>
      <c r="Q1588" s="3">
        <f>YEAR(Ticket_Table[[#This Row],[raised_date]])</f>
        <v>2022</v>
      </c>
    </row>
    <row r="1589" spans="1:17">
      <c r="A1589" t="s">
        <v>2148</v>
      </c>
      <c r="B1589" t="s">
        <v>1013</v>
      </c>
      <c r="C1589" t="s">
        <v>82</v>
      </c>
      <c r="D1589" t="s">
        <v>20</v>
      </c>
      <c r="E1589" t="s">
        <v>166</v>
      </c>
      <c r="F1589" t="s">
        <v>22</v>
      </c>
      <c r="G1589" t="s">
        <v>31</v>
      </c>
      <c r="H1589" s="1">
        <v>45044</v>
      </c>
      <c r="I1589" s="2">
        <v>45045.0041666667</v>
      </c>
      <c r="J1589">
        <v>24.1</v>
      </c>
      <c r="K1589" t="s">
        <v>24</v>
      </c>
      <c r="L1589">
        <v>2</v>
      </c>
      <c r="M1589">
        <v>5</v>
      </c>
      <c r="N1589" t="s">
        <v>277</v>
      </c>
      <c r="O1589" s="3" t="str">
        <f>TEXT(Ticket_Table[[#This Row],[raised_date]],"YYYY-MM")</f>
        <v>2023-04</v>
      </c>
      <c r="P1589" s="3" t="str">
        <f>IF(Ticket_Table[[#This Row],[resolution_hrs]]&lt;=4,"Fast",IF(Ticket_Table[[#This Row],[resolution_hrs]]&lt;=24,"Normal",IF(Ticket_Table[[#This Row],[resolution_hrs]]&lt;=48,"Slow","Very Slow")))</f>
        <v>Slow</v>
      </c>
      <c r="Q1589" s="3">
        <f>YEAR(Ticket_Table[[#This Row],[raised_date]])</f>
        <v>2023</v>
      </c>
    </row>
    <row r="1590" spans="1:17">
      <c r="A1590" t="s">
        <v>2149</v>
      </c>
      <c r="B1590" t="s">
        <v>458</v>
      </c>
      <c r="C1590" t="s">
        <v>60</v>
      </c>
      <c r="D1590" t="s">
        <v>90</v>
      </c>
      <c r="E1590" t="s">
        <v>51</v>
      </c>
      <c r="F1590" t="s">
        <v>38</v>
      </c>
      <c r="G1590" t="s">
        <v>23</v>
      </c>
      <c r="H1590" s="1">
        <v>44991</v>
      </c>
      <c r="I1590" s="2">
        <v>44992.2375</v>
      </c>
      <c r="J1590">
        <v>29.7</v>
      </c>
      <c r="K1590" t="s">
        <v>32</v>
      </c>
      <c r="L1590">
        <v>0</v>
      </c>
      <c r="M1590">
        <v>3</v>
      </c>
      <c r="N1590" t="s">
        <v>346</v>
      </c>
      <c r="O1590" s="3" t="str">
        <f>TEXT(Ticket_Table[[#This Row],[raised_date]],"YYYY-MM")</f>
        <v>2023-03</v>
      </c>
      <c r="P1590" s="3" t="str">
        <f>IF(Ticket_Table[[#This Row],[resolution_hrs]]&lt;=4,"Fast",IF(Ticket_Table[[#This Row],[resolution_hrs]]&lt;=24,"Normal",IF(Ticket_Table[[#This Row],[resolution_hrs]]&lt;=48,"Slow","Very Slow")))</f>
        <v>Slow</v>
      </c>
      <c r="Q1590" s="3">
        <f>YEAR(Ticket_Table[[#This Row],[raised_date]])</f>
        <v>2023</v>
      </c>
    </row>
    <row r="1591" spans="1:17">
      <c r="A1591" t="s">
        <v>2150</v>
      </c>
      <c r="B1591" t="s">
        <v>621</v>
      </c>
      <c r="C1591" t="s">
        <v>133</v>
      </c>
      <c r="D1591" t="s">
        <v>36</v>
      </c>
      <c r="E1591" t="s">
        <v>37</v>
      </c>
      <c r="F1591" t="s">
        <v>70</v>
      </c>
      <c r="G1591" t="s">
        <v>23</v>
      </c>
      <c r="H1591" s="1">
        <v>44370</v>
      </c>
      <c r="I1591" s="2">
        <v>44371.4875</v>
      </c>
      <c r="J1591">
        <v>35.7</v>
      </c>
      <c r="K1591" t="s">
        <v>24</v>
      </c>
      <c r="L1591">
        <v>0</v>
      </c>
      <c r="M1591">
        <v>3</v>
      </c>
      <c r="N1591" t="s">
        <v>264</v>
      </c>
      <c r="O1591" s="3" t="str">
        <f>TEXT(Ticket_Table[[#This Row],[raised_date]],"YYYY-MM")</f>
        <v>2021-06</v>
      </c>
      <c r="P1591" s="3" t="str">
        <f>IF(Ticket_Table[[#This Row],[resolution_hrs]]&lt;=4,"Fast",IF(Ticket_Table[[#This Row],[resolution_hrs]]&lt;=24,"Normal",IF(Ticket_Table[[#This Row],[resolution_hrs]]&lt;=48,"Slow","Very Slow")))</f>
        <v>Slow</v>
      </c>
      <c r="Q1591" s="3">
        <f>YEAR(Ticket_Table[[#This Row],[raised_date]])</f>
        <v>2021</v>
      </c>
    </row>
    <row r="1592" spans="1:17">
      <c r="A1592" t="s">
        <v>2151</v>
      </c>
      <c r="B1592" t="s">
        <v>310</v>
      </c>
      <c r="C1592" t="s">
        <v>287</v>
      </c>
      <c r="D1592" t="s">
        <v>43</v>
      </c>
      <c r="E1592" t="s">
        <v>37</v>
      </c>
      <c r="F1592" t="s">
        <v>70</v>
      </c>
      <c r="G1592" t="s">
        <v>74</v>
      </c>
      <c r="H1592" s="1">
        <v>44694</v>
      </c>
      <c r="I1592" s="2">
        <v>44694.4041666667</v>
      </c>
      <c r="J1592">
        <v>9.7</v>
      </c>
      <c r="K1592" t="s">
        <v>24</v>
      </c>
      <c r="L1592">
        <v>0</v>
      </c>
      <c r="M1592">
        <v>4</v>
      </c>
      <c r="N1592" t="s">
        <v>608</v>
      </c>
      <c r="O1592" s="3" t="str">
        <f>TEXT(Ticket_Table[[#This Row],[raised_date]],"YYYY-MM")</f>
        <v>2022-05</v>
      </c>
      <c r="P1592" s="3" t="str">
        <f>IF(Ticket_Table[[#This Row],[resolution_hrs]]&lt;=4,"Fast",IF(Ticket_Table[[#This Row],[resolution_hrs]]&lt;=24,"Normal",IF(Ticket_Table[[#This Row],[resolution_hrs]]&lt;=48,"Slow","Very Slow")))</f>
        <v>Normal</v>
      </c>
      <c r="Q1592" s="3">
        <f>YEAR(Ticket_Table[[#This Row],[raised_date]])</f>
        <v>2022</v>
      </c>
    </row>
    <row r="1593" spans="1:17">
      <c r="A1593" t="s">
        <v>2152</v>
      </c>
      <c r="B1593" t="s">
        <v>796</v>
      </c>
      <c r="C1593" t="s">
        <v>50</v>
      </c>
      <c r="D1593" t="s">
        <v>29</v>
      </c>
      <c r="E1593" t="s">
        <v>51</v>
      </c>
      <c r="F1593" t="s">
        <v>22</v>
      </c>
      <c r="G1593" t="s">
        <v>23</v>
      </c>
      <c r="H1593" s="1">
        <v>45264</v>
      </c>
      <c r="I1593" s="2">
        <v>45265.5958333333</v>
      </c>
      <c r="J1593">
        <v>38.3</v>
      </c>
      <c r="K1593" t="s">
        <v>24</v>
      </c>
      <c r="L1593">
        <v>1</v>
      </c>
      <c r="M1593">
        <v>3</v>
      </c>
      <c r="N1593" t="s">
        <v>560</v>
      </c>
      <c r="O1593" s="3" t="str">
        <f>TEXT(Ticket_Table[[#This Row],[raised_date]],"YYYY-MM")</f>
        <v>2023-12</v>
      </c>
      <c r="P1593" s="3" t="str">
        <f>IF(Ticket_Table[[#This Row],[resolution_hrs]]&lt;=4,"Fast",IF(Ticket_Table[[#This Row],[resolution_hrs]]&lt;=24,"Normal",IF(Ticket_Table[[#This Row],[resolution_hrs]]&lt;=48,"Slow","Very Slow")))</f>
        <v>Slow</v>
      </c>
      <c r="Q1593" s="3">
        <f>YEAR(Ticket_Table[[#This Row],[raised_date]])</f>
        <v>2023</v>
      </c>
    </row>
    <row r="1594" spans="1:17">
      <c r="A1594" t="s">
        <v>2153</v>
      </c>
      <c r="B1594" t="s">
        <v>424</v>
      </c>
      <c r="C1594" t="s">
        <v>117</v>
      </c>
      <c r="D1594" t="s">
        <v>29</v>
      </c>
      <c r="E1594" t="s">
        <v>166</v>
      </c>
      <c r="F1594" t="s">
        <v>70</v>
      </c>
      <c r="G1594" t="s">
        <v>23</v>
      </c>
      <c r="H1594" s="1">
        <v>44544</v>
      </c>
      <c r="I1594" s="2">
        <v>44546.6166666667</v>
      </c>
      <c r="J1594">
        <v>62.8</v>
      </c>
      <c r="K1594" t="s">
        <v>32</v>
      </c>
      <c r="L1594">
        <v>0</v>
      </c>
      <c r="M1594">
        <v>4</v>
      </c>
      <c r="N1594" t="s">
        <v>1093</v>
      </c>
      <c r="O1594" s="3" t="str">
        <f>TEXT(Ticket_Table[[#This Row],[raised_date]],"YYYY-MM")</f>
        <v>2021-12</v>
      </c>
      <c r="P1594" s="3" t="str">
        <f>IF(Ticket_Table[[#This Row],[resolution_hrs]]&lt;=4,"Fast",IF(Ticket_Table[[#This Row],[resolution_hrs]]&lt;=24,"Normal",IF(Ticket_Table[[#This Row],[resolution_hrs]]&lt;=48,"Slow","Very Slow")))</f>
        <v>Very Slow</v>
      </c>
      <c r="Q1594" s="3">
        <f>YEAR(Ticket_Table[[#This Row],[raised_date]])</f>
        <v>2021</v>
      </c>
    </row>
    <row r="1595" spans="1:17">
      <c r="A1595" t="s">
        <v>2154</v>
      </c>
      <c r="B1595" t="s">
        <v>512</v>
      </c>
      <c r="C1595" t="s">
        <v>261</v>
      </c>
      <c r="D1595" t="s">
        <v>90</v>
      </c>
      <c r="E1595" t="s">
        <v>21</v>
      </c>
      <c r="F1595" t="s">
        <v>38</v>
      </c>
      <c r="G1595" t="s">
        <v>23</v>
      </c>
      <c r="H1595" s="1">
        <v>44976</v>
      </c>
      <c r="I1595" s="2">
        <v>44976.65</v>
      </c>
      <c r="J1595">
        <v>15.6</v>
      </c>
      <c r="K1595" t="s">
        <v>24</v>
      </c>
      <c r="L1595">
        <v>0</v>
      </c>
      <c r="M1595">
        <v>1</v>
      </c>
      <c r="N1595" t="s">
        <v>810</v>
      </c>
      <c r="O1595" s="3" t="str">
        <f>TEXT(Ticket_Table[[#This Row],[raised_date]],"YYYY-MM")</f>
        <v>2023-02</v>
      </c>
      <c r="P1595" s="3" t="str">
        <f>IF(Ticket_Table[[#This Row],[resolution_hrs]]&lt;=4,"Fast",IF(Ticket_Table[[#This Row],[resolution_hrs]]&lt;=24,"Normal",IF(Ticket_Table[[#This Row],[resolution_hrs]]&lt;=48,"Slow","Very Slow")))</f>
        <v>Normal</v>
      </c>
      <c r="Q1595" s="3">
        <f>YEAR(Ticket_Table[[#This Row],[raised_date]])</f>
        <v>2023</v>
      </c>
    </row>
    <row r="1596" spans="1:17">
      <c r="A1596" t="s">
        <v>2155</v>
      </c>
      <c r="B1596" t="s">
        <v>449</v>
      </c>
      <c r="C1596" t="s">
        <v>117</v>
      </c>
      <c r="D1596" t="s">
        <v>20</v>
      </c>
      <c r="E1596" t="s">
        <v>30</v>
      </c>
      <c r="F1596" t="s">
        <v>38</v>
      </c>
      <c r="G1596" t="s">
        <v>23</v>
      </c>
      <c r="H1596" s="1">
        <v>44544</v>
      </c>
      <c r="I1596" s="2">
        <v>44544.8791666667</v>
      </c>
      <c r="J1596">
        <v>21.1</v>
      </c>
      <c r="K1596" t="s">
        <v>24</v>
      </c>
      <c r="L1596">
        <v>1</v>
      </c>
      <c r="M1596">
        <v>3</v>
      </c>
      <c r="N1596" t="s">
        <v>340</v>
      </c>
      <c r="O1596" s="3" t="str">
        <f>TEXT(Ticket_Table[[#This Row],[raised_date]],"YYYY-MM")</f>
        <v>2021-12</v>
      </c>
      <c r="P1596" s="3" t="str">
        <f>IF(Ticket_Table[[#This Row],[resolution_hrs]]&lt;=4,"Fast",IF(Ticket_Table[[#This Row],[resolution_hrs]]&lt;=24,"Normal",IF(Ticket_Table[[#This Row],[resolution_hrs]]&lt;=48,"Slow","Very Slow")))</f>
        <v>Normal</v>
      </c>
      <c r="Q1596" s="3">
        <f>YEAR(Ticket_Table[[#This Row],[raised_date]])</f>
        <v>2021</v>
      </c>
    </row>
    <row r="1597" spans="1:17">
      <c r="A1597" t="s">
        <v>2156</v>
      </c>
      <c r="B1597" t="s">
        <v>435</v>
      </c>
      <c r="C1597" t="s">
        <v>60</v>
      </c>
      <c r="D1597" t="s">
        <v>43</v>
      </c>
      <c r="E1597" t="s">
        <v>83</v>
      </c>
      <c r="F1597" t="s">
        <v>70</v>
      </c>
      <c r="G1597" t="s">
        <v>31</v>
      </c>
      <c r="H1597" s="1">
        <v>44481</v>
      </c>
      <c r="I1597" s="2">
        <v>44482.7166666667</v>
      </c>
      <c r="J1597">
        <v>41.2</v>
      </c>
      <c r="K1597" t="s">
        <v>24</v>
      </c>
      <c r="L1597">
        <v>0</v>
      </c>
      <c r="M1597">
        <v>5</v>
      </c>
      <c r="N1597" t="s">
        <v>592</v>
      </c>
      <c r="O1597" s="3" t="str">
        <f>TEXT(Ticket_Table[[#This Row],[raised_date]],"YYYY-MM")</f>
        <v>2021-10</v>
      </c>
      <c r="P1597" s="3" t="str">
        <f>IF(Ticket_Table[[#This Row],[resolution_hrs]]&lt;=4,"Fast",IF(Ticket_Table[[#This Row],[resolution_hrs]]&lt;=24,"Normal",IF(Ticket_Table[[#This Row],[resolution_hrs]]&lt;=48,"Slow","Very Slow")))</f>
        <v>Slow</v>
      </c>
      <c r="Q1597" s="3">
        <f>YEAR(Ticket_Table[[#This Row],[raised_date]])</f>
        <v>2021</v>
      </c>
    </row>
    <row r="1598" spans="1:17">
      <c r="A1598" t="s">
        <v>2157</v>
      </c>
      <c r="B1598" t="s">
        <v>956</v>
      </c>
      <c r="C1598" t="s">
        <v>42</v>
      </c>
      <c r="D1598" t="s">
        <v>36</v>
      </c>
      <c r="E1598" t="s">
        <v>37</v>
      </c>
      <c r="F1598" t="s">
        <v>22</v>
      </c>
      <c r="G1598" t="s">
        <v>31</v>
      </c>
      <c r="H1598" s="1">
        <v>44747</v>
      </c>
      <c r="I1598" s="2">
        <v>44751.0541666667</v>
      </c>
      <c r="J1598">
        <v>97.3</v>
      </c>
      <c r="K1598" t="s">
        <v>32</v>
      </c>
      <c r="L1598">
        <v>0</v>
      </c>
      <c r="M1598">
        <v>4</v>
      </c>
      <c r="N1598" t="s">
        <v>931</v>
      </c>
      <c r="O1598" s="3" t="str">
        <f>TEXT(Ticket_Table[[#This Row],[raised_date]],"YYYY-MM")</f>
        <v>2022-07</v>
      </c>
      <c r="P1598" s="3" t="str">
        <f>IF(Ticket_Table[[#This Row],[resolution_hrs]]&lt;=4,"Fast",IF(Ticket_Table[[#This Row],[resolution_hrs]]&lt;=24,"Normal",IF(Ticket_Table[[#This Row],[resolution_hrs]]&lt;=48,"Slow","Very Slow")))</f>
        <v>Very Slow</v>
      </c>
      <c r="Q1598" s="3">
        <f>YEAR(Ticket_Table[[#This Row],[raised_date]])</f>
        <v>2022</v>
      </c>
    </row>
    <row r="1599" spans="1:17">
      <c r="A1599" t="s">
        <v>2158</v>
      </c>
      <c r="B1599" t="s">
        <v>450</v>
      </c>
      <c r="C1599" t="s">
        <v>140</v>
      </c>
      <c r="D1599" t="s">
        <v>20</v>
      </c>
      <c r="E1599" t="s">
        <v>166</v>
      </c>
      <c r="F1599" t="s">
        <v>22</v>
      </c>
      <c r="G1599" t="s">
        <v>31</v>
      </c>
      <c r="H1599" s="1">
        <v>44813</v>
      </c>
      <c r="I1599" s="2">
        <v>44816.525</v>
      </c>
      <c r="J1599">
        <v>84.6</v>
      </c>
      <c r="K1599" t="s">
        <v>32</v>
      </c>
      <c r="L1599">
        <v>1</v>
      </c>
      <c r="M1599">
        <v>4</v>
      </c>
      <c r="N1599" t="s">
        <v>903</v>
      </c>
      <c r="O1599" s="3" t="str">
        <f>TEXT(Ticket_Table[[#This Row],[raised_date]],"YYYY-MM")</f>
        <v>2022-09</v>
      </c>
      <c r="P1599" s="3" t="str">
        <f>IF(Ticket_Table[[#This Row],[resolution_hrs]]&lt;=4,"Fast",IF(Ticket_Table[[#This Row],[resolution_hrs]]&lt;=24,"Normal",IF(Ticket_Table[[#This Row],[resolution_hrs]]&lt;=48,"Slow","Very Slow")))</f>
        <v>Very Slow</v>
      </c>
      <c r="Q1599" s="3">
        <f>YEAR(Ticket_Table[[#This Row],[raised_date]])</f>
        <v>2022</v>
      </c>
    </row>
    <row r="1600" spans="1:17">
      <c r="A1600" t="s">
        <v>2159</v>
      </c>
      <c r="B1600" t="s">
        <v>178</v>
      </c>
      <c r="C1600" t="s">
        <v>78</v>
      </c>
      <c r="D1600" t="s">
        <v>90</v>
      </c>
      <c r="E1600" t="s">
        <v>166</v>
      </c>
      <c r="F1600" t="s">
        <v>22</v>
      </c>
      <c r="G1600" t="s">
        <v>23</v>
      </c>
      <c r="H1600" s="1">
        <v>44746</v>
      </c>
      <c r="I1600" s="2">
        <v>44748.1583333333</v>
      </c>
      <c r="J1600">
        <v>51.8</v>
      </c>
      <c r="K1600" t="s">
        <v>24</v>
      </c>
      <c r="L1600">
        <v>2</v>
      </c>
      <c r="M1600">
        <v>3</v>
      </c>
      <c r="N1600" t="s">
        <v>283</v>
      </c>
      <c r="O1600" s="3" t="str">
        <f>TEXT(Ticket_Table[[#This Row],[raised_date]],"YYYY-MM")</f>
        <v>2022-07</v>
      </c>
      <c r="P1600" s="3" t="str">
        <f>IF(Ticket_Table[[#This Row],[resolution_hrs]]&lt;=4,"Fast",IF(Ticket_Table[[#This Row],[resolution_hrs]]&lt;=24,"Normal",IF(Ticket_Table[[#This Row],[resolution_hrs]]&lt;=48,"Slow","Very Slow")))</f>
        <v>Very Slow</v>
      </c>
      <c r="Q1600" s="3">
        <f>YEAR(Ticket_Table[[#This Row],[raised_date]])</f>
        <v>2022</v>
      </c>
    </row>
    <row r="1601" spans="1:17">
      <c r="A1601" t="s">
        <v>2160</v>
      </c>
      <c r="B1601" t="s">
        <v>800</v>
      </c>
      <c r="C1601" t="s">
        <v>55</v>
      </c>
      <c r="D1601" t="s">
        <v>20</v>
      </c>
      <c r="E1601" t="s">
        <v>56</v>
      </c>
      <c r="F1601" t="s">
        <v>22</v>
      </c>
      <c r="G1601" t="s">
        <v>23</v>
      </c>
      <c r="H1601" s="1">
        <v>45206</v>
      </c>
      <c r="I1601" s="2">
        <v>45209.25</v>
      </c>
      <c r="J1601">
        <v>78</v>
      </c>
      <c r="K1601" t="s">
        <v>32</v>
      </c>
      <c r="L1601">
        <v>0</v>
      </c>
      <c r="M1601">
        <v>4</v>
      </c>
      <c r="N1601" t="s">
        <v>344</v>
      </c>
      <c r="O1601" s="3" t="str">
        <f>TEXT(Ticket_Table[[#This Row],[raised_date]],"YYYY-MM")</f>
        <v>2023-10</v>
      </c>
      <c r="P1601" s="3" t="str">
        <f>IF(Ticket_Table[[#This Row],[resolution_hrs]]&lt;=4,"Fast",IF(Ticket_Table[[#This Row],[resolution_hrs]]&lt;=24,"Normal",IF(Ticket_Table[[#This Row],[resolution_hrs]]&lt;=48,"Slow","Very Slow")))</f>
        <v>Very Slow</v>
      </c>
      <c r="Q1601" s="3">
        <f>YEAR(Ticket_Table[[#This Row],[raised_date]])</f>
        <v>2023</v>
      </c>
    </row>
    <row r="1602" spans="1:17">
      <c r="A1602" t="s">
        <v>2161</v>
      </c>
      <c r="B1602" t="s">
        <v>612</v>
      </c>
      <c r="C1602" t="s">
        <v>261</v>
      </c>
      <c r="D1602" t="s">
        <v>90</v>
      </c>
      <c r="E1602" t="s">
        <v>37</v>
      </c>
      <c r="F1602" t="s">
        <v>22</v>
      </c>
      <c r="G1602" t="s">
        <v>74</v>
      </c>
      <c r="H1602" s="1">
        <v>44495</v>
      </c>
      <c r="I1602" s="2">
        <v>44497.7416666667</v>
      </c>
      <c r="J1602">
        <v>65.8</v>
      </c>
      <c r="K1602" t="s">
        <v>24</v>
      </c>
      <c r="L1602">
        <v>0</v>
      </c>
      <c r="M1602">
        <v>5</v>
      </c>
      <c r="N1602" t="s">
        <v>1265</v>
      </c>
      <c r="O1602" s="3" t="str">
        <f>TEXT(Ticket_Table[[#This Row],[raised_date]],"YYYY-MM")</f>
        <v>2021-10</v>
      </c>
      <c r="P1602" s="3" t="str">
        <f>IF(Ticket_Table[[#This Row],[resolution_hrs]]&lt;=4,"Fast",IF(Ticket_Table[[#This Row],[resolution_hrs]]&lt;=24,"Normal",IF(Ticket_Table[[#This Row],[resolution_hrs]]&lt;=48,"Slow","Very Slow")))</f>
        <v>Very Slow</v>
      </c>
      <c r="Q1602" s="3">
        <f>YEAR(Ticket_Table[[#This Row],[raised_date]])</f>
        <v>2021</v>
      </c>
    </row>
    <row r="1603" spans="1:17">
      <c r="A1603" t="s">
        <v>2162</v>
      </c>
      <c r="B1603" t="s">
        <v>735</v>
      </c>
      <c r="C1603" t="s">
        <v>42</v>
      </c>
      <c r="D1603" t="s">
        <v>29</v>
      </c>
      <c r="E1603" t="s">
        <v>69</v>
      </c>
      <c r="F1603" t="s">
        <v>22</v>
      </c>
      <c r="G1603" t="s">
        <v>23</v>
      </c>
      <c r="H1603" s="1">
        <v>44326</v>
      </c>
      <c r="I1603" s="2">
        <v>44329.4375</v>
      </c>
      <c r="J1603">
        <v>82.5</v>
      </c>
      <c r="K1603" t="s">
        <v>32</v>
      </c>
      <c r="L1603">
        <v>0</v>
      </c>
      <c r="M1603">
        <v>4</v>
      </c>
      <c r="N1603" t="s">
        <v>344</v>
      </c>
      <c r="O1603" s="3" t="str">
        <f>TEXT(Ticket_Table[[#This Row],[raised_date]],"YYYY-MM")</f>
        <v>2021-05</v>
      </c>
      <c r="P1603" s="3" t="str">
        <f>IF(Ticket_Table[[#This Row],[resolution_hrs]]&lt;=4,"Fast",IF(Ticket_Table[[#This Row],[resolution_hrs]]&lt;=24,"Normal",IF(Ticket_Table[[#This Row],[resolution_hrs]]&lt;=48,"Slow","Very Slow")))</f>
        <v>Very Slow</v>
      </c>
      <c r="Q1603" s="3">
        <f>YEAR(Ticket_Table[[#This Row],[raised_date]])</f>
        <v>2021</v>
      </c>
    </row>
    <row r="1604" spans="1:17">
      <c r="A1604" t="s">
        <v>2163</v>
      </c>
      <c r="B1604" t="s">
        <v>305</v>
      </c>
      <c r="C1604" t="s">
        <v>78</v>
      </c>
      <c r="D1604" t="s">
        <v>29</v>
      </c>
      <c r="E1604" t="s">
        <v>21</v>
      </c>
      <c r="F1604" t="s">
        <v>70</v>
      </c>
      <c r="G1604" t="s">
        <v>23</v>
      </c>
      <c r="H1604" s="1">
        <v>44539</v>
      </c>
      <c r="I1604" s="2">
        <v>44540.5333333333</v>
      </c>
      <c r="J1604">
        <v>36.8</v>
      </c>
      <c r="K1604" t="s">
        <v>24</v>
      </c>
      <c r="L1604">
        <v>0</v>
      </c>
      <c r="M1604">
        <v>4</v>
      </c>
      <c r="N1604" t="s">
        <v>621</v>
      </c>
      <c r="O1604" s="3" t="str">
        <f>TEXT(Ticket_Table[[#This Row],[raised_date]],"YYYY-MM")</f>
        <v>2021-12</v>
      </c>
      <c r="P1604" s="3" t="str">
        <f>IF(Ticket_Table[[#This Row],[resolution_hrs]]&lt;=4,"Fast",IF(Ticket_Table[[#This Row],[resolution_hrs]]&lt;=24,"Normal",IF(Ticket_Table[[#This Row],[resolution_hrs]]&lt;=48,"Slow","Very Slow")))</f>
        <v>Slow</v>
      </c>
      <c r="Q1604" s="3">
        <f>YEAR(Ticket_Table[[#This Row],[raised_date]])</f>
        <v>2021</v>
      </c>
    </row>
    <row r="1605" spans="1:17">
      <c r="A1605" t="s">
        <v>2164</v>
      </c>
      <c r="B1605" t="s">
        <v>1039</v>
      </c>
      <c r="C1605" t="s">
        <v>175</v>
      </c>
      <c r="D1605" t="s">
        <v>20</v>
      </c>
      <c r="E1605" t="s">
        <v>30</v>
      </c>
      <c r="F1605" t="s">
        <v>45</v>
      </c>
      <c r="G1605" t="s">
        <v>23</v>
      </c>
      <c r="H1605" s="1">
        <v>45087</v>
      </c>
      <c r="I1605" s="2">
        <v>45087.1375</v>
      </c>
      <c r="J1605">
        <v>3.3</v>
      </c>
      <c r="K1605" t="s">
        <v>24</v>
      </c>
      <c r="L1605">
        <v>0</v>
      </c>
      <c r="M1605">
        <v>2</v>
      </c>
      <c r="N1605" t="s">
        <v>389</v>
      </c>
      <c r="O1605" s="3" t="str">
        <f>TEXT(Ticket_Table[[#This Row],[raised_date]],"YYYY-MM")</f>
        <v>2023-06</v>
      </c>
      <c r="P1605" s="3" t="str">
        <f>IF(Ticket_Table[[#This Row],[resolution_hrs]]&lt;=4,"Fast",IF(Ticket_Table[[#This Row],[resolution_hrs]]&lt;=24,"Normal",IF(Ticket_Table[[#This Row],[resolution_hrs]]&lt;=48,"Slow","Very Slow")))</f>
        <v>Fast</v>
      </c>
      <c r="Q1605" s="3">
        <f>YEAR(Ticket_Table[[#This Row],[raised_date]])</f>
        <v>2023</v>
      </c>
    </row>
    <row r="1606" spans="1:17">
      <c r="A1606" t="s">
        <v>2165</v>
      </c>
      <c r="B1606" t="s">
        <v>65</v>
      </c>
      <c r="C1606" t="s">
        <v>68</v>
      </c>
      <c r="D1606" t="s">
        <v>43</v>
      </c>
      <c r="E1606" t="s">
        <v>166</v>
      </c>
      <c r="F1606" t="s">
        <v>70</v>
      </c>
      <c r="G1606" t="s">
        <v>23</v>
      </c>
      <c r="H1606" s="1">
        <v>44762</v>
      </c>
      <c r="I1606" s="2">
        <v>44763.3708333333</v>
      </c>
      <c r="J1606">
        <v>32.9</v>
      </c>
      <c r="K1606" t="s">
        <v>24</v>
      </c>
      <c r="L1606">
        <v>3</v>
      </c>
      <c r="M1606">
        <v>4</v>
      </c>
      <c r="N1606" t="s">
        <v>209</v>
      </c>
      <c r="O1606" s="3" t="str">
        <f>TEXT(Ticket_Table[[#This Row],[raised_date]],"YYYY-MM")</f>
        <v>2022-07</v>
      </c>
      <c r="P1606" s="3" t="str">
        <f>IF(Ticket_Table[[#This Row],[resolution_hrs]]&lt;=4,"Fast",IF(Ticket_Table[[#This Row],[resolution_hrs]]&lt;=24,"Normal",IF(Ticket_Table[[#This Row],[resolution_hrs]]&lt;=48,"Slow","Very Slow")))</f>
        <v>Slow</v>
      </c>
      <c r="Q1606" s="3">
        <f>YEAR(Ticket_Table[[#This Row],[raised_date]])</f>
        <v>2022</v>
      </c>
    </row>
    <row r="1607" spans="1:17">
      <c r="A1607" t="s">
        <v>2166</v>
      </c>
      <c r="B1607" t="s">
        <v>188</v>
      </c>
      <c r="C1607" t="s">
        <v>55</v>
      </c>
      <c r="D1607" t="s">
        <v>36</v>
      </c>
      <c r="E1607" t="s">
        <v>56</v>
      </c>
      <c r="F1607" t="s">
        <v>38</v>
      </c>
      <c r="G1607" t="s">
        <v>74</v>
      </c>
      <c r="H1607" s="1">
        <v>45059</v>
      </c>
      <c r="I1607" s="2">
        <v>45059.6958333333</v>
      </c>
      <c r="J1607">
        <v>16.7</v>
      </c>
      <c r="K1607" t="s">
        <v>24</v>
      </c>
      <c r="L1607">
        <v>0</v>
      </c>
      <c r="M1607">
        <v>5</v>
      </c>
      <c r="N1607" t="s">
        <v>277</v>
      </c>
      <c r="O1607" s="3" t="str">
        <f>TEXT(Ticket_Table[[#This Row],[raised_date]],"YYYY-MM")</f>
        <v>2023-05</v>
      </c>
      <c r="P1607" s="3" t="str">
        <f>IF(Ticket_Table[[#This Row],[resolution_hrs]]&lt;=4,"Fast",IF(Ticket_Table[[#This Row],[resolution_hrs]]&lt;=24,"Normal",IF(Ticket_Table[[#This Row],[resolution_hrs]]&lt;=48,"Slow","Very Slow")))</f>
        <v>Normal</v>
      </c>
      <c r="Q1607" s="3">
        <f>YEAR(Ticket_Table[[#This Row],[raised_date]])</f>
        <v>2023</v>
      </c>
    </row>
    <row r="1608" spans="1:17">
      <c r="A1608" t="s">
        <v>2167</v>
      </c>
      <c r="B1608" t="s">
        <v>871</v>
      </c>
      <c r="C1608" t="s">
        <v>50</v>
      </c>
      <c r="D1608" t="s">
        <v>90</v>
      </c>
      <c r="E1608" t="s">
        <v>56</v>
      </c>
      <c r="F1608" t="s">
        <v>38</v>
      </c>
      <c r="G1608" t="s">
        <v>23</v>
      </c>
      <c r="H1608" s="1">
        <v>44810</v>
      </c>
      <c r="I1608" s="2">
        <v>44811.3041666667</v>
      </c>
      <c r="J1608">
        <v>31.3</v>
      </c>
      <c r="K1608" t="s">
        <v>32</v>
      </c>
      <c r="L1608">
        <v>0</v>
      </c>
      <c r="M1608">
        <v>5</v>
      </c>
      <c r="N1608" t="s">
        <v>924</v>
      </c>
      <c r="O1608" s="3" t="str">
        <f>TEXT(Ticket_Table[[#This Row],[raised_date]],"YYYY-MM")</f>
        <v>2022-09</v>
      </c>
      <c r="P1608" s="3" t="str">
        <f>IF(Ticket_Table[[#This Row],[resolution_hrs]]&lt;=4,"Fast",IF(Ticket_Table[[#This Row],[resolution_hrs]]&lt;=24,"Normal",IF(Ticket_Table[[#This Row],[resolution_hrs]]&lt;=48,"Slow","Very Slow")))</f>
        <v>Slow</v>
      </c>
      <c r="Q1608" s="3">
        <f>YEAR(Ticket_Table[[#This Row],[raised_date]])</f>
        <v>2022</v>
      </c>
    </row>
    <row r="1609" spans="1:17">
      <c r="A1609" t="s">
        <v>2168</v>
      </c>
      <c r="B1609" t="s">
        <v>521</v>
      </c>
      <c r="C1609" t="s">
        <v>117</v>
      </c>
      <c r="D1609" t="s">
        <v>36</v>
      </c>
      <c r="E1609" t="s">
        <v>51</v>
      </c>
      <c r="F1609" t="s">
        <v>22</v>
      </c>
      <c r="G1609" t="s">
        <v>91</v>
      </c>
      <c r="H1609" s="1">
        <v>45188</v>
      </c>
      <c r="I1609" s="2">
        <v>45189.4916666667</v>
      </c>
      <c r="J1609">
        <v>35.8</v>
      </c>
      <c r="K1609" t="s">
        <v>24</v>
      </c>
      <c r="L1609">
        <v>0</v>
      </c>
      <c r="M1609">
        <v>4</v>
      </c>
      <c r="N1609" t="s">
        <v>75</v>
      </c>
      <c r="O1609" s="3" t="str">
        <f>TEXT(Ticket_Table[[#This Row],[raised_date]],"YYYY-MM")</f>
        <v>2023-09</v>
      </c>
      <c r="P1609" s="3" t="str">
        <f>IF(Ticket_Table[[#This Row],[resolution_hrs]]&lt;=4,"Fast",IF(Ticket_Table[[#This Row],[resolution_hrs]]&lt;=24,"Normal",IF(Ticket_Table[[#This Row],[resolution_hrs]]&lt;=48,"Slow","Very Slow")))</f>
        <v>Slow</v>
      </c>
      <c r="Q1609" s="3">
        <f>YEAR(Ticket_Table[[#This Row],[raised_date]])</f>
        <v>2023</v>
      </c>
    </row>
    <row r="1610" spans="1:17">
      <c r="A1610" t="s">
        <v>2169</v>
      </c>
      <c r="B1610" t="s">
        <v>206</v>
      </c>
      <c r="C1610" t="s">
        <v>28</v>
      </c>
      <c r="D1610" t="s">
        <v>29</v>
      </c>
      <c r="E1610" t="s">
        <v>37</v>
      </c>
      <c r="F1610" t="s">
        <v>38</v>
      </c>
      <c r="G1610" t="s">
        <v>23</v>
      </c>
      <c r="H1610" s="1">
        <v>44354</v>
      </c>
      <c r="I1610" s="2">
        <v>44355.2083333333</v>
      </c>
      <c r="J1610">
        <v>29</v>
      </c>
      <c r="K1610" t="s">
        <v>32</v>
      </c>
      <c r="L1610">
        <v>0</v>
      </c>
      <c r="M1610">
        <v>5</v>
      </c>
      <c r="N1610" t="s">
        <v>165</v>
      </c>
      <c r="O1610" s="3" t="str">
        <f>TEXT(Ticket_Table[[#This Row],[raised_date]],"YYYY-MM")</f>
        <v>2021-06</v>
      </c>
      <c r="P1610" s="3" t="str">
        <f>IF(Ticket_Table[[#This Row],[resolution_hrs]]&lt;=4,"Fast",IF(Ticket_Table[[#This Row],[resolution_hrs]]&lt;=24,"Normal",IF(Ticket_Table[[#This Row],[resolution_hrs]]&lt;=48,"Slow","Very Slow")))</f>
        <v>Slow</v>
      </c>
      <c r="Q1610" s="3">
        <f>YEAR(Ticket_Table[[#This Row],[raised_date]])</f>
        <v>2021</v>
      </c>
    </row>
    <row r="1611" spans="1:17">
      <c r="A1611" t="s">
        <v>2170</v>
      </c>
      <c r="B1611" t="s">
        <v>600</v>
      </c>
      <c r="C1611" t="s">
        <v>42</v>
      </c>
      <c r="D1611" t="s">
        <v>43</v>
      </c>
      <c r="E1611" t="s">
        <v>166</v>
      </c>
      <c r="F1611" t="s">
        <v>22</v>
      </c>
      <c r="G1611" t="s">
        <v>31</v>
      </c>
      <c r="H1611" s="1">
        <v>44936</v>
      </c>
      <c r="I1611" s="2">
        <v>44939.0041666667</v>
      </c>
      <c r="J1611">
        <v>72.1</v>
      </c>
      <c r="K1611" t="s">
        <v>32</v>
      </c>
      <c r="L1611">
        <v>0</v>
      </c>
      <c r="M1611">
        <v>2</v>
      </c>
      <c r="N1611" t="s">
        <v>1050</v>
      </c>
      <c r="O1611" s="3" t="str">
        <f>TEXT(Ticket_Table[[#This Row],[raised_date]],"YYYY-MM")</f>
        <v>2023-01</v>
      </c>
      <c r="P1611" s="3" t="str">
        <f>IF(Ticket_Table[[#This Row],[resolution_hrs]]&lt;=4,"Fast",IF(Ticket_Table[[#This Row],[resolution_hrs]]&lt;=24,"Normal",IF(Ticket_Table[[#This Row],[resolution_hrs]]&lt;=48,"Slow","Very Slow")))</f>
        <v>Very Slow</v>
      </c>
      <c r="Q1611" s="3">
        <f>YEAR(Ticket_Table[[#This Row],[raised_date]])</f>
        <v>2023</v>
      </c>
    </row>
    <row r="1612" spans="1:17">
      <c r="A1612" t="s">
        <v>2171</v>
      </c>
      <c r="B1612" t="s">
        <v>273</v>
      </c>
      <c r="C1612" t="s">
        <v>287</v>
      </c>
      <c r="D1612" t="s">
        <v>43</v>
      </c>
      <c r="E1612" t="s">
        <v>30</v>
      </c>
      <c r="F1612" t="s">
        <v>70</v>
      </c>
      <c r="G1612" t="s">
        <v>23</v>
      </c>
      <c r="H1612" s="1">
        <v>44712</v>
      </c>
      <c r="I1612" s="2">
        <v>44713.2541666667</v>
      </c>
      <c r="J1612">
        <v>30.1</v>
      </c>
      <c r="K1612" t="s">
        <v>24</v>
      </c>
      <c r="L1612">
        <v>0</v>
      </c>
      <c r="M1612">
        <v>4</v>
      </c>
      <c r="N1612" t="s">
        <v>857</v>
      </c>
      <c r="O1612" s="3" t="str">
        <f>TEXT(Ticket_Table[[#This Row],[raised_date]],"YYYY-MM")</f>
        <v>2022-05</v>
      </c>
      <c r="P1612" s="3" t="str">
        <f>IF(Ticket_Table[[#This Row],[resolution_hrs]]&lt;=4,"Fast",IF(Ticket_Table[[#This Row],[resolution_hrs]]&lt;=24,"Normal",IF(Ticket_Table[[#This Row],[resolution_hrs]]&lt;=48,"Slow","Very Slow")))</f>
        <v>Slow</v>
      </c>
      <c r="Q1612" s="3">
        <f>YEAR(Ticket_Table[[#This Row],[raised_date]])</f>
        <v>2022</v>
      </c>
    </row>
    <row r="1613" spans="1:17">
      <c r="A1613" t="s">
        <v>2172</v>
      </c>
      <c r="B1613" t="s">
        <v>385</v>
      </c>
      <c r="C1613" t="s">
        <v>117</v>
      </c>
      <c r="D1613" t="s">
        <v>36</v>
      </c>
      <c r="E1613" t="s">
        <v>69</v>
      </c>
      <c r="F1613" t="s">
        <v>70</v>
      </c>
      <c r="G1613" t="s">
        <v>23</v>
      </c>
      <c r="H1613" s="1">
        <v>44702</v>
      </c>
      <c r="I1613" s="2">
        <v>44702.7291666667</v>
      </c>
      <c r="J1613">
        <v>17.5</v>
      </c>
      <c r="K1613" t="s">
        <v>24</v>
      </c>
      <c r="L1613">
        <v>1</v>
      </c>
      <c r="M1613">
        <v>3</v>
      </c>
      <c r="N1613" t="s">
        <v>365</v>
      </c>
      <c r="O1613" s="3" t="str">
        <f>TEXT(Ticket_Table[[#This Row],[raised_date]],"YYYY-MM")</f>
        <v>2022-05</v>
      </c>
      <c r="P1613" s="3" t="str">
        <f>IF(Ticket_Table[[#This Row],[resolution_hrs]]&lt;=4,"Fast",IF(Ticket_Table[[#This Row],[resolution_hrs]]&lt;=24,"Normal",IF(Ticket_Table[[#This Row],[resolution_hrs]]&lt;=48,"Slow","Very Slow")))</f>
        <v>Normal</v>
      </c>
      <c r="Q1613" s="3">
        <f>YEAR(Ticket_Table[[#This Row],[raised_date]])</f>
        <v>2022</v>
      </c>
    </row>
    <row r="1614" spans="1:17">
      <c r="A1614" t="s">
        <v>2173</v>
      </c>
      <c r="B1614" t="s">
        <v>1022</v>
      </c>
      <c r="C1614" t="s">
        <v>95</v>
      </c>
      <c r="D1614" t="s">
        <v>29</v>
      </c>
      <c r="E1614" t="s">
        <v>44</v>
      </c>
      <c r="F1614" t="s">
        <v>45</v>
      </c>
      <c r="G1614" t="s">
        <v>74</v>
      </c>
      <c r="H1614" s="1">
        <v>45212</v>
      </c>
      <c r="I1614" s="2">
        <v>45212.125</v>
      </c>
      <c r="J1614">
        <v>3</v>
      </c>
      <c r="K1614" t="s">
        <v>24</v>
      </c>
      <c r="L1614">
        <v>0</v>
      </c>
      <c r="M1614">
        <v>4</v>
      </c>
      <c r="N1614" t="s">
        <v>84</v>
      </c>
      <c r="O1614" s="3" t="str">
        <f>TEXT(Ticket_Table[[#This Row],[raised_date]],"YYYY-MM")</f>
        <v>2023-10</v>
      </c>
      <c r="P1614" s="3" t="str">
        <f>IF(Ticket_Table[[#This Row],[resolution_hrs]]&lt;=4,"Fast",IF(Ticket_Table[[#This Row],[resolution_hrs]]&lt;=24,"Normal",IF(Ticket_Table[[#This Row],[resolution_hrs]]&lt;=48,"Slow","Very Slow")))</f>
        <v>Fast</v>
      </c>
      <c r="Q1614" s="3">
        <f>YEAR(Ticket_Table[[#This Row],[raised_date]])</f>
        <v>2023</v>
      </c>
    </row>
    <row r="1615" spans="1:17">
      <c r="A1615" t="s">
        <v>2174</v>
      </c>
      <c r="B1615" t="s">
        <v>273</v>
      </c>
      <c r="C1615" t="s">
        <v>117</v>
      </c>
      <c r="D1615" t="s">
        <v>36</v>
      </c>
      <c r="E1615" t="s">
        <v>44</v>
      </c>
      <c r="F1615" t="s">
        <v>22</v>
      </c>
      <c r="G1615" t="s">
        <v>46</v>
      </c>
      <c r="H1615" s="1">
        <v>44597</v>
      </c>
      <c r="I1615" s="2">
        <v>44599.4541666667</v>
      </c>
      <c r="J1615">
        <v>58.9</v>
      </c>
      <c r="K1615" t="s">
        <v>24</v>
      </c>
      <c r="L1615">
        <v>0</v>
      </c>
      <c r="M1615">
        <v>2</v>
      </c>
      <c r="N1615" t="s">
        <v>171</v>
      </c>
      <c r="O1615" s="3" t="str">
        <f>TEXT(Ticket_Table[[#This Row],[raised_date]],"YYYY-MM")</f>
        <v>2022-02</v>
      </c>
      <c r="P1615" s="3" t="str">
        <f>IF(Ticket_Table[[#This Row],[resolution_hrs]]&lt;=4,"Fast",IF(Ticket_Table[[#This Row],[resolution_hrs]]&lt;=24,"Normal",IF(Ticket_Table[[#This Row],[resolution_hrs]]&lt;=48,"Slow","Very Slow")))</f>
        <v>Very Slow</v>
      </c>
      <c r="Q1615" s="3">
        <f>YEAR(Ticket_Table[[#This Row],[raised_date]])</f>
        <v>2022</v>
      </c>
    </row>
    <row r="1616" spans="1:17">
      <c r="A1616" t="s">
        <v>2175</v>
      </c>
      <c r="B1616" t="s">
        <v>935</v>
      </c>
      <c r="C1616" t="s">
        <v>55</v>
      </c>
      <c r="D1616" t="s">
        <v>20</v>
      </c>
      <c r="E1616" t="s">
        <v>69</v>
      </c>
      <c r="F1616" t="s">
        <v>22</v>
      </c>
      <c r="G1616" t="s">
        <v>31</v>
      </c>
      <c r="H1616" s="1">
        <v>45134</v>
      </c>
      <c r="I1616" s="2">
        <v>45138.3125</v>
      </c>
      <c r="J1616">
        <v>103.5</v>
      </c>
      <c r="K1616" t="s">
        <v>32</v>
      </c>
      <c r="L1616">
        <v>0</v>
      </c>
      <c r="M1616">
        <v>5</v>
      </c>
      <c r="N1616" t="s">
        <v>756</v>
      </c>
      <c r="O1616" s="3" t="str">
        <f>TEXT(Ticket_Table[[#This Row],[raised_date]],"YYYY-MM")</f>
        <v>2023-07</v>
      </c>
      <c r="P1616" s="3" t="str">
        <f>IF(Ticket_Table[[#This Row],[resolution_hrs]]&lt;=4,"Fast",IF(Ticket_Table[[#This Row],[resolution_hrs]]&lt;=24,"Normal",IF(Ticket_Table[[#This Row],[resolution_hrs]]&lt;=48,"Slow","Very Slow")))</f>
        <v>Very Slow</v>
      </c>
      <c r="Q1616" s="3">
        <f>YEAR(Ticket_Table[[#This Row],[raised_date]])</f>
        <v>2023</v>
      </c>
    </row>
    <row r="1617" spans="1:17">
      <c r="A1617" t="s">
        <v>2176</v>
      </c>
      <c r="B1617" t="s">
        <v>527</v>
      </c>
      <c r="C1617" t="s">
        <v>140</v>
      </c>
      <c r="D1617" t="s">
        <v>43</v>
      </c>
      <c r="E1617" t="s">
        <v>166</v>
      </c>
      <c r="F1617" t="s">
        <v>45</v>
      </c>
      <c r="G1617" t="s">
        <v>23</v>
      </c>
      <c r="H1617" s="1">
        <v>44416</v>
      </c>
      <c r="I1617" s="2">
        <v>44416.2291666667</v>
      </c>
      <c r="J1617">
        <v>5.5</v>
      </c>
      <c r="K1617" t="s">
        <v>32</v>
      </c>
      <c r="L1617">
        <v>0</v>
      </c>
      <c r="M1617">
        <v>4</v>
      </c>
      <c r="N1617" t="s">
        <v>683</v>
      </c>
      <c r="O1617" s="3" t="str">
        <f>TEXT(Ticket_Table[[#This Row],[raised_date]],"YYYY-MM")</f>
        <v>2021-08</v>
      </c>
      <c r="P1617" s="3" t="str">
        <f>IF(Ticket_Table[[#This Row],[resolution_hrs]]&lt;=4,"Fast",IF(Ticket_Table[[#This Row],[resolution_hrs]]&lt;=24,"Normal",IF(Ticket_Table[[#This Row],[resolution_hrs]]&lt;=48,"Slow","Very Slow")))</f>
        <v>Normal</v>
      </c>
      <c r="Q1617" s="3">
        <f>YEAR(Ticket_Table[[#This Row],[raised_date]])</f>
        <v>2021</v>
      </c>
    </row>
    <row r="1618" spans="1:17">
      <c r="A1618" t="s">
        <v>2177</v>
      </c>
      <c r="B1618" t="s">
        <v>664</v>
      </c>
      <c r="C1618" t="s">
        <v>287</v>
      </c>
      <c r="D1618" t="s">
        <v>43</v>
      </c>
      <c r="E1618" t="s">
        <v>37</v>
      </c>
      <c r="F1618" t="s">
        <v>22</v>
      </c>
      <c r="G1618" t="s">
        <v>46</v>
      </c>
      <c r="H1618" s="1">
        <v>44474</v>
      </c>
      <c r="I1618" s="2">
        <v>44477.3208333333</v>
      </c>
      <c r="J1618">
        <v>79.7</v>
      </c>
      <c r="K1618" t="s">
        <v>32</v>
      </c>
      <c r="L1618">
        <v>0</v>
      </c>
      <c r="M1618">
        <v>3</v>
      </c>
      <c r="N1618" t="s">
        <v>1037</v>
      </c>
      <c r="O1618" s="3" t="str">
        <f>TEXT(Ticket_Table[[#This Row],[raised_date]],"YYYY-MM")</f>
        <v>2021-10</v>
      </c>
      <c r="P1618" s="3" t="str">
        <f>IF(Ticket_Table[[#This Row],[resolution_hrs]]&lt;=4,"Fast",IF(Ticket_Table[[#This Row],[resolution_hrs]]&lt;=24,"Normal",IF(Ticket_Table[[#This Row],[resolution_hrs]]&lt;=48,"Slow","Very Slow")))</f>
        <v>Very Slow</v>
      </c>
      <c r="Q1618" s="3">
        <f>YEAR(Ticket_Table[[#This Row],[raised_date]])</f>
        <v>2021</v>
      </c>
    </row>
    <row r="1619" spans="1:17">
      <c r="A1619" t="s">
        <v>2178</v>
      </c>
      <c r="B1619" t="s">
        <v>588</v>
      </c>
      <c r="C1619" t="s">
        <v>102</v>
      </c>
      <c r="D1619" t="s">
        <v>20</v>
      </c>
      <c r="E1619" t="s">
        <v>30</v>
      </c>
      <c r="F1619" t="s">
        <v>38</v>
      </c>
      <c r="G1619" t="s">
        <v>23</v>
      </c>
      <c r="H1619" s="1">
        <v>44820</v>
      </c>
      <c r="I1619" s="2">
        <v>44820.9833333333</v>
      </c>
      <c r="J1619">
        <v>23.6</v>
      </c>
      <c r="K1619" t="s">
        <v>24</v>
      </c>
      <c r="L1619">
        <v>1</v>
      </c>
      <c r="M1619">
        <v>4</v>
      </c>
      <c r="N1619" t="s">
        <v>185</v>
      </c>
      <c r="O1619" s="3" t="str">
        <f>TEXT(Ticket_Table[[#This Row],[raised_date]],"YYYY-MM")</f>
        <v>2022-09</v>
      </c>
      <c r="P1619" s="3" t="str">
        <f>IF(Ticket_Table[[#This Row],[resolution_hrs]]&lt;=4,"Fast",IF(Ticket_Table[[#This Row],[resolution_hrs]]&lt;=24,"Normal",IF(Ticket_Table[[#This Row],[resolution_hrs]]&lt;=48,"Slow","Very Slow")))</f>
        <v>Normal</v>
      </c>
      <c r="Q1619" s="3">
        <f>YEAR(Ticket_Table[[#This Row],[raised_date]])</f>
        <v>2022</v>
      </c>
    </row>
    <row r="1620" spans="1:17">
      <c r="A1620" t="s">
        <v>2179</v>
      </c>
      <c r="B1620" t="s">
        <v>614</v>
      </c>
      <c r="C1620" t="s">
        <v>140</v>
      </c>
      <c r="D1620" t="s">
        <v>29</v>
      </c>
      <c r="E1620" t="s">
        <v>51</v>
      </c>
      <c r="F1620" t="s">
        <v>38</v>
      </c>
      <c r="G1620" t="s">
        <v>23</v>
      </c>
      <c r="H1620" s="1">
        <v>44210</v>
      </c>
      <c r="I1620" s="2">
        <v>44211.3041666667</v>
      </c>
      <c r="J1620">
        <v>31.3</v>
      </c>
      <c r="K1620" t="s">
        <v>32</v>
      </c>
      <c r="L1620">
        <v>2</v>
      </c>
      <c r="M1620">
        <v>4</v>
      </c>
      <c r="N1620" t="s">
        <v>906</v>
      </c>
      <c r="O1620" s="3" t="str">
        <f>TEXT(Ticket_Table[[#This Row],[raised_date]],"YYYY-MM")</f>
        <v>2021-01</v>
      </c>
      <c r="P1620" s="3" t="str">
        <f>IF(Ticket_Table[[#This Row],[resolution_hrs]]&lt;=4,"Fast",IF(Ticket_Table[[#This Row],[resolution_hrs]]&lt;=24,"Normal",IF(Ticket_Table[[#This Row],[resolution_hrs]]&lt;=48,"Slow","Very Slow")))</f>
        <v>Slow</v>
      </c>
      <c r="Q1620" s="3">
        <f>YEAR(Ticket_Table[[#This Row],[raised_date]])</f>
        <v>2021</v>
      </c>
    </row>
    <row r="1621" spans="1:17">
      <c r="A1621" t="s">
        <v>2180</v>
      </c>
      <c r="B1621" t="s">
        <v>434</v>
      </c>
      <c r="C1621" t="s">
        <v>140</v>
      </c>
      <c r="D1621" t="s">
        <v>43</v>
      </c>
      <c r="E1621" t="s">
        <v>37</v>
      </c>
      <c r="F1621" t="s">
        <v>38</v>
      </c>
      <c r="G1621" t="s">
        <v>31</v>
      </c>
      <c r="H1621" s="1">
        <v>45007</v>
      </c>
      <c r="I1621" s="2">
        <v>45008.075</v>
      </c>
      <c r="J1621">
        <v>25.8</v>
      </c>
      <c r="K1621" t="s">
        <v>32</v>
      </c>
      <c r="L1621">
        <v>0</v>
      </c>
      <c r="M1621">
        <v>3</v>
      </c>
      <c r="N1621" t="s">
        <v>145</v>
      </c>
      <c r="O1621" s="3" t="str">
        <f>TEXT(Ticket_Table[[#This Row],[raised_date]],"YYYY-MM")</f>
        <v>2023-03</v>
      </c>
      <c r="P1621" s="3" t="str">
        <f>IF(Ticket_Table[[#This Row],[resolution_hrs]]&lt;=4,"Fast",IF(Ticket_Table[[#This Row],[resolution_hrs]]&lt;=24,"Normal",IF(Ticket_Table[[#This Row],[resolution_hrs]]&lt;=48,"Slow","Very Slow")))</f>
        <v>Slow</v>
      </c>
      <c r="Q1621" s="3">
        <f>YEAR(Ticket_Table[[#This Row],[raised_date]])</f>
        <v>2023</v>
      </c>
    </row>
    <row r="1622" spans="1:17">
      <c r="A1622" t="s">
        <v>2181</v>
      </c>
      <c r="B1622" t="s">
        <v>235</v>
      </c>
      <c r="C1622" t="s">
        <v>102</v>
      </c>
      <c r="D1622" t="s">
        <v>90</v>
      </c>
      <c r="E1622" t="s">
        <v>83</v>
      </c>
      <c r="F1622" t="s">
        <v>45</v>
      </c>
      <c r="G1622" t="s">
        <v>23</v>
      </c>
      <c r="H1622" s="1">
        <v>44877</v>
      </c>
      <c r="I1622" s="2">
        <v>44877.1625</v>
      </c>
      <c r="J1622">
        <v>3.9</v>
      </c>
      <c r="K1622" t="s">
        <v>24</v>
      </c>
      <c r="L1622">
        <v>1</v>
      </c>
      <c r="M1622">
        <v>2</v>
      </c>
      <c r="N1622" t="s">
        <v>186</v>
      </c>
      <c r="O1622" s="3" t="str">
        <f>TEXT(Ticket_Table[[#This Row],[raised_date]],"YYYY-MM")</f>
        <v>2022-11</v>
      </c>
      <c r="P1622" s="3" t="str">
        <f>IF(Ticket_Table[[#This Row],[resolution_hrs]]&lt;=4,"Fast",IF(Ticket_Table[[#This Row],[resolution_hrs]]&lt;=24,"Normal",IF(Ticket_Table[[#This Row],[resolution_hrs]]&lt;=48,"Slow","Very Slow")))</f>
        <v>Fast</v>
      </c>
      <c r="Q1622" s="3">
        <f>YEAR(Ticket_Table[[#This Row],[raised_date]])</f>
        <v>2022</v>
      </c>
    </row>
    <row r="1623" spans="1:17">
      <c r="A1623" t="s">
        <v>2182</v>
      </c>
      <c r="B1623" t="s">
        <v>1643</v>
      </c>
      <c r="C1623" t="s">
        <v>213</v>
      </c>
      <c r="D1623" t="s">
        <v>90</v>
      </c>
      <c r="E1623" t="s">
        <v>37</v>
      </c>
      <c r="F1623" t="s">
        <v>45</v>
      </c>
      <c r="G1623" t="s">
        <v>23</v>
      </c>
      <c r="H1623" s="1">
        <v>44975</v>
      </c>
      <c r="I1623" s="2">
        <v>44975.2083333333</v>
      </c>
      <c r="J1623">
        <v>5</v>
      </c>
      <c r="K1623" t="s">
        <v>32</v>
      </c>
      <c r="L1623">
        <v>0</v>
      </c>
      <c r="M1623">
        <v>3</v>
      </c>
      <c r="N1623" t="s">
        <v>491</v>
      </c>
      <c r="O1623" s="3" t="str">
        <f>TEXT(Ticket_Table[[#This Row],[raised_date]],"YYYY-MM")</f>
        <v>2023-02</v>
      </c>
      <c r="P1623" s="3" t="str">
        <f>IF(Ticket_Table[[#This Row],[resolution_hrs]]&lt;=4,"Fast",IF(Ticket_Table[[#This Row],[resolution_hrs]]&lt;=24,"Normal",IF(Ticket_Table[[#This Row],[resolution_hrs]]&lt;=48,"Slow","Very Slow")))</f>
        <v>Normal</v>
      </c>
      <c r="Q1623" s="3">
        <f>YEAR(Ticket_Table[[#This Row],[raised_date]])</f>
        <v>2023</v>
      </c>
    </row>
    <row r="1624" spans="1:17">
      <c r="A1624" t="s">
        <v>2183</v>
      </c>
      <c r="B1624" t="s">
        <v>1533</v>
      </c>
      <c r="C1624" t="s">
        <v>50</v>
      </c>
      <c r="D1624" t="s">
        <v>29</v>
      </c>
      <c r="E1624" t="s">
        <v>37</v>
      </c>
      <c r="F1624" t="s">
        <v>22</v>
      </c>
      <c r="G1624" t="s">
        <v>23</v>
      </c>
      <c r="H1624" s="1">
        <v>44871</v>
      </c>
      <c r="I1624" s="2">
        <v>44874.1958333333</v>
      </c>
      <c r="J1624">
        <v>76.7</v>
      </c>
      <c r="K1624" t="s">
        <v>32</v>
      </c>
      <c r="L1624">
        <v>0</v>
      </c>
      <c r="M1624">
        <v>2</v>
      </c>
      <c r="N1624" t="s">
        <v>335</v>
      </c>
      <c r="O1624" s="3" t="str">
        <f>TEXT(Ticket_Table[[#This Row],[raised_date]],"YYYY-MM")</f>
        <v>2022-11</v>
      </c>
      <c r="P1624" s="3" t="str">
        <f>IF(Ticket_Table[[#This Row],[resolution_hrs]]&lt;=4,"Fast",IF(Ticket_Table[[#This Row],[resolution_hrs]]&lt;=24,"Normal",IF(Ticket_Table[[#This Row],[resolution_hrs]]&lt;=48,"Slow","Very Slow")))</f>
        <v>Very Slow</v>
      </c>
      <c r="Q1624" s="3">
        <f>YEAR(Ticket_Table[[#This Row],[raised_date]])</f>
        <v>2022</v>
      </c>
    </row>
    <row r="1625" spans="1:17">
      <c r="A1625" t="s">
        <v>2184</v>
      </c>
      <c r="B1625" t="s">
        <v>671</v>
      </c>
      <c r="C1625" t="s">
        <v>287</v>
      </c>
      <c r="D1625" t="s">
        <v>20</v>
      </c>
      <c r="E1625" t="s">
        <v>21</v>
      </c>
      <c r="F1625" t="s">
        <v>38</v>
      </c>
      <c r="G1625" t="s">
        <v>74</v>
      </c>
      <c r="H1625" s="1">
        <v>45098</v>
      </c>
      <c r="I1625" s="2">
        <v>45098.8583333333</v>
      </c>
      <c r="J1625">
        <v>20.6</v>
      </c>
      <c r="K1625" t="s">
        <v>24</v>
      </c>
      <c r="L1625">
        <v>0</v>
      </c>
      <c r="M1625">
        <v>4</v>
      </c>
      <c r="N1625" t="s">
        <v>33</v>
      </c>
      <c r="O1625" s="3" t="str">
        <f>TEXT(Ticket_Table[[#This Row],[raised_date]],"YYYY-MM")</f>
        <v>2023-06</v>
      </c>
      <c r="P1625" s="3" t="str">
        <f>IF(Ticket_Table[[#This Row],[resolution_hrs]]&lt;=4,"Fast",IF(Ticket_Table[[#This Row],[resolution_hrs]]&lt;=24,"Normal",IF(Ticket_Table[[#This Row],[resolution_hrs]]&lt;=48,"Slow","Very Slow")))</f>
        <v>Normal</v>
      </c>
      <c r="Q1625" s="3">
        <f>YEAR(Ticket_Table[[#This Row],[raised_date]])</f>
        <v>2023</v>
      </c>
    </row>
    <row r="1626" spans="1:17">
      <c r="A1626" t="s">
        <v>2185</v>
      </c>
      <c r="B1626" t="s">
        <v>176</v>
      </c>
      <c r="C1626" t="s">
        <v>28</v>
      </c>
      <c r="D1626" t="s">
        <v>36</v>
      </c>
      <c r="E1626" t="s">
        <v>166</v>
      </c>
      <c r="F1626" t="s">
        <v>70</v>
      </c>
      <c r="G1626" t="s">
        <v>23</v>
      </c>
      <c r="H1626" s="1">
        <v>44882</v>
      </c>
      <c r="I1626" s="2">
        <v>44882.4083333333</v>
      </c>
      <c r="J1626">
        <v>9.8</v>
      </c>
      <c r="K1626" t="s">
        <v>24</v>
      </c>
      <c r="L1626">
        <v>0</v>
      </c>
      <c r="M1626">
        <v>4</v>
      </c>
      <c r="N1626" t="s">
        <v>315</v>
      </c>
      <c r="O1626" s="3" t="str">
        <f>TEXT(Ticket_Table[[#This Row],[raised_date]],"YYYY-MM")</f>
        <v>2022-11</v>
      </c>
      <c r="P1626" s="3" t="str">
        <f>IF(Ticket_Table[[#This Row],[resolution_hrs]]&lt;=4,"Fast",IF(Ticket_Table[[#This Row],[resolution_hrs]]&lt;=24,"Normal",IF(Ticket_Table[[#This Row],[resolution_hrs]]&lt;=48,"Slow","Very Slow")))</f>
        <v>Normal</v>
      </c>
      <c r="Q1626" s="3">
        <f>YEAR(Ticket_Table[[#This Row],[raised_date]])</f>
        <v>2022</v>
      </c>
    </row>
    <row r="1627" spans="1:17">
      <c r="A1627" t="s">
        <v>2186</v>
      </c>
      <c r="B1627" t="s">
        <v>566</v>
      </c>
      <c r="C1627" t="s">
        <v>42</v>
      </c>
      <c r="D1627" t="s">
        <v>29</v>
      </c>
      <c r="E1627" t="s">
        <v>51</v>
      </c>
      <c r="F1627" t="s">
        <v>70</v>
      </c>
      <c r="G1627" t="s">
        <v>23</v>
      </c>
      <c r="H1627" s="1">
        <v>45078</v>
      </c>
      <c r="I1627" s="2">
        <v>45079.6958333333</v>
      </c>
      <c r="J1627">
        <v>40.7</v>
      </c>
      <c r="K1627" t="s">
        <v>24</v>
      </c>
      <c r="L1627">
        <v>0</v>
      </c>
      <c r="M1627">
        <v>4</v>
      </c>
      <c r="N1627" t="s">
        <v>350</v>
      </c>
      <c r="O1627" s="3" t="str">
        <f>TEXT(Ticket_Table[[#This Row],[raised_date]],"YYYY-MM")</f>
        <v>2023-06</v>
      </c>
      <c r="P1627" s="3" t="str">
        <f>IF(Ticket_Table[[#This Row],[resolution_hrs]]&lt;=4,"Fast",IF(Ticket_Table[[#This Row],[resolution_hrs]]&lt;=24,"Normal",IF(Ticket_Table[[#This Row],[resolution_hrs]]&lt;=48,"Slow","Very Slow")))</f>
        <v>Slow</v>
      </c>
      <c r="Q1627" s="3">
        <f>YEAR(Ticket_Table[[#This Row],[raised_date]])</f>
        <v>2023</v>
      </c>
    </row>
    <row r="1628" spans="1:17">
      <c r="A1628" t="s">
        <v>2187</v>
      </c>
      <c r="B1628" t="s">
        <v>1382</v>
      </c>
      <c r="C1628" t="s">
        <v>55</v>
      </c>
      <c r="D1628" t="s">
        <v>36</v>
      </c>
      <c r="E1628" t="s">
        <v>21</v>
      </c>
      <c r="F1628" t="s">
        <v>22</v>
      </c>
      <c r="G1628" t="s">
        <v>23</v>
      </c>
      <c r="H1628" s="1">
        <v>44475</v>
      </c>
      <c r="I1628" s="2">
        <v>44475.9</v>
      </c>
      <c r="J1628">
        <v>21.6</v>
      </c>
      <c r="K1628" t="s">
        <v>24</v>
      </c>
      <c r="L1628">
        <v>0</v>
      </c>
      <c r="M1628">
        <v>4</v>
      </c>
      <c r="N1628" t="s">
        <v>525</v>
      </c>
      <c r="O1628" s="3" t="str">
        <f>TEXT(Ticket_Table[[#This Row],[raised_date]],"YYYY-MM")</f>
        <v>2021-10</v>
      </c>
      <c r="P1628" s="3" t="str">
        <f>IF(Ticket_Table[[#This Row],[resolution_hrs]]&lt;=4,"Fast",IF(Ticket_Table[[#This Row],[resolution_hrs]]&lt;=24,"Normal",IF(Ticket_Table[[#This Row],[resolution_hrs]]&lt;=48,"Slow","Very Slow")))</f>
        <v>Normal</v>
      </c>
      <c r="Q1628" s="3">
        <f>YEAR(Ticket_Table[[#This Row],[raised_date]])</f>
        <v>2021</v>
      </c>
    </row>
    <row r="1629" spans="1:17">
      <c r="A1629" t="s">
        <v>2188</v>
      </c>
      <c r="B1629" t="s">
        <v>129</v>
      </c>
      <c r="C1629" t="s">
        <v>117</v>
      </c>
      <c r="D1629" t="s">
        <v>29</v>
      </c>
      <c r="E1629" t="s">
        <v>166</v>
      </c>
      <c r="F1629" t="s">
        <v>38</v>
      </c>
      <c r="G1629" t="s">
        <v>31</v>
      </c>
      <c r="H1629" s="1">
        <v>44812</v>
      </c>
      <c r="I1629" s="2">
        <v>44812.9458333333</v>
      </c>
      <c r="J1629">
        <v>22.7</v>
      </c>
      <c r="K1629" t="s">
        <v>24</v>
      </c>
      <c r="L1629">
        <v>0</v>
      </c>
      <c r="M1629">
        <v>5</v>
      </c>
      <c r="N1629" t="s">
        <v>428</v>
      </c>
      <c r="O1629" s="3" t="str">
        <f>TEXT(Ticket_Table[[#This Row],[raised_date]],"YYYY-MM")</f>
        <v>2022-09</v>
      </c>
      <c r="P1629" s="3" t="str">
        <f>IF(Ticket_Table[[#This Row],[resolution_hrs]]&lt;=4,"Fast",IF(Ticket_Table[[#This Row],[resolution_hrs]]&lt;=24,"Normal",IF(Ticket_Table[[#This Row],[resolution_hrs]]&lt;=48,"Slow","Very Slow")))</f>
        <v>Normal</v>
      </c>
      <c r="Q1629" s="3">
        <f>YEAR(Ticket_Table[[#This Row],[raised_date]])</f>
        <v>2022</v>
      </c>
    </row>
    <row r="1630" spans="1:17">
      <c r="A1630" t="s">
        <v>2189</v>
      </c>
      <c r="B1630" t="s">
        <v>353</v>
      </c>
      <c r="C1630" t="s">
        <v>68</v>
      </c>
      <c r="D1630" t="s">
        <v>90</v>
      </c>
      <c r="E1630" t="s">
        <v>106</v>
      </c>
      <c r="F1630" t="s">
        <v>45</v>
      </c>
      <c r="G1630" t="s">
        <v>31</v>
      </c>
      <c r="H1630" s="1">
        <v>44853</v>
      </c>
      <c r="I1630" s="2">
        <v>44853.1625</v>
      </c>
      <c r="J1630">
        <v>3.9</v>
      </c>
      <c r="K1630" t="s">
        <v>24</v>
      </c>
      <c r="L1630">
        <v>0</v>
      </c>
      <c r="M1630">
        <v>4</v>
      </c>
      <c r="N1630" t="s">
        <v>389</v>
      </c>
      <c r="O1630" s="3" t="str">
        <f>TEXT(Ticket_Table[[#This Row],[raised_date]],"YYYY-MM")</f>
        <v>2022-10</v>
      </c>
      <c r="P1630" s="3" t="str">
        <f>IF(Ticket_Table[[#This Row],[resolution_hrs]]&lt;=4,"Fast",IF(Ticket_Table[[#This Row],[resolution_hrs]]&lt;=24,"Normal",IF(Ticket_Table[[#This Row],[resolution_hrs]]&lt;=48,"Slow","Very Slow")))</f>
        <v>Fast</v>
      </c>
      <c r="Q1630" s="3">
        <f>YEAR(Ticket_Table[[#This Row],[raised_date]])</f>
        <v>2022</v>
      </c>
    </row>
    <row r="1631" spans="1:17">
      <c r="A1631" t="s">
        <v>2190</v>
      </c>
      <c r="B1631" t="s">
        <v>1154</v>
      </c>
      <c r="C1631" t="s">
        <v>28</v>
      </c>
      <c r="D1631" t="s">
        <v>20</v>
      </c>
      <c r="E1631" t="s">
        <v>51</v>
      </c>
      <c r="F1631" t="s">
        <v>45</v>
      </c>
      <c r="G1631" t="s">
        <v>23</v>
      </c>
      <c r="H1631" s="1">
        <v>44608</v>
      </c>
      <c r="I1631" s="2">
        <v>44608.0541666667</v>
      </c>
      <c r="J1631">
        <v>1.3</v>
      </c>
      <c r="K1631" t="s">
        <v>24</v>
      </c>
      <c r="L1631">
        <v>0</v>
      </c>
      <c r="M1631">
        <v>4</v>
      </c>
      <c r="N1631" t="s">
        <v>805</v>
      </c>
      <c r="O1631" s="3" t="str">
        <f>TEXT(Ticket_Table[[#This Row],[raised_date]],"YYYY-MM")</f>
        <v>2022-02</v>
      </c>
      <c r="P1631" s="3" t="str">
        <f>IF(Ticket_Table[[#This Row],[resolution_hrs]]&lt;=4,"Fast",IF(Ticket_Table[[#This Row],[resolution_hrs]]&lt;=24,"Normal",IF(Ticket_Table[[#This Row],[resolution_hrs]]&lt;=48,"Slow","Very Slow")))</f>
        <v>Fast</v>
      </c>
      <c r="Q1631" s="3">
        <f>YEAR(Ticket_Table[[#This Row],[raised_date]])</f>
        <v>2022</v>
      </c>
    </row>
    <row r="1632" spans="1:17">
      <c r="A1632" t="s">
        <v>2191</v>
      </c>
      <c r="B1632" t="s">
        <v>671</v>
      </c>
      <c r="C1632" t="s">
        <v>55</v>
      </c>
      <c r="D1632" t="s">
        <v>90</v>
      </c>
      <c r="E1632" t="s">
        <v>166</v>
      </c>
      <c r="F1632" t="s">
        <v>70</v>
      </c>
      <c r="G1632" t="s">
        <v>23</v>
      </c>
      <c r="H1632" s="1">
        <v>45178</v>
      </c>
      <c r="I1632" s="2">
        <v>45179.7291666667</v>
      </c>
      <c r="J1632">
        <v>41.5</v>
      </c>
      <c r="K1632" t="s">
        <v>24</v>
      </c>
      <c r="L1632">
        <v>0</v>
      </c>
      <c r="M1632">
        <v>3</v>
      </c>
      <c r="N1632" t="s">
        <v>701</v>
      </c>
      <c r="O1632" s="3" t="str">
        <f>TEXT(Ticket_Table[[#This Row],[raised_date]],"YYYY-MM")</f>
        <v>2023-09</v>
      </c>
      <c r="P1632" s="3" t="str">
        <f>IF(Ticket_Table[[#This Row],[resolution_hrs]]&lt;=4,"Fast",IF(Ticket_Table[[#This Row],[resolution_hrs]]&lt;=24,"Normal",IF(Ticket_Table[[#This Row],[resolution_hrs]]&lt;=48,"Slow","Very Slow")))</f>
        <v>Slow</v>
      </c>
      <c r="Q1632" s="3">
        <f>YEAR(Ticket_Table[[#This Row],[raised_date]])</f>
        <v>2023</v>
      </c>
    </row>
    <row r="1633" spans="1:17">
      <c r="A1633" t="s">
        <v>2192</v>
      </c>
      <c r="B1633" t="s">
        <v>985</v>
      </c>
      <c r="C1633" t="s">
        <v>68</v>
      </c>
      <c r="D1633" t="s">
        <v>20</v>
      </c>
      <c r="E1633" t="s">
        <v>44</v>
      </c>
      <c r="F1633" t="s">
        <v>22</v>
      </c>
      <c r="G1633" t="s">
        <v>23</v>
      </c>
      <c r="H1633" s="1">
        <v>44840</v>
      </c>
      <c r="I1633" s="2">
        <v>44840.8875</v>
      </c>
      <c r="J1633">
        <v>21.3</v>
      </c>
      <c r="K1633" t="s">
        <v>24</v>
      </c>
      <c r="L1633">
        <v>1</v>
      </c>
      <c r="M1633">
        <v>1</v>
      </c>
      <c r="N1633" t="s">
        <v>89</v>
      </c>
      <c r="O1633" s="3" t="str">
        <f>TEXT(Ticket_Table[[#This Row],[raised_date]],"YYYY-MM")</f>
        <v>2022-10</v>
      </c>
      <c r="P1633" s="3" t="str">
        <f>IF(Ticket_Table[[#This Row],[resolution_hrs]]&lt;=4,"Fast",IF(Ticket_Table[[#This Row],[resolution_hrs]]&lt;=24,"Normal",IF(Ticket_Table[[#This Row],[resolution_hrs]]&lt;=48,"Slow","Very Slow")))</f>
        <v>Normal</v>
      </c>
      <c r="Q1633" s="3">
        <f>YEAR(Ticket_Table[[#This Row],[raised_date]])</f>
        <v>2022</v>
      </c>
    </row>
    <row r="1634" spans="1:17">
      <c r="A1634" t="s">
        <v>2193</v>
      </c>
      <c r="B1634" t="s">
        <v>439</v>
      </c>
      <c r="C1634" t="s">
        <v>261</v>
      </c>
      <c r="D1634" t="s">
        <v>36</v>
      </c>
      <c r="E1634" t="s">
        <v>21</v>
      </c>
      <c r="F1634" t="s">
        <v>70</v>
      </c>
      <c r="G1634" t="s">
        <v>31</v>
      </c>
      <c r="H1634" s="1">
        <v>44560</v>
      </c>
      <c r="I1634" s="2">
        <v>44561.45</v>
      </c>
      <c r="J1634">
        <v>34.8</v>
      </c>
      <c r="K1634" t="s">
        <v>24</v>
      </c>
      <c r="L1634">
        <v>0</v>
      </c>
      <c r="M1634">
        <v>2</v>
      </c>
      <c r="N1634" t="s">
        <v>1003</v>
      </c>
      <c r="O1634" s="3" t="str">
        <f>TEXT(Ticket_Table[[#This Row],[raised_date]],"YYYY-MM")</f>
        <v>2021-12</v>
      </c>
      <c r="P1634" s="3" t="str">
        <f>IF(Ticket_Table[[#This Row],[resolution_hrs]]&lt;=4,"Fast",IF(Ticket_Table[[#This Row],[resolution_hrs]]&lt;=24,"Normal",IF(Ticket_Table[[#This Row],[resolution_hrs]]&lt;=48,"Slow","Very Slow")))</f>
        <v>Slow</v>
      </c>
      <c r="Q1634" s="3">
        <f>YEAR(Ticket_Table[[#This Row],[raised_date]])</f>
        <v>2021</v>
      </c>
    </row>
    <row r="1635" spans="1:17">
      <c r="A1635" t="s">
        <v>2194</v>
      </c>
      <c r="B1635" t="s">
        <v>1241</v>
      </c>
      <c r="C1635" t="s">
        <v>55</v>
      </c>
      <c r="D1635" t="s">
        <v>29</v>
      </c>
      <c r="E1635" t="s">
        <v>106</v>
      </c>
      <c r="F1635" t="s">
        <v>38</v>
      </c>
      <c r="G1635" t="s">
        <v>74</v>
      </c>
      <c r="H1635" s="1">
        <v>45012</v>
      </c>
      <c r="I1635" s="2">
        <v>45013.35</v>
      </c>
      <c r="J1635">
        <v>32.4</v>
      </c>
      <c r="K1635" t="s">
        <v>32</v>
      </c>
      <c r="L1635">
        <v>0</v>
      </c>
      <c r="M1635">
        <v>4</v>
      </c>
      <c r="N1635" t="s">
        <v>47</v>
      </c>
      <c r="O1635" s="3" t="str">
        <f>TEXT(Ticket_Table[[#This Row],[raised_date]],"YYYY-MM")</f>
        <v>2023-03</v>
      </c>
      <c r="P1635" s="3" t="str">
        <f>IF(Ticket_Table[[#This Row],[resolution_hrs]]&lt;=4,"Fast",IF(Ticket_Table[[#This Row],[resolution_hrs]]&lt;=24,"Normal",IF(Ticket_Table[[#This Row],[resolution_hrs]]&lt;=48,"Slow","Very Slow")))</f>
        <v>Slow</v>
      </c>
      <c r="Q1635" s="3">
        <f>YEAR(Ticket_Table[[#This Row],[raised_date]])</f>
        <v>2023</v>
      </c>
    </row>
    <row r="1636" spans="1:17">
      <c r="A1636" t="s">
        <v>2195</v>
      </c>
      <c r="B1636" t="s">
        <v>227</v>
      </c>
      <c r="C1636" t="s">
        <v>19</v>
      </c>
      <c r="D1636" t="s">
        <v>43</v>
      </c>
      <c r="E1636" t="s">
        <v>51</v>
      </c>
      <c r="F1636" t="s">
        <v>38</v>
      </c>
      <c r="G1636" t="s">
        <v>31</v>
      </c>
      <c r="H1636" s="1">
        <v>44850</v>
      </c>
      <c r="I1636" s="2">
        <v>44850.2166666667</v>
      </c>
      <c r="J1636">
        <v>5.2</v>
      </c>
      <c r="K1636" t="s">
        <v>24</v>
      </c>
      <c r="L1636">
        <v>0</v>
      </c>
      <c r="M1636">
        <v>3</v>
      </c>
      <c r="N1636" t="s">
        <v>387</v>
      </c>
      <c r="O1636" s="3" t="str">
        <f>TEXT(Ticket_Table[[#This Row],[raised_date]],"YYYY-MM")</f>
        <v>2022-10</v>
      </c>
      <c r="P1636" s="3" t="str">
        <f>IF(Ticket_Table[[#This Row],[resolution_hrs]]&lt;=4,"Fast",IF(Ticket_Table[[#This Row],[resolution_hrs]]&lt;=24,"Normal",IF(Ticket_Table[[#This Row],[resolution_hrs]]&lt;=48,"Slow","Very Slow")))</f>
        <v>Normal</v>
      </c>
      <c r="Q1636" s="3">
        <f>YEAR(Ticket_Table[[#This Row],[raised_date]])</f>
        <v>2022</v>
      </c>
    </row>
    <row r="1637" spans="1:17">
      <c r="A1637" t="s">
        <v>2196</v>
      </c>
      <c r="B1637" t="s">
        <v>273</v>
      </c>
      <c r="C1637" t="s">
        <v>28</v>
      </c>
      <c r="D1637" t="s">
        <v>43</v>
      </c>
      <c r="E1637" t="s">
        <v>83</v>
      </c>
      <c r="F1637" t="s">
        <v>70</v>
      </c>
      <c r="G1637" t="s">
        <v>23</v>
      </c>
      <c r="H1637" s="1">
        <v>44793</v>
      </c>
      <c r="I1637" s="2">
        <v>44795.8125</v>
      </c>
      <c r="J1637">
        <v>67.5</v>
      </c>
      <c r="K1637" t="s">
        <v>32</v>
      </c>
      <c r="L1637">
        <v>1</v>
      </c>
      <c r="M1637">
        <v>3</v>
      </c>
      <c r="N1637" t="s">
        <v>1078</v>
      </c>
      <c r="O1637" s="3" t="str">
        <f>TEXT(Ticket_Table[[#This Row],[raised_date]],"YYYY-MM")</f>
        <v>2022-08</v>
      </c>
      <c r="P1637" s="3" t="str">
        <f>IF(Ticket_Table[[#This Row],[resolution_hrs]]&lt;=4,"Fast",IF(Ticket_Table[[#This Row],[resolution_hrs]]&lt;=24,"Normal",IF(Ticket_Table[[#This Row],[resolution_hrs]]&lt;=48,"Slow","Very Slow")))</f>
        <v>Very Slow</v>
      </c>
      <c r="Q1637" s="3">
        <f>YEAR(Ticket_Table[[#This Row],[raised_date]])</f>
        <v>2022</v>
      </c>
    </row>
    <row r="1638" spans="1:17">
      <c r="A1638" t="s">
        <v>2197</v>
      </c>
      <c r="B1638" t="s">
        <v>510</v>
      </c>
      <c r="C1638" t="s">
        <v>64</v>
      </c>
      <c r="D1638" t="s">
        <v>20</v>
      </c>
      <c r="E1638" t="s">
        <v>30</v>
      </c>
      <c r="F1638" t="s">
        <v>22</v>
      </c>
      <c r="G1638" t="s">
        <v>23</v>
      </c>
      <c r="H1638" s="1">
        <v>45202</v>
      </c>
      <c r="I1638" s="2">
        <v>45202.8416666667</v>
      </c>
      <c r="J1638">
        <v>20.2</v>
      </c>
      <c r="K1638" t="s">
        <v>24</v>
      </c>
      <c r="L1638">
        <v>0</v>
      </c>
      <c r="M1638">
        <v>5</v>
      </c>
      <c r="N1638" t="s">
        <v>241</v>
      </c>
      <c r="O1638" s="3" t="str">
        <f>TEXT(Ticket_Table[[#This Row],[raised_date]],"YYYY-MM")</f>
        <v>2023-10</v>
      </c>
      <c r="P1638" s="3" t="str">
        <f>IF(Ticket_Table[[#This Row],[resolution_hrs]]&lt;=4,"Fast",IF(Ticket_Table[[#This Row],[resolution_hrs]]&lt;=24,"Normal",IF(Ticket_Table[[#This Row],[resolution_hrs]]&lt;=48,"Slow","Very Slow")))</f>
        <v>Normal</v>
      </c>
      <c r="Q1638" s="3">
        <f>YEAR(Ticket_Table[[#This Row],[raised_date]])</f>
        <v>2023</v>
      </c>
    </row>
    <row r="1639" spans="1:17">
      <c r="A1639" t="s">
        <v>2198</v>
      </c>
      <c r="B1639" t="s">
        <v>476</v>
      </c>
      <c r="C1639" t="s">
        <v>287</v>
      </c>
      <c r="D1639" t="s">
        <v>20</v>
      </c>
      <c r="E1639" t="s">
        <v>83</v>
      </c>
      <c r="F1639" t="s">
        <v>70</v>
      </c>
      <c r="G1639" t="s">
        <v>31</v>
      </c>
      <c r="H1639" s="1">
        <v>44693</v>
      </c>
      <c r="I1639" s="2">
        <v>44693.0958333333</v>
      </c>
      <c r="J1639">
        <v>2.3</v>
      </c>
      <c r="K1639" t="s">
        <v>24</v>
      </c>
      <c r="L1639">
        <v>1</v>
      </c>
      <c r="M1639">
        <v>4</v>
      </c>
      <c r="N1639" t="s">
        <v>794</v>
      </c>
      <c r="O1639" s="3" t="str">
        <f>TEXT(Ticket_Table[[#This Row],[raised_date]],"YYYY-MM")</f>
        <v>2022-05</v>
      </c>
      <c r="P1639" s="3" t="str">
        <f>IF(Ticket_Table[[#This Row],[resolution_hrs]]&lt;=4,"Fast",IF(Ticket_Table[[#This Row],[resolution_hrs]]&lt;=24,"Normal",IF(Ticket_Table[[#This Row],[resolution_hrs]]&lt;=48,"Slow","Very Slow")))</f>
        <v>Fast</v>
      </c>
      <c r="Q1639" s="3">
        <f>YEAR(Ticket_Table[[#This Row],[raised_date]])</f>
        <v>2022</v>
      </c>
    </row>
    <row r="1640" spans="1:17">
      <c r="A1640" t="s">
        <v>2199</v>
      </c>
      <c r="B1640" t="s">
        <v>643</v>
      </c>
      <c r="C1640" t="s">
        <v>287</v>
      </c>
      <c r="D1640" t="s">
        <v>90</v>
      </c>
      <c r="E1640" t="s">
        <v>44</v>
      </c>
      <c r="F1640" t="s">
        <v>70</v>
      </c>
      <c r="G1640" t="s">
        <v>74</v>
      </c>
      <c r="H1640" s="1">
        <v>44864</v>
      </c>
      <c r="I1640" s="2">
        <v>44866.3708333333</v>
      </c>
      <c r="J1640">
        <v>56.9</v>
      </c>
      <c r="K1640" t="s">
        <v>32</v>
      </c>
      <c r="L1640">
        <v>0</v>
      </c>
      <c r="M1640">
        <v>5</v>
      </c>
      <c r="N1640" t="s">
        <v>1301</v>
      </c>
      <c r="O1640" s="3" t="str">
        <f>TEXT(Ticket_Table[[#This Row],[raised_date]],"YYYY-MM")</f>
        <v>2022-10</v>
      </c>
      <c r="P1640" s="3" t="str">
        <f>IF(Ticket_Table[[#This Row],[resolution_hrs]]&lt;=4,"Fast",IF(Ticket_Table[[#This Row],[resolution_hrs]]&lt;=24,"Normal",IF(Ticket_Table[[#This Row],[resolution_hrs]]&lt;=48,"Slow","Very Slow")))</f>
        <v>Very Slow</v>
      </c>
      <c r="Q1640" s="3">
        <f>YEAR(Ticket_Table[[#This Row],[raised_date]])</f>
        <v>2022</v>
      </c>
    </row>
    <row r="1641" spans="1:17">
      <c r="A1641" t="s">
        <v>2200</v>
      </c>
      <c r="B1641" t="s">
        <v>826</v>
      </c>
      <c r="C1641" t="s">
        <v>55</v>
      </c>
      <c r="D1641" t="s">
        <v>43</v>
      </c>
      <c r="E1641" t="s">
        <v>44</v>
      </c>
      <c r="F1641" t="s">
        <v>45</v>
      </c>
      <c r="G1641" t="s">
        <v>23</v>
      </c>
      <c r="H1641" s="1">
        <v>44967</v>
      </c>
      <c r="I1641" s="2">
        <v>44967.0916666667</v>
      </c>
      <c r="J1641">
        <v>2.2</v>
      </c>
      <c r="K1641" t="s">
        <v>24</v>
      </c>
      <c r="L1641">
        <v>2</v>
      </c>
      <c r="M1641">
        <v>5</v>
      </c>
      <c r="N1641" t="s">
        <v>214</v>
      </c>
      <c r="O1641" s="3" t="str">
        <f>TEXT(Ticket_Table[[#This Row],[raised_date]],"YYYY-MM")</f>
        <v>2023-02</v>
      </c>
      <c r="P1641" s="3" t="str">
        <f>IF(Ticket_Table[[#This Row],[resolution_hrs]]&lt;=4,"Fast",IF(Ticket_Table[[#This Row],[resolution_hrs]]&lt;=24,"Normal",IF(Ticket_Table[[#This Row],[resolution_hrs]]&lt;=48,"Slow","Very Slow")))</f>
        <v>Fast</v>
      </c>
      <c r="Q1641" s="3">
        <f>YEAR(Ticket_Table[[#This Row],[raised_date]])</f>
        <v>2023</v>
      </c>
    </row>
    <row r="1642" spans="1:17">
      <c r="A1642" t="s">
        <v>2201</v>
      </c>
      <c r="B1642" t="s">
        <v>970</v>
      </c>
      <c r="C1642" t="s">
        <v>133</v>
      </c>
      <c r="D1642" t="s">
        <v>90</v>
      </c>
      <c r="E1642" t="s">
        <v>69</v>
      </c>
      <c r="F1642" t="s">
        <v>70</v>
      </c>
      <c r="G1642" t="s">
        <v>23</v>
      </c>
      <c r="H1642" s="1">
        <v>44771</v>
      </c>
      <c r="I1642" s="2">
        <v>44773.1291666667</v>
      </c>
      <c r="J1642">
        <v>51.1</v>
      </c>
      <c r="K1642" t="s">
        <v>32</v>
      </c>
      <c r="L1642">
        <v>0</v>
      </c>
      <c r="M1642">
        <v>2</v>
      </c>
      <c r="N1642" t="s">
        <v>525</v>
      </c>
      <c r="O1642" s="3" t="str">
        <f>TEXT(Ticket_Table[[#This Row],[raised_date]],"YYYY-MM")</f>
        <v>2022-07</v>
      </c>
      <c r="P1642" s="3" t="str">
        <f>IF(Ticket_Table[[#This Row],[resolution_hrs]]&lt;=4,"Fast",IF(Ticket_Table[[#This Row],[resolution_hrs]]&lt;=24,"Normal",IF(Ticket_Table[[#This Row],[resolution_hrs]]&lt;=48,"Slow","Very Slow")))</f>
        <v>Very Slow</v>
      </c>
      <c r="Q1642" s="3">
        <f>YEAR(Ticket_Table[[#This Row],[raised_date]])</f>
        <v>2022</v>
      </c>
    </row>
    <row r="1643" spans="1:17">
      <c r="A1643" t="s">
        <v>2202</v>
      </c>
      <c r="B1643" t="s">
        <v>210</v>
      </c>
      <c r="C1643" t="s">
        <v>19</v>
      </c>
      <c r="D1643" t="s">
        <v>36</v>
      </c>
      <c r="E1643" t="s">
        <v>69</v>
      </c>
      <c r="F1643" t="s">
        <v>70</v>
      </c>
      <c r="G1643" t="s">
        <v>46</v>
      </c>
      <c r="H1643" s="1">
        <v>45001</v>
      </c>
      <c r="I1643" s="2">
        <v>45003.6666666667</v>
      </c>
      <c r="J1643">
        <v>64</v>
      </c>
      <c r="K1643" t="s">
        <v>32</v>
      </c>
      <c r="L1643">
        <v>0</v>
      </c>
      <c r="M1643">
        <v>5</v>
      </c>
      <c r="N1643" t="s">
        <v>566</v>
      </c>
      <c r="O1643" s="3" t="str">
        <f>TEXT(Ticket_Table[[#This Row],[raised_date]],"YYYY-MM")</f>
        <v>2023-03</v>
      </c>
      <c r="P1643" s="3" t="str">
        <f>IF(Ticket_Table[[#This Row],[resolution_hrs]]&lt;=4,"Fast",IF(Ticket_Table[[#This Row],[resolution_hrs]]&lt;=24,"Normal",IF(Ticket_Table[[#This Row],[resolution_hrs]]&lt;=48,"Slow","Very Slow")))</f>
        <v>Very Slow</v>
      </c>
      <c r="Q1643" s="3">
        <f>YEAR(Ticket_Table[[#This Row],[raised_date]])</f>
        <v>2023</v>
      </c>
    </row>
    <row r="1644" spans="1:17">
      <c r="A1644" t="s">
        <v>2203</v>
      </c>
      <c r="B1644" t="s">
        <v>432</v>
      </c>
      <c r="C1644" t="s">
        <v>261</v>
      </c>
      <c r="D1644" t="s">
        <v>43</v>
      </c>
      <c r="E1644" t="s">
        <v>83</v>
      </c>
      <c r="F1644" t="s">
        <v>70</v>
      </c>
      <c r="G1644" t="s">
        <v>31</v>
      </c>
      <c r="H1644" s="1">
        <v>44944</v>
      </c>
      <c r="I1644" s="2">
        <v>44945.3541666667</v>
      </c>
      <c r="J1644">
        <v>32.5</v>
      </c>
      <c r="K1644" t="s">
        <v>24</v>
      </c>
      <c r="L1644">
        <v>0</v>
      </c>
      <c r="M1644">
        <v>2</v>
      </c>
      <c r="N1644" t="s">
        <v>2204</v>
      </c>
      <c r="O1644" s="3" t="str">
        <f>TEXT(Ticket_Table[[#This Row],[raised_date]],"YYYY-MM")</f>
        <v>2023-01</v>
      </c>
      <c r="P1644" s="3" t="str">
        <f>IF(Ticket_Table[[#This Row],[resolution_hrs]]&lt;=4,"Fast",IF(Ticket_Table[[#This Row],[resolution_hrs]]&lt;=24,"Normal",IF(Ticket_Table[[#This Row],[resolution_hrs]]&lt;=48,"Slow","Very Slow")))</f>
        <v>Slow</v>
      </c>
      <c r="Q1644" s="3">
        <f>YEAR(Ticket_Table[[#This Row],[raised_date]])</f>
        <v>2023</v>
      </c>
    </row>
    <row r="1645" spans="1:17">
      <c r="A1645" t="s">
        <v>2205</v>
      </c>
      <c r="B1645" t="s">
        <v>452</v>
      </c>
      <c r="C1645" t="s">
        <v>50</v>
      </c>
      <c r="D1645" t="s">
        <v>36</v>
      </c>
      <c r="E1645" t="s">
        <v>21</v>
      </c>
      <c r="F1645" t="s">
        <v>22</v>
      </c>
      <c r="G1645" t="s">
        <v>31</v>
      </c>
      <c r="H1645" s="1">
        <v>44430</v>
      </c>
      <c r="I1645" s="2">
        <v>44433.6375</v>
      </c>
      <c r="J1645">
        <v>87.3</v>
      </c>
      <c r="K1645" t="s">
        <v>32</v>
      </c>
      <c r="L1645">
        <v>0</v>
      </c>
      <c r="M1645">
        <v>5</v>
      </c>
      <c r="N1645" t="s">
        <v>99</v>
      </c>
      <c r="O1645" s="3" t="str">
        <f>TEXT(Ticket_Table[[#This Row],[raised_date]],"YYYY-MM")</f>
        <v>2021-08</v>
      </c>
      <c r="P1645" s="3" t="str">
        <f>IF(Ticket_Table[[#This Row],[resolution_hrs]]&lt;=4,"Fast",IF(Ticket_Table[[#This Row],[resolution_hrs]]&lt;=24,"Normal",IF(Ticket_Table[[#This Row],[resolution_hrs]]&lt;=48,"Slow","Very Slow")))</f>
        <v>Very Slow</v>
      </c>
      <c r="Q1645" s="3">
        <f>YEAR(Ticket_Table[[#This Row],[raised_date]])</f>
        <v>2021</v>
      </c>
    </row>
    <row r="1646" spans="1:17">
      <c r="A1646" t="s">
        <v>2206</v>
      </c>
      <c r="B1646" t="s">
        <v>751</v>
      </c>
      <c r="C1646" t="s">
        <v>82</v>
      </c>
      <c r="D1646" t="s">
        <v>29</v>
      </c>
      <c r="E1646" t="s">
        <v>37</v>
      </c>
      <c r="F1646" t="s">
        <v>45</v>
      </c>
      <c r="G1646" t="s">
        <v>46</v>
      </c>
      <c r="H1646" s="1">
        <v>44606</v>
      </c>
      <c r="I1646" s="2">
        <v>44606.1666666667</v>
      </c>
      <c r="J1646">
        <v>4</v>
      </c>
      <c r="K1646" t="s">
        <v>24</v>
      </c>
      <c r="L1646">
        <v>0</v>
      </c>
      <c r="M1646">
        <v>4</v>
      </c>
      <c r="N1646" t="s">
        <v>255</v>
      </c>
      <c r="O1646" s="3" t="str">
        <f>TEXT(Ticket_Table[[#This Row],[raised_date]],"YYYY-MM")</f>
        <v>2022-02</v>
      </c>
      <c r="P1646" s="3" t="str">
        <f>IF(Ticket_Table[[#This Row],[resolution_hrs]]&lt;=4,"Fast",IF(Ticket_Table[[#This Row],[resolution_hrs]]&lt;=24,"Normal",IF(Ticket_Table[[#This Row],[resolution_hrs]]&lt;=48,"Slow","Very Slow")))</f>
        <v>Fast</v>
      </c>
      <c r="Q1646" s="3">
        <f>YEAR(Ticket_Table[[#This Row],[raised_date]])</f>
        <v>2022</v>
      </c>
    </row>
    <row r="1647" spans="1:17">
      <c r="A1647" t="s">
        <v>2207</v>
      </c>
      <c r="B1647" t="s">
        <v>1760</v>
      </c>
      <c r="C1647" t="s">
        <v>42</v>
      </c>
      <c r="D1647" t="s">
        <v>90</v>
      </c>
      <c r="E1647" t="s">
        <v>166</v>
      </c>
      <c r="F1647" t="s">
        <v>70</v>
      </c>
      <c r="G1647" t="s">
        <v>23</v>
      </c>
      <c r="H1647" s="1">
        <v>44565</v>
      </c>
      <c r="I1647" s="2">
        <v>44566.2291666667</v>
      </c>
      <c r="J1647">
        <v>29.5</v>
      </c>
      <c r="K1647" t="s">
        <v>24</v>
      </c>
      <c r="L1647">
        <v>0</v>
      </c>
      <c r="M1647">
        <v>4</v>
      </c>
      <c r="N1647" t="s">
        <v>878</v>
      </c>
      <c r="O1647" s="3" t="str">
        <f>TEXT(Ticket_Table[[#This Row],[raised_date]],"YYYY-MM")</f>
        <v>2022-01</v>
      </c>
      <c r="P1647" s="3" t="str">
        <f>IF(Ticket_Table[[#This Row],[resolution_hrs]]&lt;=4,"Fast",IF(Ticket_Table[[#This Row],[resolution_hrs]]&lt;=24,"Normal",IF(Ticket_Table[[#This Row],[resolution_hrs]]&lt;=48,"Slow","Very Slow")))</f>
        <v>Slow</v>
      </c>
      <c r="Q1647" s="3">
        <f>YEAR(Ticket_Table[[#This Row],[raised_date]])</f>
        <v>2022</v>
      </c>
    </row>
    <row r="1648" spans="1:17">
      <c r="A1648" t="s">
        <v>2208</v>
      </c>
      <c r="B1648" t="s">
        <v>329</v>
      </c>
      <c r="C1648" t="s">
        <v>64</v>
      </c>
      <c r="D1648" t="s">
        <v>20</v>
      </c>
      <c r="E1648" t="s">
        <v>30</v>
      </c>
      <c r="F1648" t="s">
        <v>70</v>
      </c>
      <c r="G1648" t="s">
        <v>46</v>
      </c>
      <c r="H1648" s="1">
        <v>44252</v>
      </c>
      <c r="I1648" s="2">
        <v>44252.175</v>
      </c>
      <c r="J1648">
        <v>4.2</v>
      </c>
      <c r="K1648" t="s">
        <v>24</v>
      </c>
      <c r="L1648">
        <v>0</v>
      </c>
      <c r="M1648">
        <v>4</v>
      </c>
      <c r="N1648" t="s">
        <v>1833</v>
      </c>
      <c r="O1648" s="3" t="str">
        <f>TEXT(Ticket_Table[[#This Row],[raised_date]],"YYYY-MM")</f>
        <v>2021-02</v>
      </c>
      <c r="P1648" s="3" t="str">
        <f>IF(Ticket_Table[[#This Row],[resolution_hrs]]&lt;=4,"Fast",IF(Ticket_Table[[#This Row],[resolution_hrs]]&lt;=24,"Normal",IF(Ticket_Table[[#This Row],[resolution_hrs]]&lt;=48,"Slow","Very Slow")))</f>
        <v>Normal</v>
      </c>
      <c r="Q1648" s="3">
        <f>YEAR(Ticket_Table[[#This Row],[raised_date]])</f>
        <v>2021</v>
      </c>
    </row>
    <row r="1649" spans="1:17">
      <c r="A1649" t="s">
        <v>2209</v>
      </c>
      <c r="B1649" t="s">
        <v>241</v>
      </c>
      <c r="C1649" t="s">
        <v>28</v>
      </c>
      <c r="D1649" t="s">
        <v>43</v>
      </c>
      <c r="E1649" t="s">
        <v>106</v>
      </c>
      <c r="F1649" t="s">
        <v>70</v>
      </c>
      <c r="G1649" t="s">
        <v>31</v>
      </c>
      <c r="H1649" s="1">
        <v>45142</v>
      </c>
      <c r="I1649" s="2">
        <v>45144.5916666667</v>
      </c>
      <c r="J1649">
        <v>62.2</v>
      </c>
      <c r="K1649" t="s">
        <v>32</v>
      </c>
      <c r="L1649">
        <v>0</v>
      </c>
      <c r="M1649">
        <v>4</v>
      </c>
      <c r="N1649" t="s">
        <v>685</v>
      </c>
      <c r="O1649" s="3" t="str">
        <f>TEXT(Ticket_Table[[#This Row],[raised_date]],"YYYY-MM")</f>
        <v>2023-08</v>
      </c>
      <c r="P1649" s="3" t="str">
        <f>IF(Ticket_Table[[#This Row],[resolution_hrs]]&lt;=4,"Fast",IF(Ticket_Table[[#This Row],[resolution_hrs]]&lt;=24,"Normal",IF(Ticket_Table[[#This Row],[resolution_hrs]]&lt;=48,"Slow","Very Slow")))</f>
        <v>Very Slow</v>
      </c>
      <c r="Q1649" s="3">
        <f>YEAR(Ticket_Table[[#This Row],[raised_date]])</f>
        <v>2023</v>
      </c>
    </row>
    <row r="1650" spans="1:17">
      <c r="A1650" t="s">
        <v>2210</v>
      </c>
      <c r="B1650" t="s">
        <v>325</v>
      </c>
      <c r="C1650" t="s">
        <v>287</v>
      </c>
      <c r="D1650" t="s">
        <v>90</v>
      </c>
      <c r="E1650" t="s">
        <v>30</v>
      </c>
      <c r="F1650" t="s">
        <v>38</v>
      </c>
      <c r="G1650" t="s">
        <v>23</v>
      </c>
      <c r="H1650" s="1">
        <v>44626</v>
      </c>
      <c r="I1650" s="2">
        <v>44626.075</v>
      </c>
      <c r="J1650">
        <v>1.8</v>
      </c>
      <c r="K1650" t="s">
        <v>24</v>
      </c>
      <c r="L1650">
        <v>2</v>
      </c>
      <c r="M1650">
        <v>4</v>
      </c>
      <c r="N1650" t="s">
        <v>228</v>
      </c>
      <c r="O1650" s="3" t="str">
        <f>TEXT(Ticket_Table[[#This Row],[raised_date]],"YYYY-MM")</f>
        <v>2022-03</v>
      </c>
      <c r="P1650" s="3" t="str">
        <f>IF(Ticket_Table[[#This Row],[resolution_hrs]]&lt;=4,"Fast",IF(Ticket_Table[[#This Row],[resolution_hrs]]&lt;=24,"Normal",IF(Ticket_Table[[#This Row],[resolution_hrs]]&lt;=48,"Slow","Very Slow")))</f>
        <v>Fast</v>
      </c>
      <c r="Q1650" s="3">
        <f>YEAR(Ticket_Table[[#This Row],[raised_date]])</f>
        <v>2022</v>
      </c>
    </row>
    <row r="1651" spans="1:17">
      <c r="A1651" t="s">
        <v>2211</v>
      </c>
      <c r="B1651" t="s">
        <v>221</v>
      </c>
      <c r="C1651" t="s">
        <v>28</v>
      </c>
      <c r="D1651" t="s">
        <v>20</v>
      </c>
      <c r="E1651" t="s">
        <v>44</v>
      </c>
      <c r="F1651" t="s">
        <v>38</v>
      </c>
      <c r="G1651" t="s">
        <v>23</v>
      </c>
      <c r="H1651" s="1">
        <v>45094</v>
      </c>
      <c r="I1651" s="2">
        <v>45094.6791666667</v>
      </c>
      <c r="J1651">
        <v>16.3</v>
      </c>
      <c r="K1651" t="s">
        <v>24</v>
      </c>
      <c r="L1651">
        <v>2</v>
      </c>
      <c r="M1651">
        <v>5</v>
      </c>
      <c r="N1651" t="s">
        <v>419</v>
      </c>
      <c r="O1651" s="3" t="str">
        <f>TEXT(Ticket_Table[[#This Row],[raised_date]],"YYYY-MM")</f>
        <v>2023-06</v>
      </c>
      <c r="P1651" s="3" t="str">
        <f>IF(Ticket_Table[[#This Row],[resolution_hrs]]&lt;=4,"Fast",IF(Ticket_Table[[#This Row],[resolution_hrs]]&lt;=24,"Normal",IF(Ticket_Table[[#This Row],[resolution_hrs]]&lt;=48,"Slow","Very Slow")))</f>
        <v>Normal</v>
      </c>
      <c r="Q1651" s="3">
        <f>YEAR(Ticket_Table[[#This Row],[raised_date]])</f>
        <v>2023</v>
      </c>
    </row>
    <row r="1652" spans="1:17">
      <c r="A1652" t="s">
        <v>2212</v>
      </c>
      <c r="B1652" t="s">
        <v>1356</v>
      </c>
      <c r="C1652" t="s">
        <v>50</v>
      </c>
      <c r="D1652" t="s">
        <v>29</v>
      </c>
      <c r="E1652" t="s">
        <v>69</v>
      </c>
      <c r="F1652" t="s">
        <v>38</v>
      </c>
      <c r="G1652" t="s">
        <v>23</v>
      </c>
      <c r="H1652" s="1">
        <v>44793</v>
      </c>
      <c r="I1652" s="2">
        <v>44793.6458333333</v>
      </c>
      <c r="J1652">
        <v>15.5</v>
      </c>
      <c r="K1652" t="s">
        <v>24</v>
      </c>
      <c r="L1652">
        <v>0</v>
      </c>
      <c r="M1652">
        <v>5</v>
      </c>
      <c r="N1652" t="s">
        <v>54</v>
      </c>
      <c r="O1652" s="3" t="str">
        <f>TEXT(Ticket_Table[[#This Row],[raised_date]],"YYYY-MM")</f>
        <v>2022-08</v>
      </c>
      <c r="P1652" s="3" t="str">
        <f>IF(Ticket_Table[[#This Row],[resolution_hrs]]&lt;=4,"Fast",IF(Ticket_Table[[#This Row],[resolution_hrs]]&lt;=24,"Normal",IF(Ticket_Table[[#This Row],[resolution_hrs]]&lt;=48,"Slow","Very Slow")))</f>
        <v>Normal</v>
      </c>
      <c r="Q1652" s="3">
        <f>YEAR(Ticket_Table[[#This Row],[raised_date]])</f>
        <v>2022</v>
      </c>
    </row>
    <row r="1653" spans="1:17">
      <c r="A1653" t="s">
        <v>2213</v>
      </c>
      <c r="B1653" t="s">
        <v>1078</v>
      </c>
      <c r="C1653" t="s">
        <v>133</v>
      </c>
      <c r="D1653" t="s">
        <v>43</v>
      </c>
      <c r="E1653" t="s">
        <v>37</v>
      </c>
      <c r="F1653" t="s">
        <v>22</v>
      </c>
      <c r="G1653" t="s">
        <v>23</v>
      </c>
      <c r="H1653" s="1">
        <v>44338</v>
      </c>
      <c r="I1653" s="2">
        <v>44341.875</v>
      </c>
      <c r="J1653">
        <v>93</v>
      </c>
      <c r="K1653" t="s">
        <v>32</v>
      </c>
      <c r="L1653">
        <v>0</v>
      </c>
      <c r="M1653">
        <v>4</v>
      </c>
      <c r="N1653" t="s">
        <v>929</v>
      </c>
      <c r="O1653" s="3" t="str">
        <f>TEXT(Ticket_Table[[#This Row],[raised_date]],"YYYY-MM")</f>
        <v>2021-05</v>
      </c>
      <c r="P1653" s="3" t="str">
        <f>IF(Ticket_Table[[#This Row],[resolution_hrs]]&lt;=4,"Fast",IF(Ticket_Table[[#This Row],[resolution_hrs]]&lt;=24,"Normal",IF(Ticket_Table[[#This Row],[resolution_hrs]]&lt;=48,"Slow","Very Slow")))</f>
        <v>Very Slow</v>
      </c>
      <c r="Q1653" s="3">
        <f>YEAR(Ticket_Table[[#This Row],[raised_date]])</f>
        <v>2021</v>
      </c>
    </row>
    <row r="1654" spans="1:17">
      <c r="A1654" t="s">
        <v>2214</v>
      </c>
      <c r="B1654" t="s">
        <v>419</v>
      </c>
      <c r="C1654" t="s">
        <v>28</v>
      </c>
      <c r="D1654" t="s">
        <v>36</v>
      </c>
      <c r="E1654" t="s">
        <v>56</v>
      </c>
      <c r="F1654" t="s">
        <v>70</v>
      </c>
      <c r="G1654" t="s">
        <v>31</v>
      </c>
      <c r="H1654" s="1">
        <v>45034</v>
      </c>
      <c r="I1654" s="2">
        <v>45034.9791666667</v>
      </c>
      <c r="J1654">
        <v>23.5</v>
      </c>
      <c r="K1654" t="s">
        <v>24</v>
      </c>
      <c r="L1654">
        <v>0</v>
      </c>
      <c r="M1654">
        <v>4</v>
      </c>
      <c r="N1654" t="s">
        <v>33</v>
      </c>
      <c r="O1654" s="3" t="str">
        <f>TEXT(Ticket_Table[[#This Row],[raised_date]],"YYYY-MM")</f>
        <v>2023-04</v>
      </c>
      <c r="P1654" s="3" t="str">
        <f>IF(Ticket_Table[[#This Row],[resolution_hrs]]&lt;=4,"Fast",IF(Ticket_Table[[#This Row],[resolution_hrs]]&lt;=24,"Normal",IF(Ticket_Table[[#This Row],[resolution_hrs]]&lt;=48,"Slow","Very Slow")))</f>
        <v>Normal</v>
      </c>
      <c r="Q1654" s="3">
        <f>YEAR(Ticket_Table[[#This Row],[raised_date]])</f>
        <v>2023</v>
      </c>
    </row>
    <row r="1655" spans="1:17">
      <c r="A1655" t="s">
        <v>2215</v>
      </c>
      <c r="B1655" t="s">
        <v>35</v>
      </c>
      <c r="C1655" t="s">
        <v>140</v>
      </c>
      <c r="D1655" t="s">
        <v>29</v>
      </c>
      <c r="E1655" t="s">
        <v>51</v>
      </c>
      <c r="F1655" t="s">
        <v>22</v>
      </c>
      <c r="G1655" t="s">
        <v>31</v>
      </c>
      <c r="H1655" s="1">
        <v>45219</v>
      </c>
      <c r="I1655" s="2">
        <v>45220.1875</v>
      </c>
      <c r="J1655">
        <v>28.5</v>
      </c>
      <c r="K1655" t="s">
        <v>24</v>
      </c>
      <c r="L1655">
        <v>1</v>
      </c>
      <c r="M1655">
        <v>3</v>
      </c>
      <c r="N1655" t="s">
        <v>767</v>
      </c>
      <c r="O1655" s="3" t="str">
        <f>TEXT(Ticket_Table[[#This Row],[raised_date]],"YYYY-MM")</f>
        <v>2023-10</v>
      </c>
      <c r="P1655" s="3" t="str">
        <f>IF(Ticket_Table[[#This Row],[resolution_hrs]]&lt;=4,"Fast",IF(Ticket_Table[[#This Row],[resolution_hrs]]&lt;=24,"Normal",IF(Ticket_Table[[#This Row],[resolution_hrs]]&lt;=48,"Slow","Very Slow")))</f>
        <v>Slow</v>
      </c>
      <c r="Q1655" s="3">
        <f>YEAR(Ticket_Table[[#This Row],[raised_date]])</f>
        <v>2023</v>
      </c>
    </row>
    <row r="1656" spans="1:17">
      <c r="A1656" t="s">
        <v>2216</v>
      </c>
      <c r="B1656" t="s">
        <v>310</v>
      </c>
      <c r="C1656" t="s">
        <v>175</v>
      </c>
      <c r="D1656" t="s">
        <v>20</v>
      </c>
      <c r="E1656" t="s">
        <v>56</v>
      </c>
      <c r="F1656" t="s">
        <v>38</v>
      </c>
      <c r="G1656" t="s">
        <v>23</v>
      </c>
      <c r="H1656" s="1">
        <v>44482</v>
      </c>
      <c r="I1656" s="2">
        <v>44482.2083333333</v>
      </c>
      <c r="J1656">
        <v>5</v>
      </c>
      <c r="K1656" t="s">
        <v>24</v>
      </c>
      <c r="L1656">
        <v>1</v>
      </c>
      <c r="M1656">
        <v>5</v>
      </c>
      <c r="N1656" t="s">
        <v>367</v>
      </c>
      <c r="O1656" s="3" t="str">
        <f>TEXT(Ticket_Table[[#This Row],[raised_date]],"YYYY-MM")</f>
        <v>2021-10</v>
      </c>
      <c r="P1656" s="3" t="str">
        <f>IF(Ticket_Table[[#This Row],[resolution_hrs]]&lt;=4,"Fast",IF(Ticket_Table[[#This Row],[resolution_hrs]]&lt;=24,"Normal",IF(Ticket_Table[[#This Row],[resolution_hrs]]&lt;=48,"Slow","Very Slow")))</f>
        <v>Normal</v>
      </c>
      <c r="Q1656" s="3">
        <f>YEAR(Ticket_Table[[#This Row],[raised_date]])</f>
        <v>2021</v>
      </c>
    </row>
    <row r="1657" spans="1:17">
      <c r="A1657" t="s">
        <v>2217</v>
      </c>
      <c r="B1657" t="s">
        <v>652</v>
      </c>
      <c r="C1657" t="s">
        <v>175</v>
      </c>
      <c r="D1657" t="s">
        <v>43</v>
      </c>
      <c r="E1657" t="s">
        <v>56</v>
      </c>
      <c r="F1657" t="s">
        <v>22</v>
      </c>
      <c r="G1657" t="s">
        <v>31</v>
      </c>
      <c r="H1657" s="1">
        <v>44817</v>
      </c>
      <c r="I1657" s="2">
        <v>44817.4833333333</v>
      </c>
      <c r="J1657">
        <v>11.6</v>
      </c>
      <c r="K1657" t="s">
        <v>24</v>
      </c>
      <c r="L1657">
        <v>2</v>
      </c>
      <c r="M1657">
        <v>4</v>
      </c>
      <c r="N1657" t="s">
        <v>186</v>
      </c>
      <c r="O1657" s="3" t="str">
        <f>TEXT(Ticket_Table[[#This Row],[raised_date]],"YYYY-MM")</f>
        <v>2022-09</v>
      </c>
      <c r="P1657" s="3" t="str">
        <f>IF(Ticket_Table[[#This Row],[resolution_hrs]]&lt;=4,"Fast",IF(Ticket_Table[[#This Row],[resolution_hrs]]&lt;=24,"Normal",IF(Ticket_Table[[#This Row],[resolution_hrs]]&lt;=48,"Slow","Very Slow")))</f>
        <v>Normal</v>
      </c>
      <c r="Q1657" s="3">
        <f>YEAR(Ticket_Table[[#This Row],[raised_date]])</f>
        <v>2022</v>
      </c>
    </row>
    <row r="1658" spans="1:17">
      <c r="A1658" t="s">
        <v>2218</v>
      </c>
      <c r="B1658" t="s">
        <v>696</v>
      </c>
      <c r="C1658" t="s">
        <v>42</v>
      </c>
      <c r="D1658" t="s">
        <v>43</v>
      </c>
      <c r="E1658" t="s">
        <v>21</v>
      </c>
      <c r="F1658" t="s">
        <v>70</v>
      </c>
      <c r="G1658" t="s">
        <v>23</v>
      </c>
      <c r="H1658" s="1">
        <v>44692</v>
      </c>
      <c r="I1658" s="2">
        <v>44692.5375</v>
      </c>
      <c r="J1658">
        <v>12.9</v>
      </c>
      <c r="K1658" t="s">
        <v>24</v>
      </c>
      <c r="L1658">
        <v>0</v>
      </c>
      <c r="M1658">
        <v>5</v>
      </c>
      <c r="N1658" t="s">
        <v>860</v>
      </c>
      <c r="O1658" s="3" t="str">
        <f>TEXT(Ticket_Table[[#This Row],[raised_date]],"YYYY-MM")</f>
        <v>2022-05</v>
      </c>
      <c r="P1658" s="3" t="str">
        <f>IF(Ticket_Table[[#This Row],[resolution_hrs]]&lt;=4,"Fast",IF(Ticket_Table[[#This Row],[resolution_hrs]]&lt;=24,"Normal",IF(Ticket_Table[[#This Row],[resolution_hrs]]&lt;=48,"Slow","Very Slow")))</f>
        <v>Normal</v>
      </c>
      <c r="Q1658" s="3">
        <f>YEAR(Ticket_Table[[#This Row],[raised_date]])</f>
        <v>2022</v>
      </c>
    </row>
    <row r="1659" spans="1:17">
      <c r="A1659" t="s">
        <v>2219</v>
      </c>
      <c r="B1659" t="s">
        <v>389</v>
      </c>
      <c r="C1659" t="s">
        <v>261</v>
      </c>
      <c r="D1659" t="s">
        <v>29</v>
      </c>
      <c r="E1659" t="s">
        <v>21</v>
      </c>
      <c r="F1659" t="s">
        <v>38</v>
      </c>
      <c r="G1659" t="s">
        <v>74</v>
      </c>
      <c r="H1659" s="1">
        <v>44714</v>
      </c>
      <c r="I1659" s="2">
        <v>44714.25</v>
      </c>
      <c r="J1659">
        <v>6</v>
      </c>
      <c r="K1659" t="s">
        <v>24</v>
      </c>
      <c r="L1659">
        <v>1</v>
      </c>
      <c r="M1659">
        <v>4</v>
      </c>
      <c r="N1659" t="s">
        <v>876</v>
      </c>
      <c r="O1659" s="3" t="str">
        <f>TEXT(Ticket_Table[[#This Row],[raised_date]],"YYYY-MM")</f>
        <v>2022-06</v>
      </c>
      <c r="P1659" s="3" t="str">
        <f>IF(Ticket_Table[[#This Row],[resolution_hrs]]&lt;=4,"Fast",IF(Ticket_Table[[#This Row],[resolution_hrs]]&lt;=24,"Normal",IF(Ticket_Table[[#This Row],[resolution_hrs]]&lt;=48,"Slow","Very Slow")))</f>
        <v>Normal</v>
      </c>
      <c r="Q1659" s="3">
        <f>YEAR(Ticket_Table[[#This Row],[raised_date]])</f>
        <v>2022</v>
      </c>
    </row>
    <row r="1660" spans="1:17">
      <c r="A1660" t="s">
        <v>2220</v>
      </c>
      <c r="B1660" t="s">
        <v>805</v>
      </c>
      <c r="C1660" t="s">
        <v>102</v>
      </c>
      <c r="D1660" t="s">
        <v>43</v>
      </c>
      <c r="E1660" t="s">
        <v>69</v>
      </c>
      <c r="F1660" t="s">
        <v>38</v>
      </c>
      <c r="G1660" t="s">
        <v>74</v>
      </c>
      <c r="H1660" s="1">
        <v>44512</v>
      </c>
      <c r="I1660" s="2">
        <v>44512.4125</v>
      </c>
      <c r="J1660">
        <v>9.9</v>
      </c>
      <c r="K1660" t="s">
        <v>24</v>
      </c>
      <c r="L1660">
        <v>1</v>
      </c>
      <c r="M1660">
        <v>3</v>
      </c>
      <c r="N1660" t="s">
        <v>517</v>
      </c>
      <c r="O1660" s="3" t="str">
        <f>TEXT(Ticket_Table[[#This Row],[raised_date]],"YYYY-MM")</f>
        <v>2021-11</v>
      </c>
      <c r="P1660" s="3" t="str">
        <f>IF(Ticket_Table[[#This Row],[resolution_hrs]]&lt;=4,"Fast",IF(Ticket_Table[[#This Row],[resolution_hrs]]&lt;=24,"Normal",IF(Ticket_Table[[#This Row],[resolution_hrs]]&lt;=48,"Slow","Very Slow")))</f>
        <v>Normal</v>
      </c>
      <c r="Q1660" s="3">
        <f>YEAR(Ticket_Table[[#This Row],[raised_date]])</f>
        <v>2021</v>
      </c>
    </row>
    <row r="1661" spans="1:17">
      <c r="A1661" t="s">
        <v>2221</v>
      </c>
      <c r="B1661" t="s">
        <v>245</v>
      </c>
      <c r="C1661" t="s">
        <v>42</v>
      </c>
      <c r="D1661" t="s">
        <v>20</v>
      </c>
      <c r="E1661" t="s">
        <v>56</v>
      </c>
      <c r="F1661" t="s">
        <v>70</v>
      </c>
      <c r="G1661" t="s">
        <v>23</v>
      </c>
      <c r="H1661" s="1">
        <v>45063</v>
      </c>
      <c r="I1661" s="2">
        <v>45063.3083333333</v>
      </c>
      <c r="J1661">
        <v>7.4</v>
      </c>
      <c r="K1661" t="s">
        <v>24</v>
      </c>
      <c r="L1661">
        <v>0</v>
      </c>
      <c r="M1661">
        <v>3</v>
      </c>
      <c r="N1661" t="s">
        <v>458</v>
      </c>
      <c r="O1661" s="3" t="str">
        <f>TEXT(Ticket_Table[[#This Row],[raised_date]],"YYYY-MM")</f>
        <v>2023-05</v>
      </c>
      <c r="P1661" s="3" t="str">
        <f>IF(Ticket_Table[[#This Row],[resolution_hrs]]&lt;=4,"Fast",IF(Ticket_Table[[#This Row],[resolution_hrs]]&lt;=24,"Normal",IF(Ticket_Table[[#This Row],[resolution_hrs]]&lt;=48,"Slow","Very Slow")))</f>
        <v>Normal</v>
      </c>
      <c r="Q1661" s="3">
        <f>YEAR(Ticket_Table[[#This Row],[raised_date]])</f>
        <v>2023</v>
      </c>
    </row>
    <row r="1662" spans="1:17">
      <c r="A1662" t="s">
        <v>2222</v>
      </c>
      <c r="B1662" t="s">
        <v>603</v>
      </c>
      <c r="C1662" t="s">
        <v>68</v>
      </c>
      <c r="D1662" t="s">
        <v>29</v>
      </c>
      <c r="E1662" t="s">
        <v>106</v>
      </c>
      <c r="F1662" t="s">
        <v>70</v>
      </c>
      <c r="G1662" t="s">
        <v>31</v>
      </c>
      <c r="H1662" s="1">
        <v>44969</v>
      </c>
      <c r="I1662" s="2">
        <v>44969.95</v>
      </c>
      <c r="J1662">
        <v>22.8</v>
      </c>
      <c r="K1662" t="s">
        <v>24</v>
      </c>
      <c r="L1662">
        <v>1</v>
      </c>
      <c r="M1662">
        <v>2</v>
      </c>
      <c r="N1662" t="s">
        <v>1078</v>
      </c>
      <c r="O1662" s="3" t="str">
        <f>TEXT(Ticket_Table[[#This Row],[raised_date]],"YYYY-MM")</f>
        <v>2023-02</v>
      </c>
      <c r="P1662" s="3" t="str">
        <f>IF(Ticket_Table[[#This Row],[resolution_hrs]]&lt;=4,"Fast",IF(Ticket_Table[[#This Row],[resolution_hrs]]&lt;=24,"Normal",IF(Ticket_Table[[#This Row],[resolution_hrs]]&lt;=48,"Slow","Very Slow")))</f>
        <v>Normal</v>
      </c>
      <c r="Q1662" s="3">
        <f>YEAR(Ticket_Table[[#This Row],[raised_date]])</f>
        <v>2023</v>
      </c>
    </row>
    <row r="1663" spans="1:17">
      <c r="A1663" t="s">
        <v>2223</v>
      </c>
      <c r="B1663" t="s">
        <v>216</v>
      </c>
      <c r="C1663" t="s">
        <v>261</v>
      </c>
      <c r="D1663" t="s">
        <v>36</v>
      </c>
      <c r="E1663" t="s">
        <v>44</v>
      </c>
      <c r="F1663" t="s">
        <v>22</v>
      </c>
      <c r="G1663" t="s">
        <v>31</v>
      </c>
      <c r="H1663" s="1">
        <v>44348</v>
      </c>
      <c r="I1663" s="2">
        <v>44349.8583333333</v>
      </c>
      <c r="J1663">
        <v>44.6</v>
      </c>
      <c r="K1663" t="s">
        <v>24</v>
      </c>
      <c r="L1663">
        <v>0</v>
      </c>
      <c r="M1663">
        <v>4</v>
      </c>
      <c r="N1663" t="s">
        <v>668</v>
      </c>
      <c r="O1663" s="3" t="str">
        <f>TEXT(Ticket_Table[[#This Row],[raised_date]],"YYYY-MM")</f>
        <v>2021-06</v>
      </c>
      <c r="P1663" s="3" t="str">
        <f>IF(Ticket_Table[[#This Row],[resolution_hrs]]&lt;=4,"Fast",IF(Ticket_Table[[#This Row],[resolution_hrs]]&lt;=24,"Normal",IF(Ticket_Table[[#This Row],[resolution_hrs]]&lt;=48,"Slow","Very Slow")))</f>
        <v>Slow</v>
      </c>
      <c r="Q1663" s="3">
        <f>YEAR(Ticket_Table[[#This Row],[raised_date]])</f>
        <v>2021</v>
      </c>
    </row>
    <row r="1664" spans="1:17">
      <c r="A1664" t="s">
        <v>2224</v>
      </c>
      <c r="B1664" t="s">
        <v>141</v>
      </c>
      <c r="C1664" t="s">
        <v>64</v>
      </c>
      <c r="D1664" t="s">
        <v>29</v>
      </c>
      <c r="E1664" t="s">
        <v>56</v>
      </c>
      <c r="F1664" t="s">
        <v>38</v>
      </c>
      <c r="G1664" t="s">
        <v>74</v>
      </c>
      <c r="H1664" s="1">
        <v>45116</v>
      </c>
      <c r="I1664" s="2">
        <v>45116.2875</v>
      </c>
      <c r="J1664">
        <v>6.9</v>
      </c>
      <c r="K1664" t="s">
        <v>24</v>
      </c>
      <c r="L1664">
        <v>0</v>
      </c>
      <c r="M1664">
        <v>3</v>
      </c>
      <c r="N1664" t="s">
        <v>141</v>
      </c>
      <c r="O1664" s="3" t="str">
        <f>TEXT(Ticket_Table[[#This Row],[raised_date]],"YYYY-MM")</f>
        <v>2023-07</v>
      </c>
      <c r="P1664" s="3" t="str">
        <f>IF(Ticket_Table[[#This Row],[resolution_hrs]]&lt;=4,"Fast",IF(Ticket_Table[[#This Row],[resolution_hrs]]&lt;=24,"Normal",IF(Ticket_Table[[#This Row],[resolution_hrs]]&lt;=48,"Slow","Very Slow")))</f>
        <v>Normal</v>
      </c>
      <c r="Q1664" s="3">
        <f>YEAR(Ticket_Table[[#This Row],[raised_date]])</f>
        <v>2023</v>
      </c>
    </row>
    <row r="1665" spans="1:17">
      <c r="A1665" t="s">
        <v>2225</v>
      </c>
      <c r="B1665" t="s">
        <v>666</v>
      </c>
      <c r="C1665" t="s">
        <v>95</v>
      </c>
      <c r="D1665" t="s">
        <v>29</v>
      </c>
      <c r="E1665" t="s">
        <v>37</v>
      </c>
      <c r="F1665" t="s">
        <v>38</v>
      </c>
      <c r="G1665" t="s">
        <v>23</v>
      </c>
      <c r="H1665" s="1">
        <v>45178</v>
      </c>
      <c r="I1665" s="2">
        <v>45178.9375</v>
      </c>
      <c r="J1665">
        <v>22.5</v>
      </c>
      <c r="K1665" t="s">
        <v>24</v>
      </c>
      <c r="L1665">
        <v>2</v>
      </c>
      <c r="M1665">
        <v>4</v>
      </c>
      <c r="N1665" t="s">
        <v>1063</v>
      </c>
      <c r="O1665" s="3" t="str">
        <f>TEXT(Ticket_Table[[#This Row],[raised_date]],"YYYY-MM")</f>
        <v>2023-09</v>
      </c>
      <c r="P1665" s="3" t="str">
        <f>IF(Ticket_Table[[#This Row],[resolution_hrs]]&lt;=4,"Fast",IF(Ticket_Table[[#This Row],[resolution_hrs]]&lt;=24,"Normal",IF(Ticket_Table[[#This Row],[resolution_hrs]]&lt;=48,"Slow","Very Slow")))</f>
        <v>Normal</v>
      </c>
      <c r="Q1665" s="3">
        <f>YEAR(Ticket_Table[[#This Row],[raised_date]])</f>
        <v>2023</v>
      </c>
    </row>
    <row r="1666" spans="1:17">
      <c r="A1666" t="s">
        <v>2226</v>
      </c>
      <c r="B1666" t="s">
        <v>143</v>
      </c>
      <c r="C1666" t="s">
        <v>102</v>
      </c>
      <c r="D1666" t="s">
        <v>36</v>
      </c>
      <c r="E1666" t="s">
        <v>51</v>
      </c>
      <c r="F1666" t="s">
        <v>22</v>
      </c>
      <c r="G1666" t="s">
        <v>46</v>
      </c>
      <c r="H1666" s="1">
        <v>45017</v>
      </c>
      <c r="I1666" s="2">
        <v>45018.4916666667</v>
      </c>
      <c r="J1666">
        <v>35.8</v>
      </c>
      <c r="K1666" t="s">
        <v>24</v>
      </c>
      <c r="L1666">
        <v>0</v>
      </c>
      <c r="M1666">
        <v>2</v>
      </c>
      <c r="N1666" t="s">
        <v>1041</v>
      </c>
      <c r="O1666" s="3" t="str">
        <f>TEXT(Ticket_Table[[#This Row],[raised_date]],"YYYY-MM")</f>
        <v>2023-04</v>
      </c>
      <c r="P1666" s="3" t="str">
        <f>IF(Ticket_Table[[#This Row],[resolution_hrs]]&lt;=4,"Fast",IF(Ticket_Table[[#This Row],[resolution_hrs]]&lt;=24,"Normal",IF(Ticket_Table[[#This Row],[resolution_hrs]]&lt;=48,"Slow","Very Slow")))</f>
        <v>Slow</v>
      </c>
      <c r="Q1666" s="3">
        <f>YEAR(Ticket_Table[[#This Row],[raised_date]])</f>
        <v>2023</v>
      </c>
    </row>
    <row r="1667" spans="1:17">
      <c r="A1667" t="s">
        <v>2227</v>
      </c>
      <c r="B1667" t="s">
        <v>352</v>
      </c>
      <c r="C1667" t="s">
        <v>102</v>
      </c>
      <c r="D1667" t="s">
        <v>20</v>
      </c>
      <c r="E1667" t="s">
        <v>166</v>
      </c>
      <c r="F1667" t="s">
        <v>70</v>
      </c>
      <c r="G1667" t="s">
        <v>31</v>
      </c>
      <c r="H1667" s="1">
        <v>45291</v>
      </c>
      <c r="I1667" s="2">
        <v>45291.1208333333</v>
      </c>
      <c r="J1667">
        <v>2.9</v>
      </c>
      <c r="K1667" t="s">
        <v>24</v>
      </c>
      <c r="L1667">
        <v>1</v>
      </c>
      <c r="M1667">
        <v>3</v>
      </c>
      <c r="N1667" t="s">
        <v>1011</v>
      </c>
      <c r="O1667" s="3" t="str">
        <f>TEXT(Ticket_Table[[#This Row],[raised_date]],"YYYY-MM")</f>
        <v>2023-12</v>
      </c>
      <c r="P1667" s="3" t="str">
        <f>IF(Ticket_Table[[#This Row],[resolution_hrs]]&lt;=4,"Fast",IF(Ticket_Table[[#This Row],[resolution_hrs]]&lt;=24,"Normal",IF(Ticket_Table[[#This Row],[resolution_hrs]]&lt;=48,"Slow","Very Slow")))</f>
        <v>Fast</v>
      </c>
      <c r="Q1667" s="3">
        <f>YEAR(Ticket_Table[[#This Row],[raised_date]])</f>
        <v>2023</v>
      </c>
    </row>
    <row r="1668" spans="1:17">
      <c r="A1668" t="s">
        <v>2228</v>
      </c>
      <c r="B1668" t="s">
        <v>554</v>
      </c>
      <c r="C1668" t="s">
        <v>64</v>
      </c>
      <c r="D1668" t="s">
        <v>90</v>
      </c>
      <c r="E1668" t="s">
        <v>69</v>
      </c>
      <c r="F1668" t="s">
        <v>38</v>
      </c>
      <c r="G1668" t="s">
        <v>31</v>
      </c>
      <c r="H1668" s="1">
        <v>45234</v>
      </c>
      <c r="I1668" s="2">
        <v>45234.125</v>
      </c>
      <c r="J1668">
        <v>3</v>
      </c>
      <c r="K1668" t="s">
        <v>24</v>
      </c>
      <c r="L1668">
        <v>0</v>
      </c>
      <c r="M1668">
        <v>3</v>
      </c>
      <c r="N1668" t="s">
        <v>529</v>
      </c>
      <c r="O1668" s="3" t="str">
        <f>TEXT(Ticket_Table[[#This Row],[raised_date]],"YYYY-MM")</f>
        <v>2023-11</v>
      </c>
      <c r="P1668" s="3" t="str">
        <f>IF(Ticket_Table[[#This Row],[resolution_hrs]]&lt;=4,"Fast",IF(Ticket_Table[[#This Row],[resolution_hrs]]&lt;=24,"Normal",IF(Ticket_Table[[#This Row],[resolution_hrs]]&lt;=48,"Slow","Very Slow")))</f>
        <v>Fast</v>
      </c>
      <c r="Q1668" s="3">
        <f>YEAR(Ticket_Table[[#This Row],[raised_date]])</f>
        <v>2023</v>
      </c>
    </row>
    <row r="1669" spans="1:17">
      <c r="A1669" t="s">
        <v>2229</v>
      </c>
      <c r="B1669" t="s">
        <v>18</v>
      </c>
      <c r="C1669" t="s">
        <v>82</v>
      </c>
      <c r="D1669" t="s">
        <v>90</v>
      </c>
      <c r="E1669" t="s">
        <v>69</v>
      </c>
      <c r="F1669" t="s">
        <v>38</v>
      </c>
      <c r="G1669" t="s">
        <v>46</v>
      </c>
      <c r="H1669" s="1">
        <v>45053</v>
      </c>
      <c r="I1669" s="2">
        <v>45053.6083333333</v>
      </c>
      <c r="J1669">
        <v>14.6</v>
      </c>
      <c r="K1669" t="s">
        <v>24</v>
      </c>
      <c r="L1669">
        <v>1</v>
      </c>
      <c r="M1669">
        <v>3</v>
      </c>
      <c r="N1669" t="s">
        <v>1348</v>
      </c>
      <c r="O1669" s="3" t="str">
        <f>TEXT(Ticket_Table[[#This Row],[raised_date]],"YYYY-MM")</f>
        <v>2023-05</v>
      </c>
      <c r="P1669" s="3" t="str">
        <f>IF(Ticket_Table[[#This Row],[resolution_hrs]]&lt;=4,"Fast",IF(Ticket_Table[[#This Row],[resolution_hrs]]&lt;=24,"Normal",IF(Ticket_Table[[#This Row],[resolution_hrs]]&lt;=48,"Slow","Very Slow")))</f>
        <v>Normal</v>
      </c>
      <c r="Q1669" s="3">
        <f>YEAR(Ticket_Table[[#This Row],[raised_date]])</f>
        <v>2023</v>
      </c>
    </row>
    <row r="1670" spans="1:17">
      <c r="A1670" t="s">
        <v>2230</v>
      </c>
      <c r="B1670" t="s">
        <v>295</v>
      </c>
      <c r="C1670" t="s">
        <v>60</v>
      </c>
      <c r="D1670" t="s">
        <v>36</v>
      </c>
      <c r="E1670" t="s">
        <v>83</v>
      </c>
      <c r="F1670" t="s">
        <v>22</v>
      </c>
      <c r="G1670" t="s">
        <v>31</v>
      </c>
      <c r="H1670" s="1">
        <v>44272</v>
      </c>
      <c r="I1670" s="2">
        <v>44273.4666666667</v>
      </c>
      <c r="J1670">
        <v>35.2</v>
      </c>
      <c r="K1670" t="s">
        <v>24</v>
      </c>
      <c r="L1670">
        <v>0</v>
      </c>
      <c r="M1670">
        <v>2</v>
      </c>
      <c r="N1670" t="s">
        <v>792</v>
      </c>
      <c r="O1670" s="3" t="str">
        <f>TEXT(Ticket_Table[[#This Row],[raised_date]],"YYYY-MM")</f>
        <v>2021-03</v>
      </c>
      <c r="P1670" s="3" t="str">
        <f>IF(Ticket_Table[[#This Row],[resolution_hrs]]&lt;=4,"Fast",IF(Ticket_Table[[#This Row],[resolution_hrs]]&lt;=24,"Normal",IF(Ticket_Table[[#This Row],[resolution_hrs]]&lt;=48,"Slow","Very Slow")))</f>
        <v>Slow</v>
      </c>
      <c r="Q1670" s="3">
        <f>YEAR(Ticket_Table[[#This Row],[raised_date]])</f>
        <v>2021</v>
      </c>
    </row>
    <row r="1671" spans="1:17">
      <c r="A1671" t="s">
        <v>2231</v>
      </c>
      <c r="B1671" t="s">
        <v>942</v>
      </c>
      <c r="C1671" t="s">
        <v>28</v>
      </c>
      <c r="D1671" t="s">
        <v>20</v>
      </c>
      <c r="E1671" t="s">
        <v>37</v>
      </c>
      <c r="F1671" t="s">
        <v>70</v>
      </c>
      <c r="G1671" t="s">
        <v>31</v>
      </c>
      <c r="H1671" s="1">
        <v>44933</v>
      </c>
      <c r="I1671" s="2">
        <v>44934.2625</v>
      </c>
      <c r="J1671">
        <v>30.3</v>
      </c>
      <c r="K1671" t="s">
        <v>24</v>
      </c>
      <c r="L1671">
        <v>2</v>
      </c>
      <c r="M1671">
        <v>4</v>
      </c>
      <c r="N1671" t="s">
        <v>1356</v>
      </c>
      <c r="O1671" s="3" t="str">
        <f>TEXT(Ticket_Table[[#This Row],[raised_date]],"YYYY-MM")</f>
        <v>2023-01</v>
      </c>
      <c r="P1671" s="3" t="str">
        <f>IF(Ticket_Table[[#This Row],[resolution_hrs]]&lt;=4,"Fast",IF(Ticket_Table[[#This Row],[resolution_hrs]]&lt;=24,"Normal",IF(Ticket_Table[[#This Row],[resolution_hrs]]&lt;=48,"Slow","Very Slow")))</f>
        <v>Slow</v>
      </c>
      <c r="Q1671" s="3">
        <f>YEAR(Ticket_Table[[#This Row],[raised_date]])</f>
        <v>2023</v>
      </c>
    </row>
    <row r="1672" spans="1:17">
      <c r="A1672" t="s">
        <v>2232</v>
      </c>
      <c r="B1672" t="s">
        <v>264</v>
      </c>
      <c r="C1672" t="s">
        <v>261</v>
      </c>
      <c r="D1672" t="s">
        <v>43</v>
      </c>
      <c r="E1672" t="s">
        <v>21</v>
      </c>
      <c r="F1672" t="s">
        <v>22</v>
      </c>
      <c r="G1672" t="s">
        <v>46</v>
      </c>
      <c r="H1672" s="1">
        <v>44371</v>
      </c>
      <c r="I1672" s="2">
        <v>44372.4875</v>
      </c>
      <c r="J1672">
        <v>35.7</v>
      </c>
      <c r="K1672" t="s">
        <v>24</v>
      </c>
      <c r="L1672">
        <v>1</v>
      </c>
      <c r="M1672">
        <v>2</v>
      </c>
      <c r="N1672" t="s">
        <v>544</v>
      </c>
      <c r="O1672" s="3" t="str">
        <f>TEXT(Ticket_Table[[#This Row],[raised_date]],"YYYY-MM")</f>
        <v>2021-06</v>
      </c>
      <c r="P1672" s="3" t="str">
        <f>IF(Ticket_Table[[#This Row],[resolution_hrs]]&lt;=4,"Fast",IF(Ticket_Table[[#This Row],[resolution_hrs]]&lt;=24,"Normal",IF(Ticket_Table[[#This Row],[resolution_hrs]]&lt;=48,"Slow","Very Slow")))</f>
        <v>Slow</v>
      </c>
      <c r="Q1672" s="3">
        <f>YEAR(Ticket_Table[[#This Row],[raised_date]])</f>
        <v>2021</v>
      </c>
    </row>
    <row r="1673" spans="1:17">
      <c r="A1673" t="s">
        <v>2233</v>
      </c>
      <c r="B1673" t="s">
        <v>228</v>
      </c>
      <c r="C1673" t="s">
        <v>55</v>
      </c>
      <c r="D1673" t="s">
        <v>36</v>
      </c>
      <c r="E1673" t="s">
        <v>44</v>
      </c>
      <c r="F1673" t="s">
        <v>22</v>
      </c>
      <c r="G1673" t="s">
        <v>23</v>
      </c>
      <c r="H1673" s="1">
        <v>44420</v>
      </c>
      <c r="I1673" s="2">
        <v>44421.7166666667</v>
      </c>
      <c r="J1673">
        <v>41.2</v>
      </c>
      <c r="K1673" t="s">
        <v>24</v>
      </c>
      <c r="L1673">
        <v>0</v>
      </c>
      <c r="M1673">
        <v>1</v>
      </c>
      <c r="N1673" t="s">
        <v>57</v>
      </c>
      <c r="O1673" s="3" t="str">
        <f>TEXT(Ticket_Table[[#This Row],[raised_date]],"YYYY-MM")</f>
        <v>2021-08</v>
      </c>
      <c r="P1673" s="3" t="str">
        <f>IF(Ticket_Table[[#This Row],[resolution_hrs]]&lt;=4,"Fast",IF(Ticket_Table[[#This Row],[resolution_hrs]]&lt;=24,"Normal",IF(Ticket_Table[[#This Row],[resolution_hrs]]&lt;=48,"Slow","Very Slow")))</f>
        <v>Slow</v>
      </c>
      <c r="Q1673" s="3">
        <f>YEAR(Ticket_Table[[#This Row],[raised_date]])</f>
        <v>2021</v>
      </c>
    </row>
    <row r="1674" spans="1:17">
      <c r="A1674" t="s">
        <v>2234</v>
      </c>
      <c r="B1674" t="s">
        <v>321</v>
      </c>
      <c r="C1674" t="s">
        <v>60</v>
      </c>
      <c r="D1674" t="s">
        <v>90</v>
      </c>
      <c r="E1674" t="s">
        <v>106</v>
      </c>
      <c r="F1674" t="s">
        <v>45</v>
      </c>
      <c r="G1674" t="s">
        <v>23</v>
      </c>
      <c r="H1674" s="1">
        <v>44705</v>
      </c>
      <c r="I1674" s="2">
        <v>44705.2125</v>
      </c>
      <c r="J1674">
        <v>5.1</v>
      </c>
      <c r="K1674" t="s">
        <v>32</v>
      </c>
      <c r="L1674">
        <v>0</v>
      </c>
      <c r="M1674">
        <v>5</v>
      </c>
      <c r="N1674" t="s">
        <v>308</v>
      </c>
      <c r="O1674" s="3" t="str">
        <f>TEXT(Ticket_Table[[#This Row],[raised_date]],"YYYY-MM")</f>
        <v>2022-05</v>
      </c>
      <c r="P1674" s="3" t="str">
        <f>IF(Ticket_Table[[#This Row],[resolution_hrs]]&lt;=4,"Fast",IF(Ticket_Table[[#This Row],[resolution_hrs]]&lt;=24,"Normal",IF(Ticket_Table[[#This Row],[resolution_hrs]]&lt;=48,"Slow","Very Slow")))</f>
        <v>Normal</v>
      </c>
      <c r="Q1674" s="3">
        <f>YEAR(Ticket_Table[[#This Row],[raised_date]])</f>
        <v>2022</v>
      </c>
    </row>
    <row r="1675" spans="1:17">
      <c r="A1675" t="s">
        <v>2235</v>
      </c>
      <c r="B1675" t="s">
        <v>372</v>
      </c>
      <c r="C1675" t="s">
        <v>287</v>
      </c>
      <c r="D1675" t="s">
        <v>20</v>
      </c>
      <c r="E1675" t="s">
        <v>37</v>
      </c>
      <c r="F1675" t="s">
        <v>38</v>
      </c>
      <c r="G1675" t="s">
        <v>74</v>
      </c>
      <c r="H1675" s="1">
        <v>44924</v>
      </c>
      <c r="I1675" s="2">
        <v>44924.2166666667</v>
      </c>
      <c r="J1675">
        <v>5.2</v>
      </c>
      <c r="K1675" t="s">
        <v>24</v>
      </c>
      <c r="L1675">
        <v>1</v>
      </c>
      <c r="M1675">
        <v>3</v>
      </c>
      <c r="N1675" t="s">
        <v>974</v>
      </c>
      <c r="O1675" s="3" t="str">
        <f>TEXT(Ticket_Table[[#This Row],[raised_date]],"YYYY-MM")</f>
        <v>2022-12</v>
      </c>
      <c r="P1675" s="3" t="str">
        <f>IF(Ticket_Table[[#This Row],[resolution_hrs]]&lt;=4,"Fast",IF(Ticket_Table[[#This Row],[resolution_hrs]]&lt;=24,"Normal",IF(Ticket_Table[[#This Row],[resolution_hrs]]&lt;=48,"Slow","Very Slow")))</f>
        <v>Normal</v>
      </c>
      <c r="Q1675" s="3">
        <f>YEAR(Ticket_Table[[#This Row],[raised_date]])</f>
        <v>2022</v>
      </c>
    </row>
    <row r="1676" spans="1:17">
      <c r="A1676" t="s">
        <v>2236</v>
      </c>
      <c r="B1676" t="s">
        <v>878</v>
      </c>
      <c r="C1676" t="s">
        <v>60</v>
      </c>
      <c r="D1676" t="s">
        <v>29</v>
      </c>
      <c r="E1676" t="s">
        <v>30</v>
      </c>
      <c r="F1676" t="s">
        <v>38</v>
      </c>
      <c r="G1676" t="s">
        <v>23</v>
      </c>
      <c r="H1676" s="1">
        <v>44537</v>
      </c>
      <c r="I1676" s="2">
        <v>44537.3375</v>
      </c>
      <c r="J1676">
        <v>8.1</v>
      </c>
      <c r="K1676" t="s">
        <v>24</v>
      </c>
      <c r="L1676">
        <v>0</v>
      </c>
      <c r="M1676">
        <v>5</v>
      </c>
      <c r="N1676" t="s">
        <v>49</v>
      </c>
      <c r="O1676" s="3" t="str">
        <f>TEXT(Ticket_Table[[#This Row],[raised_date]],"YYYY-MM")</f>
        <v>2021-12</v>
      </c>
      <c r="P1676" s="3" t="str">
        <f>IF(Ticket_Table[[#This Row],[resolution_hrs]]&lt;=4,"Fast",IF(Ticket_Table[[#This Row],[resolution_hrs]]&lt;=24,"Normal",IF(Ticket_Table[[#This Row],[resolution_hrs]]&lt;=48,"Slow","Very Slow")))</f>
        <v>Normal</v>
      </c>
      <c r="Q1676" s="3">
        <f>YEAR(Ticket_Table[[#This Row],[raised_date]])</f>
        <v>2021</v>
      </c>
    </row>
    <row r="1677" spans="1:17">
      <c r="A1677" t="s">
        <v>2237</v>
      </c>
      <c r="B1677" t="s">
        <v>318</v>
      </c>
      <c r="C1677" t="s">
        <v>42</v>
      </c>
      <c r="D1677" t="s">
        <v>20</v>
      </c>
      <c r="E1677" t="s">
        <v>166</v>
      </c>
      <c r="F1677" t="s">
        <v>22</v>
      </c>
      <c r="G1677" t="s">
        <v>46</v>
      </c>
      <c r="H1677" s="1">
        <v>44287</v>
      </c>
      <c r="I1677" s="2">
        <v>44290.3958333333</v>
      </c>
      <c r="J1677">
        <v>81.5</v>
      </c>
      <c r="K1677" t="s">
        <v>32</v>
      </c>
      <c r="L1677">
        <v>0</v>
      </c>
      <c r="M1677">
        <v>5</v>
      </c>
      <c r="N1677" t="s">
        <v>474</v>
      </c>
      <c r="O1677" s="3" t="str">
        <f>TEXT(Ticket_Table[[#This Row],[raised_date]],"YYYY-MM")</f>
        <v>2021-04</v>
      </c>
      <c r="P1677" s="3" t="str">
        <f>IF(Ticket_Table[[#This Row],[resolution_hrs]]&lt;=4,"Fast",IF(Ticket_Table[[#This Row],[resolution_hrs]]&lt;=24,"Normal",IF(Ticket_Table[[#This Row],[resolution_hrs]]&lt;=48,"Slow","Very Slow")))</f>
        <v>Very Slow</v>
      </c>
      <c r="Q1677" s="3">
        <f>YEAR(Ticket_Table[[#This Row],[raised_date]])</f>
        <v>2021</v>
      </c>
    </row>
    <row r="1678" spans="1:17">
      <c r="A1678" t="s">
        <v>2238</v>
      </c>
      <c r="B1678" t="s">
        <v>1078</v>
      </c>
      <c r="C1678" t="s">
        <v>95</v>
      </c>
      <c r="D1678" t="s">
        <v>20</v>
      </c>
      <c r="E1678" t="s">
        <v>51</v>
      </c>
      <c r="F1678" t="s">
        <v>38</v>
      </c>
      <c r="G1678" t="s">
        <v>23</v>
      </c>
      <c r="H1678" s="1">
        <v>45015</v>
      </c>
      <c r="I1678" s="2">
        <v>45015.8958333333</v>
      </c>
      <c r="J1678">
        <v>21.5</v>
      </c>
      <c r="K1678" t="s">
        <v>24</v>
      </c>
      <c r="L1678">
        <v>0</v>
      </c>
      <c r="M1678">
        <v>4</v>
      </c>
      <c r="N1678" t="s">
        <v>1080</v>
      </c>
      <c r="O1678" s="3" t="str">
        <f>TEXT(Ticket_Table[[#This Row],[raised_date]],"YYYY-MM")</f>
        <v>2023-03</v>
      </c>
      <c r="P1678" s="3" t="str">
        <f>IF(Ticket_Table[[#This Row],[resolution_hrs]]&lt;=4,"Fast",IF(Ticket_Table[[#This Row],[resolution_hrs]]&lt;=24,"Normal",IF(Ticket_Table[[#This Row],[resolution_hrs]]&lt;=48,"Slow","Very Slow")))</f>
        <v>Normal</v>
      </c>
      <c r="Q1678" s="3">
        <f>YEAR(Ticket_Table[[#This Row],[raised_date]])</f>
        <v>2023</v>
      </c>
    </row>
    <row r="1679" spans="1:17">
      <c r="A1679" t="s">
        <v>2239</v>
      </c>
      <c r="B1679" t="s">
        <v>458</v>
      </c>
      <c r="C1679" t="s">
        <v>261</v>
      </c>
      <c r="D1679" t="s">
        <v>90</v>
      </c>
      <c r="E1679" t="s">
        <v>83</v>
      </c>
      <c r="F1679" t="s">
        <v>70</v>
      </c>
      <c r="G1679" t="s">
        <v>31</v>
      </c>
      <c r="H1679" s="1">
        <v>44876</v>
      </c>
      <c r="I1679" s="2">
        <v>44877.5</v>
      </c>
      <c r="J1679">
        <v>36</v>
      </c>
      <c r="K1679" t="s">
        <v>24</v>
      </c>
      <c r="L1679">
        <v>1</v>
      </c>
      <c r="M1679">
        <v>4</v>
      </c>
      <c r="N1679" t="s">
        <v>191</v>
      </c>
      <c r="O1679" s="3" t="str">
        <f>TEXT(Ticket_Table[[#This Row],[raised_date]],"YYYY-MM")</f>
        <v>2022-11</v>
      </c>
      <c r="P1679" s="3" t="str">
        <f>IF(Ticket_Table[[#This Row],[resolution_hrs]]&lt;=4,"Fast",IF(Ticket_Table[[#This Row],[resolution_hrs]]&lt;=24,"Normal",IF(Ticket_Table[[#This Row],[resolution_hrs]]&lt;=48,"Slow","Very Slow")))</f>
        <v>Slow</v>
      </c>
      <c r="Q1679" s="3">
        <f>YEAR(Ticket_Table[[#This Row],[raised_date]])</f>
        <v>2022</v>
      </c>
    </row>
    <row r="1680" spans="1:17">
      <c r="A1680" t="s">
        <v>2240</v>
      </c>
      <c r="B1680" t="s">
        <v>760</v>
      </c>
      <c r="C1680" t="s">
        <v>68</v>
      </c>
      <c r="D1680" t="s">
        <v>90</v>
      </c>
      <c r="E1680" t="s">
        <v>37</v>
      </c>
      <c r="F1680" t="s">
        <v>70</v>
      </c>
      <c r="G1680" t="s">
        <v>23</v>
      </c>
      <c r="H1680" s="1">
        <v>45078</v>
      </c>
      <c r="I1680" s="2">
        <v>45080.2666666667</v>
      </c>
      <c r="J1680">
        <v>54.4</v>
      </c>
      <c r="K1680" t="s">
        <v>32</v>
      </c>
      <c r="L1680">
        <v>0</v>
      </c>
      <c r="M1680">
        <v>3</v>
      </c>
      <c r="N1680" t="s">
        <v>554</v>
      </c>
      <c r="O1680" s="3" t="str">
        <f>TEXT(Ticket_Table[[#This Row],[raised_date]],"YYYY-MM")</f>
        <v>2023-06</v>
      </c>
      <c r="P1680" s="3" t="str">
        <f>IF(Ticket_Table[[#This Row],[resolution_hrs]]&lt;=4,"Fast",IF(Ticket_Table[[#This Row],[resolution_hrs]]&lt;=24,"Normal",IF(Ticket_Table[[#This Row],[resolution_hrs]]&lt;=48,"Slow","Very Slow")))</f>
        <v>Very Slow</v>
      </c>
      <c r="Q1680" s="3">
        <f>YEAR(Ticket_Table[[#This Row],[raised_date]])</f>
        <v>2023</v>
      </c>
    </row>
    <row r="1681" spans="1:17">
      <c r="A1681" t="s">
        <v>2241</v>
      </c>
      <c r="B1681" t="s">
        <v>206</v>
      </c>
      <c r="C1681" t="s">
        <v>175</v>
      </c>
      <c r="D1681" t="s">
        <v>43</v>
      </c>
      <c r="E1681" t="s">
        <v>83</v>
      </c>
      <c r="F1681" t="s">
        <v>70</v>
      </c>
      <c r="G1681" t="s">
        <v>74</v>
      </c>
      <c r="H1681" s="1">
        <v>44413</v>
      </c>
      <c r="I1681" s="2">
        <v>44414.1791666667</v>
      </c>
      <c r="J1681">
        <v>28.3</v>
      </c>
      <c r="K1681" t="s">
        <v>24</v>
      </c>
      <c r="L1681">
        <v>2</v>
      </c>
      <c r="M1681">
        <v>4</v>
      </c>
      <c r="N1681" t="s">
        <v>597</v>
      </c>
      <c r="O1681" s="3" t="str">
        <f>TEXT(Ticket_Table[[#This Row],[raised_date]],"YYYY-MM")</f>
        <v>2021-08</v>
      </c>
      <c r="P1681" s="3" t="str">
        <f>IF(Ticket_Table[[#This Row],[resolution_hrs]]&lt;=4,"Fast",IF(Ticket_Table[[#This Row],[resolution_hrs]]&lt;=24,"Normal",IF(Ticket_Table[[#This Row],[resolution_hrs]]&lt;=48,"Slow","Very Slow")))</f>
        <v>Slow</v>
      </c>
      <c r="Q1681" s="3">
        <f>YEAR(Ticket_Table[[#This Row],[raised_date]])</f>
        <v>2021</v>
      </c>
    </row>
    <row r="1682" spans="1:17">
      <c r="A1682" t="s">
        <v>2242</v>
      </c>
      <c r="B1682" t="s">
        <v>1164</v>
      </c>
      <c r="C1682" t="s">
        <v>82</v>
      </c>
      <c r="D1682" t="s">
        <v>43</v>
      </c>
      <c r="E1682" t="s">
        <v>166</v>
      </c>
      <c r="F1682" t="s">
        <v>22</v>
      </c>
      <c r="G1682" t="s">
        <v>74</v>
      </c>
      <c r="H1682" s="1">
        <v>44218</v>
      </c>
      <c r="I1682" s="2">
        <v>44218.5541666667</v>
      </c>
      <c r="J1682">
        <v>13.3</v>
      </c>
      <c r="K1682" t="s">
        <v>24</v>
      </c>
      <c r="L1682">
        <v>1</v>
      </c>
      <c r="M1682">
        <v>4</v>
      </c>
      <c r="N1682" t="s">
        <v>412</v>
      </c>
      <c r="O1682" s="3" t="str">
        <f>TEXT(Ticket_Table[[#This Row],[raised_date]],"YYYY-MM")</f>
        <v>2021-01</v>
      </c>
      <c r="P1682" s="3" t="str">
        <f>IF(Ticket_Table[[#This Row],[resolution_hrs]]&lt;=4,"Fast",IF(Ticket_Table[[#This Row],[resolution_hrs]]&lt;=24,"Normal",IF(Ticket_Table[[#This Row],[resolution_hrs]]&lt;=48,"Slow","Very Slow")))</f>
        <v>Normal</v>
      </c>
      <c r="Q1682" s="3">
        <f>YEAR(Ticket_Table[[#This Row],[raised_date]])</f>
        <v>2021</v>
      </c>
    </row>
    <row r="1683" spans="1:17">
      <c r="A1683" t="s">
        <v>2243</v>
      </c>
      <c r="B1683" t="s">
        <v>802</v>
      </c>
      <c r="C1683" t="s">
        <v>213</v>
      </c>
      <c r="D1683" t="s">
        <v>36</v>
      </c>
      <c r="E1683" t="s">
        <v>56</v>
      </c>
      <c r="F1683" t="s">
        <v>38</v>
      </c>
      <c r="G1683" t="s">
        <v>23</v>
      </c>
      <c r="H1683" s="1">
        <v>44398</v>
      </c>
      <c r="I1683" s="2">
        <v>44398.1291666667</v>
      </c>
      <c r="J1683">
        <v>3.1</v>
      </c>
      <c r="K1683" t="s">
        <v>24</v>
      </c>
      <c r="L1683">
        <v>0</v>
      </c>
      <c r="M1683">
        <v>3</v>
      </c>
      <c r="N1683" t="s">
        <v>325</v>
      </c>
      <c r="O1683" s="3" t="str">
        <f>TEXT(Ticket_Table[[#This Row],[raised_date]],"YYYY-MM")</f>
        <v>2021-07</v>
      </c>
      <c r="P1683" s="3" t="str">
        <f>IF(Ticket_Table[[#This Row],[resolution_hrs]]&lt;=4,"Fast",IF(Ticket_Table[[#This Row],[resolution_hrs]]&lt;=24,"Normal",IF(Ticket_Table[[#This Row],[resolution_hrs]]&lt;=48,"Slow","Very Slow")))</f>
        <v>Fast</v>
      </c>
      <c r="Q1683" s="3">
        <f>YEAR(Ticket_Table[[#This Row],[raised_date]])</f>
        <v>2021</v>
      </c>
    </row>
    <row r="1684" spans="1:17">
      <c r="A1684" t="s">
        <v>2244</v>
      </c>
      <c r="B1684" t="s">
        <v>442</v>
      </c>
      <c r="C1684" t="s">
        <v>117</v>
      </c>
      <c r="D1684" t="s">
        <v>29</v>
      </c>
      <c r="E1684" t="s">
        <v>83</v>
      </c>
      <c r="F1684" t="s">
        <v>70</v>
      </c>
      <c r="G1684" t="s">
        <v>23</v>
      </c>
      <c r="H1684" s="1">
        <v>44726</v>
      </c>
      <c r="I1684" s="2">
        <v>44727.4166666667</v>
      </c>
      <c r="J1684">
        <v>34</v>
      </c>
      <c r="K1684" t="s">
        <v>24</v>
      </c>
      <c r="L1684">
        <v>0</v>
      </c>
      <c r="M1684">
        <v>3</v>
      </c>
      <c r="N1684" t="s">
        <v>450</v>
      </c>
      <c r="O1684" s="3" t="str">
        <f>TEXT(Ticket_Table[[#This Row],[raised_date]],"YYYY-MM")</f>
        <v>2022-06</v>
      </c>
      <c r="P1684" s="3" t="str">
        <f>IF(Ticket_Table[[#This Row],[resolution_hrs]]&lt;=4,"Fast",IF(Ticket_Table[[#This Row],[resolution_hrs]]&lt;=24,"Normal",IF(Ticket_Table[[#This Row],[resolution_hrs]]&lt;=48,"Slow","Very Slow")))</f>
        <v>Slow</v>
      </c>
      <c r="Q1684" s="3">
        <f>YEAR(Ticket_Table[[#This Row],[raised_date]])</f>
        <v>2022</v>
      </c>
    </row>
    <row r="1685" spans="1:17">
      <c r="A1685" t="s">
        <v>2245</v>
      </c>
      <c r="B1685" t="s">
        <v>499</v>
      </c>
      <c r="C1685" t="s">
        <v>64</v>
      </c>
      <c r="D1685" t="s">
        <v>43</v>
      </c>
      <c r="E1685" t="s">
        <v>69</v>
      </c>
      <c r="F1685" t="s">
        <v>22</v>
      </c>
      <c r="G1685" t="s">
        <v>23</v>
      </c>
      <c r="H1685" s="1">
        <v>44651</v>
      </c>
      <c r="I1685" s="2">
        <v>44652.8583333333</v>
      </c>
      <c r="J1685">
        <v>44.6</v>
      </c>
      <c r="K1685" t="s">
        <v>24</v>
      </c>
      <c r="L1685">
        <v>2</v>
      </c>
      <c r="M1685">
        <v>5</v>
      </c>
      <c r="N1685" t="s">
        <v>1216</v>
      </c>
      <c r="O1685" s="3" t="str">
        <f>TEXT(Ticket_Table[[#This Row],[raised_date]],"YYYY-MM")</f>
        <v>2022-03</v>
      </c>
      <c r="P1685" s="3" t="str">
        <f>IF(Ticket_Table[[#This Row],[resolution_hrs]]&lt;=4,"Fast",IF(Ticket_Table[[#This Row],[resolution_hrs]]&lt;=24,"Normal",IF(Ticket_Table[[#This Row],[resolution_hrs]]&lt;=48,"Slow","Very Slow")))</f>
        <v>Slow</v>
      </c>
      <c r="Q1685" s="3">
        <f>YEAR(Ticket_Table[[#This Row],[raised_date]])</f>
        <v>2022</v>
      </c>
    </row>
    <row r="1686" spans="1:17">
      <c r="A1686" t="s">
        <v>2246</v>
      </c>
      <c r="B1686" t="s">
        <v>387</v>
      </c>
      <c r="C1686" t="s">
        <v>133</v>
      </c>
      <c r="D1686" t="s">
        <v>90</v>
      </c>
      <c r="E1686" t="s">
        <v>21</v>
      </c>
      <c r="F1686" t="s">
        <v>22</v>
      </c>
      <c r="G1686" t="s">
        <v>46</v>
      </c>
      <c r="H1686" s="1">
        <v>45242</v>
      </c>
      <c r="I1686" s="2">
        <v>45244.2</v>
      </c>
      <c r="J1686">
        <v>52.8</v>
      </c>
      <c r="K1686" t="s">
        <v>24</v>
      </c>
      <c r="L1686">
        <v>1</v>
      </c>
      <c r="M1686">
        <v>3</v>
      </c>
      <c r="N1686" t="s">
        <v>805</v>
      </c>
      <c r="O1686" s="3" t="str">
        <f>TEXT(Ticket_Table[[#This Row],[raised_date]],"YYYY-MM")</f>
        <v>2023-11</v>
      </c>
      <c r="P1686" s="3" t="str">
        <f>IF(Ticket_Table[[#This Row],[resolution_hrs]]&lt;=4,"Fast",IF(Ticket_Table[[#This Row],[resolution_hrs]]&lt;=24,"Normal",IF(Ticket_Table[[#This Row],[resolution_hrs]]&lt;=48,"Slow","Very Slow")))</f>
        <v>Very Slow</v>
      </c>
      <c r="Q1686" s="3">
        <f>YEAR(Ticket_Table[[#This Row],[raised_date]])</f>
        <v>2023</v>
      </c>
    </row>
    <row r="1687" spans="1:17">
      <c r="A1687" t="s">
        <v>2247</v>
      </c>
      <c r="B1687" t="s">
        <v>432</v>
      </c>
      <c r="C1687" t="s">
        <v>60</v>
      </c>
      <c r="D1687" t="s">
        <v>20</v>
      </c>
      <c r="E1687" t="s">
        <v>56</v>
      </c>
      <c r="F1687" t="s">
        <v>22</v>
      </c>
      <c r="G1687" t="s">
        <v>31</v>
      </c>
      <c r="H1687" s="1">
        <v>45259</v>
      </c>
      <c r="I1687" s="2">
        <v>45260.8583333333</v>
      </c>
      <c r="J1687">
        <v>44.6</v>
      </c>
      <c r="K1687" t="s">
        <v>24</v>
      </c>
      <c r="L1687">
        <v>0</v>
      </c>
      <c r="M1687">
        <v>4</v>
      </c>
      <c r="N1687" t="s">
        <v>658</v>
      </c>
      <c r="O1687" s="3" t="str">
        <f>TEXT(Ticket_Table[[#This Row],[raised_date]],"YYYY-MM")</f>
        <v>2023-11</v>
      </c>
      <c r="P1687" s="3" t="str">
        <f>IF(Ticket_Table[[#This Row],[resolution_hrs]]&lt;=4,"Fast",IF(Ticket_Table[[#This Row],[resolution_hrs]]&lt;=24,"Normal",IF(Ticket_Table[[#This Row],[resolution_hrs]]&lt;=48,"Slow","Very Slow")))</f>
        <v>Slow</v>
      </c>
      <c r="Q1687" s="3">
        <f>YEAR(Ticket_Table[[#This Row],[raised_date]])</f>
        <v>2023</v>
      </c>
    </row>
    <row r="1688" spans="1:17">
      <c r="A1688" t="s">
        <v>2248</v>
      </c>
      <c r="B1688" t="s">
        <v>544</v>
      </c>
      <c r="C1688" t="s">
        <v>140</v>
      </c>
      <c r="D1688" t="s">
        <v>36</v>
      </c>
      <c r="E1688" t="s">
        <v>37</v>
      </c>
      <c r="F1688" t="s">
        <v>22</v>
      </c>
      <c r="G1688" t="s">
        <v>31</v>
      </c>
      <c r="H1688" s="1">
        <v>44649</v>
      </c>
      <c r="I1688" s="2">
        <v>44650.0833333333</v>
      </c>
      <c r="J1688">
        <v>26</v>
      </c>
      <c r="K1688" t="s">
        <v>24</v>
      </c>
      <c r="L1688">
        <v>2</v>
      </c>
      <c r="M1688">
        <v>4</v>
      </c>
      <c r="N1688" t="s">
        <v>197</v>
      </c>
      <c r="O1688" s="3" t="str">
        <f>TEXT(Ticket_Table[[#This Row],[raised_date]],"YYYY-MM")</f>
        <v>2022-03</v>
      </c>
      <c r="P1688" s="3" t="str">
        <f>IF(Ticket_Table[[#This Row],[resolution_hrs]]&lt;=4,"Fast",IF(Ticket_Table[[#This Row],[resolution_hrs]]&lt;=24,"Normal",IF(Ticket_Table[[#This Row],[resolution_hrs]]&lt;=48,"Slow","Very Slow")))</f>
        <v>Slow</v>
      </c>
      <c r="Q1688" s="3">
        <f>YEAR(Ticket_Table[[#This Row],[raised_date]])</f>
        <v>2022</v>
      </c>
    </row>
    <row r="1689" spans="1:17">
      <c r="A1689" t="s">
        <v>2249</v>
      </c>
      <c r="B1689" t="s">
        <v>658</v>
      </c>
      <c r="C1689" t="s">
        <v>64</v>
      </c>
      <c r="D1689" t="s">
        <v>43</v>
      </c>
      <c r="E1689" t="s">
        <v>51</v>
      </c>
      <c r="F1689" t="s">
        <v>70</v>
      </c>
      <c r="G1689" t="s">
        <v>31</v>
      </c>
      <c r="H1689" s="1">
        <v>45109</v>
      </c>
      <c r="I1689" s="2">
        <v>45111.6625</v>
      </c>
      <c r="J1689">
        <v>63.9</v>
      </c>
      <c r="K1689" t="s">
        <v>32</v>
      </c>
      <c r="L1689">
        <v>0</v>
      </c>
      <c r="M1689">
        <v>2</v>
      </c>
      <c r="N1689" t="s">
        <v>558</v>
      </c>
      <c r="O1689" s="3" t="str">
        <f>TEXT(Ticket_Table[[#This Row],[raised_date]],"YYYY-MM")</f>
        <v>2023-07</v>
      </c>
      <c r="P1689" s="3" t="str">
        <f>IF(Ticket_Table[[#This Row],[resolution_hrs]]&lt;=4,"Fast",IF(Ticket_Table[[#This Row],[resolution_hrs]]&lt;=24,"Normal",IF(Ticket_Table[[#This Row],[resolution_hrs]]&lt;=48,"Slow","Very Slow")))</f>
        <v>Very Slow</v>
      </c>
      <c r="Q1689" s="3">
        <f>YEAR(Ticket_Table[[#This Row],[raised_date]])</f>
        <v>2023</v>
      </c>
    </row>
    <row r="1690" spans="1:17">
      <c r="A1690" t="s">
        <v>2250</v>
      </c>
      <c r="B1690" t="s">
        <v>1348</v>
      </c>
      <c r="C1690" t="s">
        <v>28</v>
      </c>
      <c r="D1690" t="s">
        <v>20</v>
      </c>
      <c r="E1690" t="s">
        <v>69</v>
      </c>
      <c r="F1690" t="s">
        <v>38</v>
      </c>
      <c r="G1690" t="s">
        <v>23</v>
      </c>
      <c r="H1690" s="1">
        <v>44963</v>
      </c>
      <c r="I1690" s="2">
        <v>44963.4333333333</v>
      </c>
      <c r="J1690">
        <v>10.4</v>
      </c>
      <c r="K1690" t="s">
        <v>24</v>
      </c>
      <c r="L1690">
        <v>0</v>
      </c>
      <c r="M1690">
        <v>1</v>
      </c>
      <c r="N1690" t="s">
        <v>1760</v>
      </c>
      <c r="O1690" s="3" t="str">
        <f>TEXT(Ticket_Table[[#This Row],[raised_date]],"YYYY-MM")</f>
        <v>2023-02</v>
      </c>
      <c r="P1690" s="3" t="str">
        <f>IF(Ticket_Table[[#This Row],[resolution_hrs]]&lt;=4,"Fast",IF(Ticket_Table[[#This Row],[resolution_hrs]]&lt;=24,"Normal",IF(Ticket_Table[[#This Row],[resolution_hrs]]&lt;=48,"Slow","Very Slow")))</f>
        <v>Normal</v>
      </c>
      <c r="Q1690" s="3">
        <f>YEAR(Ticket_Table[[#This Row],[raised_date]])</f>
        <v>2023</v>
      </c>
    </row>
    <row r="1691" spans="1:17">
      <c r="A1691" t="s">
        <v>2251</v>
      </c>
      <c r="B1691" t="s">
        <v>152</v>
      </c>
      <c r="C1691" t="s">
        <v>42</v>
      </c>
      <c r="D1691" t="s">
        <v>20</v>
      </c>
      <c r="E1691" t="s">
        <v>166</v>
      </c>
      <c r="F1691" t="s">
        <v>22</v>
      </c>
      <c r="G1691" t="s">
        <v>31</v>
      </c>
      <c r="H1691" s="1">
        <v>44998</v>
      </c>
      <c r="I1691" s="2">
        <v>45002.3375</v>
      </c>
      <c r="J1691">
        <v>104.1</v>
      </c>
      <c r="K1691" t="s">
        <v>32</v>
      </c>
      <c r="L1691">
        <v>1</v>
      </c>
      <c r="M1691">
        <v>3</v>
      </c>
      <c r="N1691" t="s">
        <v>620</v>
      </c>
      <c r="O1691" s="3" t="str">
        <f>TEXT(Ticket_Table[[#This Row],[raised_date]],"YYYY-MM")</f>
        <v>2023-03</v>
      </c>
      <c r="P1691" s="3" t="str">
        <f>IF(Ticket_Table[[#This Row],[resolution_hrs]]&lt;=4,"Fast",IF(Ticket_Table[[#This Row],[resolution_hrs]]&lt;=24,"Normal",IF(Ticket_Table[[#This Row],[resolution_hrs]]&lt;=48,"Slow","Very Slow")))</f>
        <v>Very Slow</v>
      </c>
      <c r="Q1691" s="3">
        <f>YEAR(Ticket_Table[[#This Row],[raised_date]])</f>
        <v>2023</v>
      </c>
    </row>
    <row r="1692" spans="1:17">
      <c r="A1692" t="s">
        <v>2252</v>
      </c>
      <c r="B1692" t="s">
        <v>546</v>
      </c>
      <c r="C1692" t="s">
        <v>175</v>
      </c>
      <c r="D1692" t="s">
        <v>43</v>
      </c>
      <c r="E1692" t="s">
        <v>56</v>
      </c>
      <c r="F1692" t="s">
        <v>22</v>
      </c>
      <c r="G1692" t="s">
        <v>23</v>
      </c>
      <c r="H1692" s="1">
        <v>45145</v>
      </c>
      <c r="I1692" s="2">
        <v>45148.05</v>
      </c>
      <c r="J1692">
        <v>73.2</v>
      </c>
      <c r="K1692" t="s">
        <v>32</v>
      </c>
      <c r="L1692">
        <v>0</v>
      </c>
      <c r="M1692">
        <v>4</v>
      </c>
      <c r="N1692" t="s">
        <v>947</v>
      </c>
      <c r="O1692" s="3" t="str">
        <f>TEXT(Ticket_Table[[#This Row],[raised_date]],"YYYY-MM")</f>
        <v>2023-08</v>
      </c>
      <c r="P1692" s="3" t="str">
        <f>IF(Ticket_Table[[#This Row],[resolution_hrs]]&lt;=4,"Fast",IF(Ticket_Table[[#This Row],[resolution_hrs]]&lt;=24,"Normal",IF(Ticket_Table[[#This Row],[resolution_hrs]]&lt;=48,"Slow","Very Slow")))</f>
        <v>Very Slow</v>
      </c>
      <c r="Q1692" s="3">
        <f>YEAR(Ticket_Table[[#This Row],[raised_date]])</f>
        <v>2023</v>
      </c>
    </row>
    <row r="1693" spans="1:17">
      <c r="A1693" t="s">
        <v>2253</v>
      </c>
      <c r="B1693" t="s">
        <v>899</v>
      </c>
      <c r="C1693" t="s">
        <v>50</v>
      </c>
      <c r="D1693" t="s">
        <v>29</v>
      </c>
      <c r="E1693" t="s">
        <v>69</v>
      </c>
      <c r="F1693" t="s">
        <v>70</v>
      </c>
      <c r="G1693" t="s">
        <v>31</v>
      </c>
      <c r="H1693" s="1">
        <v>45221</v>
      </c>
      <c r="I1693" s="2">
        <v>45221.7708333333</v>
      </c>
      <c r="J1693">
        <v>18.5</v>
      </c>
      <c r="K1693" t="s">
        <v>24</v>
      </c>
      <c r="L1693">
        <v>0</v>
      </c>
      <c r="M1693">
        <v>3</v>
      </c>
      <c r="N1693" t="s">
        <v>560</v>
      </c>
      <c r="O1693" s="3" t="str">
        <f>TEXT(Ticket_Table[[#This Row],[raised_date]],"YYYY-MM")</f>
        <v>2023-10</v>
      </c>
      <c r="P1693" s="3" t="str">
        <f>IF(Ticket_Table[[#This Row],[resolution_hrs]]&lt;=4,"Fast",IF(Ticket_Table[[#This Row],[resolution_hrs]]&lt;=24,"Normal",IF(Ticket_Table[[#This Row],[resolution_hrs]]&lt;=48,"Slow","Very Slow")))</f>
        <v>Normal</v>
      </c>
      <c r="Q1693" s="3">
        <f>YEAR(Ticket_Table[[#This Row],[raised_date]])</f>
        <v>2023</v>
      </c>
    </row>
    <row r="1694" spans="1:17">
      <c r="A1694" t="s">
        <v>2254</v>
      </c>
      <c r="B1694" t="s">
        <v>403</v>
      </c>
      <c r="C1694" t="s">
        <v>42</v>
      </c>
      <c r="D1694" t="s">
        <v>29</v>
      </c>
      <c r="E1694" t="s">
        <v>21</v>
      </c>
      <c r="F1694" t="s">
        <v>38</v>
      </c>
      <c r="G1694" t="s">
        <v>46</v>
      </c>
      <c r="H1694" s="1">
        <v>44505</v>
      </c>
      <c r="I1694" s="2">
        <v>44505.85</v>
      </c>
      <c r="J1694">
        <v>20.4</v>
      </c>
      <c r="K1694" t="s">
        <v>24</v>
      </c>
      <c r="L1694">
        <v>1</v>
      </c>
      <c r="M1694">
        <v>4</v>
      </c>
      <c r="N1694" t="s">
        <v>295</v>
      </c>
      <c r="O1694" s="3" t="str">
        <f>TEXT(Ticket_Table[[#This Row],[raised_date]],"YYYY-MM")</f>
        <v>2021-11</v>
      </c>
      <c r="P1694" s="3" t="str">
        <f>IF(Ticket_Table[[#This Row],[resolution_hrs]]&lt;=4,"Fast",IF(Ticket_Table[[#This Row],[resolution_hrs]]&lt;=24,"Normal",IF(Ticket_Table[[#This Row],[resolution_hrs]]&lt;=48,"Slow","Very Slow")))</f>
        <v>Normal</v>
      </c>
      <c r="Q1694" s="3">
        <f>YEAR(Ticket_Table[[#This Row],[raised_date]])</f>
        <v>2021</v>
      </c>
    </row>
    <row r="1695" spans="1:17">
      <c r="A1695" t="s">
        <v>2255</v>
      </c>
      <c r="B1695" t="s">
        <v>52</v>
      </c>
      <c r="C1695" t="s">
        <v>95</v>
      </c>
      <c r="D1695" t="s">
        <v>36</v>
      </c>
      <c r="E1695" t="s">
        <v>56</v>
      </c>
      <c r="F1695" t="s">
        <v>70</v>
      </c>
      <c r="G1695" t="s">
        <v>31</v>
      </c>
      <c r="H1695" s="1">
        <v>44903</v>
      </c>
      <c r="I1695" s="2">
        <v>44905.3666666667</v>
      </c>
      <c r="J1695">
        <v>56.8</v>
      </c>
      <c r="K1695" t="s">
        <v>32</v>
      </c>
      <c r="L1695">
        <v>0</v>
      </c>
      <c r="M1695">
        <v>4</v>
      </c>
      <c r="N1695" t="s">
        <v>259</v>
      </c>
      <c r="O1695" s="3" t="str">
        <f>TEXT(Ticket_Table[[#This Row],[raised_date]],"YYYY-MM")</f>
        <v>2022-12</v>
      </c>
      <c r="P1695" s="3" t="str">
        <f>IF(Ticket_Table[[#This Row],[resolution_hrs]]&lt;=4,"Fast",IF(Ticket_Table[[#This Row],[resolution_hrs]]&lt;=24,"Normal",IF(Ticket_Table[[#This Row],[resolution_hrs]]&lt;=48,"Slow","Very Slow")))</f>
        <v>Very Slow</v>
      </c>
      <c r="Q1695" s="3">
        <f>YEAR(Ticket_Table[[#This Row],[raised_date]])</f>
        <v>2022</v>
      </c>
    </row>
    <row r="1696" spans="1:17">
      <c r="A1696" t="s">
        <v>2256</v>
      </c>
      <c r="B1696" t="s">
        <v>790</v>
      </c>
      <c r="C1696" t="s">
        <v>175</v>
      </c>
      <c r="D1696" t="s">
        <v>29</v>
      </c>
      <c r="E1696" t="s">
        <v>44</v>
      </c>
      <c r="F1696" t="s">
        <v>70</v>
      </c>
      <c r="G1696" t="s">
        <v>23</v>
      </c>
      <c r="H1696" s="1">
        <v>44247</v>
      </c>
      <c r="I1696" s="2">
        <v>44247.9416666667</v>
      </c>
      <c r="J1696">
        <v>22.6</v>
      </c>
      <c r="K1696" t="s">
        <v>24</v>
      </c>
      <c r="L1696">
        <v>0</v>
      </c>
      <c r="M1696">
        <v>5</v>
      </c>
      <c r="N1696" t="s">
        <v>445</v>
      </c>
      <c r="O1696" s="3" t="str">
        <f>TEXT(Ticket_Table[[#This Row],[raised_date]],"YYYY-MM")</f>
        <v>2021-02</v>
      </c>
      <c r="P1696" s="3" t="str">
        <f>IF(Ticket_Table[[#This Row],[resolution_hrs]]&lt;=4,"Fast",IF(Ticket_Table[[#This Row],[resolution_hrs]]&lt;=24,"Normal",IF(Ticket_Table[[#This Row],[resolution_hrs]]&lt;=48,"Slow","Very Slow")))</f>
        <v>Normal</v>
      </c>
      <c r="Q1696" s="3">
        <f>YEAR(Ticket_Table[[#This Row],[raised_date]])</f>
        <v>2021</v>
      </c>
    </row>
    <row r="1697" spans="1:17">
      <c r="A1697" t="s">
        <v>2257</v>
      </c>
      <c r="B1697" t="s">
        <v>158</v>
      </c>
      <c r="C1697" t="s">
        <v>140</v>
      </c>
      <c r="D1697" t="s">
        <v>36</v>
      </c>
      <c r="E1697" t="s">
        <v>44</v>
      </c>
      <c r="F1697" t="s">
        <v>70</v>
      </c>
      <c r="G1697" t="s">
        <v>31</v>
      </c>
      <c r="H1697" s="1">
        <v>45185</v>
      </c>
      <c r="I1697" s="2">
        <v>45186.2458333333</v>
      </c>
      <c r="J1697">
        <v>29.9</v>
      </c>
      <c r="K1697" t="s">
        <v>24</v>
      </c>
      <c r="L1697">
        <v>0</v>
      </c>
      <c r="M1697">
        <v>2</v>
      </c>
      <c r="N1697" t="s">
        <v>135</v>
      </c>
      <c r="O1697" s="3" t="str">
        <f>TEXT(Ticket_Table[[#This Row],[raised_date]],"YYYY-MM")</f>
        <v>2023-09</v>
      </c>
      <c r="P1697" s="3" t="str">
        <f>IF(Ticket_Table[[#This Row],[resolution_hrs]]&lt;=4,"Fast",IF(Ticket_Table[[#This Row],[resolution_hrs]]&lt;=24,"Normal",IF(Ticket_Table[[#This Row],[resolution_hrs]]&lt;=48,"Slow","Very Slow")))</f>
        <v>Slow</v>
      </c>
      <c r="Q1697" s="3">
        <f>YEAR(Ticket_Table[[#This Row],[raised_date]])</f>
        <v>2023</v>
      </c>
    </row>
    <row r="1698" spans="1:17">
      <c r="A1698" t="s">
        <v>2258</v>
      </c>
      <c r="B1698" t="s">
        <v>678</v>
      </c>
      <c r="C1698" t="s">
        <v>64</v>
      </c>
      <c r="D1698" t="s">
        <v>90</v>
      </c>
      <c r="E1698" t="s">
        <v>56</v>
      </c>
      <c r="F1698" t="s">
        <v>22</v>
      </c>
      <c r="G1698" t="s">
        <v>31</v>
      </c>
      <c r="H1698" s="1">
        <v>44411</v>
      </c>
      <c r="I1698" s="2">
        <v>44411.4166666667</v>
      </c>
      <c r="J1698">
        <v>10</v>
      </c>
      <c r="K1698" t="s">
        <v>24</v>
      </c>
      <c r="L1698">
        <v>0</v>
      </c>
      <c r="M1698">
        <v>4</v>
      </c>
      <c r="N1698" t="s">
        <v>300</v>
      </c>
      <c r="O1698" s="3" t="str">
        <f>TEXT(Ticket_Table[[#This Row],[raised_date]],"YYYY-MM")</f>
        <v>2021-08</v>
      </c>
      <c r="P1698" s="3" t="str">
        <f>IF(Ticket_Table[[#This Row],[resolution_hrs]]&lt;=4,"Fast",IF(Ticket_Table[[#This Row],[resolution_hrs]]&lt;=24,"Normal",IF(Ticket_Table[[#This Row],[resolution_hrs]]&lt;=48,"Slow","Very Slow")))</f>
        <v>Normal</v>
      </c>
      <c r="Q1698" s="3">
        <f>YEAR(Ticket_Table[[#This Row],[raised_date]])</f>
        <v>2021</v>
      </c>
    </row>
    <row r="1699" spans="1:17">
      <c r="A1699" t="s">
        <v>2259</v>
      </c>
      <c r="B1699" t="s">
        <v>67</v>
      </c>
      <c r="C1699" t="s">
        <v>287</v>
      </c>
      <c r="D1699" t="s">
        <v>43</v>
      </c>
      <c r="E1699" t="s">
        <v>56</v>
      </c>
      <c r="F1699" t="s">
        <v>22</v>
      </c>
      <c r="G1699" t="s">
        <v>23</v>
      </c>
      <c r="H1699" s="1">
        <v>44802</v>
      </c>
      <c r="I1699" s="2">
        <v>44804.875</v>
      </c>
      <c r="J1699">
        <v>69</v>
      </c>
      <c r="K1699" t="s">
        <v>24</v>
      </c>
      <c r="L1699">
        <v>0</v>
      </c>
      <c r="M1699">
        <v>2</v>
      </c>
      <c r="N1699" t="s">
        <v>680</v>
      </c>
      <c r="O1699" s="3" t="str">
        <f>TEXT(Ticket_Table[[#This Row],[raised_date]],"YYYY-MM")</f>
        <v>2022-08</v>
      </c>
      <c r="P1699" s="3" t="str">
        <f>IF(Ticket_Table[[#This Row],[resolution_hrs]]&lt;=4,"Fast",IF(Ticket_Table[[#This Row],[resolution_hrs]]&lt;=24,"Normal",IF(Ticket_Table[[#This Row],[resolution_hrs]]&lt;=48,"Slow","Very Slow")))</f>
        <v>Very Slow</v>
      </c>
      <c r="Q1699" s="3">
        <f>YEAR(Ticket_Table[[#This Row],[raised_date]])</f>
        <v>2022</v>
      </c>
    </row>
    <row r="1700" spans="1:17">
      <c r="A1700" t="s">
        <v>2260</v>
      </c>
      <c r="B1700" t="s">
        <v>1578</v>
      </c>
      <c r="C1700" t="s">
        <v>68</v>
      </c>
      <c r="D1700" t="s">
        <v>20</v>
      </c>
      <c r="E1700" t="s">
        <v>44</v>
      </c>
      <c r="F1700" t="s">
        <v>38</v>
      </c>
      <c r="G1700" t="s">
        <v>31</v>
      </c>
      <c r="H1700" s="1">
        <v>45048</v>
      </c>
      <c r="I1700" s="2">
        <v>45048.3375</v>
      </c>
      <c r="J1700">
        <v>8.1</v>
      </c>
      <c r="K1700" t="s">
        <v>24</v>
      </c>
      <c r="L1700">
        <v>1</v>
      </c>
      <c r="M1700">
        <v>3</v>
      </c>
      <c r="N1700" t="s">
        <v>238</v>
      </c>
      <c r="O1700" s="3" t="str">
        <f>TEXT(Ticket_Table[[#This Row],[raised_date]],"YYYY-MM")</f>
        <v>2023-05</v>
      </c>
      <c r="P1700" s="3" t="str">
        <f>IF(Ticket_Table[[#This Row],[resolution_hrs]]&lt;=4,"Fast",IF(Ticket_Table[[#This Row],[resolution_hrs]]&lt;=24,"Normal",IF(Ticket_Table[[#This Row],[resolution_hrs]]&lt;=48,"Slow","Very Slow")))</f>
        <v>Normal</v>
      </c>
      <c r="Q1700" s="3">
        <f>YEAR(Ticket_Table[[#This Row],[raised_date]])</f>
        <v>2023</v>
      </c>
    </row>
    <row r="1701" spans="1:17">
      <c r="A1701" t="s">
        <v>2261</v>
      </c>
      <c r="B1701" t="s">
        <v>99</v>
      </c>
      <c r="C1701" t="s">
        <v>140</v>
      </c>
      <c r="D1701" t="s">
        <v>36</v>
      </c>
      <c r="E1701" t="s">
        <v>37</v>
      </c>
      <c r="F1701" t="s">
        <v>70</v>
      </c>
      <c r="G1701" t="s">
        <v>23</v>
      </c>
      <c r="H1701" s="1">
        <v>44372</v>
      </c>
      <c r="I1701" s="2">
        <v>44374.9041666667</v>
      </c>
      <c r="J1701">
        <v>69.7</v>
      </c>
      <c r="K1701" t="s">
        <v>32</v>
      </c>
      <c r="L1701">
        <v>0</v>
      </c>
      <c r="M1701">
        <v>3</v>
      </c>
      <c r="N1701" t="s">
        <v>680</v>
      </c>
      <c r="O1701" s="3" t="str">
        <f>TEXT(Ticket_Table[[#This Row],[raised_date]],"YYYY-MM")</f>
        <v>2021-06</v>
      </c>
      <c r="P1701" s="3" t="str">
        <f>IF(Ticket_Table[[#This Row],[resolution_hrs]]&lt;=4,"Fast",IF(Ticket_Table[[#This Row],[resolution_hrs]]&lt;=24,"Normal",IF(Ticket_Table[[#This Row],[resolution_hrs]]&lt;=48,"Slow","Very Slow")))</f>
        <v>Very Slow</v>
      </c>
      <c r="Q1701" s="3">
        <f>YEAR(Ticket_Table[[#This Row],[raised_date]])</f>
        <v>2021</v>
      </c>
    </row>
    <row r="1702" spans="1:17">
      <c r="A1702" t="s">
        <v>2262</v>
      </c>
      <c r="B1702" t="s">
        <v>110</v>
      </c>
      <c r="C1702" t="s">
        <v>175</v>
      </c>
      <c r="D1702" t="s">
        <v>29</v>
      </c>
      <c r="E1702" t="s">
        <v>83</v>
      </c>
      <c r="F1702" t="s">
        <v>70</v>
      </c>
      <c r="G1702" t="s">
        <v>91</v>
      </c>
      <c r="H1702" s="1">
        <v>44434</v>
      </c>
      <c r="I1702" s="2">
        <v>44435.1458333333</v>
      </c>
      <c r="J1702">
        <v>27.5</v>
      </c>
      <c r="K1702" t="s">
        <v>24</v>
      </c>
      <c r="L1702">
        <v>1</v>
      </c>
      <c r="M1702">
        <v>4</v>
      </c>
      <c r="N1702" t="s">
        <v>937</v>
      </c>
      <c r="O1702" s="3" t="str">
        <f>TEXT(Ticket_Table[[#This Row],[raised_date]],"YYYY-MM")</f>
        <v>2021-08</v>
      </c>
      <c r="P1702" s="3" t="str">
        <f>IF(Ticket_Table[[#This Row],[resolution_hrs]]&lt;=4,"Fast",IF(Ticket_Table[[#This Row],[resolution_hrs]]&lt;=24,"Normal",IF(Ticket_Table[[#This Row],[resolution_hrs]]&lt;=48,"Slow","Very Slow")))</f>
        <v>Slow</v>
      </c>
      <c r="Q1702" s="3">
        <f>YEAR(Ticket_Table[[#This Row],[raised_date]])</f>
        <v>2021</v>
      </c>
    </row>
    <row r="1703" spans="1:17">
      <c r="A1703" t="s">
        <v>2263</v>
      </c>
      <c r="B1703" t="s">
        <v>608</v>
      </c>
      <c r="C1703" t="s">
        <v>50</v>
      </c>
      <c r="D1703" t="s">
        <v>36</v>
      </c>
      <c r="E1703" t="s">
        <v>51</v>
      </c>
      <c r="F1703" t="s">
        <v>38</v>
      </c>
      <c r="G1703" t="s">
        <v>31</v>
      </c>
      <c r="H1703" s="1">
        <v>44487</v>
      </c>
      <c r="I1703" s="2">
        <v>44488.4791666667</v>
      </c>
      <c r="J1703">
        <v>35.5</v>
      </c>
      <c r="K1703" t="s">
        <v>32</v>
      </c>
      <c r="L1703">
        <v>1</v>
      </c>
      <c r="M1703">
        <v>5</v>
      </c>
      <c r="N1703" t="s">
        <v>280</v>
      </c>
      <c r="O1703" s="3" t="str">
        <f>TEXT(Ticket_Table[[#This Row],[raised_date]],"YYYY-MM")</f>
        <v>2021-10</v>
      </c>
      <c r="P1703" s="3" t="str">
        <f>IF(Ticket_Table[[#This Row],[resolution_hrs]]&lt;=4,"Fast",IF(Ticket_Table[[#This Row],[resolution_hrs]]&lt;=24,"Normal",IF(Ticket_Table[[#This Row],[resolution_hrs]]&lt;=48,"Slow","Very Slow")))</f>
        <v>Slow</v>
      </c>
      <c r="Q1703" s="3">
        <f>YEAR(Ticket_Table[[#This Row],[raised_date]])</f>
        <v>2021</v>
      </c>
    </row>
    <row r="1704" spans="1:17">
      <c r="A1704" t="s">
        <v>2264</v>
      </c>
      <c r="B1704" t="s">
        <v>536</v>
      </c>
      <c r="C1704" t="s">
        <v>140</v>
      </c>
      <c r="D1704" t="s">
        <v>36</v>
      </c>
      <c r="E1704" t="s">
        <v>69</v>
      </c>
      <c r="F1704" t="s">
        <v>38</v>
      </c>
      <c r="G1704" t="s">
        <v>91</v>
      </c>
      <c r="H1704" s="1">
        <v>44910</v>
      </c>
      <c r="I1704" s="2">
        <v>44911.1833333333</v>
      </c>
      <c r="J1704">
        <v>28.4</v>
      </c>
      <c r="K1704" t="s">
        <v>32</v>
      </c>
      <c r="L1704">
        <v>1</v>
      </c>
      <c r="M1704">
        <v>3</v>
      </c>
      <c r="N1704" t="s">
        <v>974</v>
      </c>
      <c r="O1704" s="3" t="str">
        <f>TEXT(Ticket_Table[[#This Row],[raised_date]],"YYYY-MM")</f>
        <v>2022-12</v>
      </c>
      <c r="P1704" s="3" t="str">
        <f>IF(Ticket_Table[[#This Row],[resolution_hrs]]&lt;=4,"Fast",IF(Ticket_Table[[#This Row],[resolution_hrs]]&lt;=24,"Normal",IF(Ticket_Table[[#This Row],[resolution_hrs]]&lt;=48,"Slow","Very Slow")))</f>
        <v>Slow</v>
      </c>
      <c r="Q1704" s="3">
        <f>YEAR(Ticket_Table[[#This Row],[raised_date]])</f>
        <v>2022</v>
      </c>
    </row>
    <row r="1705" spans="1:17">
      <c r="A1705" t="s">
        <v>2265</v>
      </c>
      <c r="B1705" t="s">
        <v>163</v>
      </c>
      <c r="C1705" t="s">
        <v>201</v>
      </c>
      <c r="D1705" t="s">
        <v>29</v>
      </c>
      <c r="E1705" t="s">
        <v>69</v>
      </c>
      <c r="F1705" t="s">
        <v>22</v>
      </c>
      <c r="G1705" t="s">
        <v>74</v>
      </c>
      <c r="H1705" s="1">
        <v>44835</v>
      </c>
      <c r="I1705" s="2">
        <v>44837.4375</v>
      </c>
      <c r="J1705">
        <v>58.5</v>
      </c>
      <c r="K1705" t="s">
        <v>24</v>
      </c>
      <c r="L1705">
        <v>0</v>
      </c>
      <c r="M1705">
        <v>4</v>
      </c>
      <c r="N1705" t="s">
        <v>988</v>
      </c>
      <c r="O1705" s="3" t="str">
        <f>TEXT(Ticket_Table[[#This Row],[raised_date]],"YYYY-MM")</f>
        <v>2022-10</v>
      </c>
      <c r="P1705" s="3" t="str">
        <f>IF(Ticket_Table[[#This Row],[resolution_hrs]]&lt;=4,"Fast",IF(Ticket_Table[[#This Row],[resolution_hrs]]&lt;=24,"Normal",IF(Ticket_Table[[#This Row],[resolution_hrs]]&lt;=48,"Slow","Very Slow")))</f>
        <v>Very Slow</v>
      </c>
      <c r="Q1705" s="3">
        <f>YEAR(Ticket_Table[[#This Row],[raised_date]])</f>
        <v>2022</v>
      </c>
    </row>
    <row r="1706" spans="1:17">
      <c r="A1706" t="s">
        <v>2266</v>
      </c>
      <c r="B1706" t="s">
        <v>614</v>
      </c>
      <c r="C1706" t="s">
        <v>82</v>
      </c>
      <c r="D1706" t="s">
        <v>29</v>
      </c>
      <c r="E1706" t="s">
        <v>166</v>
      </c>
      <c r="F1706" t="s">
        <v>70</v>
      </c>
      <c r="G1706" t="s">
        <v>23</v>
      </c>
      <c r="H1706" s="1">
        <v>44899</v>
      </c>
      <c r="I1706" s="2">
        <v>44900.2958333333</v>
      </c>
      <c r="J1706">
        <v>31.1</v>
      </c>
      <c r="K1706" t="s">
        <v>24</v>
      </c>
      <c r="L1706">
        <v>0</v>
      </c>
      <c r="M1706">
        <v>3</v>
      </c>
      <c r="N1706" t="s">
        <v>468</v>
      </c>
      <c r="O1706" s="3" t="str">
        <f>TEXT(Ticket_Table[[#This Row],[raised_date]],"YYYY-MM")</f>
        <v>2022-12</v>
      </c>
      <c r="P1706" s="3" t="str">
        <f>IF(Ticket_Table[[#This Row],[resolution_hrs]]&lt;=4,"Fast",IF(Ticket_Table[[#This Row],[resolution_hrs]]&lt;=24,"Normal",IF(Ticket_Table[[#This Row],[resolution_hrs]]&lt;=48,"Slow","Very Slow")))</f>
        <v>Slow</v>
      </c>
      <c r="Q1706" s="3">
        <f>YEAR(Ticket_Table[[#This Row],[raised_date]])</f>
        <v>2022</v>
      </c>
    </row>
    <row r="1707" spans="1:17">
      <c r="A1707" t="s">
        <v>2267</v>
      </c>
      <c r="B1707" t="s">
        <v>566</v>
      </c>
      <c r="C1707" t="s">
        <v>287</v>
      </c>
      <c r="D1707" t="s">
        <v>43</v>
      </c>
      <c r="E1707" t="s">
        <v>51</v>
      </c>
      <c r="F1707" t="s">
        <v>22</v>
      </c>
      <c r="G1707" t="s">
        <v>31</v>
      </c>
      <c r="H1707" s="1">
        <v>45129</v>
      </c>
      <c r="I1707" s="2">
        <v>45133.1041666667</v>
      </c>
      <c r="J1707">
        <v>98.5</v>
      </c>
      <c r="K1707" t="s">
        <v>32</v>
      </c>
      <c r="L1707">
        <v>0</v>
      </c>
      <c r="M1707">
        <v>4</v>
      </c>
      <c r="N1707" t="s">
        <v>1243</v>
      </c>
      <c r="O1707" s="3" t="str">
        <f>TEXT(Ticket_Table[[#This Row],[raised_date]],"YYYY-MM")</f>
        <v>2023-07</v>
      </c>
      <c r="P1707" s="3" t="str">
        <f>IF(Ticket_Table[[#This Row],[resolution_hrs]]&lt;=4,"Fast",IF(Ticket_Table[[#This Row],[resolution_hrs]]&lt;=24,"Normal",IF(Ticket_Table[[#This Row],[resolution_hrs]]&lt;=48,"Slow","Very Slow")))</f>
        <v>Very Slow</v>
      </c>
      <c r="Q1707" s="3">
        <f>YEAR(Ticket_Table[[#This Row],[raised_date]])</f>
        <v>2023</v>
      </c>
    </row>
    <row r="1708" spans="1:17">
      <c r="A1708" t="s">
        <v>2268</v>
      </c>
      <c r="B1708" t="s">
        <v>255</v>
      </c>
      <c r="C1708" t="s">
        <v>55</v>
      </c>
      <c r="D1708" t="s">
        <v>20</v>
      </c>
      <c r="E1708" t="s">
        <v>106</v>
      </c>
      <c r="F1708" t="s">
        <v>22</v>
      </c>
      <c r="G1708" t="s">
        <v>31</v>
      </c>
      <c r="H1708" s="1">
        <v>44620</v>
      </c>
      <c r="I1708" s="2">
        <v>44622.0541666667</v>
      </c>
      <c r="J1708">
        <v>49.3</v>
      </c>
      <c r="K1708" t="s">
        <v>24</v>
      </c>
      <c r="L1708">
        <v>1</v>
      </c>
      <c r="M1708">
        <v>3</v>
      </c>
      <c r="N1708" t="s">
        <v>942</v>
      </c>
      <c r="O1708" s="3" t="str">
        <f>TEXT(Ticket_Table[[#This Row],[raised_date]],"YYYY-MM")</f>
        <v>2022-02</v>
      </c>
      <c r="P1708" s="3" t="str">
        <f>IF(Ticket_Table[[#This Row],[resolution_hrs]]&lt;=4,"Fast",IF(Ticket_Table[[#This Row],[resolution_hrs]]&lt;=24,"Normal",IF(Ticket_Table[[#This Row],[resolution_hrs]]&lt;=48,"Slow","Very Slow")))</f>
        <v>Very Slow</v>
      </c>
      <c r="Q1708" s="3">
        <f>YEAR(Ticket_Table[[#This Row],[raised_date]])</f>
        <v>2022</v>
      </c>
    </row>
    <row r="1709" spans="1:17">
      <c r="A1709" t="s">
        <v>2269</v>
      </c>
      <c r="B1709" t="s">
        <v>1011</v>
      </c>
      <c r="C1709" t="s">
        <v>42</v>
      </c>
      <c r="D1709" t="s">
        <v>43</v>
      </c>
      <c r="E1709" t="s">
        <v>44</v>
      </c>
      <c r="F1709" t="s">
        <v>38</v>
      </c>
      <c r="G1709" t="s">
        <v>74</v>
      </c>
      <c r="H1709" s="1">
        <v>45264</v>
      </c>
      <c r="I1709" s="2">
        <v>45264.0416666667</v>
      </c>
      <c r="J1709">
        <v>1</v>
      </c>
      <c r="K1709" t="s">
        <v>24</v>
      </c>
      <c r="L1709">
        <v>0</v>
      </c>
      <c r="M1709">
        <v>4</v>
      </c>
      <c r="N1709" t="s">
        <v>567</v>
      </c>
      <c r="O1709" s="3" t="str">
        <f>TEXT(Ticket_Table[[#This Row],[raised_date]],"YYYY-MM")</f>
        <v>2023-12</v>
      </c>
      <c r="P1709" s="3" t="str">
        <f>IF(Ticket_Table[[#This Row],[resolution_hrs]]&lt;=4,"Fast",IF(Ticket_Table[[#This Row],[resolution_hrs]]&lt;=24,"Normal",IF(Ticket_Table[[#This Row],[resolution_hrs]]&lt;=48,"Slow","Very Slow")))</f>
        <v>Fast</v>
      </c>
      <c r="Q1709" s="3">
        <f>YEAR(Ticket_Table[[#This Row],[raised_date]])</f>
        <v>2023</v>
      </c>
    </row>
    <row r="1710" spans="1:17">
      <c r="A1710" t="s">
        <v>2270</v>
      </c>
      <c r="B1710" t="s">
        <v>273</v>
      </c>
      <c r="C1710" t="s">
        <v>133</v>
      </c>
      <c r="D1710" t="s">
        <v>43</v>
      </c>
      <c r="E1710" t="s">
        <v>106</v>
      </c>
      <c r="F1710" t="s">
        <v>38</v>
      </c>
      <c r="G1710" t="s">
        <v>74</v>
      </c>
      <c r="H1710" s="1">
        <v>45186</v>
      </c>
      <c r="I1710" s="2">
        <v>45186.7208333333</v>
      </c>
      <c r="J1710">
        <v>17.3</v>
      </c>
      <c r="K1710" t="s">
        <v>24</v>
      </c>
      <c r="L1710">
        <v>0</v>
      </c>
      <c r="M1710">
        <v>4</v>
      </c>
      <c r="N1710" t="s">
        <v>49</v>
      </c>
      <c r="O1710" s="3" t="str">
        <f>TEXT(Ticket_Table[[#This Row],[raised_date]],"YYYY-MM")</f>
        <v>2023-09</v>
      </c>
      <c r="P1710" s="3" t="str">
        <f>IF(Ticket_Table[[#This Row],[resolution_hrs]]&lt;=4,"Fast",IF(Ticket_Table[[#This Row],[resolution_hrs]]&lt;=24,"Normal",IF(Ticket_Table[[#This Row],[resolution_hrs]]&lt;=48,"Slow","Very Slow")))</f>
        <v>Normal</v>
      </c>
      <c r="Q1710" s="3">
        <f>YEAR(Ticket_Table[[#This Row],[raised_date]])</f>
        <v>2023</v>
      </c>
    </row>
    <row r="1711" spans="1:17">
      <c r="A1711" t="s">
        <v>2271</v>
      </c>
      <c r="B1711" t="s">
        <v>1013</v>
      </c>
      <c r="C1711" t="s">
        <v>82</v>
      </c>
      <c r="D1711" t="s">
        <v>29</v>
      </c>
      <c r="E1711" t="s">
        <v>21</v>
      </c>
      <c r="F1711" t="s">
        <v>45</v>
      </c>
      <c r="G1711" t="s">
        <v>23</v>
      </c>
      <c r="H1711" s="1">
        <v>44910</v>
      </c>
      <c r="I1711" s="2">
        <v>44910.2125</v>
      </c>
      <c r="J1711">
        <v>5.1</v>
      </c>
      <c r="K1711" t="s">
        <v>32</v>
      </c>
      <c r="L1711">
        <v>0</v>
      </c>
      <c r="M1711">
        <v>4</v>
      </c>
      <c r="N1711" t="s">
        <v>678</v>
      </c>
      <c r="O1711" s="3" t="str">
        <f>TEXT(Ticket_Table[[#This Row],[raised_date]],"YYYY-MM")</f>
        <v>2022-12</v>
      </c>
      <c r="P1711" s="3" t="str">
        <f>IF(Ticket_Table[[#This Row],[resolution_hrs]]&lt;=4,"Fast",IF(Ticket_Table[[#This Row],[resolution_hrs]]&lt;=24,"Normal",IF(Ticket_Table[[#This Row],[resolution_hrs]]&lt;=48,"Slow","Very Slow")))</f>
        <v>Normal</v>
      </c>
      <c r="Q1711" s="3">
        <f>YEAR(Ticket_Table[[#This Row],[raised_date]])</f>
        <v>2022</v>
      </c>
    </row>
    <row r="1712" spans="1:17">
      <c r="A1712" t="s">
        <v>2272</v>
      </c>
      <c r="B1712" t="s">
        <v>152</v>
      </c>
      <c r="C1712" t="s">
        <v>42</v>
      </c>
      <c r="D1712" t="s">
        <v>29</v>
      </c>
      <c r="E1712" t="s">
        <v>51</v>
      </c>
      <c r="F1712" t="s">
        <v>70</v>
      </c>
      <c r="G1712" t="s">
        <v>31</v>
      </c>
      <c r="H1712" s="1">
        <v>45172</v>
      </c>
      <c r="I1712" s="2">
        <v>45172.8958333333</v>
      </c>
      <c r="J1712">
        <v>21.5</v>
      </c>
      <c r="K1712" t="s">
        <v>24</v>
      </c>
      <c r="L1712">
        <v>1</v>
      </c>
      <c r="M1712">
        <v>2</v>
      </c>
      <c r="N1712" t="s">
        <v>391</v>
      </c>
      <c r="O1712" s="3" t="str">
        <f>TEXT(Ticket_Table[[#This Row],[raised_date]],"YYYY-MM")</f>
        <v>2023-09</v>
      </c>
      <c r="P1712" s="3" t="str">
        <f>IF(Ticket_Table[[#This Row],[resolution_hrs]]&lt;=4,"Fast",IF(Ticket_Table[[#This Row],[resolution_hrs]]&lt;=24,"Normal",IF(Ticket_Table[[#This Row],[resolution_hrs]]&lt;=48,"Slow","Very Slow")))</f>
        <v>Normal</v>
      </c>
      <c r="Q1712" s="3">
        <f>YEAR(Ticket_Table[[#This Row],[raised_date]])</f>
        <v>2023</v>
      </c>
    </row>
    <row r="1713" spans="1:17">
      <c r="A1713" t="s">
        <v>2273</v>
      </c>
      <c r="B1713" t="s">
        <v>347</v>
      </c>
      <c r="C1713" t="s">
        <v>55</v>
      </c>
      <c r="D1713" t="s">
        <v>20</v>
      </c>
      <c r="E1713" t="s">
        <v>30</v>
      </c>
      <c r="F1713" t="s">
        <v>22</v>
      </c>
      <c r="G1713" t="s">
        <v>31</v>
      </c>
      <c r="H1713" s="1">
        <v>44396</v>
      </c>
      <c r="I1713" s="2">
        <v>44400.375</v>
      </c>
      <c r="J1713">
        <v>105</v>
      </c>
      <c r="K1713" t="s">
        <v>32</v>
      </c>
      <c r="L1713">
        <v>0</v>
      </c>
      <c r="M1713">
        <v>4</v>
      </c>
      <c r="N1713" t="s">
        <v>529</v>
      </c>
      <c r="O1713" s="3" t="str">
        <f>TEXT(Ticket_Table[[#This Row],[raised_date]],"YYYY-MM")</f>
        <v>2021-07</v>
      </c>
      <c r="P1713" s="3" t="str">
        <f>IF(Ticket_Table[[#This Row],[resolution_hrs]]&lt;=4,"Fast",IF(Ticket_Table[[#This Row],[resolution_hrs]]&lt;=24,"Normal",IF(Ticket_Table[[#This Row],[resolution_hrs]]&lt;=48,"Slow","Very Slow")))</f>
        <v>Very Slow</v>
      </c>
      <c r="Q1713" s="3">
        <f>YEAR(Ticket_Table[[#This Row],[raised_date]])</f>
        <v>2021</v>
      </c>
    </row>
    <row r="1714" spans="1:17">
      <c r="A1714" t="s">
        <v>2274</v>
      </c>
      <c r="B1714" t="s">
        <v>929</v>
      </c>
      <c r="C1714" t="s">
        <v>42</v>
      </c>
      <c r="D1714" t="s">
        <v>36</v>
      </c>
      <c r="E1714" t="s">
        <v>166</v>
      </c>
      <c r="F1714" t="s">
        <v>22</v>
      </c>
      <c r="G1714" t="s">
        <v>23</v>
      </c>
      <c r="H1714" s="1">
        <v>45094</v>
      </c>
      <c r="I1714" s="2">
        <v>45094.0458333333</v>
      </c>
      <c r="J1714">
        <v>1.1</v>
      </c>
      <c r="K1714" t="s">
        <v>24</v>
      </c>
      <c r="L1714">
        <v>3</v>
      </c>
      <c r="M1714">
        <v>4</v>
      </c>
      <c r="N1714" t="s">
        <v>937</v>
      </c>
      <c r="O1714" s="3" t="str">
        <f>TEXT(Ticket_Table[[#This Row],[raised_date]],"YYYY-MM")</f>
        <v>2023-06</v>
      </c>
      <c r="P1714" s="3" t="str">
        <f>IF(Ticket_Table[[#This Row],[resolution_hrs]]&lt;=4,"Fast",IF(Ticket_Table[[#This Row],[resolution_hrs]]&lt;=24,"Normal",IF(Ticket_Table[[#This Row],[resolution_hrs]]&lt;=48,"Slow","Very Slow")))</f>
        <v>Fast</v>
      </c>
      <c r="Q1714" s="3">
        <f>YEAR(Ticket_Table[[#This Row],[raised_date]])</f>
        <v>2023</v>
      </c>
    </row>
    <row r="1715" spans="1:17">
      <c r="A1715" t="s">
        <v>2275</v>
      </c>
      <c r="B1715" t="s">
        <v>1006</v>
      </c>
      <c r="C1715" t="s">
        <v>82</v>
      </c>
      <c r="D1715" t="s">
        <v>43</v>
      </c>
      <c r="E1715" t="s">
        <v>56</v>
      </c>
      <c r="F1715" t="s">
        <v>38</v>
      </c>
      <c r="G1715" t="s">
        <v>74</v>
      </c>
      <c r="H1715" s="1">
        <v>45123</v>
      </c>
      <c r="I1715" s="2">
        <v>45124.4041666667</v>
      </c>
      <c r="J1715">
        <v>33.7</v>
      </c>
      <c r="K1715" t="s">
        <v>32</v>
      </c>
      <c r="L1715">
        <v>0</v>
      </c>
      <c r="M1715">
        <v>2</v>
      </c>
      <c r="N1715" t="s">
        <v>474</v>
      </c>
      <c r="O1715" s="3" t="str">
        <f>TEXT(Ticket_Table[[#This Row],[raised_date]],"YYYY-MM")</f>
        <v>2023-07</v>
      </c>
      <c r="P1715" s="3" t="str">
        <f>IF(Ticket_Table[[#This Row],[resolution_hrs]]&lt;=4,"Fast",IF(Ticket_Table[[#This Row],[resolution_hrs]]&lt;=24,"Normal",IF(Ticket_Table[[#This Row],[resolution_hrs]]&lt;=48,"Slow","Very Slow")))</f>
        <v>Slow</v>
      </c>
      <c r="Q1715" s="3">
        <f>YEAR(Ticket_Table[[#This Row],[raised_date]])</f>
        <v>2023</v>
      </c>
    </row>
    <row r="1716" spans="1:17">
      <c r="A1716" t="s">
        <v>2276</v>
      </c>
      <c r="B1716" t="s">
        <v>614</v>
      </c>
      <c r="C1716" t="s">
        <v>60</v>
      </c>
      <c r="D1716" t="s">
        <v>20</v>
      </c>
      <c r="E1716" t="s">
        <v>21</v>
      </c>
      <c r="F1716" t="s">
        <v>70</v>
      </c>
      <c r="G1716" t="s">
        <v>23</v>
      </c>
      <c r="H1716" s="1">
        <v>44850</v>
      </c>
      <c r="I1716" s="2">
        <v>44851.4666666667</v>
      </c>
      <c r="J1716">
        <v>35.2</v>
      </c>
      <c r="K1716" t="s">
        <v>24</v>
      </c>
      <c r="L1716">
        <v>0</v>
      </c>
      <c r="M1716">
        <v>3</v>
      </c>
      <c r="N1716" t="s">
        <v>552</v>
      </c>
      <c r="O1716" s="3" t="str">
        <f>TEXT(Ticket_Table[[#This Row],[raised_date]],"YYYY-MM")</f>
        <v>2022-10</v>
      </c>
      <c r="P1716" s="3" t="str">
        <f>IF(Ticket_Table[[#This Row],[resolution_hrs]]&lt;=4,"Fast",IF(Ticket_Table[[#This Row],[resolution_hrs]]&lt;=24,"Normal",IF(Ticket_Table[[#This Row],[resolution_hrs]]&lt;=48,"Slow","Very Slow")))</f>
        <v>Slow</v>
      </c>
      <c r="Q1716" s="3">
        <f>YEAR(Ticket_Table[[#This Row],[raised_date]])</f>
        <v>2022</v>
      </c>
    </row>
    <row r="1717" spans="1:17">
      <c r="A1717" t="s">
        <v>2277</v>
      </c>
      <c r="B1717" t="s">
        <v>970</v>
      </c>
      <c r="C1717" t="s">
        <v>50</v>
      </c>
      <c r="D1717" t="s">
        <v>43</v>
      </c>
      <c r="E1717" t="s">
        <v>83</v>
      </c>
      <c r="F1717" t="s">
        <v>70</v>
      </c>
      <c r="G1717" t="s">
        <v>46</v>
      </c>
      <c r="H1717" s="1">
        <v>44334</v>
      </c>
      <c r="I1717" s="2">
        <v>44335.8083333333</v>
      </c>
      <c r="J1717">
        <v>43.4</v>
      </c>
      <c r="K1717" t="s">
        <v>24</v>
      </c>
      <c r="L1717">
        <v>0</v>
      </c>
      <c r="M1717">
        <v>5</v>
      </c>
      <c r="N1717" t="s">
        <v>397</v>
      </c>
      <c r="O1717" s="3" t="str">
        <f>TEXT(Ticket_Table[[#This Row],[raised_date]],"YYYY-MM")</f>
        <v>2021-05</v>
      </c>
      <c r="P1717" s="3" t="str">
        <f>IF(Ticket_Table[[#This Row],[resolution_hrs]]&lt;=4,"Fast",IF(Ticket_Table[[#This Row],[resolution_hrs]]&lt;=24,"Normal",IF(Ticket_Table[[#This Row],[resolution_hrs]]&lt;=48,"Slow","Very Slow")))</f>
        <v>Slow</v>
      </c>
      <c r="Q1717" s="3">
        <f>YEAR(Ticket_Table[[#This Row],[raised_date]])</f>
        <v>2021</v>
      </c>
    </row>
    <row r="1718" spans="1:17">
      <c r="A1718" t="s">
        <v>2278</v>
      </c>
      <c r="B1718" t="s">
        <v>884</v>
      </c>
      <c r="C1718" t="s">
        <v>68</v>
      </c>
      <c r="D1718" t="s">
        <v>36</v>
      </c>
      <c r="E1718" t="s">
        <v>30</v>
      </c>
      <c r="F1718" t="s">
        <v>38</v>
      </c>
      <c r="G1718" t="s">
        <v>31</v>
      </c>
      <c r="H1718" s="1">
        <v>44811</v>
      </c>
      <c r="I1718" s="2">
        <v>44812.2666666667</v>
      </c>
      <c r="J1718">
        <v>30.4</v>
      </c>
      <c r="K1718" t="s">
        <v>32</v>
      </c>
      <c r="L1718">
        <v>0</v>
      </c>
      <c r="M1718">
        <v>5</v>
      </c>
      <c r="N1718" t="s">
        <v>332</v>
      </c>
      <c r="O1718" s="3" t="str">
        <f>TEXT(Ticket_Table[[#This Row],[raised_date]],"YYYY-MM")</f>
        <v>2022-09</v>
      </c>
      <c r="P1718" s="3" t="str">
        <f>IF(Ticket_Table[[#This Row],[resolution_hrs]]&lt;=4,"Fast",IF(Ticket_Table[[#This Row],[resolution_hrs]]&lt;=24,"Normal",IF(Ticket_Table[[#This Row],[resolution_hrs]]&lt;=48,"Slow","Very Slow")))</f>
        <v>Slow</v>
      </c>
      <c r="Q1718" s="3">
        <f>YEAR(Ticket_Table[[#This Row],[raised_date]])</f>
        <v>2022</v>
      </c>
    </row>
    <row r="1719" spans="1:17">
      <c r="A1719" t="s">
        <v>2279</v>
      </c>
      <c r="B1719" t="s">
        <v>808</v>
      </c>
      <c r="C1719" t="s">
        <v>213</v>
      </c>
      <c r="D1719" t="s">
        <v>43</v>
      </c>
      <c r="E1719" t="s">
        <v>51</v>
      </c>
      <c r="F1719" t="s">
        <v>38</v>
      </c>
      <c r="G1719" t="s">
        <v>23</v>
      </c>
      <c r="H1719" s="1">
        <v>44288</v>
      </c>
      <c r="I1719" s="2">
        <v>44288.5958333333</v>
      </c>
      <c r="J1719">
        <v>14.3</v>
      </c>
      <c r="K1719" t="s">
        <v>24</v>
      </c>
      <c r="L1719">
        <v>2</v>
      </c>
      <c r="M1719">
        <v>1</v>
      </c>
      <c r="N1719" t="s">
        <v>751</v>
      </c>
      <c r="O1719" s="3" t="str">
        <f>TEXT(Ticket_Table[[#This Row],[raised_date]],"YYYY-MM")</f>
        <v>2021-04</v>
      </c>
      <c r="P1719" s="3" t="str">
        <f>IF(Ticket_Table[[#This Row],[resolution_hrs]]&lt;=4,"Fast",IF(Ticket_Table[[#This Row],[resolution_hrs]]&lt;=24,"Normal",IF(Ticket_Table[[#This Row],[resolution_hrs]]&lt;=48,"Slow","Very Slow")))</f>
        <v>Normal</v>
      </c>
      <c r="Q1719" s="3">
        <f>YEAR(Ticket_Table[[#This Row],[raised_date]])</f>
        <v>2021</v>
      </c>
    </row>
    <row r="1720" spans="1:17">
      <c r="A1720" t="s">
        <v>2280</v>
      </c>
      <c r="B1720" t="s">
        <v>778</v>
      </c>
      <c r="C1720" t="s">
        <v>117</v>
      </c>
      <c r="D1720" t="s">
        <v>90</v>
      </c>
      <c r="E1720" t="s">
        <v>51</v>
      </c>
      <c r="F1720" t="s">
        <v>38</v>
      </c>
      <c r="G1720" t="s">
        <v>31</v>
      </c>
      <c r="H1720" s="1">
        <v>44432</v>
      </c>
      <c r="I1720" s="2">
        <v>44432.5541666667</v>
      </c>
      <c r="J1720">
        <v>13.3</v>
      </c>
      <c r="K1720" t="s">
        <v>24</v>
      </c>
      <c r="L1720">
        <v>0</v>
      </c>
      <c r="M1720">
        <v>4</v>
      </c>
      <c r="N1720" t="s">
        <v>289</v>
      </c>
      <c r="O1720" s="3" t="str">
        <f>TEXT(Ticket_Table[[#This Row],[raised_date]],"YYYY-MM")</f>
        <v>2021-08</v>
      </c>
      <c r="P1720" s="3" t="str">
        <f>IF(Ticket_Table[[#This Row],[resolution_hrs]]&lt;=4,"Fast",IF(Ticket_Table[[#This Row],[resolution_hrs]]&lt;=24,"Normal",IF(Ticket_Table[[#This Row],[resolution_hrs]]&lt;=48,"Slow","Very Slow")))</f>
        <v>Normal</v>
      </c>
      <c r="Q1720" s="3">
        <f>YEAR(Ticket_Table[[#This Row],[raised_date]])</f>
        <v>2021</v>
      </c>
    </row>
    <row r="1721" spans="1:17">
      <c r="A1721" t="s">
        <v>2281</v>
      </c>
      <c r="B1721" t="s">
        <v>501</v>
      </c>
      <c r="C1721" t="s">
        <v>55</v>
      </c>
      <c r="D1721" t="s">
        <v>20</v>
      </c>
      <c r="E1721" t="s">
        <v>106</v>
      </c>
      <c r="F1721" t="s">
        <v>22</v>
      </c>
      <c r="G1721" t="s">
        <v>31</v>
      </c>
      <c r="H1721" s="1">
        <v>44243</v>
      </c>
      <c r="I1721" s="2">
        <v>44245.8583333333</v>
      </c>
      <c r="J1721">
        <v>68.6</v>
      </c>
      <c r="K1721" t="s">
        <v>24</v>
      </c>
      <c r="L1721">
        <v>0</v>
      </c>
      <c r="M1721">
        <v>4</v>
      </c>
      <c r="N1721" t="s">
        <v>340</v>
      </c>
      <c r="O1721" s="3" t="str">
        <f>TEXT(Ticket_Table[[#This Row],[raised_date]],"YYYY-MM")</f>
        <v>2021-02</v>
      </c>
      <c r="P1721" s="3" t="str">
        <f>IF(Ticket_Table[[#This Row],[resolution_hrs]]&lt;=4,"Fast",IF(Ticket_Table[[#This Row],[resolution_hrs]]&lt;=24,"Normal",IF(Ticket_Table[[#This Row],[resolution_hrs]]&lt;=48,"Slow","Very Slow")))</f>
        <v>Very Slow</v>
      </c>
      <c r="Q1721" s="3">
        <f>YEAR(Ticket_Table[[#This Row],[raised_date]])</f>
        <v>2021</v>
      </c>
    </row>
    <row r="1722" spans="1:17">
      <c r="A1722" t="s">
        <v>2282</v>
      </c>
      <c r="B1722" t="s">
        <v>148</v>
      </c>
      <c r="C1722" t="s">
        <v>140</v>
      </c>
      <c r="D1722" t="s">
        <v>29</v>
      </c>
      <c r="E1722" t="s">
        <v>37</v>
      </c>
      <c r="F1722" t="s">
        <v>38</v>
      </c>
      <c r="G1722" t="s">
        <v>23</v>
      </c>
      <c r="H1722" s="1">
        <v>44899</v>
      </c>
      <c r="I1722" s="2">
        <v>44899.8958333333</v>
      </c>
      <c r="J1722">
        <v>21.5</v>
      </c>
      <c r="K1722" t="s">
        <v>24</v>
      </c>
      <c r="L1722">
        <v>1</v>
      </c>
      <c r="M1722">
        <v>5</v>
      </c>
      <c r="N1722" t="s">
        <v>1180</v>
      </c>
      <c r="O1722" s="3" t="str">
        <f>TEXT(Ticket_Table[[#This Row],[raised_date]],"YYYY-MM")</f>
        <v>2022-12</v>
      </c>
      <c r="P1722" s="3" t="str">
        <f>IF(Ticket_Table[[#This Row],[resolution_hrs]]&lt;=4,"Fast",IF(Ticket_Table[[#This Row],[resolution_hrs]]&lt;=24,"Normal",IF(Ticket_Table[[#This Row],[resolution_hrs]]&lt;=48,"Slow","Very Slow")))</f>
        <v>Normal</v>
      </c>
      <c r="Q1722" s="3">
        <f>YEAR(Ticket_Table[[#This Row],[raised_date]])</f>
        <v>2022</v>
      </c>
    </row>
    <row r="1723" spans="1:17">
      <c r="A1723" t="s">
        <v>2283</v>
      </c>
      <c r="B1723" t="s">
        <v>264</v>
      </c>
      <c r="C1723" t="s">
        <v>60</v>
      </c>
      <c r="D1723" t="s">
        <v>43</v>
      </c>
      <c r="E1723" t="s">
        <v>106</v>
      </c>
      <c r="F1723" t="s">
        <v>38</v>
      </c>
      <c r="G1723" t="s">
        <v>23</v>
      </c>
      <c r="H1723" s="1">
        <v>44420</v>
      </c>
      <c r="I1723" s="2">
        <v>44420.7875</v>
      </c>
      <c r="J1723">
        <v>18.9</v>
      </c>
      <c r="K1723" t="s">
        <v>24</v>
      </c>
      <c r="L1723">
        <v>0</v>
      </c>
      <c r="M1723">
        <v>5</v>
      </c>
      <c r="N1723" t="s">
        <v>52</v>
      </c>
      <c r="O1723" s="3" t="str">
        <f>TEXT(Ticket_Table[[#This Row],[raised_date]],"YYYY-MM")</f>
        <v>2021-08</v>
      </c>
      <c r="P1723" s="3" t="str">
        <f>IF(Ticket_Table[[#This Row],[resolution_hrs]]&lt;=4,"Fast",IF(Ticket_Table[[#This Row],[resolution_hrs]]&lt;=24,"Normal",IF(Ticket_Table[[#This Row],[resolution_hrs]]&lt;=48,"Slow","Very Slow")))</f>
        <v>Normal</v>
      </c>
      <c r="Q1723" s="3">
        <f>YEAR(Ticket_Table[[#This Row],[raised_date]])</f>
        <v>2021</v>
      </c>
    </row>
    <row r="1724" spans="1:17">
      <c r="A1724" t="s">
        <v>2284</v>
      </c>
      <c r="B1724" t="s">
        <v>135</v>
      </c>
      <c r="C1724" t="s">
        <v>42</v>
      </c>
      <c r="D1724" t="s">
        <v>20</v>
      </c>
      <c r="E1724" t="s">
        <v>69</v>
      </c>
      <c r="F1724" t="s">
        <v>22</v>
      </c>
      <c r="G1724" t="s">
        <v>31</v>
      </c>
      <c r="H1724" s="1">
        <v>44533</v>
      </c>
      <c r="I1724" s="2">
        <v>44533.2458333333</v>
      </c>
      <c r="J1724">
        <v>5.9</v>
      </c>
      <c r="K1724" t="s">
        <v>24</v>
      </c>
      <c r="L1724">
        <v>2</v>
      </c>
      <c r="M1724">
        <v>4</v>
      </c>
      <c r="N1724" t="s">
        <v>207</v>
      </c>
      <c r="O1724" s="3" t="str">
        <f>TEXT(Ticket_Table[[#This Row],[raised_date]],"YYYY-MM")</f>
        <v>2021-12</v>
      </c>
      <c r="P1724" s="3" t="str">
        <f>IF(Ticket_Table[[#This Row],[resolution_hrs]]&lt;=4,"Fast",IF(Ticket_Table[[#This Row],[resolution_hrs]]&lt;=24,"Normal",IF(Ticket_Table[[#This Row],[resolution_hrs]]&lt;=48,"Slow","Very Slow")))</f>
        <v>Normal</v>
      </c>
      <c r="Q1724" s="3">
        <f>YEAR(Ticket_Table[[#This Row],[raised_date]])</f>
        <v>2021</v>
      </c>
    </row>
    <row r="1725" spans="1:17">
      <c r="A1725" t="s">
        <v>2285</v>
      </c>
      <c r="B1725" t="s">
        <v>158</v>
      </c>
      <c r="C1725" t="s">
        <v>140</v>
      </c>
      <c r="D1725" t="s">
        <v>20</v>
      </c>
      <c r="E1725" t="s">
        <v>106</v>
      </c>
      <c r="F1725" t="s">
        <v>70</v>
      </c>
      <c r="G1725" t="s">
        <v>23</v>
      </c>
      <c r="H1725" s="1">
        <v>44696</v>
      </c>
      <c r="I1725" s="2">
        <v>44698.2291666667</v>
      </c>
      <c r="J1725">
        <v>53.5</v>
      </c>
      <c r="K1725" t="s">
        <v>32</v>
      </c>
      <c r="L1725">
        <v>0</v>
      </c>
      <c r="M1725">
        <v>2</v>
      </c>
      <c r="N1725" t="s">
        <v>81</v>
      </c>
      <c r="O1725" s="3" t="str">
        <f>TEXT(Ticket_Table[[#This Row],[raised_date]],"YYYY-MM")</f>
        <v>2022-05</v>
      </c>
      <c r="P1725" s="3" t="str">
        <f>IF(Ticket_Table[[#This Row],[resolution_hrs]]&lt;=4,"Fast",IF(Ticket_Table[[#This Row],[resolution_hrs]]&lt;=24,"Normal",IF(Ticket_Table[[#This Row],[resolution_hrs]]&lt;=48,"Slow","Very Slow")))</f>
        <v>Very Slow</v>
      </c>
      <c r="Q1725" s="3">
        <f>YEAR(Ticket_Table[[#This Row],[raised_date]])</f>
        <v>2022</v>
      </c>
    </row>
    <row r="1726" spans="1:17">
      <c r="A1726" t="s">
        <v>2286</v>
      </c>
      <c r="B1726" t="s">
        <v>668</v>
      </c>
      <c r="C1726" t="s">
        <v>201</v>
      </c>
      <c r="D1726" t="s">
        <v>43</v>
      </c>
      <c r="E1726" t="s">
        <v>37</v>
      </c>
      <c r="F1726" t="s">
        <v>70</v>
      </c>
      <c r="G1726" t="s">
        <v>31</v>
      </c>
      <c r="H1726" s="1">
        <v>45253</v>
      </c>
      <c r="I1726" s="2">
        <v>45254.7083333333</v>
      </c>
      <c r="J1726">
        <v>41</v>
      </c>
      <c r="K1726" t="s">
        <v>24</v>
      </c>
      <c r="L1726">
        <v>0</v>
      </c>
      <c r="M1726">
        <v>4</v>
      </c>
      <c r="N1726" t="s">
        <v>298</v>
      </c>
      <c r="O1726" s="3" t="str">
        <f>TEXT(Ticket_Table[[#This Row],[raised_date]],"YYYY-MM")</f>
        <v>2023-11</v>
      </c>
      <c r="P1726" s="3" t="str">
        <f>IF(Ticket_Table[[#This Row],[resolution_hrs]]&lt;=4,"Fast",IF(Ticket_Table[[#This Row],[resolution_hrs]]&lt;=24,"Normal",IF(Ticket_Table[[#This Row],[resolution_hrs]]&lt;=48,"Slow","Very Slow")))</f>
        <v>Slow</v>
      </c>
      <c r="Q1726" s="3">
        <f>YEAR(Ticket_Table[[#This Row],[raised_date]])</f>
        <v>2023</v>
      </c>
    </row>
    <row r="1727" spans="1:17">
      <c r="A1727" t="s">
        <v>2287</v>
      </c>
      <c r="B1727" t="s">
        <v>566</v>
      </c>
      <c r="C1727" t="s">
        <v>78</v>
      </c>
      <c r="D1727" t="s">
        <v>29</v>
      </c>
      <c r="E1727" t="s">
        <v>83</v>
      </c>
      <c r="F1727" t="s">
        <v>45</v>
      </c>
      <c r="G1727" t="s">
        <v>74</v>
      </c>
      <c r="H1727" s="1">
        <v>44554</v>
      </c>
      <c r="I1727" s="2">
        <v>44554.1041666667</v>
      </c>
      <c r="J1727">
        <v>2.5</v>
      </c>
      <c r="K1727" t="s">
        <v>24</v>
      </c>
      <c r="L1727">
        <v>0</v>
      </c>
      <c r="M1727">
        <v>4</v>
      </c>
      <c r="N1727" t="s">
        <v>194</v>
      </c>
      <c r="O1727" s="3" t="str">
        <f>TEXT(Ticket_Table[[#This Row],[raised_date]],"YYYY-MM")</f>
        <v>2021-12</v>
      </c>
      <c r="P1727" s="3" t="str">
        <f>IF(Ticket_Table[[#This Row],[resolution_hrs]]&lt;=4,"Fast",IF(Ticket_Table[[#This Row],[resolution_hrs]]&lt;=24,"Normal",IF(Ticket_Table[[#This Row],[resolution_hrs]]&lt;=48,"Slow","Very Slow")))</f>
        <v>Fast</v>
      </c>
      <c r="Q1727" s="3">
        <f>YEAR(Ticket_Table[[#This Row],[raised_date]])</f>
        <v>2021</v>
      </c>
    </row>
    <row r="1728" spans="1:17">
      <c r="A1728" t="s">
        <v>2288</v>
      </c>
      <c r="B1728" t="s">
        <v>529</v>
      </c>
      <c r="C1728" t="s">
        <v>117</v>
      </c>
      <c r="D1728" t="s">
        <v>29</v>
      </c>
      <c r="E1728" t="s">
        <v>21</v>
      </c>
      <c r="F1728" t="s">
        <v>22</v>
      </c>
      <c r="G1728" t="s">
        <v>31</v>
      </c>
      <c r="H1728" s="1">
        <v>44524</v>
      </c>
      <c r="I1728" s="2">
        <v>44525.8041666667</v>
      </c>
      <c r="J1728">
        <v>43.3</v>
      </c>
      <c r="K1728" t="s">
        <v>24</v>
      </c>
      <c r="L1728">
        <v>1</v>
      </c>
      <c r="M1728">
        <v>5</v>
      </c>
      <c r="N1728" t="s">
        <v>716</v>
      </c>
      <c r="O1728" s="3" t="str">
        <f>TEXT(Ticket_Table[[#This Row],[raised_date]],"YYYY-MM")</f>
        <v>2021-11</v>
      </c>
      <c r="P1728" s="3" t="str">
        <f>IF(Ticket_Table[[#This Row],[resolution_hrs]]&lt;=4,"Fast",IF(Ticket_Table[[#This Row],[resolution_hrs]]&lt;=24,"Normal",IF(Ticket_Table[[#This Row],[resolution_hrs]]&lt;=48,"Slow","Very Slow")))</f>
        <v>Slow</v>
      </c>
      <c r="Q1728" s="3">
        <f>YEAR(Ticket_Table[[#This Row],[raised_date]])</f>
        <v>2021</v>
      </c>
    </row>
    <row r="1729" spans="1:17">
      <c r="A1729" t="s">
        <v>2289</v>
      </c>
      <c r="B1729" t="s">
        <v>496</v>
      </c>
      <c r="C1729" t="s">
        <v>82</v>
      </c>
      <c r="D1729" t="s">
        <v>43</v>
      </c>
      <c r="E1729" t="s">
        <v>44</v>
      </c>
      <c r="F1729" t="s">
        <v>70</v>
      </c>
      <c r="G1729" t="s">
        <v>74</v>
      </c>
      <c r="H1729" s="1">
        <v>44874</v>
      </c>
      <c r="I1729" s="2">
        <v>44874.4041666667</v>
      </c>
      <c r="J1729">
        <v>9.7</v>
      </c>
      <c r="K1729" t="s">
        <v>24</v>
      </c>
      <c r="L1729">
        <v>0</v>
      </c>
      <c r="M1729">
        <v>3</v>
      </c>
      <c r="N1729" t="s">
        <v>787</v>
      </c>
      <c r="O1729" s="3" t="str">
        <f>TEXT(Ticket_Table[[#This Row],[raised_date]],"YYYY-MM")</f>
        <v>2022-11</v>
      </c>
      <c r="P1729" s="3" t="str">
        <f>IF(Ticket_Table[[#This Row],[resolution_hrs]]&lt;=4,"Fast",IF(Ticket_Table[[#This Row],[resolution_hrs]]&lt;=24,"Normal",IF(Ticket_Table[[#This Row],[resolution_hrs]]&lt;=48,"Slow","Very Slow")))</f>
        <v>Normal</v>
      </c>
      <c r="Q1729" s="3">
        <f>YEAR(Ticket_Table[[#This Row],[raised_date]])</f>
        <v>2022</v>
      </c>
    </row>
    <row r="1730" spans="1:17">
      <c r="A1730" t="s">
        <v>2290</v>
      </c>
      <c r="B1730" t="s">
        <v>1833</v>
      </c>
      <c r="C1730" t="s">
        <v>95</v>
      </c>
      <c r="D1730" t="s">
        <v>20</v>
      </c>
      <c r="E1730" t="s">
        <v>51</v>
      </c>
      <c r="F1730" t="s">
        <v>22</v>
      </c>
      <c r="G1730" t="s">
        <v>74</v>
      </c>
      <c r="H1730" s="1">
        <v>45070</v>
      </c>
      <c r="I1730" s="2">
        <v>45070.6625</v>
      </c>
      <c r="J1730">
        <v>15.9</v>
      </c>
      <c r="K1730" t="s">
        <v>24</v>
      </c>
      <c r="L1730">
        <v>3</v>
      </c>
      <c r="M1730">
        <v>4</v>
      </c>
      <c r="N1730" t="s">
        <v>120</v>
      </c>
      <c r="O1730" s="3" t="str">
        <f>TEXT(Ticket_Table[[#This Row],[raised_date]],"YYYY-MM")</f>
        <v>2023-05</v>
      </c>
      <c r="P1730" s="3" t="str">
        <f>IF(Ticket_Table[[#This Row],[resolution_hrs]]&lt;=4,"Fast",IF(Ticket_Table[[#This Row],[resolution_hrs]]&lt;=24,"Normal",IF(Ticket_Table[[#This Row],[resolution_hrs]]&lt;=48,"Slow","Very Slow")))</f>
        <v>Normal</v>
      </c>
      <c r="Q1730" s="3">
        <f>YEAR(Ticket_Table[[#This Row],[raised_date]])</f>
        <v>2023</v>
      </c>
    </row>
    <row r="1731" spans="1:17">
      <c r="A1731" t="s">
        <v>2291</v>
      </c>
      <c r="B1731" t="s">
        <v>462</v>
      </c>
      <c r="C1731" t="s">
        <v>175</v>
      </c>
      <c r="D1731" t="s">
        <v>29</v>
      </c>
      <c r="E1731" t="s">
        <v>56</v>
      </c>
      <c r="F1731" t="s">
        <v>38</v>
      </c>
      <c r="G1731" t="s">
        <v>23</v>
      </c>
      <c r="H1731" s="1">
        <v>45143</v>
      </c>
      <c r="I1731" s="2">
        <v>45143.8541666667</v>
      </c>
      <c r="J1731">
        <v>20.5</v>
      </c>
      <c r="K1731" t="s">
        <v>24</v>
      </c>
      <c r="L1731">
        <v>1</v>
      </c>
      <c r="M1731">
        <v>4</v>
      </c>
      <c r="N1731" t="s">
        <v>370</v>
      </c>
      <c r="O1731" s="3" t="str">
        <f>TEXT(Ticket_Table[[#This Row],[raised_date]],"YYYY-MM")</f>
        <v>2023-08</v>
      </c>
      <c r="P1731" s="3" t="str">
        <f>IF(Ticket_Table[[#This Row],[resolution_hrs]]&lt;=4,"Fast",IF(Ticket_Table[[#This Row],[resolution_hrs]]&lt;=24,"Normal",IF(Ticket_Table[[#This Row],[resolution_hrs]]&lt;=48,"Slow","Very Slow")))</f>
        <v>Normal</v>
      </c>
      <c r="Q1731" s="3">
        <f>YEAR(Ticket_Table[[#This Row],[raised_date]])</f>
        <v>2023</v>
      </c>
    </row>
    <row r="1732" spans="1:17">
      <c r="A1732" t="s">
        <v>2292</v>
      </c>
      <c r="B1732" t="s">
        <v>1582</v>
      </c>
      <c r="C1732" t="s">
        <v>82</v>
      </c>
      <c r="D1732" t="s">
        <v>43</v>
      </c>
      <c r="E1732" t="s">
        <v>106</v>
      </c>
      <c r="F1732" t="s">
        <v>22</v>
      </c>
      <c r="G1732" t="s">
        <v>91</v>
      </c>
      <c r="H1732" s="1">
        <v>44671</v>
      </c>
      <c r="I1732" s="2">
        <v>44672.2875</v>
      </c>
      <c r="J1732">
        <v>30.9</v>
      </c>
      <c r="K1732" t="s">
        <v>24</v>
      </c>
      <c r="L1732">
        <v>2</v>
      </c>
      <c r="M1732">
        <v>2</v>
      </c>
      <c r="N1732" t="s">
        <v>256</v>
      </c>
      <c r="O1732" s="3" t="str">
        <f>TEXT(Ticket_Table[[#This Row],[raised_date]],"YYYY-MM")</f>
        <v>2022-04</v>
      </c>
      <c r="P1732" s="3" t="str">
        <f>IF(Ticket_Table[[#This Row],[resolution_hrs]]&lt;=4,"Fast",IF(Ticket_Table[[#This Row],[resolution_hrs]]&lt;=24,"Normal",IF(Ticket_Table[[#This Row],[resolution_hrs]]&lt;=48,"Slow","Very Slow")))</f>
        <v>Slow</v>
      </c>
      <c r="Q1732" s="3">
        <f>YEAR(Ticket_Table[[#This Row],[raised_date]])</f>
        <v>2022</v>
      </c>
    </row>
    <row r="1733" spans="1:17">
      <c r="A1733" t="s">
        <v>2293</v>
      </c>
      <c r="B1733" t="s">
        <v>169</v>
      </c>
      <c r="C1733" t="s">
        <v>68</v>
      </c>
      <c r="D1733" t="s">
        <v>43</v>
      </c>
      <c r="E1733" t="s">
        <v>30</v>
      </c>
      <c r="F1733" t="s">
        <v>22</v>
      </c>
      <c r="G1733" t="s">
        <v>91</v>
      </c>
      <c r="H1733" s="1">
        <v>45026</v>
      </c>
      <c r="I1733" s="2">
        <v>45027.9666666667</v>
      </c>
      <c r="J1733">
        <v>47.2</v>
      </c>
      <c r="K1733" t="s">
        <v>24</v>
      </c>
      <c r="L1733">
        <v>3</v>
      </c>
      <c r="M1733">
        <v>4</v>
      </c>
      <c r="N1733" t="s">
        <v>52</v>
      </c>
      <c r="O1733" s="3" t="str">
        <f>TEXT(Ticket_Table[[#This Row],[raised_date]],"YYYY-MM")</f>
        <v>2023-04</v>
      </c>
      <c r="P1733" s="3" t="str">
        <f>IF(Ticket_Table[[#This Row],[resolution_hrs]]&lt;=4,"Fast",IF(Ticket_Table[[#This Row],[resolution_hrs]]&lt;=24,"Normal",IF(Ticket_Table[[#This Row],[resolution_hrs]]&lt;=48,"Slow","Very Slow")))</f>
        <v>Slow</v>
      </c>
      <c r="Q1733" s="3">
        <f>YEAR(Ticket_Table[[#This Row],[raised_date]])</f>
        <v>2023</v>
      </c>
    </row>
    <row r="1734" spans="1:17">
      <c r="A1734" t="s">
        <v>2294</v>
      </c>
      <c r="B1734" t="s">
        <v>185</v>
      </c>
      <c r="C1734" t="s">
        <v>287</v>
      </c>
      <c r="D1734" t="s">
        <v>43</v>
      </c>
      <c r="E1734" t="s">
        <v>83</v>
      </c>
      <c r="F1734" t="s">
        <v>70</v>
      </c>
      <c r="G1734" t="s">
        <v>46</v>
      </c>
      <c r="H1734" s="1">
        <v>44574</v>
      </c>
      <c r="I1734" s="2">
        <v>44575.8458333333</v>
      </c>
      <c r="J1734">
        <v>44.3</v>
      </c>
      <c r="K1734" t="s">
        <v>24</v>
      </c>
      <c r="L1734">
        <v>0</v>
      </c>
      <c r="M1734">
        <v>3</v>
      </c>
      <c r="N1734" t="s">
        <v>243</v>
      </c>
      <c r="O1734" s="3" t="str">
        <f>TEXT(Ticket_Table[[#This Row],[raised_date]],"YYYY-MM")</f>
        <v>2022-01</v>
      </c>
      <c r="P1734" s="3" t="str">
        <f>IF(Ticket_Table[[#This Row],[resolution_hrs]]&lt;=4,"Fast",IF(Ticket_Table[[#This Row],[resolution_hrs]]&lt;=24,"Normal",IF(Ticket_Table[[#This Row],[resolution_hrs]]&lt;=48,"Slow","Very Slow")))</f>
        <v>Slow</v>
      </c>
      <c r="Q1734" s="3">
        <f>YEAR(Ticket_Table[[#This Row],[raised_date]])</f>
        <v>2022</v>
      </c>
    </row>
    <row r="1735" spans="1:17">
      <c r="A1735" t="s">
        <v>2295</v>
      </c>
      <c r="B1735" t="s">
        <v>361</v>
      </c>
      <c r="C1735" t="s">
        <v>68</v>
      </c>
      <c r="D1735" t="s">
        <v>20</v>
      </c>
      <c r="E1735" t="s">
        <v>166</v>
      </c>
      <c r="F1735" t="s">
        <v>45</v>
      </c>
      <c r="G1735" t="s">
        <v>46</v>
      </c>
      <c r="H1735" s="1">
        <v>44578</v>
      </c>
      <c r="I1735" s="2">
        <v>44578.2416666667</v>
      </c>
      <c r="J1735">
        <v>5.8</v>
      </c>
      <c r="K1735" t="s">
        <v>32</v>
      </c>
      <c r="L1735">
        <v>0</v>
      </c>
      <c r="M1735">
        <v>4</v>
      </c>
      <c r="N1735" t="s">
        <v>256</v>
      </c>
      <c r="O1735" s="3" t="str">
        <f>TEXT(Ticket_Table[[#This Row],[raised_date]],"YYYY-MM")</f>
        <v>2022-01</v>
      </c>
      <c r="P1735" s="3" t="str">
        <f>IF(Ticket_Table[[#This Row],[resolution_hrs]]&lt;=4,"Fast",IF(Ticket_Table[[#This Row],[resolution_hrs]]&lt;=24,"Normal",IF(Ticket_Table[[#This Row],[resolution_hrs]]&lt;=48,"Slow","Very Slow")))</f>
        <v>Normal</v>
      </c>
      <c r="Q1735" s="3">
        <f>YEAR(Ticket_Table[[#This Row],[raised_date]])</f>
        <v>2022</v>
      </c>
    </row>
    <row r="1736" spans="1:17">
      <c r="A1736" t="s">
        <v>2296</v>
      </c>
      <c r="B1736" t="s">
        <v>391</v>
      </c>
      <c r="C1736" t="s">
        <v>19</v>
      </c>
      <c r="D1736" t="s">
        <v>29</v>
      </c>
      <c r="E1736" t="s">
        <v>51</v>
      </c>
      <c r="F1736" t="s">
        <v>22</v>
      </c>
      <c r="G1736" t="s">
        <v>23</v>
      </c>
      <c r="H1736" s="1">
        <v>45082</v>
      </c>
      <c r="I1736" s="2">
        <v>45083.4625</v>
      </c>
      <c r="J1736">
        <v>35.1</v>
      </c>
      <c r="K1736" t="s">
        <v>24</v>
      </c>
      <c r="L1736">
        <v>0</v>
      </c>
      <c r="M1736">
        <v>4</v>
      </c>
      <c r="N1736" t="s">
        <v>337</v>
      </c>
      <c r="O1736" s="3" t="str">
        <f>TEXT(Ticket_Table[[#This Row],[raised_date]],"YYYY-MM")</f>
        <v>2023-06</v>
      </c>
      <c r="P1736" s="3" t="str">
        <f>IF(Ticket_Table[[#This Row],[resolution_hrs]]&lt;=4,"Fast",IF(Ticket_Table[[#This Row],[resolution_hrs]]&lt;=24,"Normal",IF(Ticket_Table[[#This Row],[resolution_hrs]]&lt;=48,"Slow","Very Slow")))</f>
        <v>Slow</v>
      </c>
      <c r="Q1736" s="3">
        <f>YEAR(Ticket_Table[[#This Row],[raised_date]])</f>
        <v>2023</v>
      </c>
    </row>
    <row r="1737" spans="1:17">
      <c r="A1737" t="s">
        <v>2297</v>
      </c>
      <c r="B1737" t="s">
        <v>1100</v>
      </c>
      <c r="C1737" t="s">
        <v>201</v>
      </c>
      <c r="D1737" t="s">
        <v>20</v>
      </c>
      <c r="E1737" t="s">
        <v>37</v>
      </c>
      <c r="F1737" t="s">
        <v>22</v>
      </c>
      <c r="G1737" t="s">
        <v>23</v>
      </c>
      <c r="H1737" s="1">
        <v>45007</v>
      </c>
      <c r="I1737" s="2">
        <v>45010.0833333333</v>
      </c>
      <c r="J1737">
        <v>74</v>
      </c>
      <c r="K1737" t="s">
        <v>32</v>
      </c>
      <c r="L1737">
        <v>0</v>
      </c>
      <c r="M1737">
        <v>5</v>
      </c>
      <c r="N1737" t="s">
        <v>431</v>
      </c>
      <c r="O1737" s="3" t="str">
        <f>TEXT(Ticket_Table[[#This Row],[raised_date]],"YYYY-MM")</f>
        <v>2023-03</v>
      </c>
      <c r="P1737" s="3" t="str">
        <f>IF(Ticket_Table[[#This Row],[resolution_hrs]]&lt;=4,"Fast",IF(Ticket_Table[[#This Row],[resolution_hrs]]&lt;=24,"Normal",IF(Ticket_Table[[#This Row],[resolution_hrs]]&lt;=48,"Slow","Very Slow")))</f>
        <v>Very Slow</v>
      </c>
      <c r="Q1737" s="3">
        <f>YEAR(Ticket_Table[[#This Row],[raised_date]])</f>
        <v>2023</v>
      </c>
    </row>
    <row r="1738" spans="1:17">
      <c r="A1738" t="s">
        <v>2298</v>
      </c>
      <c r="B1738" t="s">
        <v>158</v>
      </c>
      <c r="C1738" t="s">
        <v>261</v>
      </c>
      <c r="D1738" t="s">
        <v>90</v>
      </c>
      <c r="E1738" t="s">
        <v>69</v>
      </c>
      <c r="F1738" t="s">
        <v>38</v>
      </c>
      <c r="G1738" t="s">
        <v>31</v>
      </c>
      <c r="H1738" s="1">
        <v>44256</v>
      </c>
      <c r="I1738" s="2">
        <v>44256.5416666667</v>
      </c>
      <c r="J1738">
        <v>13</v>
      </c>
      <c r="K1738" t="s">
        <v>24</v>
      </c>
      <c r="L1738">
        <v>0</v>
      </c>
      <c r="M1738">
        <v>5</v>
      </c>
      <c r="N1738" t="s">
        <v>372</v>
      </c>
      <c r="O1738" s="3" t="str">
        <f>TEXT(Ticket_Table[[#This Row],[raised_date]],"YYYY-MM")</f>
        <v>2021-03</v>
      </c>
      <c r="P1738" s="3" t="str">
        <f>IF(Ticket_Table[[#This Row],[resolution_hrs]]&lt;=4,"Fast",IF(Ticket_Table[[#This Row],[resolution_hrs]]&lt;=24,"Normal",IF(Ticket_Table[[#This Row],[resolution_hrs]]&lt;=48,"Slow","Very Slow")))</f>
        <v>Normal</v>
      </c>
      <c r="Q1738" s="3">
        <f>YEAR(Ticket_Table[[#This Row],[raised_date]])</f>
        <v>2021</v>
      </c>
    </row>
    <row r="1739" spans="1:17">
      <c r="A1739" t="s">
        <v>2299</v>
      </c>
      <c r="B1739" t="s">
        <v>926</v>
      </c>
      <c r="C1739" t="s">
        <v>117</v>
      </c>
      <c r="D1739" t="s">
        <v>29</v>
      </c>
      <c r="E1739" t="s">
        <v>37</v>
      </c>
      <c r="F1739" t="s">
        <v>70</v>
      </c>
      <c r="G1739" t="s">
        <v>23</v>
      </c>
      <c r="H1739" s="1">
        <v>44601</v>
      </c>
      <c r="I1739" s="2">
        <v>44601.8166666667</v>
      </c>
      <c r="J1739">
        <v>19.6</v>
      </c>
      <c r="K1739" t="s">
        <v>24</v>
      </c>
      <c r="L1739">
        <v>0</v>
      </c>
      <c r="M1739">
        <v>1</v>
      </c>
      <c r="N1739" t="s">
        <v>857</v>
      </c>
      <c r="O1739" s="3" t="str">
        <f>TEXT(Ticket_Table[[#This Row],[raised_date]],"YYYY-MM")</f>
        <v>2022-02</v>
      </c>
      <c r="P1739" s="3" t="str">
        <f>IF(Ticket_Table[[#This Row],[resolution_hrs]]&lt;=4,"Fast",IF(Ticket_Table[[#This Row],[resolution_hrs]]&lt;=24,"Normal",IF(Ticket_Table[[#This Row],[resolution_hrs]]&lt;=48,"Slow","Very Slow")))</f>
        <v>Normal</v>
      </c>
      <c r="Q1739" s="3">
        <f>YEAR(Ticket_Table[[#This Row],[raised_date]])</f>
        <v>2022</v>
      </c>
    </row>
    <row r="1740" spans="1:17">
      <c r="A1740" t="s">
        <v>2300</v>
      </c>
      <c r="B1740" t="s">
        <v>195</v>
      </c>
      <c r="C1740" t="s">
        <v>19</v>
      </c>
      <c r="D1740" t="s">
        <v>20</v>
      </c>
      <c r="E1740" t="s">
        <v>106</v>
      </c>
      <c r="F1740" t="s">
        <v>45</v>
      </c>
      <c r="G1740" t="s">
        <v>31</v>
      </c>
      <c r="H1740" s="1">
        <v>45117</v>
      </c>
      <c r="I1740" s="2">
        <v>45117.2</v>
      </c>
      <c r="J1740">
        <v>4.8</v>
      </c>
      <c r="K1740" t="s">
        <v>32</v>
      </c>
      <c r="L1740">
        <v>0</v>
      </c>
      <c r="M1740">
        <v>2</v>
      </c>
      <c r="N1740" t="s">
        <v>349</v>
      </c>
      <c r="O1740" s="3" t="str">
        <f>TEXT(Ticket_Table[[#This Row],[raised_date]],"YYYY-MM")</f>
        <v>2023-07</v>
      </c>
      <c r="P1740" s="3" t="str">
        <f>IF(Ticket_Table[[#This Row],[resolution_hrs]]&lt;=4,"Fast",IF(Ticket_Table[[#This Row],[resolution_hrs]]&lt;=24,"Normal",IF(Ticket_Table[[#This Row],[resolution_hrs]]&lt;=48,"Slow","Very Slow")))</f>
        <v>Normal</v>
      </c>
      <c r="Q1740" s="3">
        <f>YEAR(Ticket_Table[[#This Row],[raised_date]])</f>
        <v>2023</v>
      </c>
    </row>
    <row r="1741" spans="1:17">
      <c r="A1741" t="s">
        <v>2301</v>
      </c>
      <c r="B1741" t="s">
        <v>1348</v>
      </c>
      <c r="C1741" t="s">
        <v>68</v>
      </c>
      <c r="D1741" t="s">
        <v>29</v>
      </c>
      <c r="E1741" t="s">
        <v>21</v>
      </c>
      <c r="F1741" t="s">
        <v>22</v>
      </c>
      <c r="G1741" t="s">
        <v>31</v>
      </c>
      <c r="H1741" s="1">
        <v>45076</v>
      </c>
      <c r="I1741" s="2">
        <v>45078.0583333333</v>
      </c>
      <c r="J1741">
        <v>49.4</v>
      </c>
      <c r="K1741" t="s">
        <v>24</v>
      </c>
      <c r="L1741">
        <v>0</v>
      </c>
      <c r="M1741">
        <v>4</v>
      </c>
      <c r="N1741" t="s">
        <v>350</v>
      </c>
      <c r="O1741" s="3" t="str">
        <f>TEXT(Ticket_Table[[#This Row],[raised_date]],"YYYY-MM")</f>
        <v>2023-05</v>
      </c>
      <c r="P1741" s="3" t="str">
        <f>IF(Ticket_Table[[#This Row],[resolution_hrs]]&lt;=4,"Fast",IF(Ticket_Table[[#This Row],[resolution_hrs]]&lt;=24,"Normal",IF(Ticket_Table[[#This Row],[resolution_hrs]]&lt;=48,"Slow","Very Slow")))</f>
        <v>Very Slow</v>
      </c>
      <c r="Q1741" s="3">
        <f>YEAR(Ticket_Table[[#This Row],[raised_date]])</f>
        <v>2023</v>
      </c>
    </row>
    <row r="1742" spans="1:17">
      <c r="A1742" t="s">
        <v>2302</v>
      </c>
      <c r="B1742" t="s">
        <v>1241</v>
      </c>
      <c r="C1742" t="s">
        <v>175</v>
      </c>
      <c r="D1742" t="s">
        <v>90</v>
      </c>
      <c r="E1742" t="s">
        <v>69</v>
      </c>
      <c r="F1742" t="s">
        <v>70</v>
      </c>
      <c r="G1742" t="s">
        <v>23</v>
      </c>
      <c r="H1742" s="1">
        <v>44993</v>
      </c>
      <c r="I1742" s="2">
        <v>44993.7708333333</v>
      </c>
      <c r="J1742">
        <v>18.5</v>
      </c>
      <c r="K1742" t="s">
        <v>24</v>
      </c>
      <c r="L1742">
        <v>0</v>
      </c>
      <c r="M1742">
        <v>4</v>
      </c>
      <c r="N1742" t="s">
        <v>914</v>
      </c>
      <c r="O1742" s="3" t="str">
        <f>TEXT(Ticket_Table[[#This Row],[raised_date]],"YYYY-MM")</f>
        <v>2023-03</v>
      </c>
      <c r="P1742" s="3" t="str">
        <f>IF(Ticket_Table[[#This Row],[resolution_hrs]]&lt;=4,"Fast",IF(Ticket_Table[[#This Row],[resolution_hrs]]&lt;=24,"Normal",IF(Ticket_Table[[#This Row],[resolution_hrs]]&lt;=48,"Slow","Very Slow")))</f>
        <v>Normal</v>
      </c>
      <c r="Q1742" s="3">
        <f>YEAR(Ticket_Table[[#This Row],[raised_date]])</f>
        <v>2023</v>
      </c>
    </row>
    <row r="1743" spans="1:17">
      <c r="A1743" t="s">
        <v>2303</v>
      </c>
      <c r="B1743" t="s">
        <v>310</v>
      </c>
      <c r="C1743" t="s">
        <v>28</v>
      </c>
      <c r="D1743" t="s">
        <v>36</v>
      </c>
      <c r="E1743" t="s">
        <v>30</v>
      </c>
      <c r="F1743" t="s">
        <v>22</v>
      </c>
      <c r="G1743" t="s">
        <v>31</v>
      </c>
      <c r="H1743" s="1">
        <v>44206</v>
      </c>
      <c r="I1743" s="2">
        <v>44210.425</v>
      </c>
      <c r="J1743">
        <v>106.2</v>
      </c>
      <c r="K1743" t="s">
        <v>32</v>
      </c>
      <c r="L1743">
        <v>0</v>
      </c>
      <c r="M1743">
        <v>5</v>
      </c>
      <c r="N1743" t="s">
        <v>378</v>
      </c>
      <c r="O1743" s="3" t="str">
        <f>TEXT(Ticket_Table[[#This Row],[raised_date]],"YYYY-MM")</f>
        <v>2021-01</v>
      </c>
      <c r="P1743" s="3" t="str">
        <f>IF(Ticket_Table[[#This Row],[resolution_hrs]]&lt;=4,"Fast",IF(Ticket_Table[[#This Row],[resolution_hrs]]&lt;=24,"Normal",IF(Ticket_Table[[#This Row],[resolution_hrs]]&lt;=48,"Slow","Very Slow")))</f>
        <v>Very Slow</v>
      </c>
      <c r="Q1743" s="3">
        <f>YEAR(Ticket_Table[[#This Row],[raised_date]])</f>
        <v>2021</v>
      </c>
    </row>
    <row r="1744" spans="1:17">
      <c r="A1744" t="s">
        <v>2304</v>
      </c>
      <c r="B1744" t="s">
        <v>780</v>
      </c>
      <c r="C1744" t="s">
        <v>95</v>
      </c>
      <c r="D1744" t="s">
        <v>43</v>
      </c>
      <c r="E1744" t="s">
        <v>37</v>
      </c>
      <c r="F1744" t="s">
        <v>22</v>
      </c>
      <c r="G1744" t="s">
        <v>46</v>
      </c>
      <c r="H1744" s="1">
        <v>44636</v>
      </c>
      <c r="I1744" s="2">
        <v>44637.5666666667</v>
      </c>
      <c r="J1744">
        <v>37.6</v>
      </c>
      <c r="K1744" t="s">
        <v>24</v>
      </c>
      <c r="L1744">
        <v>0</v>
      </c>
      <c r="M1744">
        <v>3</v>
      </c>
      <c r="N1744" t="s">
        <v>643</v>
      </c>
      <c r="O1744" s="3" t="str">
        <f>TEXT(Ticket_Table[[#This Row],[raised_date]],"YYYY-MM")</f>
        <v>2022-03</v>
      </c>
      <c r="P1744" s="3" t="str">
        <f>IF(Ticket_Table[[#This Row],[resolution_hrs]]&lt;=4,"Fast",IF(Ticket_Table[[#This Row],[resolution_hrs]]&lt;=24,"Normal",IF(Ticket_Table[[#This Row],[resolution_hrs]]&lt;=48,"Slow","Very Slow")))</f>
        <v>Slow</v>
      </c>
      <c r="Q1744" s="3">
        <f>YEAR(Ticket_Table[[#This Row],[raised_date]])</f>
        <v>2022</v>
      </c>
    </row>
    <row r="1745" spans="1:17">
      <c r="A1745" t="s">
        <v>2305</v>
      </c>
      <c r="B1745" t="s">
        <v>2204</v>
      </c>
      <c r="C1745" t="s">
        <v>55</v>
      </c>
      <c r="D1745" t="s">
        <v>20</v>
      </c>
      <c r="E1745" t="s">
        <v>30</v>
      </c>
      <c r="F1745" t="s">
        <v>38</v>
      </c>
      <c r="G1745" t="s">
        <v>46</v>
      </c>
      <c r="H1745" s="1">
        <v>44618</v>
      </c>
      <c r="I1745" s="2">
        <v>44618.7125</v>
      </c>
      <c r="J1745">
        <v>17.1</v>
      </c>
      <c r="K1745" t="s">
        <v>24</v>
      </c>
      <c r="L1745">
        <v>0</v>
      </c>
      <c r="M1745">
        <v>5</v>
      </c>
      <c r="N1745" t="s">
        <v>878</v>
      </c>
      <c r="O1745" s="3" t="str">
        <f>TEXT(Ticket_Table[[#This Row],[raised_date]],"YYYY-MM")</f>
        <v>2022-02</v>
      </c>
      <c r="P1745" s="3" t="str">
        <f>IF(Ticket_Table[[#This Row],[resolution_hrs]]&lt;=4,"Fast",IF(Ticket_Table[[#This Row],[resolution_hrs]]&lt;=24,"Normal",IF(Ticket_Table[[#This Row],[resolution_hrs]]&lt;=48,"Slow","Very Slow")))</f>
        <v>Normal</v>
      </c>
      <c r="Q1745" s="3">
        <f>YEAR(Ticket_Table[[#This Row],[raised_date]])</f>
        <v>2022</v>
      </c>
    </row>
    <row r="1746" spans="1:17">
      <c r="A1746" t="s">
        <v>2306</v>
      </c>
      <c r="B1746" t="s">
        <v>772</v>
      </c>
      <c r="C1746" t="s">
        <v>60</v>
      </c>
      <c r="D1746" t="s">
        <v>90</v>
      </c>
      <c r="E1746" t="s">
        <v>166</v>
      </c>
      <c r="F1746" t="s">
        <v>70</v>
      </c>
      <c r="G1746" t="s">
        <v>31</v>
      </c>
      <c r="H1746" s="1">
        <v>44767</v>
      </c>
      <c r="I1746" s="2">
        <v>44768.8166666667</v>
      </c>
      <c r="J1746">
        <v>43.6</v>
      </c>
      <c r="K1746" t="s">
        <v>24</v>
      </c>
      <c r="L1746">
        <v>0</v>
      </c>
      <c r="M1746">
        <v>4</v>
      </c>
      <c r="N1746" t="s">
        <v>457</v>
      </c>
      <c r="O1746" s="3" t="str">
        <f>TEXT(Ticket_Table[[#This Row],[raised_date]],"YYYY-MM")</f>
        <v>2022-07</v>
      </c>
      <c r="P1746" s="3" t="str">
        <f>IF(Ticket_Table[[#This Row],[resolution_hrs]]&lt;=4,"Fast",IF(Ticket_Table[[#This Row],[resolution_hrs]]&lt;=24,"Normal",IF(Ticket_Table[[#This Row],[resolution_hrs]]&lt;=48,"Slow","Very Slow")))</f>
        <v>Slow</v>
      </c>
      <c r="Q1746" s="3">
        <f>YEAR(Ticket_Table[[#This Row],[raised_date]])</f>
        <v>2022</v>
      </c>
    </row>
    <row r="1747" spans="1:17">
      <c r="A1747" t="s">
        <v>2307</v>
      </c>
      <c r="B1747" t="s">
        <v>746</v>
      </c>
      <c r="C1747" t="s">
        <v>261</v>
      </c>
      <c r="D1747" t="s">
        <v>90</v>
      </c>
      <c r="E1747" t="s">
        <v>30</v>
      </c>
      <c r="F1747" t="s">
        <v>38</v>
      </c>
      <c r="G1747" t="s">
        <v>46</v>
      </c>
      <c r="H1747" s="1">
        <v>44325</v>
      </c>
      <c r="I1747" s="2">
        <v>44325.0666666667</v>
      </c>
      <c r="J1747">
        <v>1.6</v>
      </c>
      <c r="K1747" t="s">
        <v>24</v>
      </c>
      <c r="L1747">
        <v>1</v>
      </c>
      <c r="M1747">
        <v>3</v>
      </c>
      <c r="N1747" t="s">
        <v>389</v>
      </c>
      <c r="O1747" s="3" t="str">
        <f>TEXT(Ticket_Table[[#This Row],[raised_date]],"YYYY-MM")</f>
        <v>2021-05</v>
      </c>
      <c r="P1747" s="3" t="str">
        <f>IF(Ticket_Table[[#This Row],[resolution_hrs]]&lt;=4,"Fast",IF(Ticket_Table[[#This Row],[resolution_hrs]]&lt;=24,"Normal",IF(Ticket_Table[[#This Row],[resolution_hrs]]&lt;=48,"Slow","Very Slow")))</f>
        <v>Fast</v>
      </c>
      <c r="Q1747" s="3">
        <f>YEAR(Ticket_Table[[#This Row],[raised_date]])</f>
        <v>2021</v>
      </c>
    </row>
    <row r="1748" spans="1:17">
      <c r="A1748" t="s">
        <v>2308</v>
      </c>
      <c r="B1748" t="s">
        <v>1061</v>
      </c>
      <c r="C1748" t="s">
        <v>42</v>
      </c>
      <c r="D1748" t="s">
        <v>29</v>
      </c>
      <c r="E1748" t="s">
        <v>51</v>
      </c>
      <c r="F1748" t="s">
        <v>70</v>
      </c>
      <c r="G1748" t="s">
        <v>74</v>
      </c>
      <c r="H1748" s="1">
        <v>44405</v>
      </c>
      <c r="I1748" s="2">
        <v>44407.0875</v>
      </c>
      <c r="J1748">
        <v>50.1</v>
      </c>
      <c r="K1748" t="s">
        <v>32</v>
      </c>
      <c r="L1748">
        <v>0</v>
      </c>
      <c r="M1748">
        <v>1</v>
      </c>
      <c r="N1748" t="s">
        <v>608</v>
      </c>
      <c r="O1748" s="3" t="str">
        <f>TEXT(Ticket_Table[[#This Row],[raised_date]],"YYYY-MM")</f>
        <v>2021-07</v>
      </c>
      <c r="P1748" s="3" t="str">
        <f>IF(Ticket_Table[[#This Row],[resolution_hrs]]&lt;=4,"Fast",IF(Ticket_Table[[#This Row],[resolution_hrs]]&lt;=24,"Normal",IF(Ticket_Table[[#This Row],[resolution_hrs]]&lt;=48,"Slow","Very Slow")))</f>
        <v>Very Slow</v>
      </c>
      <c r="Q1748" s="3">
        <f>YEAR(Ticket_Table[[#This Row],[raised_date]])</f>
        <v>2021</v>
      </c>
    </row>
    <row r="1749" spans="1:17">
      <c r="A1749" t="s">
        <v>2309</v>
      </c>
      <c r="B1749" t="s">
        <v>238</v>
      </c>
      <c r="C1749" t="s">
        <v>42</v>
      </c>
      <c r="D1749" t="s">
        <v>29</v>
      </c>
      <c r="E1749" t="s">
        <v>83</v>
      </c>
      <c r="F1749" t="s">
        <v>70</v>
      </c>
      <c r="G1749" t="s">
        <v>31</v>
      </c>
      <c r="H1749" s="1">
        <v>44579</v>
      </c>
      <c r="I1749" s="2">
        <v>44580.9541666667</v>
      </c>
      <c r="J1749">
        <v>46.9</v>
      </c>
      <c r="K1749" t="s">
        <v>24</v>
      </c>
      <c r="L1749">
        <v>1</v>
      </c>
      <c r="M1749">
        <v>5</v>
      </c>
      <c r="N1749" t="s">
        <v>107</v>
      </c>
      <c r="O1749" s="3" t="str">
        <f>TEXT(Ticket_Table[[#This Row],[raised_date]],"YYYY-MM")</f>
        <v>2022-01</v>
      </c>
      <c r="P1749" s="3" t="str">
        <f>IF(Ticket_Table[[#This Row],[resolution_hrs]]&lt;=4,"Fast",IF(Ticket_Table[[#This Row],[resolution_hrs]]&lt;=24,"Normal",IF(Ticket_Table[[#This Row],[resolution_hrs]]&lt;=48,"Slow","Very Slow")))</f>
        <v>Slow</v>
      </c>
      <c r="Q1749" s="3">
        <f>YEAR(Ticket_Table[[#This Row],[raised_date]])</f>
        <v>2022</v>
      </c>
    </row>
    <row r="1750" spans="1:17">
      <c r="A1750" t="s">
        <v>2310</v>
      </c>
      <c r="B1750" t="s">
        <v>1191</v>
      </c>
      <c r="C1750" t="s">
        <v>117</v>
      </c>
      <c r="D1750" t="s">
        <v>43</v>
      </c>
      <c r="E1750" t="s">
        <v>69</v>
      </c>
      <c r="F1750" t="s">
        <v>70</v>
      </c>
      <c r="G1750" t="s">
        <v>23</v>
      </c>
      <c r="H1750" s="1">
        <v>44946</v>
      </c>
      <c r="I1750" s="2">
        <v>44946.0458333333</v>
      </c>
      <c r="J1750">
        <v>1.1</v>
      </c>
      <c r="K1750" t="s">
        <v>24</v>
      </c>
      <c r="L1750">
        <v>0</v>
      </c>
      <c r="M1750">
        <v>4</v>
      </c>
      <c r="N1750" t="s">
        <v>562</v>
      </c>
      <c r="O1750" s="3" t="str">
        <f>TEXT(Ticket_Table[[#This Row],[raised_date]],"YYYY-MM")</f>
        <v>2023-01</v>
      </c>
      <c r="P1750" s="3" t="str">
        <f>IF(Ticket_Table[[#This Row],[resolution_hrs]]&lt;=4,"Fast",IF(Ticket_Table[[#This Row],[resolution_hrs]]&lt;=24,"Normal",IF(Ticket_Table[[#This Row],[resolution_hrs]]&lt;=48,"Slow","Very Slow")))</f>
        <v>Fast</v>
      </c>
      <c r="Q1750" s="3">
        <f>YEAR(Ticket_Table[[#This Row],[raised_date]])</f>
        <v>2023</v>
      </c>
    </row>
    <row r="1751" spans="1:17">
      <c r="A1751" t="s">
        <v>2311</v>
      </c>
      <c r="B1751" t="s">
        <v>372</v>
      </c>
      <c r="C1751" t="s">
        <v>28</v>
      </c>
      <c r="D1751" t="s">
        <v>29</v>
      </c>
      <c r="E1751" t="s">
        <v>51</v>
      </c>
      <c r="F1751" t="s">
        <v>45</v>
      </c>
      <c r="G1751" t="s">
        <v>23</v>
      </c>
      <c r="H1751" s="1">
        <v>44864</v>
      </c>
      <c r="I1751" s="2">
        <v>44864.1416666667</v>
      </c>
      <c r="J1751">
        <v>3.4</v>
      </c>
      <c r="K1751" t="s">
        <v>24</v>
      </c>
      <c r="L1751">
        <v>0</v>
      </c>
      <c r="M1751">
        <v>5</v>
      </c>
      <c r="N1751" t="s">
        <v>1857</v>
      </c>
      <c r="O1751" s="3" t="str">
        <f>TEXT(Ticket_Table[[#This Row],[raised_date]],"YYYY-MM")</f>
        <v>2022-10</v>
      </c>
      <c r="P1751" s="3" t="str">
        <f>IF(Ticket_Table[[#This Row],[resolution_hrs]]&lt;=4,"Fast",IF(Ticket_Table[[#This Row],[resolution_hrs]]&lt;=24,"Normal",IF(Ticket_Table[[#This Row],[resolution_hrs]]&lt;=48,"Slow","Very Slow")))</f>
        <v>Fast</v>
      </c>
      <c r="Q1751" s="3">
        <f>YEAR(Ticket_Table[[#This Row],[raised_date]])</f>
        <v>2022</v>
      </c>
    </row>
    <row r="1752" spans="1:17">
      <c r="A1752" t="s">
        <v>2312</v>
      </c>
      <c r="B1752" t="s">
        <v>558</v>
      </c>
      <c r="C1752" t="s">
        <v>50</v>
      </c>
      <c r="D1752" t="s">
        <v>20</v>
      </c>
      <c r="E1752" t="s">
        <v>56</v>
      </c>
      <c r="F1752" t="s">
        <v>22</v>
      </c>
      <c r="G1752" t="s">
        <v>31</v>
      </c>
      <c r="H1752" s="1">
        <v>44600</v>
      </c>
      <c r="I1752" s="2">
        <v>44604.0625</v>
      </c>
      <c r="J1752">
        <v>97.5</v>
      </c>
      <c r="K1752" t="s">
        <v>32</v>
      </c>
      <c r="L1752">
        <v>0</v>
      </c>
      <c r="M1752">
        <v>4</v>
      </c>
      <c r="N1752" t="s">
        <v>926</v>
      </c>
      <c r="O1752" s="3" t="str">
        <f>TEXT(Ticket_Table[[#This Row],[raised_date]],"YYYY-MM")</f>
        <v>2022-02</v>
      </c>
      <c r="P1752" s="3" t="str">
        <f>IF(Ticket_Table[[#This Row],[resolution_hrs]]&lt;=4,"Fast",IF(Ticket_Table[[#This Row],[resolution_hrs]]&lt;=24,"Normal",IF(Ticket_Table[[#This Row],[resolution_hrs]]&lt;=48,"Slow","Very Slow")))</f>
        <v>Very Slow</v>
      </c>
      <c r="Q1752" s="3">
        <f>YEAR(Ticket_Table[[#This Row],[raised_date]])</f>
        <v>2022</v>
      </c>
    </row>
    <row r="1753" spans="1:17">
      <c r="A1753" t="s">
        <v>2313</v>
      </c>
      <c r="B1753" t="s">
        <v>47</v>
      </c>
      <c r="C1753" t="s">
        <v>78</v>
      </c>
      <c r="D1753" t="s">
        <v>20</v>
      </c>
      <c r="E1753" t="s">
        <v>37</v>
      </c>
      <c r="F1753" t="s">
        <v>22</v>
      </c>
      <c r="G1753" t="s">
        <v>23</v>
      </c>
      <c r="H1753" s="1">
        <v>45134</v>
      </c>
      <c r="I1753" s="2">
        <v>45137.0416666667</v>
      </c>
      <c r="J1753">
        <v>73</v>
      </c>
      <c r="K1753" t="s">
        <v>32</v>
      </c>
      <c r="L1753">
        <v>0</v>
      </c>
      <c r="M1753">
        <v>2</v>
      </c>
      <c r="N1753" t="s">
        <v>466</v>
      </c>
      <c r="O1753" s="3" t="str">
        <f>TEXT(Ticket_Table[[#This Row],[raised_date]],"YYYY-MM")</f>
        <v>2023-07</v>
      </c>
      <c r="P1753" s="3" t="str">
        <f>IF(Ticket_Table[[#This Row],[resolution_hrs]]&lt;=4,"Fast",IF(Ticket_Table[[#This Row],[resolution_hrs]]&lt;=24,"Normal",IF(Ticket_Table[[#This Row],[resolution_hrs]]&lt;=48,"Slow","Very Slow")))</f>
        <v>Very Slow</v>
      </c>
      <c r="Q1753" s="3">
        <f>YEAR(Ticket_Table[[#This Row],[raised_date]])</f>
        <v>2023</v>
      </c>
    </row>
    <row r="1754" spans="1:17">
      <c r="A1754" t="s">
        <v>2314</v>
      </c>
      <c r="B1754" t="s">
        <v>637</v>
      </c>
      <c r="C1754" t="s">
        <v>117</v>
      </c>
      <c r="D1754" t="s">
        <v>20</v>
      </c>
      <c r="E1754" t="s">
        <v>37</v>
      </c>
      <c r="F1754" t="s">
        <v>70</v>
      </c>
      <c r="G1754" t="s">
        <v>91</v>
      </c>
      <c r="H1754" s="1">
        <v>44430</v>
      </c>
      <c r="I1754" s="2">
        <v>44431.2625</v>
      </c>
      <c r="J1754">
        <v>30.3</v>
      </c>
      <c r="K1754" t="s">
        <v>24</v>
      </c>
      <c r="L1754">
        <v>0</v>
      </c>
      <c r="M1754">
        <v>4</v>
      </c>
      <c r="N1754" t="s">
        <v>529</v>
      </c>
      <c r="O1754" s="3" t="str">
        <f>TEXT(Ticket_Table[[#This Row],[raised_date]],"YYYY-MM")</f>
        <v>2021-08</v>
      </c>
      <c r="P1754" s="3" t="str">
        <f>IF(Ticket_Table[[#This Row],[resolution_hrs]]&lt;=4,"Fast",IF(Ticket_Table[[#This Row],[resolution_hrs]]&lt;=24,"Normal",IF(Ticket_Table[[#This Row],[resolution_hrs]]&lt;=48,"Slow","Very Slow")))</f>
        <v>Slow</v>
      </c>
      <c r="Q1754" s="3">
        <f>YEAR(Ticket_Table[[#This Row],[raised_date]])</f>
        <v>2021</v>
      </c>
    </row>
    <row r="1755" spans="1:17">
      <c r="A1755" t="s">
        <v>2315</v>
      </c>
      <c r="B1755" t="s">
        <v>198</v>
      </c>
      <c r="C1755" t="s">
        <v>117</v>
      </c>
      <c r="D1755" t="s">
        <v>36</v>
      </c>
      <c r="E1755" t="s">
        <v>56</v>
      </c>
      <c r="F1755" t="s">
        <v>70</v>
      </c>
      <c r="G1755" t="s">
        <v>74</v>
      </c>
      <c r="H1755" s="1">
        <v>44734</v>
      </c>
      <c r="I1755" s="2">
        <v>44736.6916666667</v>
      </c>
      <c r="J1755">
        <v>64.6</v>
      </c>
      <c r="K1755" t="s">
        <v>32</v>
      </c>
      <c r="L1755">
        <v>1</v>
      </c>
      <c r="M1755">
        <v>1</v>
      </c>
      <c r="N1755" t="s">
        <v>246</v>
      </c>
      <c r="O1755" s="3" t="str">
        <f>TEXT(Ticket_Table[[#This Row],[raised_date]],"YYYY-MM")</f>
        <v>2022-06</v>
      </c>
      <c r="P1755" s="3" t="str">
        <f>IF(Ticket_Table[[#This Row],[resolution_hrs]]&lt;=4,"Fast",IF(Ticket_Table[[#This Row],[resolution_hrs]]&lt;=24,"Normal",IF(Ticket_Table[[#This Row],[resolution_hrs]]&lt;=48,"Slow","Very Slow")))</f>
        <v>Very Slow</v>
      </c>
      <c r="Q1755" s="3">
        <f>YEAR(Ticket_Table[[#This Row],[raised_date]])</f>
        <v>2022</v>
      </c>
    </row>
    <row r="1756" spans="1:17">
      <c r="A1756" t="s">
        <v>2316</v>
      </c>
      <c r="B1756" t="s">
        <v>778</v>
      </c>
      <c r="C1756" t="s">
        <v>133</v>
      </c>
      <c r="D1756" t="s">
        <v>20</v>
      </c>
      <c r="E1756" t="s">
        <v>30</v>
      </c>
      <c r="F1756" t="s">
        <v>22</v>
      </c>
      <c r="G1756" t="s">
        <v>23</v>
      </c>
      <c r="H1756" s="1">
        <v>45199</v>
      </c>
      <c r="I1756" s="2">
        <v>45202.1791666667</v>
      </c>
      <c r="J1756">
        <v>76.3</v>
      </c>
      <c r="K1756" t="s">
        <v>32</v>
      </c>
      <c r="L1756">
        <v>2</v>
      </c>
      <c r="M1756">
        <v>4</v>
      </c>
      <c r="N1756" t="s">
        <v>270</v>
      </c>
      <c r="O1756" s="3" t="str">
        <f>TEXT(Ticket_Table[[#This Row],[raised_date]],"YYYY-MM")</f>
        <v>2023-09</v>
      </c>
      <c r="P1756" s="3" t="str">
        <f>IF(Ticket_Table[[#This Row],[resolution_hrs]]&lt;=4,"Fast",IF(Ticket_Table[[#This Row],[resolution_hrs]]&lt;=24,"Normal",IF(Ticket_Table[[#This Row],[resolution_hrs]]&lt;=48,"Slow","Very Slow")))</f>
        <v>Very Slow</v>
      </c>
      <c r="Q1756" s="3">
        <f>YEAR(Ticket_Table[[#This Row],[raised_date]])</f>
        <v>2023</v>
      </c>
    </row>
    <row r="1757" spans="1:17">
      <c r="A1757" t="s">
        <v>2317</v>
      </c>
      <c r="B1757" t="s">
        <v>966</v>
      </c>
      <c r="C1757" t="s">
        <v>55</v>
      </c>
      <c r="D1757" t="s">
        <v>29</v>
      </c>
      <c r="E1757" t="s">
        <v>51</v>
      </c>
      <c r="F1757" t="s">
        <v>45</v>
      </c>
      <c r="G1757" t="s">
        <v>31</v>
      </c>
      <c r="H1757" s="1">
        <v>45277</v>
      </c>
      <c r="I1757" s="2">
        <v>45277.2</v>
      </c>
      <c r="J1757">
        <v>4.8</v>
      </c>
      <c r="K1757" t="s">
        <v>32</v>
      </c>
      <c r="L1757">
        <v>2</v>
      </c>
      <c r="M1757">
        <v>3</v>
      </c>
      <c r="N1757" t="s">
        <v>776</v>
      </c>
      <c r="O1757" s="3" t="str">
        <f>TEXT(Ticket_Table[[#This Row],[raised_date]],"YYYY-MM")</f>
        <v>2023-12</v>
      </c>
      <c r="P1757" s="3" t="str">
        <f>IF(Ticket_Table[[#This Row],[resolution_hrs]]&lt;=4,"Fast",IF(Ticket_Table[[#This Row],[resolution_hrs]]&lt;=24,"Normal",IF(Ticket_Table[[#This Row],[resolution_hrs]]&lt;=48,"Slow","Very Slow")))</f>
        <v>Normal</v>
      </c>
      <c r="Q1757" s="3">
        <f>YEAR(Ticket_Table[[#This Row],[raised_date]])</f>
        <v>2023</v>
      </c>
    </row>
    <row r="1758" spans="1:17">
      <c r="A1758" t="s">
        <v>2318</v>
      </c>
      <c r="B1758" t="s">
        <v>857</v>
      </c>
      <c r="C1758" t="s">
        <v>50</v>
      </c>
      <c r="D1758" t="s">
        <v>29</v>
      </c>
      <c r="E1758" t="s">
        <v>69</v>
      </c>
      <c r="F1758" t="s">
        <v>22</v>
      </c>
      <c r="G1758" t="s">
        <v>23</v>
      </c>
      <c r="H1758" s="1">
        <v>44838</v>
      </c>
      <c r="I1758" s="2">
        <v>44840.4416666667</v>
      </c>
      <c r="J1758">
        <v>58.6</v>
      </c>
      <c r="K1758" t="s">
        <v>24</v>
      </c>
      <c r="L1758">
        <v>0</v>
      </c>
      <c r="M1758">
        <v>4</v>
      </c>
      <c r="N1758" t="s">
        <v>458</v>
      </c>
      <c r="O1758" s="3" t="str">
        <f>TEXT(Ticket_Table[[#This Row],[raised_date]],"YYYY-MM")</f>
        <v>2022-10</v>
      </c>
      <c r="P1758" s="3" t="str">
        <f>IF(Ticket_Table[[#This Row],[resolution_hrs]]&lt;=4,"Fast",IF(Ticket_Table[[#This Row],[resolution_hrs]]&lt;=24,"Normal",IF(Ticket_Table[[#This Row],[resolution_hrs]]&lt;=48,"Slow","Very Slow")))</f>
        <v>Very Slow</v>
      </c>
      <c r="Q1758" s="3">
        <f>YEAR(Ticket_Table[[#This Row],[raised_date]])</f>
        <v>2022</v>
      </c>
    </row>
    <row r="1759" spans="1:17">
      <c r="A1759" t="s">
        <v>2319</v>
      </c>
      <c r="B1759" t="s">
        <v>259</v>
      </c>
      <c r="C1759" t="s">
        <v>175</v>
      </c>
      <c r="D1759" t="s">
        <v>20</v>
      </c>
      <c r="E1759" t="s">
        <v>69</v>
      </c>
      <c r="F1759" t="s">
        <v>38</v>
      </c>
      <c r="G1759" t="s">
        <v>31</v>
      </c>
      <c r="H1759" s="1">
        <v>44992</v>
      </c>
      <c r="I1759" s="2">
        <v>44993.1916666667</v>
      </c>
      <c r="J1759">
        <v>28.6</v>
      </c>
      <c r="K1759" t="s">
        <v>32</v>
      </c>
      <c r="L1759">
        <v>0</v>
      </c>
      <c r="M1759">
        <v>4</v>
      </c>
      <c r="N1759" t="s">
        <v>355</v>
      </c>
      <c r="O1759" s="3" t="str">
        <f>TEXT(Ticket_Table[[#This Row],[raised_date]],"YYYY-MM")</f>
        <v>2023-03</v>
      </c>
      <c r="P1759" s="3" t="str">
        <f>IF(Ticket_Table[[#This Row],[resolution_hrs]]&lt;=4,"Fast",IF(Ticket_Table[[#This Row],[resolution_hrs]]&lt;=24,"Normal",IF(Ticket_Table[[#This Row],[resolution_hrs]]&lt;=48,"Slow","Very Slow")))</f>
        <v>Slow</v>
      </c>
      <c r="Q1759" s="3">
        <f>YEAR(Ticket_Table[[#This Row],[raised_date]])</f>
        <v>2023</v>
      </c>
    </row>
    <row r="1760" spans="1:17">
      <c r="A1760" t="s">
        <v>2320</v>
      </c>
      <c r="B1760" t="s">
        <v>365</v>
      </c>
      <c r="C1760" t="s">
        <v>78</v>
      </c>
      <c r="D1760" t="s">
        <v>90</v>
      </c>
      <c r="E1760" t="s">
        <v>56</v>
      </c>
      <c r="F1760" t="s">
        <v>22</v>
      </c>
      <c r="G1760" t="s">
        <v>31</v>
      </c>
      <c r="H1760" s="1">
        <v>45000</v>
      </c>
      <c r="I1760" s="2">
        <v>45002.9375</v>
      </c>
      <c r="J1760">
        <v>70.5</v>
      </c>
      <c r="K1760" t="s">
        <v>24</v>
      </c>
      <c r="L1760">
        <v>0</v>
      </c>
      <c r="M1760">
        <v>3</v>
      </c>
      <c r="N1760" t="s">
        <v>423</v>
      </c>
      <c r="O1760" s="3" t="str">
        <f>TEXT(Ticket_Table[[#This Row],[raised_date]],"YYYY-MM")</f>
        <v>2023-03</v>
      </c>
      <c r="P1760" s="3" t="str">
        <f>IF(Ticket_Table[[#This Row],[resolution_hrs]]&lt;=4,"Fast",IF(Ticket_Table[[#This Row],[resolution_hrs]]&lt;=24,"Normal",IF(Ticket_Table[[#This Row],[resolution_hrs]]&lt;=48,"Slow","Very Slow")))</f>
        <v>Very Slow</v>
      </c>
      <c r="Q1760" s="3">
        <f>YEAR(Ticket_Table[[#This Row],[raised_date]])</f>
        <v>2023</v>
      </c>
    </row>
    <row r="1761" spans="1:17">
      <c r="A1761" t="s">
        <v>2321</v>
      </c>
      <c r="B1761" t="s">
        <v>678</v>
      </c>
      <c r="C1761" t="s">
        <v>28</v>
      </c>
      <c r="D1761" t="s">
        <v>90</v>
      </c>
      <c r="E1761" t="s">
        <v>37</v>
      </c>
      <c r="F1761" t="s">
        <v>38</v>
      </c>
      <c r="G1761" t="s">
        <v>31</v>
      </c>
      <c r="H1761" s="1">
        <v>44430</v>
      </c>
      <c r="I1761" s="2">
        <v>44430.1541666667</v>
      </c>
      <c r="J1761">
        <v>3.7</v>
      </c>
      <c r="K1761" t="s">
        <v>24</v>
      </c>
      <c r="L1761">
        <v>0</v>
      </c>
      <c r="M1761">
        <v>3</v>
      </c>
      <c r="N1761" t="s">
        <v>431</v>
      </c>
      <c r="O1761" s="3" t="str">
        <f>TEXT(Ticket_Table[[#This Row],[raised_date]],"YYYY-MM")</f>
        <v>2021-08</v>
      </c>
      <c r="P1761" s="3" t="str">
        <f>IF(Ticket_Table[[#This Row],[resolution_hrs]]&lt;=4,"Fast",IF(Ticket_Table[[#This Row],[resolution_hrs]]&lt;=24,"Normal",IF(Ticket_Table[[#This Row],[resolution_hrs]]&lt;=48,"Slow","Very Slow")))</f>
        <v>Fast</v>
      </c>
      <c r="Q1761" s="3">
        <f>YEAR(Ticket_Table[[#This Row],[raised_date]])</f>
        <v>2021</v>
      </c>
    </row>
    <row r="1762" spans="1:17">
      <c r="A1762" t="s">
        <v>2322</v>
      </c>
      <c r="B1762" t="s">
        <v>146</v>
      </c>
      <c r="C1762" t="s">
        <v>140</v>
      </c>
      <c r="D1762" t="s">
        <v>90</v>
      </c>
      <c r="E1762" t="s">
        <v>56</v>
      </c>
      <c r="F1762" t="s">
        <v>45</v>
      </c>
      <c r="G1762" t="s">
        <v>23</v>
      </c>
      <c r="H1762" s="1">
        <v>44909</v>
      </c>
      <c r="I1762" s="2">
        <v>44909.05</v>
      </c>
      <c r="J1762">
        <v>1.2</v>
      </c>
      <c r="K1762" t="s">
        <v>24</v>
      </c>
      <c r="L1762">
        <v>1</v>
      </c>
      <c r="M1762">
        <v>4</v>
      </c>
      <c r="N1762" t="s">
        <v>578</v>
      </c>
      <c r="O1762" s="3" t="str">
        <f>TEXT(Ticket_Table[[#This Row],[raised_date]],"YYYY-MM")</f>
        <v>2022-12</v>
      </c>
      <c r="P1762" s="3" t="str">
        <f>IF(Ticket_Table[[#This Row],[resolution_hrs]]&lt;=4,"Fast",IF(Ticket_Table[[#This Row],[resolution_hrs]]&lt;=24,"Normal",IF(Ticket_Table[[#This Row],[resolution_hrs]]&lt;=48,"Slow","Very Slow")))</f>
        <v>Fast</v>
      </c>
      <c r="Q1762" s="3">
        <f>YEAR(Ticket_Table[[#This Row],[raised_date]])</f>
        <v>2022</v>
      </c>
    </row>
    <row r="1763" spans="1:17">
      <c r="A1763" t="s">
        <v>2323</v>
      </c>
      <c r="B1763" t="s">
        <v>323</v>
      </c>
      <c r="C1763" t="s">
        <v>19</v>
      </c>
      <c r="D1763" t="s">
        <v>43</v>
      </c>
      <c r="E1763" t="s">
        <v>166</v>
      </c>
      <c r="F1763" t="s">
        <v>22</v>
      </c>
      <c r="G1763" t="s">
        <v>23</v>
      </c>
      <c r="H1763" s="1">
        <v>44917</v>
      </c>
      <c r="I1763" s="2">
        <v>44920.75</v>
      </c>
      <c r="J1763">
        <v>90</v>
      </c>
      <c r="K1763" t="s">
        <v>32</v>
      </c>
      <c r="L1763">
        <v>0</v>
      </c>
      <c r="M1763">
        <v>5</v>
      </c>
      <c r="N1763" t="s">
        <v>152</v>
      </c>
      <c r="O1763" s="3" t="str">
        <f>TEXT(Ticket_Table[[#This Row],[raised_date]],"YYYY-MM")</f>
        <v>2022-12</v>
      </c>
      <c r="P1763" s="3" t="str">
        <f>IF(Ticket_Table[[#This Row],[resolution_hrs]]&lt;=4,"Fast",IF(Ticket_Table[[#This Row],[resolution_hrs]]&lt;=24,"Normal",IF(Ticket_Table[[#This Row],[resolution_hrs]]&lt;=48,"Slow","Very Slow")))</f>
        <v>Very Slow</v>
      </c>
      <c r="Q1763" s="3">
        <f>YEAR(Ticket_Table[[#This Row],[raised_date]])</f>
        <v>2022</v>
      </c>
    </row>
    <row r="1764" spans="1:17">
      <c r="A1764" t="s">
        <v>2324</v>
      </c>
      <c r="B1764" t="s">
        <v>800</v>
      </c>
      <c r="C1764" t="s">
        <v>102</v>
      </c>
      <c r="D1764" t="s">
        <v>36</v>
      </c>
      <c r="E1764" t="s">
        <v>166</v>
      </c>
      <c r="F1764" t="s">
        <v>45</v>
      </c>
      <c r="G1764" t="s">
        <v>31</v>
      </c>
      <c r="H1764" s="1">
        <v>45134</v>
      </c>
      <c r="I1764" s="2">
        <v>45134.1833333333</v>
      </c>
      <c r="J1764">
        <v>4.4</v>
      </c>
      <c r="K1764" t="s">
        <v>32</v>
      </c>
      <c r="L1764">
        <v>2</v>
      </c>
      <c r="M1764">
        <v>4</v>
      </c>
      <c r="N1764" t="s">
        <v>1474</v>
      </c>
      <c r="O1764" s="3" t="str">
        <f>TEXT(Ticket_Table[[#This Row],[raised_date]],"YYYY-MM")</f>
        <v>2023-07</v>
      </c>
      <c r="P1764" s="3" t="str">
        <f>IF(Ticket_Table[[#This Row],[resolution_hrs]]&lt;=4,"Fast",IF(Ticket_Table[[#This Row],[resolution_hrs]]&lt;=24,"Normal",IF(Ticket_Table[[#This Row],[resolution_hrs]]&lt;=48,"Slow","Very Slow")))</f>
        <v>Normal</v>
      </c>
      <c r="Q1764" s="3">
        <f>YEAR(Ticket_Table[[#This Row],[raised_date]])</f>
        <v>2023</v>
      </c>
    </row>
    <row r="1765" spans="1:17">
      <c r="A1765" t="s">
        <v>2325</v>
      </c>
      <c r="B1765" t="s">
        <v>510</v>
      </c>
      <c r="C1765" t="s">
        <v>19</v>
      </c>
      <c r="D1765" t="s">
        <v>20</v>
      </c>
      <c r="E1765" t="s">
        <v>166</v>
      </c>
      <c r="F1765" t="s">
        <v>70</v>
      </c>
      <c r="G1765" t="s">
        <v>23</v>
      </c>
      <c r="H1765" s="1">
        <v>44550</v>
      </c>
      <c r="I1765" s="2">
        <v>44552.0291666667</v>
      </c>
      <c r="J1765">
        <v>48.7</v>
      </c>
      <c r="K1765" t="s">
        <v>32</v>
      </c>
      <c r="L1765">
        <v>0</v>
      </c>
      <c r="M1765">
        <v>4</v>
      </c>
      <c r="N1765" t="s">
        <v>290</v>
      </c>
      <c r="O1765" s="3" t="str">
        <f>TEXT(Ticket_Table[[#This Row],[raised_date]],"YYYY-MM")</f>
        <v>2021-12</v>
      </c>
      <c r="P1765" s="3" t="str">
        <f>IF(Ticket_Table[[#This Row],[resolution_hrs]]&lt;=4,"Fast",IF(Ticket_Table[[#This Row],[resolution_hrs]]&lt;=24,"Normal",IF(Ticket_Table[[#This Row],[resolution_hrs]]&lt;=48,"Slow","Very Slow")))</f>
        <v>Very Slow</v>
      </c>
      <c r="Q1765" s="3">
        <f>YEAR(Ticket_Table[[#This Row],[raised_date]])</f>
        <v>2021</v>
      </c>
    </row>
    <row r="1766" spans="1:17">
      <c r="A1766" t="s">
        <v>2326</v>
      </c>
      <c r="B1766" t="s">
        <v>237</v>
      </c>
      <c r="C1766" t="s">
        <v>133</v>
      </c>
      <c r="D1766" t="s">
        <v>43</v>
      </c>
      <c r="E1766" t="s">
        <v>44</v>
      </c>
      <c r="F1766" t="s">
        <v>45</v>
      </c>
      <c r="G1766" t="s">
        <v>31</v>
      </c>
      <c r="H1766" s="1">
        <v>44806</v>
      </c>
      <c r="I1766" s="2">
        <v>44806.1166666667</v>
      </c>
      <c r="J1766">
        <v>2.8</v>
      </c>
      <c r="K1766" t="s">
        <v>24</v>
      </c>
      <c r="L1766">
        <v>0</v>
      </c>
      <c r="M1766">
        <v>2</v>
      </c>
      <c r="N1766" t="s">
        <v>1100</v>
      </c>
      <c r="O1766" s="3" t="str">
        <f>TEXT(Ticket_Table[[#This Row],[raised_date]],"YYYY-MM")</f>
        <v>2022-09</v>
      </c>
      <c r="P1766" s="3" t="str">
        <f>IF(Ticket_Table[[#This Row],[resolution_hrs]]&lt;=4,"Fast",IF(Ticket_Table[[#This Row],[resolution_hrs]]&lt;=24,"Normal",IF(Ticket_Table[[#This Row],[resolution_hrs]]&lt;=48,"Slow","Very Slow")))</f>
        <v>Fast</v>
      </c>
      <c r="Q1766" s="3">
        <f>YEAR(Ticket_Table[[#This Row],[raised_date]])</f>
        <v>2022</v>
      </c>
    </row>
    <row r="1767" spans="1:17">
      <c r="A1767" t="s">
        <v>2327</v>
      </c>
      <c r="B1767" t="s">
        <v>664</v>
      </c>
      <c r="C1767" t="s">
        <v>175</v>
      </c>
      <c r="D1767" t="s">
        <v>90</v>
      </c>
      <c r="E1767" t="s">
        <v>83</v>
      </c>
      <c r="F1767" t="s">
        <v>38</v>
      </c>
      <c r="G1767" t="s">
        <v>23</v>
      </c>
      <c r="H1767" s="1">
        <v>44370</v>
      </c>
      <c r="I1767" s="2">
        <v>44371.225</v>
      </c>
      <c r="J1767">
        <v>29.4</v>
      </c>
      <c r="K1767" t="s">
        <v>32</v>
      </c>
      <c r="L1767">
        <v>2</v>
      </c>
      <c r="M1767">
        <v>3</v>
      </c>
      <c r="N1767" t="s">
        <v>594</v>
      </c>
      <c r="O1767" s="3" t="str">
        <f>TEXT(Ticket_Table[[#This Row],[raised_date]],"YYYY-MM")</f>
        <v>2021-06</v>
      </c>
      <c r="P1767" s="3" t="str">
        <f>IF(Ticket_Table[[#This Row],[resolution_hrs]]&lt;=4,"Fast",IF(Ticket_Table[[#This Row],[resolution_hrs]]&lt;=24,"Normal",IF(Ticket_Table[[#This Row],[resolution_hrs]]&lt;=48,"Slow","Very Slow")))</f>
        <v>Slow</v>
      </c>
      <c r="Q1767" s="3">
        <f>YEAR(Ticket_Table[[#This Row],[raised_date]])</f>
        <v>2021</v>
      </c>
    </row>
    <row r="1768" spans="1:17">
      <c r="A1768" t="s">
        <v>2328</v>
      </c>
      <c r="B1768" t="s">
        <v>652</v>
      </c>
      <c r="C1768" t="s">
        <v>140</v>
      </c>
      <c r="D1768" t="s">
        <v>20</v>
      </c>
      <c r="E1768" t="s">
        <v>21</v>
      </c>
      <c r="F1768" t="s">
        <v>70</v>
      </c>
      <c r="G1768" t="s">
        <v>46</v>
      </c>
      <c r="H1768" s="1">
        <v>44471</v>
      </c>
      <c r="I1768" s="2">
        <v>44473.4916666667</v>
      </c>
      <c r="J1768">
        <v>59.8</v>
      </c>
      <c r="K1768" t="s">
        <v>32</v>
      </c>
      <c r="L1768">
        <v>2</v>
      </c>
      <c r="M1768">
        <v>4</v>
      </c>
      <c r="N1768" t="s">
        <v>860</v>
      </c>
      <c r="O1768" s="3" t="str">
        <f>TEXT(Ticket_Table[[#This Row],[raised_date]],"YYYY-MM")</f>
        <v>2021-10</v>
      </c>
      <c r="P1768" s="3" t="str">
        <f>IF(Ticket_Table[[#This Row],[resolution_hrs]]&lt;=4,"Fast",IF(Ticket_Table[[#This Row],[resolution_hrs]]&lt;=24,"Normal",IF(Ticket_Table[[#This Row],[resolution_hrs]]&lt;=48,"Slow","Very Slow")))</f>
        <v>Very Slow</v>
      </c>
      <c r="Q1768" s="3">
        <f>YEAR(Ticket_Table[[#This Row],[raised_date]])</f>
        <v>2021</v>
      </c>
    </row>
    <row r="1769" spans="1:17">
      <c r="A1769" t="s">
        <v>2329</v>
      </c>
      <c r="B1769" t="s">
        <v>772</v>
      </c>
      <c r="C1769" t="s">
        <v>201</v>
      </c>
      <c r="D1769" t="s">
        <v>43</v>
      </c>
      <c r="E1769" t="s">
        <v>106</v>
      </c>
      <c r="F1769" t="s">
        <v>22</v>
      </c>
      <c r="G1769" t="s">
        <v>74</v>
      </c>
      <c r="H1769" s="1">
        <v>44838</v>
      </c>
      <c r="I1769" s="2">
        <v>44839.6375</v>
      </c>
      <c r="J1769">
        <v>39.3</v>
      </c>
      <c r="K1769" t="s">
        <v>24</v>
      </c>
      <c r="L1769">
        <v>0</v>
      </c>
      <c r="M1769">
        <v>4</v>
      </c>
      <c r="N1769" t="s">
        <v>61</v>
      </c>
      <c r="O1769" s="3" t="str">
        <f>TEXT(Ticket_Table[[#This Row],[raised_date]],"YYYY-MM")</f>
        <v>2022-10</v>
      </c>
      <c r="P1769" s="3" t="str">
        <f>IF(Ticket_Table[[#This Row],[resolution_hrs]]&lt;=4,"Fast",IF(Ticket_Table[[#This Row],[resolution_hrs]]&lt;=24,"Normal",IF(Ticket_Table[[#This Row],[resolution_hrs]]&lt;=48,"Slow","Very Slow")))</f>
        <v>Slow</v>
      </c>
      <c r="Q1769" s="3">
        <f>YEAR(Ticket_Table[[#This Row],[raised_date]])</f>
        <v>2022</v>
      </c>
    </row>
    <row r="1770" spans="1:17">
      <c r="A1770" t="s">
        <v>2330</v>
      </c>
      <c r="B1770" t="s">
        <v>683</v>
      </c>
      <c r="C1770" t="s">
        <v>19</v>
      </c>
      <c r="D1770" t="s">
        <v>29</v>
      </c>
      <c r="E1770" t="s">
        <v>44</v>
      </c>
      <c r="F1770" t="s">
        <v>70</v>
      </c>
      <c r="G1770" t="s">
        <v>91</v>
      </c>
      <c r="H1770" s="1">
        <v>44438</v>
      </c>
      <c r="I1770" s="2">
        <v>44438.5666666667</v>
      </c>
      <c r="J1770">
        <v>13.6</v>
      </c>
      <c r="K1770" t="s">
        <v>24</v>
      </c>
      <c r="L1770">
        <v>0</v>
      </c>
      <c r="M1770">
        <v>4</v>
      </c>
      <c r="N1770" t="s">
        <v>158</v>
      </c>
      <c r="O1770" s="3" t="str">
        <f>TEXT(Ticket_Table[[#This Row],[raised_date]],"YYYY-MM")</f>
        <v>2021-08</v>
      </c>
      <c r="P1770" s="3" t="str">
        <f>IF(Ticket_Table[[#This Row],[resolution_hrs]]&lt;=4,"Fast",IF(Ticket_Table[[#This Row],[resolution_hrs]]&lt;=24,"Normal",IF(Ticket_Table[[#This Row],[resolution_hrs]]&lt;=48,"Slow","Very Slow")))</f>
        <v>Normal</v>
      </c>
      <c r="Q1770" s="3">
        <f>YEAR(Ticket_Table[[#This Row],[raised_date]])</f>
        <v>2021</v>
      </c>
    </row>
    <row r="1771" spans="1:17">
      <c r="A1771" t="s">
        <v>2331</v>
      </c>
      <c r="B1771" t="s">
        <v>1643</v>
      </c>
      <c r="C1771" t="s">
        <v>175</v>
      </c>
      <c r="D1771" t="s">
        <v>90</v>
      </c>
      <c r="E1771" t="s">
        <v>69</v>
      </c>
      <c r="F1771" t="s">
        <v>22</v>
      </c>
      <c r="G1771" t="s">
        <v>23</v>
      </c>
      <c r="H1771" s="1">
        <v>44685</v>
      </c>
      <c r="I1771" s="2">
        <v>44688.4666666667</v>
      </c>
      <c r="J1771">
        <v>83.2</v>
      </c>
      <c r="K1771" t="s">
        <v>32</v>
      </c>
      <c r="L1771">
        <v>0</v>
      </c>
      <c r="M1771">
        <v>4</v>
      </c>
      <c r="N1771" t="s">
        <v>680</v>
      </c>
      <c r="O1771" s="3" t="str">
        <f>TEXT(Ticket_Table[[#This Row],[raised_date]],"YYYY-MM")</f>
        <v>2022-05</v>
      </c>
      <c r="P1771" s="3" t="str">
        <f>IF(Ticket_Table[[#This Row],[resolution_hrs]]&lt;=4,"Fast",IF(Ticket_Table[[#This Row],[resolution_hrs]]&lt;=24,"Normal",IF(Ticket_Table[[#This Row],[resolution_hrs]]&lt;=48,"Slow","Very Slow")))</f>
        <v>Very Slow</v>
      </c>
      <c r="Q1771" s="3">
        <f>YEAR(Ticket_Table[[#This Row],[raised_date]])</f>
        <v>2022</v>
      </c>
    </row>
    <row r="1772" spans="1:17">
      <c r="A1772" t="s">
        <v>2332</v>
      </c>
      <c r="B1772" t="s">
        <v>121</v>
      </c>
      <c r="C1772" t="s">
        <v>140</v>
      </c>
      <c r="D1772" t="s">
        <v>43</v>
      </c>
      <c r="E1772" t="s">
        <v>30</v>
      </c>
      <c r="F1772" t="s">
        <v>22</v>
      </c>
      <c r="G1772" t="s">
        <v>46</v>
      </c>
      <c r="H1772" s="1">
        <v>44822</v>
      </c>
      <c r="I1772" s="2">
        <v>44825.15</v>
      </c>
      <c r="J1772">
        <v>75.6</v>
      </c>
      <c r="K1772" t="s">
        <v>32</v>
      </c>
      <c r="L1772">
        <v>0</v>
      </c>
      <c r="M1772">
        <v>4</v>
      </c>
      <c r="N1772" t="s">
        <v>293</v>
      </c>
      <c r="O1772" s="3" t="str">
        <f>TEXT(Ticket_Table[[#This Row],[raised_date]],"YYYY-MM")</f>
        <v>2022-09</v>
      </c>
      <c r="P1772" s="3" t="str">
        <f>IF(Ticket_Table[[#This Row],[resolution_hrs]]&lt;=4,"Fast",IF(Ticket_Table[[#This Row],[resolution_hrs]]&lt;=24,"Normal",IF(Ticket_Table[[#This Row],[resolution_hrs]]&lt;=48,"Slow","Very Slow")))</f>
        <v>Very Slow</v>
      </c>
      <c r="Q1772" s="3">
        <f>YEAR(Ticket_Table[[#This Row],[raised_date]])</f>
        <v>2022</v>
      </c>
    </row>
    <row r="1773" spans="1:17">
      <c r="A1773" t="s">
        <v>2333</v>
      </c>
      <c r="B1773" t="s">
        <v>143</v>
      </c>
      <c r="C1773" t="s">
        <v>261</v>
      </c>
      <c r="D1773" t="s">
        <v>29</v>
      </c>
      <c r="E1773" t="s">
        <v>37</v>
      </c>
      <c r="F1773" t="s">
        <v>22</v>
      </c>
      <c r="G1773" t="s">
        <v>31</v>
      </c>
      <c r="H1773" s="1">
        <v>44436</v>
      </c>
      <c r="I1773" s="2">
        <v>44436.0791666667</v>
      </c>
      <c r="J1773">
        <v>1.9</v>
      </c>
      <c r="K1773" t="s">
        <v>24</v>
      </c>
      <c r="L1773">
        <v>1</v>
      </c>
      <c r="M1773">
        <v>3</v>
      </c>
      <c r="N1773" t="s">
        <v>620</v>
      </c>
      <c r="O1773" s="3" t="str">
        <f>TEXT(Ticket_Table[[#This Row],[raised_date]],"YYYY-MM")</f>
        <v>2021-08</v>
      </c>
      <c r="P1773" s="3" t="str">
        <f>IF(Ticket_Table[[#This Row],[resolution_hrs]]&lt;=4,"Fast",IF(Ticket_Table[[#This Row],[resolution_hrs]]&lt;=24,"Normal",IF(Ticket_Table[[#This Row],[resolution_hrs]]&lt;=48,"Slow","Very Slow")))</f>
        <v>Fast</v>
      </c>
      <c r="Q1773" s="3">
        <f>YEAR(Ticket_Table[[#This Row],[raised_date]])</f>
        <v>2021</v>
      </c>
    </row>
    <row r="1774" spans="1:17">
      <c r="A1774" t="s">
        <v>2334</v>
      </c>
      <c r="B1774" t="s">
        <v>54</v>
      </c>
      <c r="C1774" t="s">
        <v>201</v>
      </c>
      <c r="D1774" t="s">
        <v>90</v>
      </c>
      <c r="E1774" t="s">
        <v>30</v>
      </c>
      <c r="F1774" t="s">
        <v>70</v>
      </c>
      <c r="G1774" t="s">
        <v>23</v>
      </c>
      <c r="H1774" s="1">
        <v>44571</v>
      </c>
      <c r="I1774" s="2">
        <v>44572.4125</v>
      </c>
      <c r="J1774">
        <v>33.9</v>
      </c>
      <c r="K1774" t="s">
        <v>24</v>
      </c>
      <c r="L1774">
        <v>0</v>
      </c>
      <c r="M1774">
        <v>2</v>
      </c>
      <c r="N1774" t="s">
        <v>152</v>
      </c>
      <c r="O1774" s="3" t="str">
        <f>TEXT(Ticket_Table[[#This Row],[raised_date]],"YYYY-MM")</f>
        <v>2022-01</v>
      </c>
      <c r="P1774" s="3" t="str">
        <f>IF(Ticket_Table[[#This Row],[resolution_hrs]]&lt;=4,"Fast",IF(Ticket_Table[[#This Row],[resolution_hrs]]&lt;=24,"Normal",IF(Ticket_Table[[#This Row],[resolution_hrs]]&lt;=48,"Slow","Very Slow")))</f>
        <v>Slow</v>
      </c>
      <c r="Q1774" s="3">
        <f>YEAR(Ticket_Table[[#This Row],[raised_date]])</f>
        <v>2022</v>
      </c>
    </row>
    <row r="1775" spans="1:17">
      <c r="A1775" t="s">
        <v>2335</v>
      </c>
      <c r="B1775" t="s">
        <v>317</v>
      </c>
      <c r="C1775" t="s">
        <v>68</v>
      </c>
      <c r="D1775" t="s">
        <v>36</v>
      </c>
      <c r="E1775" t="s">
        <v>56</v>
      </c>
      <c r="F1775" t="s">
        <v>38</v>
      </c>
      <c r="G1775" t="s">
        <v>31</v>
      </c>
      <c r="H1775" s="1">
        <v>44961</v>
      </c>
      <c r="I1775" s="2">
        <v>44962.4083333333</v>
      </c>
      <c r="J1775">
        <v>33.8</v>
      </c>
      <c r="K1775" t="s">
        <v>32</v>
      </c>
      <c r="L1775">
        <v>0</v>
      </c>
      <c r="M1775">
        <v>3</v>
      </c>
      <c r="N1775" t="s">
        <v>232</v>
      </c>
      <c r="O1775" s="3" t="str">
        <f>TEXT(Ticket_Table[[#This Row],[raised_date]],"YYYY-MM")</f>
        <v>2023-02</v>
      </c>
      <c r="P1775" s="3" t="str">
        <f>IF(Ticket_Table[[#This Row],[resolution_hrs]]&lt;=4,"Fast",IF(Ticket_Table[[#This Row],[resolution_hrs]]&lt;=24,"Normal",IF(Ticket_Table[[#This Row],[resolution_hrs]]&lt;=48,"Slow","Very Slow")))</f>
        <v>Slow</v>
      </c>
      <c r="Q1775" s="3">
        <f>YEAR(Ticket_Table[[#This Row],[raised_date]])</f>
        <v>2023</v>
      </c>
    </row>
    <row r="1776" spans="1:17">
      <c r="A1776" t="s">
        <v>2336</v>
      </c>
      <c r="B1776" t="s">
        <v>426</v>
      </c>
      <c r="C1776" t="s">
        <v>213</v>
      </c>
      <c r="D1776" t="s">
        <v>90</v>
      </c>
      <c r="E1776" t="s">
        <v>37</v>
      </c>
      <c r="F1776" t="s">
        <v>22</v>
      </c>
      <c r="G1776" t="s">
        <v>46</v>
      </c>
      <c r="H1776" s="1">
        <v>44486</v>
      </c>
      <c r="I1776" s="2">
        <v>44488.025</v>
      </c>
      <c r="J1776">
        <v>48.6</v>
      </c>
      <c r="K1776" t="s">
        <v>24</v>
      </c>
      <c r="L1776">
        <v>0</v>
      </c>
      <c r="M1776">
        <v>3</v>
      </c>
      <c r="N1776" t="s">
        <v>1154</v>
      </c>
      <c r="O1776" s="3" t="str">
        <f>TEXT(Ticket_Table[[#This Row],[raised_date]],"YYYY-MM")</f>
        <v>2021-10</v>
      </c>
      <c r="P1776" s="3" t="str">
        <f>IF(Ticket_Table[[#This Row],[resolution_hrs]]&lt;=4,"Fast",IF(Ticket_Table[[#This Row],[resolution_hrs]]&lt;=24,"Normal",IF(Ticket_Table[[#This Row],[resolution_hrs]]&lt;=48,"Slow","Very Slow")))</f>
        <v>Very Slow</v>
      </c>
      <c r="Q1776" s="3">
        <f>YEAR(Ticket_Table[[#This Row],[raised_date]])</f>
        <v>2021</v>
      </c>
    </row>
    <row r="1777" spans="1:17">
      <c r="A1777" t="s">
        <v>2337</v>
      </c>
      <c r="B1777" t="s">
        <v>988</v>
      </c>
      <c r="C1777" t="s">
        <v>55</v>
      </c>
      <c r="D1777" t="s">
        <v>36</v>
      </c>
      <c r="E1777" t="s">
        <v>106</v>
      </c>
      <c r="F1777" t="s">
        <v>22</v>
      </c>
      <c r="G1777" t="s">
        <v>31</v>
      </c>
      <c r="H1777" s="1">
        <v>45243</v>
      </c>
      <c r="I1777" s="2">
        <v>45244.0291666667</v>
      </c>
      <c r="J1777">
        <v>24.7</v>
      </c>
      <c r="K1777" t="s">
        <v>24</v>
      </c>
      <c r="L1777">
        <v>0</v>
      </c>
      <c r="M1777">
        <v>5</v>
      </c>
      <c r="N1777" t="s">
        <v>169</v>
      </c>
      <c r="O1777" s="3" t="str">
        <f>TEXT(Ticket_Table[[#This Row],[raised_date]],"YYYY-MM")</f>
        <v>2023-11</v>
      </c>
      <c r="P1777" s="3" t="str">
        <f>IF(Ticket_Table[[#This Row],[resolution_hrs]]&lt;=4,"Fast",IF(Ticket_Table[[#This Row],[resolution_hrs]]&lt;=24,"Normal",IF(Ticket_Table[[#This Row],[resolution_hrs]]&lt;=48,"Slow","Very Slow")))</f>
        <v>Slow</v>
      </c>
      <c r="Q1777" s="3">
        <f>YEAR(Ticket_Table[[#This Row],[raised_date]])</f>
        <v>2023</v>
      </c>
    </row>
    <row r="1778" spans="1:17">
      <c r="A1778" t="s">
        <v>2338</v>
      </c>
      <c r="B1778" t="s">
        <v>401</v>
      </c>
      <c r="C1778" t="s">
        <v>117</v>
      </c>
      <c r="D1778" t="s">
        <v>36</v>
      </c>
      <c r="E1778" t="s">
        <v>106</v>
      </c>
      <c r="F1778" t="s">
        <v>70</v>
      </c>
      <c r="G1778" t="s">
        <v>23</v>
      </c>
      <c r="H1778" s="1">
        <v>44992</v>
      </c>
      <c r="I1778" s="2">
        <v>44992.1</v>
      </c>
      <c r="J1778">
        <v>2.4</v>
      </c>
      <c r="K1778" t="s">
        <v>24</v>
      </c>
      <c r="L1778">
        <v>0</v>
      </c>
      <c r="M1778">
        <v>4</v>
      </c>
      <c r="N1778" t="s">
        <v>603</v>
      </c>
      <c r="O1778" s="3" t="str">
        <f>TEXT(Ticket_Table[[#This Row],[raised_date]],"YYYY-MM")</f>
        <v>2023-03</v>
      </c>
      <c r="P1778" s="3" t="str">
        <f>IF(Ticket_Table[[#This Row],[resolution_hrs]]&lt;=4,"Fast",IF(Ticket_Table[[#This Row],[resolution_hrs]]&lt;=24,"Normal",IF(Ticket_Table[[#This Row],[resolution_hrs]]&lt;=48,"Slow","Very Slow")))</f>
        <v>Fast</v>
      </c>
      <c r="Q1778" s="3">
        <f>YEAR(Ticket_Table[[#This Row],[raised_date]])</f>
        <v>2023</v>
      </c>
    </row>
    <row r="1779" spans="1:17">
      <c r="A1779" t="s">
        <v>2339</v>
      </c>
      <c r="B1779" t="s">
        <v>866</v>
      </c>
      <c r="C1779" t="s">
        <v>287</v>
      </c>
      <c r="D1779" t="s">
        <v>36</v>
      </c>
      <c r="E1779" t="s">
        <v>51</v>
      </c>
      <c r="F1779" t="s">
        <v>22</v>
      </c>
      <c r="G1779" t="s">
        <v>31</v>
      </c>
      <c r="H1779" s="1">
        <v>45053</v>
      </c>
      <c r="I1779" s="2">
        <v>45054.2958333333</v>
      </c>
      <c r="J1779">
        <v>31.1</v>
      </c>
      <c r="K1779" t="s">
        <v>24</v>
      </c>
      <c r="L1779">
        <v>2</v>
      </c>
      <c r="M1779">
        <v>4</v>
      </c>
      <c r="N1779" t="s">
        <v>54</v>
      </c>
      <c r="O1779" s="3" t="str">
        <f>TEXT(Ticket_Table[[#This Row],[raised_date]],"YYYY-MM")</f>
        <v>2023-05</v>
      </c>
      <c r="P1779" s="3" t="str">
        <f>IF(Ticket_Table[[#This Row],[resolution_hrs]]&lt;=4,"Fast",IF(Ticket_Table[[#This Row],[resolution_hrs]]&lt;=24,"Normal",IF(Ticket_Table[[#This Row],[resolution_hrs]]&lt;=48,"Slow","Very Slow")))</f>
        <v>Slow</v>
      </c>
      <c r="Q1779" s="3">
        <f>YEAR(Ticket_Table[[#This Row],[raised_date]])</f>
        <v>2023</v>
      </c>
    </row>
    <row r="1780" spans="1:17">
      <c r="A1780" t="s">
        <v>2340</v>
      </c>
      <c r="B1780" t="s">
        <v>1164</v>
      </c>
      <c r="C1780" t="s">
        <v>140</v>
      </c>
      <c r="D1780" t="s">
        <v>20</v>
      </c>
      <c r="E1780" t="s">
        <v>30</v>
      </c>
      <c r="F1780" t="s">
        <v>22</v>
      </c>
      <c r="G1780" t="s">
        <v>74</v>
      </c>
      <c r="H1780" s="1">
        <v>44479</v>
      </c>
      <c r="I1780" s="2">
        <v>44483.15</v>
      </c>
      <c r="J1780">
        <v>99.6</v>
      </c>
      <c r="K1780" t="s">
        <v>32</v>
      </c>
      <c r="L1780">
        <v>0</v>
      </c>
      <c r="M1780">
        <v>5</v>
      </c>
      <c r="N1780" t="s">
        <v>429</v>
      </c>
      <c r="O1780" s="3" t="str">
        <f>TEXT(Ticket_Table[[#This Row],[raised_date]],"YYYY-MM")</f>
        <v>2021-10</v>
      </c>
      <c r="P1780" s="3" t="str">
        <f>IF(Ticket_Table[[#This Row],[resolution_hrs]]&lt;=4,"Fast",IF(Ticket_Table[[#This Row],[resolution_hrs]]&lt;=24,"Normal",IF(Ticket_Table[[#This Row],[resolution_hrs]]&lt;=48,"Slow","Very Slow")))</f>
        <v>Very Slow</v>
      </c>
      <c r="Q1780" s="3">
        <f>YEAR(Ticket_Table[[#This Row],[raised_date]])</f>
        <v>2021</v>
      </c>
    </row>
    <row r="1781" spans="1:17">
      <c r="A1781" t="s">
        <v>2341</v>
      </c>
      <c r="B1781" t="s">
        <v>308</v>
      </c>
      <c r="C1781" t="s">
        <v>261</v>
      </c>
      <c r="D1781" t="s">
        <v>20</v>
      </c>
      <c r="E1781" t="s">
        <v>21</v>
      </c>
      <c r="F1781" t="s">
        <v>22</v>
      </c>
      <c r="G1781" t="s">
        <v>23</v>
      </c>
      <c r="H1781" s="1">
        <v>44982</v>
      </c>
      <c r="I1781" s="2">
        <v>44983.6375</v>
      </c>
      <c r="J1781">
        <v>39.3</v>
      </c>
      <c r="K1781" t="s">
        <v>24</v>
      </c>
      <c r="L1781">
        <v>1</v>
      </c>
      <c r="M1781">
        <v>5</v>
      </c>
      <c r="N1781" t="s">
        <v>794</v>
      </c>
      <c r="O1781" s="3" t="str">
        <f>TEXT(Ticket_Table[[#This Row],[raised_date]],"YYYY-MM")</f>
        <v>2023-02</v>
      </c>
      <c r="P1781" s="3" t="str">
        <f>IF(Ticket_Table[[#This Row],[resolution_hrs]]&lt;=4,"Fast",IF(Ticket_Table[[#This Row],[resolution_hrs]]&lt;=24,"Normal",IF(Ticket_Table[[#This Row],[resolution_hrs]]&lt;=48,"Slow","Very Slow")))</f>
        <v>Slow</v>
      </c>
      <c r="Q1781" s="3">
        <f>YEAR(Ticket_Table[[#This Row],[raised_date]])</f>
        <v>2023</v>
      </c>
    </row>
    <row r="1782" spans="1:17">
      <c r="A1782" t="s">
        <v>2342</v>
      </c>
      <c r="B1782" t="s">
        <v>1123</v>
      </c>
      <c r="C1782" t="s">
        <v>102</v>
      </c>
      <c r="D1782" t="s">
        <v>36</v>
      </c>
      <c r="E1782" t="s">
        <v>106</v>
      </c>
      <c r="F1782" t="s">
        <v>45</v>
      </c>
      <c r="G1782" t="s">
        <v>23</v>
      </c>
      <c r="H1782" s="1">
        <v>45063</v>
      </c>
      <c r="I1782" s="2">
        <v>45063.0583333333</v>
      </c>
      <c r="J1782">
        <v>1.4</v>
      </c>
      <c r="K1782" t="s">
        <v>24</v>
      </c>
      <c r="L1782">
        <v>0</v>
      </c>
      <c r="M1782">
        <v>4</v>
      </c>
      <c r="N1782" t="s">
        <v>455</v>
      </c>
      <c r="O1782" s="3" t="str">
        <f>TEXT(Ticket_Table[[#This Row],[raised_date]],"YYYY-MM")</f>
        <v>2023-05</v>
      </c>
      <c r="P1782" s="3" t="str">
        <f>IF(Ticket_Table[[#This Row],[resolution_hrs]]&lt;=4,"Fast",IF(Ticket_Table[[#This Row],[resolution_hrs]]&lt;=24,"Normal",IF(Ticket_Table[[#This Row],[resolution_hrs]]&lt;=48,"Slow","Very Slow")))</f>
        <v>Fast</v>
      </c>
      <c r="Q1782" s="3">
        <f>YEAR(Ticket_Table[[#This Row],[raised_date]])</f>
        <v>2023</v>
      </c>
    </row>
    <row r="1783" spans="1:17">
      <c r="A1783" t="s">
        <v>2343</v>
      </c>
      <c r="B1783" t="s">
        <v>277</v>
      </c>
      <c r="C1783" t="s">
        <v>28</v>
      </c>
      <c r="D1783" t="s">
        <v>29</v>
      </c>
      <c r="E1783" t="s">
        <v>83</v>
      </c>
      <c r="F1783" t="s">
        <v>38</v>
      </c>
      <c r="G1783" t="s">
        <v>31</v>
      </c>
      <c r="H1783" s="1">
        <v>44577</v>
      </c>
      <c r="I1783" s="2">
        <v>44577.9375</v>
      </c>
      <c r="J1783">
        <v>22.5</v>
      </c>
      <c r="K1783" t="s">
        <v>24</v>
      </c>
      <c r="L1783">
        <v>1</v>
      </c>
      <c r="M1783">
        <v>5</v>
      </c>
      <c r="N1783" t="s">
        <v>380</v>
      </c>
      <c r="O1783" s="3" t="str">
        <f>TEXT(Ticket_Table[[#This Row],[raised_date]],"YYYY-MM")</f>
        <v>2022-01</v>
      </c>
      <c r="P1783" s="3" t="str">
        <f>IF(Ticket_Table[[#This Row],[resolution_hrs]]&lt;=4,"Fast",IF(Ticket_Table[[#This Row],[resolution_hrs]]&lt;=24,"Normal",IF(Ticket_Table[[#This Row],[resolution_hrs]]&lt;=48,"Slow","Very Slow")))</f>
        <v>Normal</v>
      </c>
      <c r="Q1783" s="3">
        <f>YEAR(Ticket_Table[[#This Row],[raised_date]])</f>
        <v>2022</v>
      </c>
    </row>
    <row r="1784" spans="1:17">
      <c r="A1784" t="s">
        <v>2344</v>
      </c>
      <c r="B1784" t="s">
        <v>620</v>
      </c>
      <c r="C1784" t="s">
        <v>64</v>
      </c>
      <c r="D1784" t="s">
        <v>36</v>
      </c>
      <c r="E1784" t="s">
        <v>51</v>
      </c>
      <c r="F1784" t="s">
        <v>70</v>
      </c>
      <c r="G1784" t="s">
        <v>46</v>
      </c>
      <c r="H1784" s="1">
        <v>45193</v>
      </c>
      <c r="I1784" s="2">
        <v>45193.9375</v>
      </c>
      <c r="J1784">
        <v>22.5</v>
      </c>
      <c r="K1784" t="s">
        <v>24</v>
      </c>
      <c r="L1784">
        <v>2</v>
      </c>
      <c r="M1784">
        <v>2</v>
      </c>
      <c r="N1784" t="s">
        <v>506</v>
      </c>
      <c r="O1784" s="3" t="str">
        <f>TEXT(Ticket_Table[[#This Row],[raised_date]],"YYYY-MM")</f>
        <v>2023-09</v>
      </c>
      <c r="P1784" s="3" t="str">
        <f>IF(Ticket_Table[[#This Row],[resolution_hrs]]&lt;=4,"Fast",IF(Ticket_Table[[#This Row],[resolution_hrs]]&lt;=24,"Normal",IF(Ticket_Table[[#This Row],[resolution_hrs]]&lt;=48,"Slow","Very Slow")))</f>
        <v>Normal</v>
      </c>
      <c r="Q1784" s="3">
        <f>YEAR(Ticket_Table[[#This Row],[raised_date]])</f>
        <v>2023</v>
      </c>
    </row>
    <row r="1785" spans="1:17">
      <c r="A1785" t="s">
        <v>2345</v>
      </c>
      <c r="B1785" t="s">
        <v>409</v>
      </c>
      <c r="C1785" t="s">
        <v>261</v>
      </c>
      <c r="D1785" t="s">
        <v>43</v>
      </c>
      <c r="E1785" t="s">
        <v>21</v>
      </c>
      <c r="F1785" t="s">
        <v>38</v>
      </c>
      <c r="G1785" t="s">
        <v>31</v>
      </c>
      <c r="H1785" s="1">
        <v>44551</v>
      </c>
      <c r="I1785" s="2">
        <v>44552.0875</v>
      </c>
      <c r="J1785">
        <v>26.1</v>
      </c>
      <c r="K1785" t="s">
        <v>32</v>
      </c>
      <c r="L1785">
        <v>0</v>
      </c>
      <c r="M1785">
        <v>5</v>
      </c>
      <c r="N1785" t="s">
        <v>246</v>
      </c>
      <c r="O1785" s="3" t="str">
        <f>TEXT(Ticket_Table[[#This Row],[raised_date]],"YYYY-MM")</f>
        <v>2021-12</v>
      </c>
      <c r="P1785" s="3" t="str">
        <f>IF(Ticket_Table[[#This Row],[resolution_hrs]]&lt;=4,"Fast",IF(Ticket_Table[[#This Row],[resolution_hrs]]&lt;=24,"Normal",IF(Ticket_Table[[#This Row],[resolution_hrs]]&lt;=48,"Slow","Very Slow")))</f>
        <v>Slow</v>
      </c>
      <c r="Q1785" s="3">
        <f>YEAR(Ticket_Table[[#This Row],[raised_date]])</f>
        <v>2021</v>
      </c>
    </row>
    <row r="1786" spans="1:17">
      <c r="A1786" t="s">
        <v>2346</v>
      </c>
      <c r="B1786" t="s">
        <v>578</v>
      </c>
      <c r="C1786" t="s">
        <v>201</v>
      </c>
      <c r="D1786" t="s">
        <v>36</v>
      </c>
      <c r="E1786" t="s">
        <v>37</v>
      </c>
      <c r="F1786" t="s">
        <v>70</v>
      </c>
      <c r="G1786" t="s">
        <v>74</v>
      </c>
      <c r="H1786" s="1">
        <v>44538</v>
      </c>
      <c r="I1786" s="2">
        <v>44538.7333333333</v>
      </c>
      <c r="J1786">
        <v>17.6</v>
      </c>
      <c r="K1786" t="s">
        <v>24</v>
      </c>
      <c r="L1786">
        <v>0</v>
      </c>
      <c r="M1786">
        <v>3</v>
      </c>
      <c r="N1786" t="s">
        <v>120</v>
      </c>
      <c r="O1786" s="3" t="str">
        <f>TEXT(Ticket_Table[[#This Row],[raised_date]],"YYYY-MM")</f>
        <v>2021-12</v>
      </c>
      <c r="P1786" s="3" t="str">
        <f>IF(Ticket_Table[[#This Row],[resolution_hrs]]&lt;=4,"Fast",IF(Ticket_Table[[#This Row],[resolution_hrs]]&lt;=24,"Normal",IF(Ticket_Table[[#This Row],[resolution_hrs]]&lt;=48,"Slow","Very Slow")))</f>
        <v>Normal</v>
      </c>
      <c r="Q1786" s="3">
        <f>YEAR(Ticket_Table[[#This Row],[raised_date]])</f>
        <v>2021</v>
      </c>
    </row>
    <row r="1787" spans="1:17">
      <c r="A1787" t="s">
        <v>2347</v>
      </c>
      <c r="B1787" t="s">
        <v>668</v>
      </c>
      <c r="C1787" t="s">
        <v>213</v>
      </c>
      <c r="D1787" t="s">
        <v>20</v>
      </c>
      <c r="E1787" t="s">
        <v>30</v>
      </c>
      <c r="F1787" t="s">
        <v>38</v>
      </c>
      <c r="G1787" t="s">
        <v>46</v>
      </c>
      <c r="H1787" s="1">
        <v>45199</v>
      </c>
      <c r="I1787" s="2">
        <v>45199.7625</v>
      </c>
      <c r="J1787">
        <v>18.3</v>
      </c>
      <c r="K1787" t="s">
        <v>24</v>
      </c>
      <c r="L1787">
        <v>0</v>
      </c>
      <c r="M1787">
        <v>4</v>
      </c>
      <c r="N1787" t="s">
        <v>835</v>
      </c>
      <c r="O1787" s="3" t="str">
        <f>TEXT(Ticket_Table[[#This Row],[raised_date]],"YYYY-MM")</f>
        <v>2023-09</v>
      </c>
      <c r="P1787" s="3" t="str">
        <f>IF(Ticket_Table[[#This Row],[resolution_hrs]]&lt;=4,"Fast",IF(Ticket_Table[[#This Row],[resolution_hrs]]&lt;=24,"Normal",IF(Ticket_Table[[#This Row],[resolution_hrs]]&lt;=48,"Slow","Very Slow")))</f>
        <v>Normal</v>
      </c>
      <c r="Q1787" s="3">
        <f>YEAR(Ticket_Table[[#This Row],[raised_date]])</f>
        <v>2023</v>
      </c>
    </row>
    <row r="1788" spans="1:17">
      <c r="A1788" t="s">
        <v>2348</v>
      </c>
      <c r="B1788" t="s">
        <v>246</v>
      </c>
      <c r="C1788" t="s">
        <v>55</v>
      </c>
      <c r="D1788" t="s">
        <v>20</v>
      </c>
      <c r="E1788" t="s">
        <v>30</v>
      </c>
      <c r="F1788" t="s">
        <v>38</v>
      </c>
      <c r="G1788" t="s">
        <v>23</v>
      </c>
      <c r="H1788" s="1">
        <v>44788</v>
      </c>
      <c r="I1788" s="2">
        <v>44788.5708333333</v>
      </c>
      <c r="J1788">
        <v>13.7</v>
      </c>
      <c r="K1788" t="s">
        <v>24</v>
      </c>
      <c r="L1788">
        <v>0</v>
      </c>
      <c r="M1788">
        <v>3</v>
      </c>
      <c r="N1788" t="s">
        <v>394</v>
      </c>
      <c r="O1788" s="3" t="str">
        <f>TEXT(Ticket_Table[[#This Row],[raised_date]],"YYYY-MM")</f>
        <v>2022-08</v>
      </c>
      <c r="P1788" s="3" t="str">
        <f>IF(Ticket_Table[[#This Row],[resolution_hrs]]&lt;=4,"Fast",IF(Ticket_Table[[#This Row],[resolution_hrs]]&lt;=24,"Normal",IF(Ticket_Table[[#This Row],[resolution_hrs]]&lt;=48,"Slow","Very Slow")))</f>
        <v>Normal</v>
      </c>
      <c r="Q1788" s="3">
        <f>YEAR(Ticket_Table[[#This Row],[raised_date]])</f>
        <v>2022</v>
      </c>
    </row>
    <row r="1789" spans="1:17">
      <c r="A1789" t="s">
        <v>2349</v>
      </c>
      <c r="B1789" t="s">
        <v>722</v>
      </c>
      <c r="C1789" t="s">
        <v>201</v>
      </c>
      <c r="D1789" t="s">
        <v>43</v>
      </c>
      <c r="E1789" t="s">
        <v>21</v>
      </c>
      <c r="F1789" t="s">
        <v>70</v>
      </c>
      <c r="G1789" t="s">
        <v>31</v>
      </c>
      <c r="H1789" s="1">
        <v>44484</v>
      </c>
      <c r="I1789" s="2">
        <v>44484.8708333333</v>
      </c>
      <c r="J1789">
        <v>20.9</v>
      </c>
      <c r="K1789" t="s">
        <v>24</v>
      </c>
      <c r="L1789">
        <v>1</v>
      </c>
      <c r="M1789">
        <v>5</v>
      </c>
      <c r="N1789" t="s">
        <v>151</v>
      </c>
      <c r="O1789" s="3" t="str">
        <f>TEXT(Ticket_Table[[#This Row],[raised_date]],"YYYY-MM")</f>
        <v>2021-10</v>
      </c>
      <c r="P1789" s="3" t="str">
        <f>IF(Ticket_Table[[#This Row],[resolution_hrs]]&lt;=4,"Fast",IF(Ticket_Table[[#This Row],[resolution_hrs]]&lt;=24,"Normal",IF(Ticket_Table[[#This Row],[resolution_hrs]]&lt;=48,"Slow","Very Slow")))</f>
        <v>Normal</v>
      </c>
      <c r="Q1789" s="3">
        <f>YEAR(Ticket_Table[[#This Row],[raised_date]])</f>
        <v>2021</v>
      </c>
    </row>
    <row r="1790" spans="1:17">
      <c r="A1790" t="s">
        <v>2350</v>
      </c>
      <c r="B1790" t="s">
        <v>413</v>
      </c>
      <c r="C1790" t="s">
        <v>64</v>
      </c>
      <c r="D1790" t="s">
        <v>43</v>
      </c>
      <c r="E1790" t="s">
        <v>21</v>
      </c>
      <c r="F1790" t="s">
        <v>22</v>
      </c>
      <c r="G1790" t="s">
        <v>31</v>
      </c>
      <c r="H1790" s="1">
        <v>44580</v>
      </c>
      <c r="I1790" s="2">
        <v>44584.075</v>
      </c>
      <c r="J1790">
        <v>97.8</v>
      </c>
      <c r="K1790" t="s">
        <v>32</v>
      </c>
      <c r="L1790">
        <v>0</v>
      </c>
      <c r="M1790">
        <v>2</v>
      </c>
      <c r="N1790" t="s">
        <v>621</v>
      </c>
      <c r="O1790" s="3" t="str">
        <f>TEXT(Ticket_Table[[#This Row],[raised_date]],"YYYY-MM")</f>
        <v>2022-01</v>
      </c>
      <c r="P1790" s="3" t="str">
        <f>IF(Ticket_Table[[#This Row],[resolution_hrs]]&lt;=4,"Fast",IF(Ticket_Table[[#This Row],[resolution_hrs]]&lt;=24,"Normal",IF(Ticket_Table[[#This Row],[resolution_hrs]]&lt;=48,"Slow","Very Slow")))</f>
        <v>Very Slow</v>
      </c>
      <c r="Q1790" s="3">
        <f>YEAR(Ticket_Table[[#This Row],[raised_date]])</f>
        <v>2022</v>
      </c>
    </row>
    <row r="1791" spans="1:17">
      <c r="A1791" t="s">
        <v>2351</v>
      </c>
      <c r="B1791" t="s">
        <v>1022</v>
      </c>
      <c r="C1791" t="s">
        <v>287</v>
      </c>
      <c r="D1791" t="s">
        <v>90</v>
      </c>
      <c r="E1791" t="s">
        <v>106</v>
      </c>
      <c r="F1791" t="s">
        <v>22</v>
      </c>
      <c r="G1791" t="s">
        <v>91</v>
      </c>
      <c r="H1791" s="1">
        <v>44841</v>
      </c>
      <c r="I1791" s="2">
        <v>44844.1916666667</v>
      </c>
      <c r="J1791">
        <v>76.6</v>
      </c>
      <c r="K1791" t="s">
        <v>32</v>
      </c>
      <c r="L1791">
        <v>0</v>
      </c>
      <c r="M1791">
        <v>4</v>
      </c>
      <c r="N1791" t="s">
        <v>327</v>
      </c>
      <c r="O1791" s="3" t="str">
        <f>TEXT(Ticket_Table[[#This Row],[raised_date]],"YYYY-MM")</f>
        <v>2022-10</v>
      </c>
      <c r="P1791" s="3" t="str">
        <f>IF(Ticket_Table[[#This Row],[resolution_hrs]]&lt;=4,"Fast",IF(Ticket_Table[[#This Row],[resolution_hrs]]&lt;=24,"Normal",IF(Ticket_Table[[#This Row],[resolution_hrs]]&lt;=48,"Slow","Very Slow")))</f>
        <v>Very Slow</v>
      </c>
      <c r="Q1791" s="3">
        <f>YEAR(Ticket_Table[[#This Row],[raised_date]])</f>
        <v>2022</v>
      </c>
    </row>
    <row r="1792" spans="1:17">
      <c r="A1792" t="s">
        <v>2352</v>
      </c>
      <c r="B1792" t="s">
        <v>826</v>
      </c>
      <c r="C1792" t="s">
        <v>140</v>
      </c>
      <c r="D1792" t="s">
        <v>29</v>
      </c>
      <c r="E1792" t="s">
        <v>37</v>
      </c>
      <c r="F1792" t="s">
        <v>70</v>
      </c>
      <c r="G1792" t="s">
        <v>31</v>
      </c>
      <c r="H1792" s="1">
        <v>45120</v>
      </c>
      <c r="I1792" s="2">
        <v>45120.6583333333</v>
      </c>
      <c r="J1792">
        <v>15.8</v>
      </c>
      <c r="K1792" t="s">
        <v>24</v>
      </c>
      <c r="L1792">
        <v>0</v>
      </c>
      <c r="M1792">
        <v>4</v>
      </c>
      <c r="N1792" t="s">
        <v>529</v>
      </c>
      <c r="O1792" s="3" t="str">
        <f>TEXT(Ticket_Table[[#This Row],[raised_date]],"YYYY-MM")</f>
        <v>2023-07</v>
      </c>
      <c r="P1792" s="3" t="str">
        <f>IF(Ticket_Table[[#This Row],[resolution_hrs]]&lt;=4,"Fast",IF(Ticket_Table[[#This Row],[resolution_hrs]]&lt;=24,"Normal",IF(Ticket_Table[[#This Row],[resolution_hrs]]&lt;=48,"Slow","Very Slow")))</f>
        <v>Normal</v>
      </c>
      <c r="Q1792" s="3">
        <f>YEAR(Ticket_Table[[#This Row],[raised_date]])</f>
        <v>2023</v>
      </c>
    </row>
    <row r="1793" spans="1:17">
      <c r="A1793" t="s">
        <v>2353</v>
      </c>
      <c r="B1793" t="s">
        <v>880</v>
      </c>
      <c r="C1793" t="s">
        <v>28</v>
      </c>
      <c r="D1793" t="s">
        <v>29</v>
      </c>
      <c r="E1793" t="s">
        <v>51</v>
      </c>
      <c r="F1793" t="s">
        <v>38</v>
      </c>
      <c r="G1793" t="s">
        <v>74</v>
      </c>
      <c r="H1793" s="1">
        <v>44306</v>
      </c>
      <c r="I1793" s="2">
        <v>44306.3291666667</v>
      </c>
      <c r="J1793">
        <v>7.9</v>
      </c>
      <c r="K1793" t="s">
        <v>24</v>
      </c>
      <c r="L1793">
        <v>0</v>
      </c>
      <c r="M1793">
        <v>4</v>
      </c>
      <c r="N1793" t="s">
        <v>315</v>
      </c>
      <c r="O1793" s="3" t="str">
        <f>TEXT(Ticket_Table[[#This Row],[raised_date]],"YYYY-MM")</f>
        <v>2021-04</v>
      </c>
      <c r="P1793" s="3" t="str">
        <f>IF(Ticket_Table[[#This Row],[resolution_hrs]]&lt;=4,"Fast",IF(Ticket_Table[[#This Row],[resolution_hrs]]&lt;=24,"Normal",IF(Ticket_Table[[#This Row],[resolution_hrs]]&lt;=48,"Slow","Very Slow")))</f>
        <v>Normal</v>
      </c>
      <c r="Q1793" s="3">
        <f>YEAR(Ticket_Table[[#This Row],[raised_date]])</f>
        <v>2021</v>
      </c>
    </row>
    <row r="1794" spans="1:17">
      <c r="A1794" t="s">
        <v>2354</v>
      </c>
      <c r="B1794" t="s">
        <v>455</v>
      </c>
      <c r="C1794" t="s">
        <v>28</v>
      </c>
      <c r="D1794" t="s">
        <v>29</v>
      </c>
      <c r="E1794" t="s">
        <v>83</v>
      </c>
      <c r="F1794" t="s">
        <v>70</v>
      </c>
      <c r="G1794" t="s">
        <v>31</v>
      </c>
      <c r="H1794" s="1">
        <v>44932</v>
      </c>
      <c r="I1794" s="2">
        <v>44934.4708333333</v>
      </c>
      <c r="J1794">
        <v>59.3</v>
      </c>
      <c r="K1794" t="s">
        <v>32</v>
      </c>
      <c r="L1794">
        <v>0</v>
      </c>
      <c r="M1794">
        <v>4</v>
      </c>
      <c r="N1794" t="s">
        <v>151</v>
      </c>
      <c r="O1794" s="3" t="str">
        <f>TEXT(Ticket_Table[[#This Row],[raised_date]],"YYYY-MM")</f>
        <v>2023-01</v>
      </c>
      <c r="P1794" s="3" t="str">
        <f>IF(Ticket_Table[[#This Row],[resolution_hrs]]&lt;=4,"Fast",IF(Ticket_Table[[#This Row],[resolution_hrs]]&lt;=24,"Normal",IF(Ticket_Table[[#This Row],[resolution_hrs]]&lt;=48,"Slow","Very Slow")))</f>
        <v>Very Slow</v>
      </c>
      <c r="Q1794" s="3">
        <f>YEAR(Ticket_Table[[#This Row],[raised_date]])</f>
        <v>2023</v>
      </c>
    </row>
    <row r="1795" spans="1:17">
      <c r="A1795" t="s">
        <v>2355</v>
      </c>
      <c r="B1795" t="s">
        <v>726</v>
      </c>
      <c r="C1795" t="s">
        <v>133</v>
      </c>
      <c r="D1795" t="s">
        <v>20</v>
      </c>
      <c r="E1795" t="s">
        <v>69</v>
      </c>
      <c r="F1795" t="s">
        <v>38</v>
      </c>
      <c r="G1795" t="s">
        <v>23</v>
      </c>
      <c r="H1795" s="1">
        <v>44216</v>
      </c>
      <c r="I1795" s="2">
        <v>44216.6208333333</v>
      </c>
      <c r="J1795">
        <v>14.9</v>
      </c>
      <c r="K1795" t="s">
        <v>24</v>
      </c>
      <c r="L1795">
        <v>0</v>
      </c>
      <c r="M1795">
        <v>4</v>
      </c>
      <c r="N1795" t="s">
        <v>455</v>
      </c>
      <c r="O1795" s="3" t="str">
        <f>TEXT(Ticket_Table[[#This Row],[raised_date]],"YYYY-MM")</f>
        <v>2021-01</v>
      </c>
      <c r="P1795" s="3" t="str">
        <f>IF(Ticket_Table[[#This Row],[resolution_hrs]]&lt;=4,"Fast",IF(Ticket_Table[[#This Row],[resolution_hrs]]&lt;=24,"Normal",IF(Ticket_Table[[#This Row],[resolution_hrs]]&lt;=48,"Slow","Very Slow")))</f>
        <v>Normal</v>
      </c>
      <c r="Q1795" s="3">
        <f>YEAR(Ticket_Table[[#This Row],[raised_date]])</f>
        <v>2021</v>
      </c>
    </row>
    <row r="1796" spans="1:17">
      <c r="A1796" t="s">
        <v>2356</v>
      </c>
      <c r="B1796" t="s">
        <v>383</v>
      </c>
      <c r="C1796" t="s">
        <v>55</v>
      </c>
      <c r="D1796" t="s">
        <v>29</v>
      </c>
      <c r="E1796" t="s">
        <v>69</v>
      </c>
      <c r="F1796" t="s">
        <v>45</v>
      </c>
      <c r="G1796" t="s">
        <v>31</v>
      </c>
      <c r="H1796" s="1">
        <v>45189</v>
      </c>
      <c r="I1796" s="2">
        <v>45189.2208333333</v>
      </c>
      <c r="J1796">
        <v>5.3</v>
      </c>
      <c r="K1796" t="s">
        <v>32</v>
      </c>
      <c r="L1796">
        <v>1</v>
      </c>
      <c r="M1796">
        <v>4</v>
      </c>
      <c r="N1796" t="s">
        <v>1265</v>
      </c>
      <c r="O1796" s="3" t="str">
        <f>TEXT(Ticket_Table[[#This Row],[raised_date]],"YYYY-MM")</f>
        <v>2023-09</v>
      </c>
      <c r="P1796" s="3" t="str">
        <f>IF(Ticket_Table[[#This Row],[resolution_hrs]]&lt;=4,"Fast",IF(Ticket_Table[[#This Row],[resolution_hrs]]&lt;=24,"Normal",IF(Ticket_Table[[#This Row],[resolution_hrs]]&lt;=48,"Slow","Very Slow")))</f>
        <v>Normal</v>
      </c>
      <c r="Q1796" s="3">
        <f>YEAR(Ticket_Table[[#This Row],[raised_date]])</f>
        <v>2023</v>
      </c>
    </row>
    <row r="1797" spans="1:17">
      <c r="A1797" t="s">
        <v>2357</v>
      </c>
      <c r="B1797" t="s">
        <v>186</v>
      </c>
      <c r="C1797" t="s">
        <v>102</v>
      </c>
      <c r="D1797" t="s">
        <v>90</v>
      </c>
      <c r="E1797" t="s">
        <v>44</v>
      </c>
      <c r="F1797" t="s">
        <v>22</v>
      </c>
      <c r="G1797" t="s">
        <v>74</v>
      </c>
      <c r="H1797" s="1">
        <v>44476</v>
      </c>
      <c r="I1797" s="2">
        <v>44478.5791666667</v>
      </c>
      <c r="J1797">
        <v>61.9</v>
      </c>
      <c r="K1797" t="s">
        <v>24</v>
      </c>
      <c r="L1797">
        <v>0</v>
      </c>
      <c r="M1797">
        <v>3</v>
      </c>
      <c r="N1797" t="s">
        <v>1041</v>
      </c>
      <c r="O1797" s="3" t="str">
        <f>TEXT(Ticket_Table[[#This Row],[raised_date]],"YYYY-MM")</f>
        <v>2021-10</v>
      </c>
      <c r="P1797" s="3" t="str">
        <f>IF(Ticket_Table[[#This Row],[resolution_hrs]]&lt;=4,"Fast",IF(Ticket_Table[[#This Row],[resolution_hrs]]&lt;=24,"Normal",IF(Ticket_Table[[#This Row],[resolution_hrs]]&lt;=48,"Slow","Very Slow")))</f>
        <v>Very Slow</v>
      </c>
      <c r="Q1797" s="3">
        <f>YEAR(Ticket_Table[[#This Row],[raised_date]])</f>
        <v>2021</v>
      </c>
    </row>
    <row r="1798" spans="1:17">
      <c r="A1798" t="s">
        <v>2358</v>
      </c>
      <c r="B1798" t="s">
        <v>216</v>
      </c>
      <c r="C1798" t="s">
        <v>42</v>
      </c>
      <c r="D1798" t="s">
        <v>90</v>
      </c>
      <c r="E1798" t="s">
        <v>83</v>
      </c>
      <c r="F1798" t="s">
        <v>38</v>
      </c>
      <c r="G1798" t="s">
        <v>31</v>
      </c>
      <c r="H1798" s="1">
        <v>44596</v>
      </c>
      <c r="I1798" s="2">
        <v>44596.7625</v>
      </c>
      <c r="J1798">
        <v>18.3</v>
      </c>
      <c r="K1798" t="s">
        <v>24</v>
      </c>
      <c r="L1798">
        <v>0</v>
      </c>
      <c r="M1798">
        <v>3</v>
      </c>
      <c r="N1798" t="s">
        <v>899</v>
      </c>
      <c r="O1798" s="3" t="str">
        <f>TEXT(Ticket_Table[[#This Row],[raised_date]],"YYYY-MM")</f>
        <v>2022-02</v>
      </c>
      <c r="P1798" s="3" t="str">
        <f>IF(Ticket_Table[[#This Row],[resolution_hrs]]&lt;=4,"Fast",IF(Ticket_Table[[#This Row],[resolution_hrs]]&lt;=24,"Normal",IF(Ticket_Table[[#This Row],[resolution_hrs]]&lt;=48,"Slow","Very Slow")))</f>
        <v>Normal</v>
      </c>
      <c r="Q1798" s="3">
        <f>YEAR(Ticket_Table[[#This Row],[raised_date]])</f>
        <v>2022</v>
      </c>
    </row>
    <row r="1799" spans="1:17">
      <c r="A1799" t="s">
        <v>2359</v>
      </c>
      <c r="B1799" t="s">
        <v>462</v>
      </c>
      <c r="C1799" t="s">
        <v>68</v>
      </c>
      <c r="D1799" t="s">
        <v>29</v>
      </c>
      <c r="E1799" t="s">
        <v>37</v>
      </c>
      <c r="F1799" t="s">
        <v>38</v>
      </c>
      <c r="G1799" t="s">
        <v>46</v>
      </c>
      <c r="H1799" s="1">
        <v>44983</v>
      </c>
      <c r="I1799" s="2">
        <v>44983.8458333333</v>
      </c>
      <c r="J1799">
        <v>20.3</v>
      </c>
      <c r="K1799" t="s">
        <v>24</v>
      </c>
      <c r="L1799">
        <v>1</v>
      </c>
      <c r="M1799">
        <v>3</v>
      </c>
      <c r="N1799" t="s">
        <v>218</v>
      </c>
      <c r="O1799" s="3" t="str">
        <f>TEXT(Ticket_Table[[#This Row],[raised_date]],"YYYY-MM")</f>
        <v>2023-02</v>
      </c>
      <c r="P1799" s="3" t="str">
        <f>IF(Ticket_Table[[#This Row],[resolution_hrs]]&lt;=4,"Fast",IF(Ticket_Table[[#This Row],[resolution_hrs]]&lt;=24,"Normal",IF(Ticket_Table[[#This Row],[resolution_hrs]]&lt;=48,"Slow","Very Slow")))</f>
        <v>Normal</v>
      </c>
      <c r="Q1799" s="3">
        <f>YEAR(Ticket_Table[[#This Row],[raised_date]])</f>
        <v>2023</v>
      </c>
    </row>
    <row r="1800" spans="1:17">
      <c r="A1800" t="s">
        <v>2360</v>
      </c>
      <c r="B1800" t="s">
        <v>584</v>
      </c>
      <c r="C1800" t="s">
        <v>117</v>
      </c>
      <c r="D1800" t="s">
        <v>43</v>
      </c>
      <c r="E1800" t="s">
        <v>37</v>
      </c>
      <c r="F1800" t="s">
        <v>45</v>
      </c>
      <c r="G1800" t="s">
        <v>23</v>
      </c>
      <c r="H1800" s="1">
        <v>45232</v>
      </c>
      <c r="I1800" s="2">
        <v>45232.1791666667</v>
      </c>
      <c r="J1800">
        <v>4.3</v>
      </c>
      <c r="K1800" t="s">
        <v>32</v>
      </c>
      <c r="L1800">
        <v>0</v>
      </c>
      <c r="M1800">
        <v>5</v>
      </c>
      <c r="N1800" t="s">
        <v>1107</v>
      </c>
      <c r="O1800" s="3" t="str">
        <f>TEXT(Ticket_Table[[#This Row],[raised_date]],"YYYY-MM")</f>
        <v>2023-11</v>
      </c>
      <c r="P1800" s="3" t="str">
        <f>IF(Ticket_Table[[#This Row],[resolution_hrs]]&lt;=4,"Fast",IF(Ticket_Table[[#This Row],[resolution_hrs]]&lt;=24,"Normal",IF(Ticket_Table[[#This Row],[resolution_hrs]]&lt;=48,"Slow","Very Slow")))</f>
        <v>Normal</v>
      </c>
      <c r="Q1800" s="3">
        <f>YEAR(Ticket_Table[[#This Row],[raised_date]])</f>
        <v>2023</v>
      </c>
    </row>
    <row r="1801" spans="1:17">
      <c r="A1801" t="s">
        <v>2361</v>
      </c>
      <c r="B1801" t="s">
        <v>195</v>
      </c>
      <c r="C1801" t="s">
        <v>261</v>
      </c>
      <c r="D1801" t="s">
        <v>90</v>
      </c>
      <c r="E1801" t="s">
        <v>51</v>
      </c>
      <c r="F1801" t="s">
        <v>45</v>
      </c>
      <c r="G1801" t="s">
        <v>74</v>
      </c>
      <c r="H1801" s="1">
        <v>45210</v>
      </c>
      <c r="I1801" s="2">
        <v>45210.1583333333</v>
      </c>
      <c r="J1801">
        <v>3.8</v>
      </c>
      <c r="K1801" t="s">
        <v>24</v>
      </c>
      <c r="L1801">
        <v>1</v>
      </c>
      <c r="M1801">
        <v>4</v>
      </c>
      <c r="N1801" t="s">
        <v>387</v>
      </c>
      <c r="O1801" s="3" t="str">
        <f>TEXT(Ticket_Table[[#This Row],[raised_date]],"YYYY-MM")</f>
        <v>2023-10</v>
      </c>
      <c r="P1801" s="3" t="str">
        <f>IF(Ticket_Table[[#This Row],[resolution_hrs]]&lt;=4,"Fast",IF(Ticket_Table[[#This Row],[resolution_hrs]]&lt;=24,"Normal",IF(Ticket_Table[[#This Row],[resolution_hrs]]&lt;=48,"Slow","Very Slow")))</f>
        <v>Fast</v>
      </c>
      <c r="Q1801" s="3">
        <f>YEAR(Ticket_Table[[#This Row],[raised_date]])</f>
        <v>2023</v>
      </c>
    </row>
    <row r="1802" spans="1:17">
      <c r="A1802" t="s">
        <v>2362</v>
      </c>
      <c r="B1802" t="s">
        <v>145</v>
      </c>
      <c r="C1802" t="s">
        <v>55</v>
      </c>
      <c r="D1802" t="s">
        <v>43</v>
      </c>
      <c r="E1802" t="s">
        <v>30</v>
      </c>
      <c r="F1802" t="s">
        <v>38</v>
      </c>
      <c r="G1802" t="s">
        <v>46</v>
      </c>
      <c r="H1802" s="1">
        <v>45034</v>
      </c>
      <c r="I1802" s="2">
        <v>45035.0375</v>
      </c>
      <c r="J1802">
        <v>24.9</v>
      </c>
      <c r="K1802" t="s">
        <v>32</v>
      </c>
      <c r="L1802">
        <v>1</v>
      </c>
      <c r="M1802">
        <v>3</v>
      </c>
      <c r="N1802" t="s">
        <v>391</v>
      </c>
      <c r="O1802" s="3" t="str">
        <f>TEXT(Ticket_Table[[#This Row],[raised_date]],"YYYY-MM")</f>
        <v>2023-04</v>
      </c>
      <c r="P1802" s="3" t="str">
        <f>IF(Ticket_Table[[#This Row],[resolution_hrs]]&lt;=4,"Fast",IF(Ticket_Table[[#This Row],[resolution_hrs]]&lt;=24,"Normal",IF(Ticket_Table[[#This Row],[resolution_hrs]]&lt;=48,"Slow","Very Slow")))</f>
        <v>Slow</v>
      </c>
      <c r="Q1802" s="3">
        <f>YEAR(Ticket_Table[[#This Row],[raised_date]])</f>
        <v>2023</v>
      </c>
    </row>
    <row r="1803" spans="1:17">
      <c r="A1803" t="s">
        <v>2363</v>
      </c>
      <c r="B1803" t="s">
        <v>853</v>
      </c>
      <c r="C1803" t="s">
        <v>42</v>
      </c>
      <c r="D1803" t="s">
        <v>20</v>
      </c>
      <c r="E1803" t="s">
        <v>44</v>
      </c>
      <c r="F1803" t="s">
        <v>22</v>
      </c>
      <c r="G1803" t="s">
        <v>23</v>
      </c>
      <c r="H1803" s="1">
        <v>45204</v>
      </c>
      <c r="I1803" s="2">
        <v>45206.5625</v>
      </c>
      <c r="J1803">
        <v>61.5</v>
      </c>
      <c r="K1803" t="s">
        <v>24</v>
      </c>
      <c r="L1803">
        <v>1</v>
      </c>
      <c r="M1803">
        <v>4</v>
      </c>
      <c r="N1803" t="s">
        <v>107</v>
      </c>
      <c r="O1803" s="3" t="str">
        <f>TEXT(Ticket_Table[[#This Row],[raised_date]],"YYYY-MM")</f>
        <v>2023-10</v>
      </c>
      <c r="P1803" s="3" t="str">
        <f>IF(Ticket_Table[[#This Row],[resolution_hrs]]&lt;=4,"Fast",IF(Ticket_Table[[#This Row],[resolution_hrs]]&lt;=24,"Normal",IF(Ticket_Table[[#This Row],[resolution_hrs]]&lt;=48,"Slow","Very Slow")))</f>
        <v>Very Slow</v>
      </c>
      <c r="Q1803" s="3">
        <f>YEAR(Ticket_Table[[#This Row],[raised_date]])</f>
        <v>2023</v>
      </c>
    </row>
    <row r="1804" spans="1:17">
      <c r="A1804" t="s">
        <v>2364</v>
      </c>
      <c r="B1804" t="s">
        <v>329</v>
      </c>
      <c r="C1804" t="s">
        <v>117</v>
      </c>
      <c r="D1804" t="s">
        <v>90</v>
      </c>
      <c r="E1804" t="s">
        <v>51</v>
      </c>
      <c r="F1804" t="s">
        <v>38</v>
      </c>
      <c r="G1804" t="s">
        <v>31</v>
      </c>
      <c r="H1804" s="1">
        <v>45048</v>
      </c>
      <c r="I1804" s="2">
        <v>45048.1375</v>
      </c>
      <c r="J1804">
        <v>3.3</v>
      </c>
      <c r="K1804" t="s">
        <v>24</v>
      </c>
      <c r="L1804">
        <v>0</v>
      </c>
      <c r="M1804">
        <v>4</v>
      </c>
      <c r="N1804" t="s">
        <v>395</v>
      </c>
      <c r="O1804" s="3" t="str">
        <f>TEXT(Ticket_Table[[#This Row],[raised_date]],"YYYY-MM")</f>
        <v>2023-05</v>
      </c>
      <c r="P1804" s="3" t="str">
        <f>IF(Ticket_Table[[#This Row],[resolution_hrs]]&lt;=4,"Fast",IF(Ticket_Table[[#This Row],[resolution_hrs]]&lt;=24,"Normal",IF(Ticket_Table[[#This Row],[resolution_hrs]]&lt;=48,"Slow","Very Slow")))</f>
        <v>Fast</v>
      </c>
      <c r="Q1804" s="3">
        <f>YEAR(Ticket_Table[[#This Row],[raised_date]])</f>
        <v>2023</v>
      </c>
    </row>
    <row r="1805" spans="1:17">
      <c r="A1805" t="s">
        <v>2365</v>
      </c>
      <c r="B1805" t="s">
        <v>250</v>
      </c>
      <c r="C1805" t="s">
        <v>64</v>
      </c>
      <c r="D1805" t="s">
        <v>43</v>
      </c>
      <c r="E1805" t="s">
        <v>44</v>
      </c>
      <c r="F1805" t="s">
        <v>22</v>
      </c>
      <c r="G1805" t="s">
        <v>31</v>
      </c>
      <c r="H1805" s="1">
        <v>45106</v>
      </c>
      <c r="I1805" s="2">
        <v>45106.6125</v>
      </c>
      <c r="J1805">
        <v>14.7</v>
      </c>
      <c r="K1805" t="s">
        <v>24</v>
      </c>
      <c r="L1805">
        <v>1</v>
      </c>
      <c r="M1805">
        <v>3</v>
      </c>
      <c r="N1805" t="s">
        <v>450</v>
      </c>
      <c r="O1805" s="3" t="str">
        <f>TEXT(Ticket_Table[[#This Row],[raised_date]],"YYYY-MM")</f>
        <v>2023-06</v>
      </c>
      <c r="P1805" s="3" t="str">
        <f>IF(Ticket_Table[[#This Row],[resolution_hrs]]&lt;=4,"Fast",IF(Ticket_Table[[#This Row],[resolution_hrs]]&lt;=24,"Normal",IF(Ticket_Table[[#This Row],[resolution_hrs]]&lt;=48,"Slow","Very Slow")))</f>
        <v>Normal</v>
      </c>
      <c r="Q1805" s="3">
        <f>YEAR(Ticket_Table[[#This Row],[raised_date]])</f>
        <v>2023</v>
      </c>
    </row>
    <row r="1806" spans="1:17">
      <c r="A1806" t="s">
        <v>2366</v>
      </c>
      <c r="B1806" t="s">
        <v>188</v>
      </c>
      <c r="C1806" t="s">
        <v>28</v>
      </c>
      <c r="D1806" t="s">
        <v>29</v>
      </c>
      <c r="E1806" t="s">
        <v>30</v>
      </c>
      <c r="F1806" t="s">
        <v>38</v>
      </c>
      <c r="G1806" t="s">
        <v>46</v>
      </c>
      <c r="H1806" s="1">
        <v>45197</v>
      </c>
      <c r="I1806" s="2">
        <v>45197.1375</v>
      </c>
      <c r="J1806">
        <v>3.3</v>
      </c>
      <c r="K1806" t="s">
        <v>24</v>
      </c>
      <c r="L1806">
        <v>1</v>
      </c>
      <c r="M1806">
        <v>4</v>
      </c>
      <c r="N1806" t="s">
        <v>363</v>
      </c>
      <c r="O1806" s="3" t="str">
        <f>TEXT(Ticket_Table[[#This Row],[raised_date]],"YYYY-MM")</f>
        <v>2023-09</v>
      </c>
      <c r="P1806" s="3" t="str">
        <f>IF(Ticket_Table[[#This Row],[resolution_hrs]]&lt;=4,"Fast",IF(Ticket_Table[[#This Row],[resolution_hrs]]&lt;=24,"Normal",IF(Ticket_Table[[#This Row],[resolution_hrs]]&lt;=48,"Slow","Very Slow")))</f>
        <v>Fast</v>
      </c>
      <c r="Q1806" s="3">
        <f>YEAR(Ticket_Table[[#This Row],[raised_date]])</f>
        <v>2023</v>
      </c>
    </row>
    <row r="1807" spans="1:17">
      <c r="A1807" t="s">
        <v>2367</v>
      </c>
      <c r="B1807" t="s">
        <v>432</v>
      </c>
      <c r="C1807" t="s">
        <v>213</v>
      </c>
      <c r="D1807" t="s">
        <v>20</v>
      </c>
      <c r="E1807" t="s">
        <v>56</v>
      </c>
      <c r="F1807" t="s">
        <v>45</v>
      </c>
      <c r="G1807" t="s">
        <v>46</v>
      </c>
      <c r="H1807" s="1">
        <v>44539</v>
      </c>
      <c r="I1807" s="2">
        <v>44539.0958333333</v>
      </c>
      <c r="J1807">
        <v>2.3</v>
      </c>
      <c r="K1807" t="s">
        <v>24</v>
      </c>
      <c r="L1807">
        <v>1</v>
      </c>
      <c r="M1807">
        <v>3</v>
      </c>
      <c r="N1807" t="s">
        <v>562</v>
      </c>
      <c r="O1807" s="3" t="str">
        <f>TEXT(Ticket_Table[[#This Row],[raised_date]],"YYYY-MM")</f>
        <v>2021-12</v>
      </c>
      <c r="P1807" s="3" t="str">
        <f>IF(Ticket_Table[[#This Row],[resolution_hrs]]&lt;=4,"Fast",IF(Ticket_Table[[#This Row],[resolution_hrs]]&lt;=24,"Normal",IF(Ticket_Table[[#This Row],[resolution_hrs]]&lt;=48,"Slow","Very Slow")))</f>
        <v>Fast</v>
      </c>
      <c r="Q1807" s="3">
        <f>YEAR(Ticket_Table[[#This Row],[raised_date]])</f>
        <v>2021</v>
      </c>
    </row>
    <row r="1808" spans="1:17">
      <c r="A1808" t="s">
        <v>2368</v>
      </c>
      <c r="B1808" t="s">
        <v>683</v>
      </c>
      <c r="C1808" t="s">
        <v>19</v>
      </c>
      <c r="D1808" t="s">
        <v>36</v>
      </c>
      <c r="E1808" t="s">
        <v>44</v>
      </c>
      <c r="F1808" t="s">
        <v>70</v>
      </c>
      <c r="G1808" t="s">
        <v>23</v>
      </c>
      <c r="H1808" s="1">
        <v>44366</v>
      </c>
      <c r="I1808" s="2">
        <v>44367.7291666667</v>
      </c>
      <c r="J1808">
        <v>41.5</v>
      </c>
      <c r="K1808" t="s">
        <v>24</v>
      </c>
      <c r="L1808">
        <v>0</v>
      </c>
      <c r="M1808">
        <v>4</v>
      </c>
      <c r="N1808" t="s">
        <v>41</v>
      </c>
      <c r="O1808" s="3" t="str">
        <f>TEXT(Ticket_Table[[#This Row],[raised_date]],"YYYY-MM")</f>
        <v>2021-06</v>
      </c>
      <c r="P1808" s="3" t="str">
        <f>IF(Ticket_Table[[#This Row],[resolution_hrs]]&lt;=4,"Fast",IF(Ticket_Table[[#This Row],[resolution_hrs]]&lt;=24,"Normal",IF(Ticket_Table[[#This Row],[resolution_hrs]]&lt;=48,"Slow","Very Slow")))</f>
        <v>Slow</v>
      </c>
      <c r="Q1808" s="3">
        <f>YEAR(Ticket_Table[[#This Row],[raised_date]])</f>
        <v>2021</v>
      </c>
    </row>
    <row r="1809" spans="1:17">
      <c r="A1809" t="s">
        <v>2369</v>
      </c>
      <c r="B1809" t="s">
        <v>54</v>
      </c>
      <c r="C1809" t="s">
        <v>140</v>
      </c>
      <c r="D1809" t="s">
        <v>36</v>
      </c>
      <c r="E1809" t="s">
        <v>51</v>
      </c>
      <c r="F1809" t="s">
        <v>70</v>
      </c>
      <c r="G1809" t="s">
        <v>31</v>
      </c>
      <c r="H1809" s="1">
        <v>44260</v>
      </c>
      <c r="I1809" s="2">
        <v>44260.7166666667</v>
      </c>
      <c r="J1809">
        <v>17.2</v>
      </c>
      <c r="K1809" t="s">
        <v>24</v>
      </c>
      <c r="L1809">
        <v>0</v>
      </c>
      <c r="M1809">
        <v>4</v>
      </c>
      <c r="N1809" t="s">
        <v>312</v>
      </c>
      <c r="O1809" s="3" t="str">
        <f>TEXT(Ticket_Table[[#This Row],[raised_date]],"YYYY-MM")</f>
        <v>2021-03</v>
      </c>
      <c r="P1809" s="3" t="str">
        <f>IF(Ticket_Table[[#This Row],[resolution_hrs]]&lt;=4,"Fast",IF(Ticket_Table[[#This Row],[resolution_hrs]]&lt;=24,"Normal",IF(Ticket_Table[[#This Row],[resolution_hrs]]&lt;=48,"Slow","Very Slow")))</f>
        <v>Normal</v>
      </c>
      <c r="Q1809" s="3">
        <f>YEAR(Ticket_Table[[#This Row],[raised_date]])</f>
        <v>2021</v>
      </c>
    </row>
    <row r="1810" spans="1:17">
      <c r="A1810" t="s">
        <v>2370</v>
      </c>
      <c r="B1810" t="s">
        <v>1582</v>
      </c>
      <c r="C1810" t="s">
        <v>78</v>
      </c>
      <c r="D1810" t="s">
        <v>29</v>
      </c>
      <c r="E1810" t="s">
        <v>56</v>
      </c>
      <c r="F1810" t="s">
        <v>70</v>
      </c>
      <c r="G1810" t="s">
        <v>74</v>
      </c>
      <c r="H1810" s="1">
        <v>44648</v>
      </c>
      <c r="I1810" s="2">
        <v>44649.5875</v>
      </c>
      <c r="J1810">
        <v>38.1</v>
      </c>
      <c r="K1810" t="s">
        <v>24</v>
      </c>
      <c r="L1810">
        <v>0</v>
      </c>
      <c r="M1810">
        <v>3</v>
      </c>
      <c r="N1810" t="s">
        <v>471</v>
      </c>
      <c r="O1810" s="3" t="str">
        <f>TEXT(Ticket_Table[[#This Row],[raised_date]],"YYYY-MM")</f>
        <v>2022-03</v>
      </c>
      <c r="P1810" s="3" t="str">
        <f>IF(Ticket_Table[[#This Row],[resolution_hrs]]&lt;=4,"Fast",IF(Ticket_Table[[#This Row],[resolution_hrs]]&lt;=24,"Normal",IF(Ticket_Table[[#This Row],[resolution_hrs]]&lt;=48,"Slow","Very Slow")))</f>
        <v>Slow</v>
      </c>
      <c r="Q1810" s="3">
        <f>YEAR(Ticket_Table[[#This Row],[raised_date]])</f>
        <v>2022</v>
      </c>
    </row>
    <row r="1811" spans="1:17">
      <c r="A1811" t="s">
        <v>2371</v>
      </c>
      <c r="B1811" t="s">
        <v>470</v>
      </c>
      <c r="C1811" t="s">
        <v>55</v>
      </c>
      <c r="D1811" t="s">
        <v>20</v>
      </c>
      <c r="E1811" t="s">
        <v>21</v>
      </c>
      <c r="F1811" t="s">
        <v>70</v>
      </c>
      <c r="G1811" t="s">
        <v>23</v>
      </c>
      <c r="H1811" s="1">
        <v>44795</v>
      </c>
      <c r="I1811" s="2">
        <v>44797.3541666667</v>
      </c>
      <c r="J1811">
        <v>56.5</v>
      </c>
      <c r="K1811" t="s">
        <v>32</v>
      </c>
      <c r="L1811">
        <v>0</v>
      </c>
      <c r="M1811">
        <v>5</v>
      </c>
      <c r="N1811" t="s">
        <v>189</v>
      </c>
      <c r="O1811" s="3" t="str">
        <f>TEXT(Ticket_Table[[#This Row],[raised_date]],"YYYY-MM")</f>
        <v>2022-08</v>
      </c>
      <c r="P1811" s="3" t="str">
        <f>IF(Ticket_Table[[#This Row],[resolution_hrs]]&lt;=4,"Fast",IF(Ticket_Table[[#This Row],[resolution_hrs]]&lt;=24,"Normal",IF(Ticket_Table[[#This Row],[resolution_hrs]]&lt;=48,"Slow","Very Slow")))</f>
        <v>Very Slow</v>
      </c>
      <c r="Q1811" s="3">
        <f>YEAR(Ticket_Table[[#This Row],[raised_date]])</f>
        <v>2022</v>
      </c>
    </row>
    <row r="1812" spans="1:17">
      <c r="A1812" t="s">
        <v>2372</v>
      </c>
      <c r="B1812" t="s">
        <v>549</v>
      </c>
      <c r="C1812" t="s">
        <v>213</v>
      </c>
      <c r="D1812" t="s">
        <v>20</v>
      </c>
      <c r="E1812" t="s">
        <v>83</v>
      </c>
      <c r="F1812" t="s">
        <v>70</v>
      </c>
      <c r="G1812" t="s">
        <v>74</v>
      </c>
      <c r="H1812" s="1">
        <v>44263</v>
      </c>
      <c r="I1812" s="2">
        <v>44263.6083333333</v>
      </c>
      <c r="J1812">
        <v>14.6</v>
      </c>
      <c r="K1812" t="s">
        <v>24</v>
      </c>
      <c r="L1812">
        <v>0</v>
      </c>
      <c r="M1812">
        <v>3</v>
      </c>
      <c r="N1812" t="s">
        <v>656</v>
      </c>
      <c r="O1812" s="3" t="str">
        <f>TEXT(Ticket_Table[[#This Row],[raised_date]],"YYYY-MM")</f>
        <v>2021-03</v>
      </c>
      <c r="P1812" s="3" t="str">
        <f>IF(Ticket_Table[[#This Row],[resolution_hrs]]&lt;=4,"Fast",IF(Ticket_Table[[#This Row],[resolution_hrs]]&lt;=24,"Normal",IF(Ticket_Table[[#This Row],[resolution_hrs]]&lt;=48,"Slow","Very Slow")))</f>
        <v>Normal</v>
      </c>
      <c r="Q1812" s="3">
        <f>YEAR(Ticket_Table[[#This Row],[raised_date]])</f>
        <v>2021</v>
      </c>
    </row>
    <row r="1813" spans="1:17">
      <c r="A1813" t="s">
        <v>2373</v>
      </c>
      <c r="B1813" t="s">
        <v>1241</v>
      </c>
      <c r="C1813" t="s">
        <v>42</v>
      </c>
      <c r="D1813" t="s">
        <v>20</v>
      </c>
      <c r="E1813" t="s">
        <v>106</v>
      </c>
      <c r="F1813" t="s">
        <v>38</v>
      </c>
      <c r="G1813" t="s">
        <v>23</v>
      </c>
      <c r="H1813" s="1">
        <v>44759</v>
      </c>
      <c r="I1813" s="2">
        <v>44760.0291666667</v>
      </c>
      <c r="J1813">
        <v>24.7</v>
      </c>
      <c r="K1813" t="s">
        <v>32</v>
      </c>
      <c r="L1813">
        <v>0</v>
      </c>
      <c r="M1813">
        <v>3</v>
      </c>
      <c r="N1813" t="s">
        <v>47</v>
      </c>
      <c r="O1813" s="3" t="str">
        <f>TEXT(Ticket_Table[[#This Row],[raised_date]],"YYYY-MM")</f>
        <v>2022-07</v>
      </c>
      <c r="P1813" s="3" t="str">
        <f>IF(Ticket_Table[[#This Row],[resolution_hrs]]&lt;=4,"Fast",IF(Ticket_Table[[#This Row],[resolution_hrs]]&lt;=24,"Normal",IF(Ticket_Table[[#This Row],[resolution_hrs]]&lt;=48,"Slow","Very Slow")))</f>
        <v>Slow</v>
      </c>
      <c r="Q1813" s="3">
        <f>YEAR(Ticket_Table[[#This Row],[raised_date]])</f>
        <v>2022</v>
      </c>
    </row>
    <row r="1814" spans="1:17">
      <c r="A1814" t="s">
        <v>2374</v>
      </c>
      <c r="B1814" t="s">
        <v>1025</v>
      </c>
      <c r="C1814" t="s">
        <v>78</v>
      </c>
      <c r="D1814" t="s">
        <v>20</v>
      </c>
      <c r="E1814" t="s">
        <v>51</v>
      </c>
      <c r="F1814" t="s">
        <v>45</v>
      </c>
      <c r="G1814" t="s">
        <v>46</v>
      </c>
      <c r="H1814" s="1">
        <v>44657</v>
      </c>
      <c r="I1814" s="2">
        <v>44657.25</v>
      </c>
      <c r="J1814">
        <v>6</v>
      </c>
      <c r="K1814" t="s">
        <v>32</v>
      </c>
      <c r="L1814">
        <v>2</v>
      </c>
      <c r="M1814">
        <v>5</v>
      </c>
      <c r="N1814" t="s">
        <v>148</v>
      </c>
      <c r="O1814" s="3" t="str">
        <f>TEXT(Ticket_Table[[#This Row],[raised_date]],"YYYY-MM")</f>
        <v>2022-04</v>
      </c>
      <c r="P1814" s="3" t="str">
        <f>IF(Ticket_Table[[#This Row],[resolution_hrs]]&lt;=4,"Fast",IF(Ticket_Table[[#This Row],[resolution_hrs]]&lt;=24,"Normal",IF(Ticket_Table[[#This Row],[resolution_hrs]]&lt;=48,"Slow","Very Slow")))</f>
        <v>Normal</v>
      </c>
      <c r="Q1814" s="3">
        <f>YEAR(Ticket_Table[[#This Row],[raised_date]])</f>
        <v>2022</v>
      </c>
    </row>
    <row r="1815" spans="1:17">
      <c r="A1815" t="s">
        <v>2375</v>
      </c>
      <c r="B1815" t="s">
        <v>435</v>
      </c>
      <c r="C1815" t="s">
        <v>201</v>
      </c>
      <c r="D1815" t="s">
        <v>36</v>
      </c>
      <c r="E1815" t="s">
        <v>21</v>
      </c>
      <c r="F1815" t="s">
        <v>45</v>
      </c>
      <c r="G1815" t="s">
        <v>74</v>
      </c>
      <c r="H1815" s="1">
        <v>44788</v>
      </c>
      <c r="I1815" s="2">
        <v>44788.1875</v>
      </c>
      <c r="J1815">
        <v>4.5</v>
      </c>
      <c r="K1815" t="s">
        <v>32</v>
      </c>
      <c r="L1815">
        <v>2</v>
      </c>
      <c r="M1815">
        <v>2</v>
      </c>
      <c r="N1815" t="s">
        <v>1050</v>
      </c>
      <c r="O1815" s="3" t="str">
        <f>TEXT(Ticket_Table[[#This Row],[raised_date]],"YYYY-MM")</f>
        <v>2022-08</v>
      </c>
      <c r="P1815" s="3" t="str">
        <f>IF(Ticket_Table[[#This Row],[resolution_hrs]]&lt;=4,"Fast",IF(Ticket_Table[[#This Row],[resolution_hrs]]&lt;=24,"Normal",IF(Ticket_Table[[#This Row],[resolution_hrs]]&lt;=48,"Slow","Very Slow")))</f>
        <v>Normal</v>
      </c>
      <c r="Q1815" s="3">
        <f>YEAR(Ticket_Table[[#This Row],[raised_date]])</f>
        <v>2022</v>
      </c>
    </row>
    <row r="1816" spans="1:17">
      <c r="A1816" t="s">
        <v>2376</v>
      </c>
      <c r="B1816" t="s">
        <v>227</v>
      </c>
      <c r="C1816" t="s">
        <v>140</v>
      </c>
      <c r="D1816" t="s">
        <v>43</v>
      </c>
      <c r="E1816" t="s">
        <v>69</v>
      </c>
      <c r="F1816" t="s">
        <v>22</v>
      </c>
      <c r="G1816" t="s">
        <v>46</v>
      </c>
      <c r="H1816" s="1">
        <v>44541</v>
      </c>
      <c r="I1816" s="2">
        <v>44543.4166666667</v>
      </c>
      <c r="J1816">
        <v>58</v>
      </c>
      <c r="K1816" t="s">
        <v>24</v>
      </c>
      <c r="L1816">
        <v>1</v>
      </c>
      <c r="M1816">
        <v>2</v>
      </c>
      <c r="N1816" t="s">
        <v>525</v>
      </c>
      <c r="O1816" s="3" t="str">
        <f>TEXT(Ticket_Table[[#This Row],[raised_date]],"YYYY-MM")</f>
        <v>2021-12</v>
      </c>
      <c r="P1816" s="3" t="str">
        <f>IF(Ticket_Table[[#This Row],[resolution_hrs]]&lt;=4,"Fast",IF(Ticket_Table[[#This Row],[resolution_hrs]]&lt;=24,"Normal",IF(Ticket_Table[[#This Row],[resolution_hrs]]&lt;=48,"Slow","Very Slow")))</f>
        <v>Very Slow</v>
      </c>
      <c r="Q1816" s="3">
        <f>YEAR(Ticket_Table[[#This Row],[raised_date]])</f>
        <v>2021</v>
      </c>
    </row>
    <row r="1817" spans="1:17">
      <c r="A1817" t="s">
        <v>2377</v>
      </c>
      <c r="B1817" t="s">
        <v>79</v>
      </c>
      <c r="C1817" t="s">
        <v>102</v>
      </c>
      <c r="D1817" t="s">
        <v>20</v>
      </c>
      <c r="E1817" t="s">
        <v>69</v>
      </c>
      <c r="F1817" t="s">
        <v>38</v>
      </c>
      <c r="G1817" t="s">
        <v>23</v>
      </c>
      <c r="H1817" s="1">
        <v>45133</v>
      </c>
      <c r="I1817" s="2">
        <v>45133.4125</v>
      </c>
      <c r="J1817">
        <v>9.9</v>
      </c>
      <c r="K1817" t="s">
        <v>24</v>
      </c>
      <c r="L1817">
        <v>3</v>
      </c>
      <c r="M1817">
        <v>3</v>
      </c>
      <c r="N1817" t="s">
        <v>266</v>
      </c>
      <c r="O1817" s="3" t="str">
        <f>TEXT(Ticket_Table[[#This Row],[raised_date]],"YYYY-MM")</f>
        <v>2023-07</v>
      </c>
      <c r="P1817" s="3" t="str">
        <f>IF(Ticket_Table[[#This Row],[resolution_hrs]]&lt;=4,"Fast",IF(Ticket_Table[[#This Row],[resolution_hrs]]&lt;=24,"Normal",IF(Ticket_Table[[#This Row],[resolution_hrs]]&lt;=48,"Slow","Very Slow")))</f>
        <v>Normal</v>
      </c>
      <c r="Q1817" s="3">
        <f>YEAR(Ticket_Table[[#This Row],[raised_date]])</f>
        <v>2023</v>
      </c>
    </row>
    <row r="1818" spans="1:17">
      <c r="A1818" t="s">
        <v>2378</v>
      </c>
      <c r="B1818" t="s">
        <v>662</v>
      </c>
      <c r="C1818" t="s">
        <v>175</v>
      </c>
      <c r="D1818" t="s">
        <v>43</v>
      </c>
      <c r="E1818" t="s">
        <v>37</v>
      </c>
      <c r="F1818" t="s">
        <v>38</v>
      </c>
      <c r="G1818" t="s">
        <v>23</v>
      </c>
      <c r="H1818" s="1">
        <v>45211</v>
      </c>
      <c r="I1818" s="2">
        <v>45211.8583333333</v>
      </c>
      <c r="J1818">
        <v>20.6</v>
      </c>
      <c r="K1818" t="s">
        <v>24</v>
      </c>
      <c r="L1818">
        <v>3</v>
      </c>
      <c r="M1818">
        <v>4</v>
      </c>
      <c r="N1818" t="s">
        <v>293</v>
      </c>
      <c r="O1818" s="3" t="str">
        <f>TEXT(Ticket_Table[[#This Row],[raised_date]],"YYYY-MM")</f>
        <v>2023-10</v>
      </c>
      <c r="P1818" s="3" t="str">
        <f>IF(Ticket_Table[[#This Row],[resolution_hrs]]&lt;=4,"Fast",IF(Ticket_Table[[#This Row],[resolution_hrs]]&lt;=24,"Normal",IF(Ticket_Table[[#This Row],[resolution_hrs]]&lt;=48,"Slow","Very Slow")))</f>
        <v>Normal</v>
      </c>
      <c r="Q1818" s="3">
        <f>YEAR(Ticket_Table[[#This Row],[raised_date]])</f>
        <v>2023</v>
      </c>
    </row>
    <row r="1819" spans="1:17">
      <c r="A1819" t="s">
        <v>2379</v>
      </c>
      <c r="B1819" t="s">
        <v>605</v>
      </c>
      <c r="C1819" t="s">
        <v>42</v>
      </c>
      <c r="D1819" t="s">
        <v>20</v>
      </c>
      <c r="E1819" t="s">
        <v>51</v>
      </c>
      <c r="F1819" t="s">
        <v>22</v>
      </c>
      <c r="G1819" t="s">
        <v>23</v>
      </c>
      <c r="H1819" s="1">
        <v>45243</v>
      </c>
      <c r="I1819" s="2">
        <v>45245.0666666667</v>
      </c>
      <c r="J1819">
        <v>49.6</v>
      </c>
      <c r="K1819" t="s">
        <v>24</v>
      </c>
      <c r="L1819">
        <v>1</v>
      </c>
      <c r="M1819">
        <v>3</v>
      </c>
      <c r="N1819" t="s">
        <v>280</v>
      </c>
      <c r="O1819" s="3" t="str">
        <f>TEXT(Ticket_Table[[#This Row],[raised_date]],"YYYY-MM")</f>
        <v>2023-11</v>
      </c>
      <c r="P1819" s="3" t="str">
        <f>IF(Ticket_Table[[#This Row],[resolution_hrs]]&lt;=4,"Fast",IF(Ticket_Table[[#This Row],[resolution_hrs]]&lt;=24,"Normal",IF(Ticket_Table[[#This Row],[resolution_hrs]]&lt;=48,"Slow","Very Slow")))</f>
        <v>Very Slow</v>
      </c>
      <c r="Q1819" s="3">
        <f>YEAR(Ticket_Table[[#This Row],[raised_date]])</f>
        <v>2023</v>
      </c>
    </row>
    <row r="1820" spans="1:17">
      <c r="A1820" t="s">
        <v>2380</v>
      </c>
      <c r="B1820" t="s">
        <v>295</v>
      </c>
      <c r="C1820" t="s">
        <v>201</v>
      </c>
      <c r="D1820" t="s">
        <v>90</v>
      </c>
      <c r="E1820" t="s">
        <v>166</v>
      </c>
      <c r="F1820" t="s">
        <v>22</v>
      </c>
      <c r="G1820" t="s">
        <v>74</v>
      </c>
      <c r="H1820" s="1">
        <v>44428</v>
      </c>
      <c r="I1820" s="2">
        <v>44432.225</v>
      </c>
      <c r="J1820">
        <v>101.4</v>
      </c>
      <c r="K1820" t="s">
        <v>32</v>
      </c>
      <c r="L1820">
        <v>0</v>
      </c>
      <c r="M1820">
        <v>4</v>
      </c>
      <c r="N1820" t="s">
        <v>1011</v>
      </c>
      <c r="O1820" s="3" t="str">
        <f>TEXT(Ticket_Table[[#This Row],[raised_date]],"YYYY-MM")</f>
        <v>2021-08</v>
      </c>
      <c r="P1820" s="3" t="str">
        <f>IF(Ticket_Table[[#This Row],[resolution_hrs]]&lt;=4,"Fast",IF(Ticket_Table[[#This Row],[resolution_hrs]]&lt;=24,"Normal",IF(Ticket_Table[[#This Row],[resolution_hrs]]&lt;=48,"Slow","Very Slow")))</f>
        <v>Very Slow</v>
      </c>
      <c r="Q1820" s="3">
        <f>YEAR(Ticket_Table[[#This Row],[raised_date]])</f>
        <v>2021</v>
      </c>
    </row>
    <row r="1821" spans="1:17">
      <c r="A1821" t="s">
        <v>2381</v>
      </c>
      <c r="B1821" t="s">
        <v>25</v>
      </c>
      <c r="C1821" t="s">
        <v>95</v>
      </c>
      <c r="D1821" t="s">
        <v>90</v>
      </c>
      <c r="E1821" t="s">
        <v>106</v>
      </c>
      <c r="F1821" t="s">
        <v>22</v>
      </c>
      <c r="G1821" t="s">
        <v>74</v>
      </c>
      <c r="H1821" s="1">
        <v>44430</v>
      </c>
      <c r="I1821" s="2">
        <v>44432.9</v>
      </c>
      <c r="J1821">
        <v>69.6</v>
      </c>
      <c r="K1821" t="s">
        <v>24</v>
      </c>
      <c r="L1821">
        <v>0</v>
      </c>
      <c r="M1821">
        <v>3</v>
      </c>
      <c r="N1821" t="s">
        <v>424</v>
      </c>
      <c r="O1821" s="3" t="str">
        <f>TEXT(Ticket_Table[[#This Row],[raised_date]],"YYYY-MM")</f>
        <v>2021-08</v>
      </c>
      <c r="P1821" s="3" t="str">
        <f>IF(Ticket_Table[[#This Row],[resolution_hrs]]&lt;=4,"Fast",IF(Ticket_Table[[#This Row],[resolution_hrs]]&lt;=24,"Normal",IF(Ticket_Table[[#This Row],[resolution_hrs]]&lt;=48,"Slow","Very Slow")))</f>
        <v>Very Slow</v>
      </c>
      <c r="Q1821" s="3">
        <f>YEAR(Ticket_Table[[#This Row],[raised_date]])</f>
        <v>2021</v>
      </c>
    </row>
    <row r="1822" spans="1:17">
      <c r="A1822" t="s">
        <v>2382</v>
      </c>
      <c r="B1822" t="s">
        <v>676</v>
      </c>
      <c r="C1822" t="s">
        <v>68</v>
      </c>
      <c r="D1822" t="s">
        <v>90</v>
      </c>
      <c r="E1822" t="s">
        <v>166</v>
      </c>
      <c r="F1822" t="s">
        <v>45</v>
      </c>
      <c r="G1822" t="s">
        <v>46</v>
      </c>
      <c r="H1822" s="1">
        <v>44745</v>
      </c>
      <c r="I1822" s="2">
        <v>44745.2375</v>
      </c>
      <c r="J1822">
        <v>5.7</v>
      </c>
      <c r="K1822" t="s">
        <v>32</v>
      </c>
      <c r="L1822">
        <v>0</v>
      </c>
      <c r="M1822">
        <v>3</v>
      </c>
      <c r="N1822" t="s">
        <v>206</v>
      </c>
      <c r="O1822" s="3" t="str">
        <f>TEXT(Ticket_Table[[#This Row],[raised_date]],"YYYY-MM")</f>
        <v>2022-07</v>
      </c>
      <c r="P1822" s="3" t="str">
        <f>IF(Ticket_Table[[#This Row],[resolution_hrs]]&lt;=4,"Fast",IF(Ticket_Table[[#This Row],[resolution_hrs]]&lt;=24,"Normal",IF(Ticket_Table[[#This Row],[resolution_hrs]]&lt;=48,"Slow","Very Slow")))</f>
        <v>Normal</v>
      </c>
      <c r="Q1822" s="3">
        <f>YEAR(Ticket_Table[[#This Row],[raised_date]])</f>
        <v>2022</v>
      </c>
    </row>
    <row r="1823" spans="1:17">
      <c r="A1823" t="s">
        <v>2383</v>
      </c>
      <c r="B1823" t="s">
        <v>474</v>
      </c>
      <c r="C1823" t="s">
        <v>175</v>
      </c>
      <c r="D1823" t="s">
        <v>20</v>
      </c>
      <c r="E1823" t="s">
        <v>83</v>
      </c>
      <c r="F1823" t="s">
        <v>70</v>
      </c>
      <c r="G1823" t="s">
        <v>31</v>
      </c>
      <c r="H1823" s="1">
        <v>44948</v>
      </c>
      <c r="I1823" s="2">
        <v>44948.1958333333</v>
      </c>
      <c r="J1823">
        <v>4.7</v>
      </c>
      <c r="K1823" t="s">
        <v>24</v>
      </c>
      <c r="L1823">
        <v>0</v>
      </c>
      <c r="M1823">
        <v>4</v>
      </c>
      <c r="N1823" t="s">
        <v>1041</v>
      </c>
      <c r="O1823" s="3" t="str">
        <f>TEXT(Ticket_Table[[#This Row],[raised_date]],"YYYY-MM")</f>
        <v>2023-01</v>
      </c>
      <c r="P1823" s="3" t="str">
        <f>IF(Ticket_Table[[#This Row],[resolution_hrs]]&lt;=4,"Fast",IF(Ticket_Table[[#This Row],[resolution_hrs]]&lt;=24,"Normal",IF(Ticket_Table[[#This Row],[resolution_hrs]]&lt;=48,"Slow","Very Slow")))</f>
        <v>Normal</v>
      </c>
      <c r="Q1823" s="3">
        <f>YEAR(Ticket_Table[[#This Row],[raised_date]])</f>
        <v>2023</v>
      </c>
    </row>
    <row r="1824" spans="1:17">
      <c r="A1824" t="s">
        <v>2384</v>
      </c>
      <c r="B1824" t="s">
        <v>339</v>
      </c>
      <c r="C1824" t="s">
        <v>28</v>
      </c>
      <c r="D1824" t="s">
        <v>43</v>
      </c>
      <c r="E1824" t="s">
        <v>37</v>
      </c>
      <c r="F1824" t="s">
        <v>38</v>
      </c>
      <c r="G1824" t="s">
        <v>23</v>
      </c>
      <c r="H1824" s="1">
        <v>44282</v>
      </c>
      <c r="I1824" s="2">
        <v>44283.4125</v>
      </c>
      <c r="J1824">
        <v>33.9</v>
      </c>
      <c r="K1824" t="s">
        <v>32</v>
      </c>
      <c r="L1824">
        <v>1</v>
      </c>
      <c r="M1824">
        <v>3</v>
      </c>
      <c r="N1824" t="s">
        <v>873</v>
      </c>
      <c r="O1824" s="3" t="str">
        <f>TEXT(Ticket_Table[[#This Row],[raised_date]],"YYYY-MM")</f>
        <v>2021-03</v>
      </c>
      <c r="P1824" s="3" t="str">
        <f>IF(Ticket_Table[[#This Row],[resolution_hrs]]&lt;=4,"Fast",IF(Ticket_Table[[#This Row],[resolution_hrs]]&lt;=24,"Normal",IF(Ticket_Table[[#This Row],[resolution_hrs]]&lt;=48,"Slow","Very Slow")))</f>
        <v>Slow</v>
      </c>
      <c r="Q1824" s="3">
        <f>YEAR(Ticket_Table[[#This Row],[raised_date]])</f>
        <v>2021</v>
      </c>
    </row>
    <row r="1825" spans="1:17">
      <c r="A1825" t="s">
        <v>2385</v>
      </c>
      <c r="B1825" t="s">
        <v>796</v>
      </c>
      <c r="C1825" t="s">
        <v>261</v>
      </c>
      <c r="D1825" t="s">
        <v>36</v>
      </c>
      <c r="E1825" t="s">
        <v>106</v>
      </c>
      <c r="F1825" t="s">
        <v>22</v>
      </c>
      <c r="G1825" t="s">
        <v>31</v>
      </c>
      <c r="H1825" s="1">
        <v>45100</v>
      </c>
      <c r="I1825" s="2">
        <v>45101.9708333333</v>
      </c>
      <c r="J1825">
        <v>47.3</v>
      </c>
      <c r="K1825" t="s">
        <v>24</v>
      </c>
      <c r="L1825">
        <v>0</v>
      </c>
      <c r="M1825">
        <v>4</v>
      </c>
      <c r="N1825" t="s">
        <v>822</v>
      </c>
      <c r="O1825" s="3" t="str">
        <f>TEXT(Ticket_Table[[#This Row],[raised_date]],"YYYY-MM")</f>
        <v>2023-06</v>
      </c>
      <c r="P1825" s="3" t="str">
        <f>IF(Ticket_Table[[#This Row],[resolution_hrs]]&lt;=4,"Fast",IF(Ticket_Table[[#This Row],[resolution_hrs]]&lt;=24,"Normal",IF(Ticket_Table[[#This Row],[resolution_hrs]]&lt;=48,"Slow","Very Slow")))</f>
        <v>Slow</v>
      </c>
      <c r="Q1825" s="3">
        <f>YEAR(Ticket_Table[[#This Row],[raised_date]])</f>
        <v>2023</v>
      </c>
    </row>
    <row r="1826" spans="1:17">
      <c r="A1826" t="s">
        <v>2386</v>
      </c>
      <c r="B1826" t="s">
        <v>588</v>
      </c>
      <c r="C1826" t="s">
        <v>19</v>
      </c>
      <c r="D1826" t="s">
        <v>29</v>
      </c>
      <c r="E1826" t="s">
        <v>56</v>
      </c>
      <c r="F1826" t="s">
        <v>38</v>
      </c>
      <c r="G1826" t="s">
        <v>23</v>
      </c>
      <c r="H1826" s="1">
        <v>44644</v>
      </c>
      <c r="I1826" s="2">
        <v>44645.4916666667</v>
      </c>
      <c r="J1826">
        <v>35.8</v>
      </c>
      <c r="K1826" t="s">
        <v>32</v>
      </c>
      <c r="L1826">
        <v>0</v>
      </c>
      <c r="M1826">
        <v>4</v>
      </c>
      <c r="N1826" t="s">
        <v>1003</v>
      </c>
      <c r="O1826" s="3" t="str">
        <f>TEXT(Ticket_Table[[#This Row],[raised_date]],"YYYY-MM")</f>
        <v>2022-03</v>
      </c>
      <c r="P1826" s="3" t="str">
        <f>IF(Ticket_Table[[#This Row],[resolution_hrs]]&lt;=4,"Fast",IF(Ticket_Table[[#This Row],[resolution_hrs]]&lt;=24,"Normal",IF(Ticket_Table[[#This Row],[resolution_hrs]]&lt;=48,"Slow","Very Slow")))</f>
        <v>Slow</v>
      </c>
      <c r="Q1826" s="3">
        <f>YEAR(Ticket_Table[[#This Row],[raised_date]])</f>
        <v>2022</v>
      </c>
    </row>
    <row r="1827" spans="1:17">
      <c r="A1827" t="s">
        <v>2387</v>
      </c>
      <c r="B1827" t="s">
        <v>329</v>
      </c>
      <c r="C1827" t="s">
        <v>55</v>
      </c>
      <c r="D1827" t="s">
        <v>36</v>
      </c>
      <c r="E1827" t="s">
        <v>44</v>
      </c>
      <c r="F1827" t="s">
        <v>22</v>
      </c>
      <c r="G1827" t="s">
        <v>46</v>
      </c>
      <c r="H1827" s="1">
        <v>45067</v>
      </c>
      <c r="I1827" s="2">
        <v>45068.2625</v>
      </c>
      <c r="J1827">
        <v>30.3</v>
      </c>
      <c r="K1827" t="s">
        <v>24</v>
      </c>
      <c r="L1827">
        <v>0</v>
      </c>
      <c r="M1827">
        <v>5</v>
      </c>
      <c r="N1827" t="s">
        <v>653</v>
      </c>
      <c r="O1827" s="3" t="str">
        <f>TEXT(Ticket_Table[[#This Row],[raised_date]],"YYYY-MM")</f>
        <v>2023-05</v>
      </c>
      <c r="P1827" s="3" t="str">
        <f>IF(Ticket_Table[[#This Row],[resolution_hrs]]&lt;=4,"Fast",IF(Ticket_Table[[#This Row],[resolution_hrs]]&lt;=24,"Normal",IF(Ticket_Table[[#This Row],[resolution_hrs]]&lt;=48,"Slow","Very Slow")))</f>
        <v>Slow</v>
      </c>
      <c r="Q1827" s="3">
        <f>YEAR(Ticket_Table[[#This Row],[raised_date]])</f>
        <v>2023</v>
      </c>
    </row>
    <row r="1828" spans="1:17">
      <c r="A1828" t="s">
        <v>2388</v>
      </c>
      <c r="B1828" t="s">
        <v>470</v>
      </c>
      <c r="C1828" t="s">
        <v>213</v>
      </c>
      <c r="D1828" t="s">
        <v>20</v>
      </c>
      <c r="E1828" t="s">
        <v>106</v>
      </c>
      <c r="F1828" t="s">
        <v>70</v>
      </c>
      <c r="G1828" t="s">
        <v>74</v>
      </c>
      <c r="H1828" s="1">
        <v>44406</v>
      </c>
      <c r="I1828" s="2">
        <v>44408.0541666667</v>
      </c>
      <c r="J1828">
        <v>49.3</v>
      </c>
      <c r="K1828" t="s">
        <v>32</v>
      </c>
      <c r="L1828">
        <v>0</v>
      </c>
      <c r="M1828">
        <v>2</v>
      </c>
      <c r="N1828" t="s">
        <v>1348</v>
      </c>
      <c r="O1828" s="3" t="str">
        <f>TEXT(Ticket_Table[[#This Row],[raised_date]],"YYYY-MM")</f>
        <v>2021-07</v>
      </c>
      <c r="P1828" s="3" t="str">
        <f>IF(Ticket_Table[[#This Row],[resolution_hrs]]&lt;=4,"Fast",IF(Ticket_Table[[#This Row],[resolution_hrs]]&lt;=24,"Normal",IF(Ticket_Table[[#This Row],[resolution_hrs]]&lt;=48,"Slow","Very Slow")))</f>
        <v>Very Slow</v>
      </c>
      <c r="Q1828" s="3">
        <f>YEAR(Ticket_Table[[#This Row],[raised_date]])</f>
        <v>2021</v>
      </c>
    </row>
    <row r="1829" spans="1:17">
      <c r="A1829" t="s">
        <v>2389</v>
      </c>
      <c r="B1829" t="s">
        <v>385</v>
      </c>
      <c r="C1829" t="s">
        <v>82</v>
      </c>
      <c r="D1829" t="s">
        <v>90</v>
      </c>
      <c r="E1829" t="s">
        <v>30</v>
      </c>
      <c r="F1829" t="s">
        <v>70</v>
      </c>
      <c r="G1829" t="s">
        <v>23</v>
      </c>
      <c r="H1829" s="1">
        <v>44703</v>
      </c>
      <c r="I1829" s="2">
        <v>44704.4208333333</v>
      </c>
      <c r="J1829">
        <v>34.1</v>
      </c>
      <c r="K1829" t="s">
        <v>24</v>
      </c>
      <c r="L1829">
        <v>0</v>
      </c>
      <c r="M1829">
        <v>4</v>
      </c>
      <c r="N1829" t="s">
        <v>126</v>
      </c>
      <c r="O1829" s="3" t="str">
        <f>TEXT(Ticket_Table[[#This Row],[raised_date]],"YYYY-MM")</f>
        <v>2022-05</v>
      </c>
      <c r="P1829" s="3" t="str">
        <f>IF(Ticket_Table[[#This Row],[resolution_hrs]]&lt;=4,"Fast",IF(Ticket_Table[[#This Row],[resolution_hrs]]&lt;=24,"Normal",IF(Ticket_Table[[#This Row],[resolution_hrs]]&lt;=48,"Slow","Very Slow")))</f>
        <v>Slow</v>
      </c>
      <c r="Q1829" s="3">
        <f>YEAR(Ticket_Table[[#This Row],[raised_date]])</f>
        <v>2022</v>
      </c>
    </row>
    <row r="1830" spans="1:17">
      <c r="A1830" t="s">
        <v>2390</v>
      </c>
      <c r="B1830" t="s">
        <v>712</v>
      </c>
      <c r="C1830" t="s">
        <v>117</v>
      </c>
      <c r="D1830" t="s">
        <v>90</v>
      </c>
      <c r="E1830" t="s">
        <v>56</v>
      </c>
      <c r="F1830" t="s">
        <v>22</v>
      </c>
      <c r="G1830" t="s">
        <v>23</v>
      </c>
      <c r="H1830" s="1">
        <v>44806</v>
      </c>
      <c r="I1830" s="2">
        <v>44807.6541666667</v>
      </c>
      <c r="J1830">
        <v>39.7</v>
      </c>
      <c r="K1830" t="s">
        <v>24</v>
      </c>
      <c r="L1830">
        <v>1</v>
      </c>
      <c r="M1830">
        <v>3</v>
      </c>
      <c r="N1830" t="s">
        <v>337</v>
      </c>
      <c r="O1830" s="3" t="str">
        <f>TEXT(Ticket_Table[[#This Row],[raised_date]],"YYYY-MM")</f>
        <v>2022-09</v>
      </c>
      <c r="P1830" s="3" t="str">
        <f>IF(Ticket_Table[[#This Row],[resolution_hrs]]&lt;=4,"Fast",IF(Ticket_Table[[#This Row],[resolution_hrs]]&lt;=24,"Normal",IF(Ticket_Table[[#This Row],[resolution_hrs]]&lt;=48,"Slow","Very Slow")))</f>
        <v>Slow</v>
      </c>
      <c r="Q1830" s="3">
        <f>YEAR(Ticket_Table[[#This Row],[raised_date]])</f>
        <v>2022</v>
      </c>
    </row>
    <row r="1831" spans="1:17">
      <c r="A1831" t="s">
        <v>2391</v>
      </c>
      <c r="B1831" t="s">
        <v>1050</v>
      </c>
      <c r="C1831" t="s">
        <v>140</v>
      </c>
      <c r="D1831" t="s">
        <v>43</v>
      </c>
      <c r="E1831" t="s">
        <v>44</v>
      </c>
      <c r="F1831" t="s">
        <v>38</v>
      </c>
      <c r="G1831" t="s">
        <v>31</v>
      </c>
      <c r="H1831" s="1">
        <v>44263</v>
      </c>
      <c r="I1831" s="2">
        <v>44264.15</v>
      </c>
      <c r="J1831">
        <v>27.6</v>
      </c>
      <c r="K1831" t="s">
        <v>32</v>
      </c>
      <c r="L1831">
        <v>0</v>
      </c>
      <c r="M1831">
        <v>5</v>
      </c>
      <c r="N1831" t="s">
        <v>129</v>
      </c>
      <c r="O1831" s="3" t="str">
        <f>TEXT(Ticket_Table[[#This Row],[raised_date]],"YYYY-MM")</f>
        <v>2021-03</v>
      </c>
      <c r="P1831" s="3" t="str">
        <f>IF(Ticket_Table[[#This Row],[resolution_hrs]]&lt;=4,"Fast",IF(Ticket_Table[[#This Row],[resolution_hrs]]&lt;=24,"Normal",IF(Ticket_Table[[#This Row],[resolution_hrs]]&lt;=48,"Slow","Very Slow")))</f>
        <v>Slow</v>
      </c>
      <c r="Q1831" s="3">
        <f>YEAR(Ticket_Table[[#This Row],[raised_date]])</f>
        <v>2021</v>
      </c>
    </row>
    <row r="1832" spans="1:17">
      <c r="A1832" t="s">
        <v>2392</v>
      </c>
      <c r="B1832" t="s">
        <v>77</v>
      </c>
      <c r="C1832" t="s">
        <v>117</v>
      </c>
      <c r="D1832" t="s">
        <v>20</v>
      </c>
      <c r="E1832" t="s">
        <v>83</v>
      </c>
      <c r="F1832" t="s">
        <v>22</v>
      </c>
      <c r="G1832" t="s">
        <v>31</v>
      </c>
      <c r="H1832" s="1">
        <v>45118</v>
      </c>
      <c r="I1832" s="2">
        <v>45121.9833333333</v>
      </c>
      <c r="J1832">
        <v>95.6</v>
      </c>
      <c r="K1832" t="s">
        <v>32</v>
      </c>
      <c r="L1832">
        <v>0</v>
      </c>
      <c r="M1832">
        <v>5</v>
      </c>
      <c r="N1832" t="s">
        <v>167</v>
      </c>
      <c r="O1832" s="3" t="str">
        <f>TEXT(Ticket_Table[[#This Row],[raised_date]],"YYYY-MM")</f>
        <v>2023-07</v>
      </c>
      <c r="P1832" s="3" t="str">
        <f>IF(Ticket_Table[[#This Row],[resolution_hrs]]&lt;=4,"Fast",IF(Ticket_Table[[#This Row],[resolution_hrs]]&lt;=24,"Normal",IF(Ticket_Table[[#This Row],[resolution_hrs]]&lt;=48,"Slow","Very Slow")))</f>
        <v>Very Slow</v>
      </c>
      <c r="Q1832" s="3">
        <f>YEAR(Ticket_Table[[#This Row],[raised_date]])</f>
        <v>2023</v>
      </c>
    </row>
    <row r="1833" spans="1:17">
      <c r="A1833" t="s">
        <v>2393</v>
      </c>
      <c r="B1833" t="s">
        <v>595</v>
      </c>
      <c r="C1833" t="s">
        <v>42</v>
      </c>
      <c r="D1833" t="s">
        <v>36</v>
      </c>
      <c r="E1833" t="s">
        <v>69</v>
      </c>
      <c r="F1833" t="s">
        <v>38</v>
      </c>
      <c r="G1833" t="s">
        <v>23</v>
      </c>
      <c r="H1833" s="1">
        <v>44735</v>
      </c>
      <c r="I1833" s="2">
        <v>44735.3708333333</v>
      </c>
      <c r="J1833">
        <v>8.9</v>
      </c>
      <c r="K1833" t="s">
        <v>24</v>
      </c>
      <c r="L1833">
        <v>1</v>
      </c>
      <c r="M1833">
        <v>5</v>
      </c>
      <c r="N1833" t="s">
        <v>99</v>
      </c>
      <c r="O1833" s="3" t="str">
        <f>TEXT(Ticket_Table[[#This Row],[raised_date]],"YYYY-MM")</f>
        <v>2022-06</v>
      </c>
      <c r="P1833" s="3" t="str">
        <f>IF(Ticket_Table[[#This Row],[resolution_hrs]]&lt;=4,"Fast",IF(Ticket_Table[[#This Row],[resolution_hrs]]&lt;=24,"Normal",IF(Ticket_Table[[#This Row],[resolution_hrs]]&lt;=48,"Slow","Very Slow")))</f>
        <v>Normal</v>
      </c>
      <c r="Q1833" s="3">
        <f>YEAR(Ticket_Table[[#This Row],[raised_date]])</f>
        <v>2022</v>
      </c>
    </row>
    <row r="1834" spans="1:17">
      <c r="A1834" t="s">
        <v>2394</v>
      </c>
      <c r="B1834" t="s">
        <v>1058</v>
      </c>
      <c r="C1834" t="s">
        <v>68</v>
      </c>
      <c r="D1834" t="s">
        <v>20</v>
      </c>
      <c r="E1834" t="s">
        <v>44</v>
      </c>
      <c r="F1834" t="s">
        <v>70</v>
      </c>
      <c r="G1834" t="s">
        <v>23</v>
      </c>
      <c r="H1834" s="1">
        <v>44910</v>
      </c>
      <c r="I1834" s="2">
        <v>44910.8625</v>
      </c>
      <c r="J1834">
        <v>20.7</v>
      </c>
      <c r="K1834" t="s">
        <v>24</v>
      </c>
      <c r="L1834">
        <v>1</v>
      </c>
      <c r="M1834">
        <v>3</v>
      </c>
      <c r="N1834" t="s">
        <v>478</v>
      </c>
      <c r="O1834" s="3" t="str">
        <f>TEXT(Ticket_Table[[#This Row],[raised_date]],"YYYY-MM")</f>
        <v>2022-12</v>
      </c>
      <c r="P1834" s="3" t="str">
        <f>IF(Ticket_Table[[#This Row],[resolution_hrs]]&lt;=4,"Fast",IF(Ticket_Table[[#This Row],[resolution_hrs]]&lt;=24,"Normal",IF(Ticket_Table[[#This Row],[resolution_hrs]]&lt;=48,"Slow","Very Slow")))</f>
        <v>Normal</v>
      </c>
      <c r="Q1834" s="3">
        <f>YEAR(Ticket_Table[[#This Row],[raised_date]])</f>
        <v>2022</v>
      </c>
    </row>
    <row r="1835" spans="1:17">
      <c r="A1835" t="s">
        <v>2395</v>
      </c>
      <c r="B1835" t="s">
        <v>81</v>
      </c>
      <c r="C1835" t="s">
        <v>261</v>
      </c>
      <c r="D1835" t="s">
        <v>20</v>
      </c>
      <c r="E1835" t="s">
        <v>30</v>
      </c>
      <c r="F1835" t="s">
        <v>70</v>
      </c>
      <c r="G1835" t="s">
        <v>46</v>
      </c>
      <c r="H1835" s="1">
        <v>44375</v>
      </c>
      <c r="I1835" s="2">
        <v>44376.2833333333</v>
      </c>
      <c r="J1835">
        <v>30.8</v>
      </c>
      <c r="K1835" t="s">
        <v>24</v>
      </c>
      <c r="L1835">
        <v>0</v>
      </c>
      <c r="M1835">
        <v>3</v>
      </c>
      <c r="N1835" t="s">
        <v>228</v>
      </c>
      <c r="O1835" s="3" t="str">
        <f>TEXT(Ticket_Table[[#This Row],[raised_date]],"YYYY-MM")</f>
        <v>2021-06</v>
      </c>
      <c r="P1835" s="3" t="str">
        <f>IF(Ticket_Table[[#This Row],[resolution_hrs]]&lt;=4,"Fast",IF(Ticket_Table[[#This Row],[resolution_hrs]]&lt;=24,"Normal",IF(Ticket_Table[[#This Row],[resolution_hrs]]&lt;=48,"Slow","Very Slow")))</f>
        <v>Slow</v>
      </c>
      <c r="Q1835" s="3">
        <f>YEAR(Ticket_Table[[#This Row],[raised_date]])</f>
        <v>2021</v>
      </c>
    </row>
    <row r="1836" spans="1:17">
      <c r="A1836" t="s">
        <v>2396</v>
      </c>
      <c r="B1836" t="s">
        <v>152</v>
      </c>
      <c r="C1836" t="s">
        <v>133</v>
      </c>
      <c r="D1836" t="s">
        <v>90</v>
      </c>
      <c r="E1836" t="s">
        <v>37</v>
      </c>
      <c r="F1836" t="s">
        <v>22</v>
      </c>
      <c r="G1836" t="s">
        <v>23</v>
      </c>
      <c r="H1836" s="1">
        <v>45096</v>
      </c>
      <c r="I1836" s="2">
        <v>45098.0416666667</v>
      </c>
      <c r="J1836">
        <v>49</v>
      </c>
      <c r="K1836" t="s">
        <v>24</v>
      </c>
      <c r="L1836">
        <v>0</v>
      </c>
      <c r="M1836">
        <v>4</v>
      </c>
      <c r="N1836" t="s">
        <v>620</v>
      </c>
      <c r="O1836" s="3" t="str">
        <f>TEXT(Ticket_Table[[#This Row],[raised_date]],"YYYY-MM")</f>
        <v>2023-06</v>
      </c>
      <c r="P1836" s="3" t="str">
        <f>IF(Ticket_Table[[#This Row],[resolution_hrs]]&lt;=4,"Fast",IF(Ticket_Table[[#This Row],[resolution_hrs]]&lt;=24,"Normal",IF(Ticket_Table[[#This Row],[resolution_hrs]]&lt;=48,"Slow","Very Slow")))</f>
        <v>Very Slow</v>
      </c>
      <c r="Q1836" s="3">
        <f>YEAR(Ticket_Table[[#This Row],[raised_date]])</f>
        <v>2023</v>
      </c>
    </row>
    <row r="1837" spans="1:17">
      <c r="A1837" t="s">
        <v>2397</v>
      </c>
      <c r="B1837" t="s">
        <v>678</v>
      </c>
      <c r="C1837" t="s">
        <v>133</v>
      </c>
      <c r="D1837" t="s">
        <v>36</v>
      </c>
      <c r="E1837" t="s">
        <v>44</v>
      </c>
      <c r="F1837" t="s">
        <v>22</v>
      </c>
      <c r="G1837" t="s">
        <v>31</v>
      </c>
      <c r="H1837" s="1">
        <v>44437</v>
      </c>
      <c r="I1837" s="2">
        <v>44437.0666666667</v>
      </c>
      <c r="J1837">
        <v>1.6</v>
      </c>
      <c r="K1837" t="s">
        <v>24</v>
      </c>
      <c r="L1837">
        <v>0</v>
      </c>
      <c r="M1837">
        <v>3</v>
      </c>
      <c r="N1837" t="s">
        <v>937</v>
      </c>
      <c r="O1837" s="3" t="str">
        <f>TEXT(Ticket_Table[[#This Row],[raised_date]],"YYYY-MM")</f>
        <v>2021-08</v>
      </c>
      <c r="P1837" s="3" t="str">
        <f>IF(Ticket_Table[[#This Row],[resolution_hrs]]&lt;=4,"Fast",IF(Ticket_Table[[#This Row],[resolution_hrs]]&lt;=24,"Normal",IF(Ticket_Table[[#This Row],[resolution_hrs]]&lt;=48,"Slow","Very Slow")))</f>
        <v>Fast</v>
      </c>
      <c r="Q1837" s="3">
        <f>YEAR(Ticket_Table[[#This Row],[raised_date]])</f>
        <v>2021</v>
      </c>
    </row>
    <row r="1838" spans="1:17">
      <c r="A1838" t="s">
        <v>2398</v>
      </c>
      <c r="B1838" t="s">
        <v>89</v>
      </c>
      <c r="C1838" t="s">
        <v>64</v>
      </c>
      <c r="D1838" t="s">
        <v>29</v>
      </c>
      <c r="E1838" t="s">
        <v>106</v>
      </c>
      <c r="F1838" t="s">
        <v>45</v>
      </c>
      <c r="G1838" t="s">
        <v>46</v>
      </c>
      <c r="H1838" s="1">
        <v>44682</v>
      </c>
      <c r="I1838" s="2">
        <v>44682.0833333333</v>
      </c>
      <c r="J1838">
        <v>2</v>
      </c>
      <c r="K1838" t="s">
        <v>24</v>
      </c>
      <c r="L1838">
        <v>1</v>
      </c>
      <c r="M1838">
        <v>4</v>
      </c>
      <c r="N1838" t="s">
        <v>71</v>
      </c>
      <c r="O1838" s="3" t="str">
        <f>TEXT(Ticket_Table[[#This Row],[raised_date]],"YYYY-MM")</f>
        <v>2022-05</v>
      </c>
      <c r="P1838" s="3" t="str">
        <f>IF(Ticket_Table[[#This Row],[resolution_hrs]]&lt;=4,"Fast",IF(Ticket_Table[[#This Row],[resolution_hrs]]&lt;=24,"Normal",IF(Ticket_Table[[#This Row],[resolution_hrs]]&lt;=48,"Slow","Very Slow")))</f>
        <v>Fast</v>
      </c>
      <c r="Q1838" s="3">
        <f>YEAR(Ticket_Table[[#This Row],[raised_date]])</f>
        <v>2022</v>
      </c>
    </row>
    <row r="1839" spans="1:17">
      <c r="A1839" t="s">
        <v>2399</v>
      </c>
      <c r="B1839" t="s">
        <v>458</v>
      </c>
      <c r="C1839" t="s">
        <v>201</v>
      </c>
      <c r="D1839" t="s">
        <v>90</v>
      </c>
      <c r="E1839" t="s">
        <v>106</v>
      </c>
      <c r="F1839" t="s">
        <v>22</v>
      </c>
      <c r="G1839" t="s">
        <v>91</v>
      </c>
      <c r="H1839" s="1">
        <v>44626</v>
      </c>
      <c r="I1839" s="2">
        <v>44626.4083333333</v>
      </c>
      <c r="J1839">
        <v>9.8</v>
      </c>
      <c r="K1839" t="s">
        <v>24</v>
      </c>
      <c r="L1839">
        <v>0</v>
      </c>
      <c r="M1839">
        <v>3</v>
      </c>
      <c r="N1839" t="s">
        <v>647</v>
      </c>
      <c r="O1839" s="3" t="str">
        <f>TEXT(Ticket_Table[[#This Row],[raised_date]],"YYYY-MM")</f>
        <v>2022-03</v>
      </c>
      <c r="P1839" s="3" t="str">
        <f>IF(Ticket_Table[[#This Row],[resolution_hrs]]&lt;=4,"Fast",IF(Ticket_Table[[#This Row],[resolution_hrs]]&lt;=24,"Normal",IF(Ticket_Table[[#This Row],[resolution_hrs]]&lt;=48,"Slow","Very Slow")))</f>
        <v>Normal</v>
      </c>
      <c r="Q1839" s="3">
        <f>YEAR(Ticket_Table[[#This Row],[raised_date]])</f>
        <v>2022</v>
      </c>
    </row>
    <row r="1840" spans="1:17">
      <c r="A1840" t="s">
        <v>2400</v>
      </c>
      <c r="B1840" t="s">
        <v>1833</v>
      </c>
      <c r="C1840" t="s">
        <v>95</v>
      </c>
      <c r="D1840" t="s">
        <v>36</v>
      </c>
      <c r="E1840" t="s">
        <v>37</v>
      </c>
      <c r="F1840" t="s">
        <v>38</v>
      </c>
      <c r="G1840" t="s">
        <v>23</v>
      </c>
      <c r="H1840" s="1">
        <v>44915</v>
      </c>
      <c r="I1840" s="2">
        <v>44915.875</v>
      </c>
      <c r="J1840">
        <v>21</v>
      </c>
      <c r="K1840" t="s">
        <v>24</v>
      </c>
      <c r="L1840">
        <v>0</v>
      </c>
      <c r="M1840">
        <v>4</v>
      </c>
      <c r="N1840" t="s">
        <v>608</v>
      </c>
      <c r="O1840" s="3" t="str">
        <f>TEXT(Ticket_Table[[#This Row],[raised_date]],"YYYY-MM")</f>
        <v>2022-12</v>
      </c>
      <c r="P1840" s="3" t="str">
        <f>IF(Ticket_Table[[#This Row],[resolution_hrs]]&lt;=4,"Fast",IF(Ticket_Table[[#This Row],[resolution_hrs]]&lt;=24,"Normal",IF(Ticket_Table[[#This Row],[resolution_hrs]]&lt;=48,"Slow","Very Slow")))</f>
        <v>Normal</v>
      </c>
      <c r="Q1840" s="3">
        <f>YEAR(Ticket_Table[[#This Row],[raised_date]])</f>
        <v>2022</v>
      </c>
    </row>
    <row r="1841" spans="1:17">
      <c r="A1841" t="s">
        <v>2401</v>
      </c>
      <c r="B1841" t="s">
        <v>595</v>
      </c>
      <c r="C1841" t="s">
        <v>68</v>
      </c>
      <c r="D1841" t="s">
        <v>43</v>
      </c>
      <c r="E1841" t="s">
        <v>106</v>
      </c>
      <c r="F1841" t="s">
        <v>45</v>
      </c>
      <c r="G1841" t="s">
        <v>23</v>
      </c>
      <c r="H1841" s="1">
        <v>45073</v>
      </c>
      <c r="I1841" s="2">
        <v>45073.0458333333</v>
      </c>
      <c r="J1841">
        <v>1.1</v>
      </c>
      <c r="K1841" t="s">
        <v>24</v>
      </c>
      <c r="L1841">
        <v>0</v>
      </c>
      <c r="M1841">
        <v>5</v>
      </c>
      <c r="N1841" t="s">
        <v>947</v>
      </c>
      <c r="O1841" s="3" t="str">
        <f>TEXT(Ticket_Table[[#This Row],[raised_date]],"YYYY-MM")</f>
        <v>2023-05</v>
      </c>
      <c r="P1841" s="3" t="str">
        <f>IF(Ticket_Table[[#This Row],[resolution_hrs]]&lt;=4,"Fast",IF(Ticket_Table[[#This Row],[resolution_hrs]]&lt;=24,"Normal",IF(Ticket_Table[[#This Row],[resolution_hrs]]&lt;=48,"Slow","Very Slow")))</f>
        <v>Fast</v>
      </c>
      <c r="Q1841" s="3">
        <f>YEAR(Ticket_Table[[#This Row],[raised_date]])</f>
        <v>2023</v>
      </c>
    </row>
    <row r="1842" spans="1:17">
      <c r="A1842" t="s">
        <v>2402</v>
      </c>
      <c r="B1842" t="s">
        <v>744</v>
      </c>
      <c r="C1842" t="s">
        <v>55</v>
      </c>
      <c r="D1842" t="s">
        <v>90</v>
      </c>
      <c r="E1842" t="s">
        <v>83</v>
      </c>
      <c r="F1842" t="s">
        <v>22</v>
      </c>
      <c r="G1842" t="s">
        <v>46</v>
      </c>
      <c r="H1842" s="1">
        <v>44536</v>
      </c>
      <c r="I1842" s="2">
        <v>44539.3291666667</v>
      </c>
      <c r="J1842">
        <v>79.9</v>
      </c>
      <c r="K1842" t="s">
        <v>32</v>
      </c>
      <c r="L1842">
        <v>1</v>
      </c>
      <c r="M1842">
        <v>3</v>
      </c>
      <c r="N1842" t="s">
        <v>487</v>
      </c>
      <c r="O1842" s="3" t="str">
        <f>TEXT(Ticket_Table[[#This Row],[raised_date]],"YYYY-MM")</f>
        <v>2021-12</v>
      </c>
      <c r="P1842" s="3" t="str">
        <f>IF(Ticket_Table[[#This Row],[resolution_hrs]]&lt;=4,"Fast",IF(Ticket_Table[[#This Row],[resolution_hrs]]&lt;=24,"Normal",IF(Ticket_Table[[#This Row],[resolution_hrs]]&lt;=48,"Slow","Very Slow")))</f>
        <v>Very Slow</v>
      </c>
      <c r="Q1842" s="3">
        <f>YEAR(Ticket_Table[[#This Row],[raised_date]])</f>
        <v>2021</v>
      </c>
    </row>
    <row r="1843" spans="1:17">
      <c r="A1843" t="s">
        <v>2403</v>
      </c>
      <c r="B1843" t="s">
        <v>1291</v>
      </c>
      <c r="C1843" t="s">
        <v>117</v>
      </c>
      <c r="D1843" t="s">
        <v>43</v>
      </c>
      <c r="E1843" t="s">
        <v>30</v>
      </c>
      <c r="F1843" t="s">
        <v>22</v>
      </c>
      <c r="G1843" t="s">
        <v>31</v>
      </c>
      <c r="H1843" s="1">
        <v>44482</v>
      </c>
      <c r="I1843" s="2">
        <v>44486.4041666667</v>
      </c>
      <c r="J1843">
        <v>105.7</v>
      </c>
      <c r="K1843" t="s">
        <v>32</v>
      </c>
      <c r="L1843">
        <v>0</v>
      </c>
      <c r="M1843">
        <v>4</v>
      </c>
      <c r="N1843" t="s">
        <v>835</v>
      </c>
      <c r="O1843" s="3" t="str">
        <f>TEXT(Ticket_Table[[#This Row],[raised_date]],"YYYY-MM")</f>
        <v>2021-10</v>
      </c>
      <c r="P1843" s="3" t="str">
        <f>IF(Ticket_Table[[#This Row],[resolution_hrs]]&lt;=4,"Fast",IF(Ticket_Table[[#This Row],[resolution_hrs]]&lt;=24,"Normal",IF(Ticket_Table[[#This Row],[resolution_hrs]]&lt;=48,"Slow","Very Slow")))</f>
        <v>Very Slow</v>
      </c>
      <c r="Q1843" s="3">
        <f>YEAR(Ticket_Table[[#This Row],[raised_date]])</f>
        <v>2021</v>
      </c>
    </row>
    <row r="1844" spans="1:17">
      <c r="A1844" t="s">
        <v>2404</v>
      </c>
      <c r="B1844" t="s">
        <v>716</v>
      </c>
      <c r="C1844" t="s">
        <v>68</v>
      </c>
      <c r="D1844" t="s">
        <v>90</v>
      </c>
      <c r="E1844" t="s">
        <v>51</v>
      </c>
      <c r="F1844" t="s">
        <v>38</v>
      </c>
      <c r="G1844" t="s">
        <v>23</v>
      </c>
      <c r="H1844" s="1">
        <v>44620</v>
      </c>
      <c r="I1844" s="2">
        <v>44620.6583333333</v>
      </c>
      <c r="J1844">
        <v>15.8</v>
      </c>
      <c r="K1844" t="s">
        <v>24</v>
      </c>
      <c r="L1844">
        <v>0</v>
      </c>
      <c r="M1844">
        <v>2</v>
      </c>
      <c r="N1844" t="s">
        <v>802</v>
      </c>
      <c r="O1844" s="3" t="str">
        <f>TEXT(Ticket_Table[[#This Row],[raised_date]],"YYYY-MM")</f>
        <v>2022-02</v>
      </c>
      <c r="P1844" s="3" t="str">
        <f>IF(Ticket_Table[[#This Row],[resolution_hrs]]&lt;=4,"Fast",IF(Ticket_Table[[#This Row],[resolution_hrs]]&lt;=24,"Normal",IF(Ticket_Table[[#This Row],[resolution_hrs]]&lt;=48,"Slow","Very Slow")))</f>
        <v>Normal</v>
      </c>
      <c r="Q1844" s="3">
        <f>YEAR(Ticket_Table[[#This Row],[raised_date]])</f>
        <v>2022</v>
      </c>
    </row>
    <row r="1845" spans="1:17">
      <c r="A1845" t="s">
        <v>2405</v>
      </c>
      <c r="B1845" t="s">
        <v>849</v>
      </c>
      <c r="C1845" t="s">
        <v>42</v>
      </c>
      <c r="D1845" t="s">
        <v>20</v>
      </c>
      <c r="E1845" t="s">
        <v>51</v>
      </c>
      <c r="F1845" t="s">
        <v>45</v>
      </c>
      <c r="G1845" t="s">
        <v>23</v>
      </c>
      <c r="H1845" s="1">
        <v>44620</v>
      </c>
      <c r="I1845" s="2">
        <v>44620.0583333333</v>
      </c>
      <c r="J1845">
        <v>1.4</v>
      </c>
      <c r="K1845" t="s">
        <v>24</v>
      </c>
      <c r="L1845">
        <v>0</v>
      </c>
      <c r="M1845">
        <v>2</v>
      </c>
      <c r="N1845" t="s">
        <v>182</v>
      </c>
      <c r="O1845" s="3" t="str">
        <f>TEXT(Ticket_Table[[#This Row],[raised_date]],"YYYY-MM")</f>
        <v>2022-02</v>
      </c>
      <c r="P1845" s="3" t="str">
        <f>IF(Ticket_Table[[#This Row],[resolution_hrs]]&lt;=4,"Fast",IF(Ticket_Table[[#This Row],[resolution_hrs]]&lt;=24,"Normal",IF(Ticket_Table[[#This Row],[resolution_hrs]]&lt;=48,"Slow","Very Slow")))</f>
        <v>Fast</v>
      </c>
      <c r="Q1845" s="3">
        <f>YEAR(Ticket_Table[[#This Row],[raised_date]])</f>
        <v>2022</v>
      </c>
    </row>
    <row r="1846" spans="1:17">
      <c r="A1846" t="s">
        <v>2406</v>
      </c>
      <c r="B1846" t="s">
        <v>730</v>
      </c>
      <c r="C1846" t="s">
        <v>28</v>
      </c>
      <c r="D1846" t="s">
        <v>36</v>
      </c>
      <c r="E1846" t="s">
        <v>69</v>
      </c>
      <c r="F1846" t="s">
        <v>45</v>
      </c>
      <c r="G1846" t="s">
        <v>23</v>
      </c>
      <c r="H1846" s="1">
        <v>44318</v>
      </c>
      <c r="I1846" s="2">
        <v>44318.0916666667</v>
      </c>
      <c r="J1846">
        <v>2.2</v>
      </c>
      <c r="K1846" t="s">
        <v>24</v>
      </c>
      <c r="L1846">
        <v>0</v>
      </c>
      <c r="M1846">
        <v>2</v>
      </c>
      <c r="N1846" t="s">
        <v>1291</v>
      </c>
      <c r="O1846" s="3" t="str">
        <f>TEXT(Ticket_Table[[#This Row],[raised_date]],"YYYY-MM")</f>
        <v>2021-05</v>
      </c>
      <c r="P1846" s="3" t="str">
        <f>IF(Ticket_Table[[#This Row],[resolution_hrs]]&lt;=4,"Fast",IF(Ticket_Table[[#This Row],[resolution_hrs]]&lt;=24,"Normal",IF(Ticket_Table[[#This Row],[resolution_hrs]]&lt;=48,"Slow","Very Slow")))</f>
        <v>Fast</v>
      </c>
      <c r="Q1846" s="3">
        <f>YEAR(Ticket_Table[[#This Row],[raised_date]])</f>
        <v>2021</v>
      </c>
    </row>
    <row r="1847" spans="1:17">
      <c r="A1847" t="s">
        <v>2407</v>
      </c>
      <c r="B1847" t="s">
        <v>529</v>
      </c>
      <c r="C1847" t="s">
        <v>95</v>
      </c>
      <c r="D1847" t="s">
        <v>43</v>
      </c>
      <c r="E1847" t="s">
        <v>21</v>
      </c>
      <c r="F1847" t="s">
        <v>70</v>
      </c>
      <c r="G1847" t="s">
        <v>74</v>
      </c>
      <c r="H1847" s="1">
        <v>44915</v>
      </c>
      <c r="I1847" s="2">
        <v>44915.5291666667</v>
      </c>
      <c r="J1847">
        <v>12.7</v>
      </c>
      <c r="K1847" t="s">
        <v>24</v>
      </c>
      <c r="L1847">
        <v>0</v>
      </c>
      <c r="M1847">
        <v>2</v>
      </c>
      <c r="N1847" t="s">
        <v>1107</v>
      </c>
      <c r="O1847" s="3" t="str">
        <f>TEXT(Ticket_Table[[#This Row],[raised_date]],"YYYY-MM")</f>
        <v>2022-12</v>
      </c>
      <c r="P1847" s="3" t="str">
        <f>IF(Ticket_Table[[#This Row],[resolution_hrs]]&lt;=4,"Fast",IF(Ticket_Table[[#This Row],[resolution_hrs]]&lt;=24,"Normal",IF(Ticket_Table[[#This Row],[resolution_hrs]]&lt;=48,"Slow","Very Slow")))</f>
        <v>Normal</v>
      </c>
      <c r="Q1847" s="3">
        <f>YEAR(Ticket_Table[[#This Row],[raised_date]])</f>
        <v>2022</v>
      </c>
    </row>
    <row r="1848" spans="1:17">
      <c r="A1848" t="s">
        <v>2408</v>
      </c>
      <c r="B1848" t="s">
        <v>458</v>
      </c>
      <c r="C1848" t="s">
        <v>95</v>
      </c>
      <c r="D1848" t="s">
        <v>90</v>
      </c>
      <c r="E1848" t="s">
        <v>83</v>
      </c>
      <c r="F1848" t="s">
        <v>38</v>
      </c>
      <c r="G1848" t="s">
        <v>23</v>
      </c>
      <c r="H1848" s="1">
        <v>45287</v>
      </c>
      <c r="I1848" s="2">
        <v>45287.4958333333</v>
      </c>
      <c r="J1848">
        <v>11.9</v>
      </c>
      <c r="K1848" t="s">
        <v>24</v>
      </c>
      <c r="L1848">
        <v>0</v>
      </c>
      <c r="M1848">
        <v>3</v>
      </c>
      <c r="N1848" t="s">
        <v>353</v>
      </c>
      <c r="O1848" s="3" t="str">
        <f>TEXT(Ticket_Table[[#This Row],[raised_date]],"YYYY-MM")</f>
        <v>2023-12</v>
      </c>
      <c r="P1848" s="3" t="str">
        <f>IF(Ticket_Table[[#This Row],[resolution_hrs]]&lt;=4,"Fast",IF(Ticket_Table[[#This Row],[resolution_hrs]]&lt;=24,"Normal",IF(Ticket_Table[[#This Row],[resolution_hrs]]&lt;=48,"Slow","Very Slow")))</f>
        <v>Normal</v>
      </c>
      <c r="Q1848" s="3">
        <f>YEAR(Ticket_Table[[#This Row],[raised_date]])</f>
        <v>2023</v>
      </c>
    </row>
    <row r="1849" spans="1:17">
      <c r="A1849" t="s">
        <v>2409</v>
      </c>
      <c r="B1849" t="s">
        <v>1582</v>
      </c>
      <c r="C1849" t="s">
        <v>140</v>
      </c>
      <c r="D1849" t="s">
        <v>43</v>
      </c>
      <c r="E1849" t="s">
        <v>21</v>
      </c>
      <c r="F1849" t="s">
        <v>22</v>
      </c>
      <c r="G1849" t="s">
        <v>23</v>
      </c>
      <c r="H1849" s="1">
        <v>44772</v>
      </c>
      <c r="I1849" s="2">
        <v>44774.8333333333</v>
      </c>
      <c r="J1849">
        <v>68</v>
      </c>
      <c r="K1849" t="s">
        <v>24</v>
      </c>
      <c r="L1849">
        <v>0</v>
      </c>
      <c r="M1849">
        <v>4</v>
      </c>
      <c r="N1849" t="s">
        <v>178</v>
      </c>
      <c r="O1849" s="3" t="str">
        <f>TEXT(Ticket_Table[[#This Row],[raised_date]],"YYYY-MM")</f>
        <v>2022-07</v>
      </c>
      <c r="P1849" s="3" t="str">
        <f>IF(Ticket_Table[[#This Row],[resolution_hrs]]&lt;=4,"Fast",IF(Ticket_Table[[#This Row],[resolution_hrs]]&lt;=24,"Normal",IF(Ticket_Table[[#This Row],[resolution_hrs]]&lt;=48,"Slow","Very Slow")))</f>
        <v>Very Slow</v>
      </c>
      <c r="Q1849" s="3">
        <f>YEAR(Ticket_Table[[#This Row],[raised_date]])</f>
        <v>2022</v>
      </c>
    </row>
    <row r="1850" spans="1:17">
      <c r="A1850" t="s">
        <v>2410</v>
      </c>
      <c r="B1850" t="s">
        <v>716</v>
      </c>
      <c r="C1850" t="s">
        <v>102</v>
      </c>
      <c r="D1850" t="s">
        <v>90</v>
      </c>
      <c r="E1850" t="s">
        <v>51</v>
      </c>
      <c r="F1850" t="s">
        <v>45</v>
      </c>
      <c r="G1850" t="s">
        <v>31</v>
      </c>
      <c r="H1850" s="1">
        <v>44541</v>
      </c>
      <c r="I1850" s="2">
        <v>44541.0625</v>
      </c>
      <c r="J1850">
        <v>1.5</v>
      </c>
      <c r="K1850" t="s">
        <v>24</v>
      </c>
      <c r="L1850">
        <v>1</v>
      </c>
      <c r="M1850">
        <v>4</v>
      </c>
      <c r="N1850" t="s">
        <v>332</v>
      </c>
      <c r="O1850" s="3" t="str">
        <f>TEXT(Ticket_Table[[#This Row],[raised_date]],"YYYY-MM")</f>
        <v>2021-12</v>
      </c>
      <c r="P1850" s="3" t="str">
        <f>IF(Ticket_Table[[#This Row],[resolution_hrs]]&lt;=4,"Fast",IF(Ticket_Table[[#This Row],[resolution_hrs]]&lt;=24,"Normal",IF(Ticket_Table[[#This Row],[resolution_hrs]]&lt;=48,"Slow","Very Slow")))</f>
        <v>Fast</v>
      </c>
      <c r="Q1850" s="3">
        <f>YEAR(Ticket_Table[[#This Row],[raised_date]])</f>
        <v>2021</v>
      </c>
    </row>
    <row r="1851" spans="1:17">
      <c r="A1851" t="s">
        <v>2411</v>
      </c>
      <c r="B1851" t="s">
        <v>233</v>
      </c>
      <c r="C1851" t="s">
        <v>95</v>
      </c>
      <c r="D1851" t="s">
        <v>90</v>
      </c>
      <c r="E1851" t="s">
        <v>44</v>
      </c>
      <c r="F1851" t="s">
        <v>45</v>
      </c>
      <c r="G1851" t="s">
        <v>31</v>
      </c>
      <c r="H1851" s="1">
        <v>44859</v>
      </c>
      <c r="I1851" s="2">
        <v>44859.1416666667</v>
      </c>
      <c r="J1851">
        <v>3.4</v>
      </c>
      <c r="K1851" t="s">
        <v>24</v>
      </c>
      <c r="L1851">
        <v>0</v>
      </c>
      <c r="M1851">
        <v>2</v>
      </c>
      <c r="N1851" t="s">
        <v>1112</v>
      </c>
      <c r="O1851" s="3" t="str">
        <f>TEXT(Ticket_Table[[#This Row],[raised_date]],"YYYY-MM")</f>
        <v>2022-10</v>
      </c>
      <c r="P1851" s="3" t="str">
        <f>IF(Ticket_Table[[#This Row],[resolution_hrs]]&lt;=4,"Fast",IF(Ticket_Table[[#This Row],[resolution_hrs]]&lt;=24,"Normal",IF(Ticket_Table[[#This Row],[resolution_hrs]]&lt;=48,"Slow","Very Slow")))</f>
        <v>Fast</v>
      </c>
      <c r="Q1851" s="3">
        <f>YEAR(Ticket_Table[[#This Row],[raised_date]])</f>
        <v>2022</v>
      </c>
    </row>
    <row r="1852" spans="1:17">
      <c r="A1852" t="s">
        <v>2412</v>
      </c>
      <c r="B1852" t="s">
        <v>530</v>
      </c>
      <c r="C1852" t="s">
        <v>28</v>
      </c>
      <c r="D1852" t="s">
        <v>29</v>
      </c>
      <c r="E1852" t="s">
        <v>44</v>
      </c>
      <c r="F1852" t="s">
        <v>22</v>
      </c>
      <c r="G1852" t="s">
        <v>23</v>
      </c>
      <c r="H1852" s="1">
        <v>44796</v>
      </c>
      <c r="I1852" s="2">
        <v>44799.6458333333</v>
      </c>
      <c r="J1852">
        <v>87.5</v>
      </c>
      <c r="K1852" t="s">
        <v>32</v>
      </c>
      <c r="L1852">
        <v>1</v>
      </c>
      <c r="M1852">
        <v>5</v>
      </c>
      <c r="N1852" t="s">
        <v>586</v>
      </c>
      <c r="O1852" s="3" t="str">
        <f>TEXT(Ticket_Table[[#This Row],[raised_date]],"YYYY-MM")</f>
        <v>2022-08</v>
      </c>
      <c r="P1852" s="3" t="str">
        <f>IF(Ticket_Table[[#This Row],[resolution_hrs]]&lt;=4,"Fast",IF(Ticket_Table[[#This Row],[resolution_hrs]]&lt;=24,"Normal",IF(Ticket_Table[[#This Row],[resolution_hrs]]&lt;=48,"Slow","Very Slow")))</f>
        <v>Very Slow</v>
      </c>
      <c r="Q1852" s="3">
        <f>YEAR(Ticket_Table[[#This Row],[raised_date]])</f>
        <v>2022</v>
      </c>
    </row>
    <row r="1853" spans="1:17">
      <c r="A1853" t="s">
        <v>2413</v>
      </c>
      <c r="B1853" t="s">
        <v>105</v>
      </c>
      <c r="C1853" t="s">
        <v>28</v>
      </c>
      <c r="D1853" t="s">
        <v>29</v>
      </c>
      <c r="E1853" t="s">
        <v>44</v>
      </c>
      <c r="F1853" t="s">
        <v>22</v>
      </c>
      <c r="G1853" t="s">
        <v>31</v>
      </c>
      <c r="H1853" s="1">
        <v>44789</v>
      </c>
      <c r="I1853" s="2">
        <v>44791.6833333333</v>
      </c>
      <c r="J1853">
        <v>64.4</v>
      </c>
      <c r="K1853" t="s">
        <v>24</v>
      </c>
      <c r="L1853">
        <v>0</v>
      </c>
      <c r="M1853">
        <v>5</v>
      </c>
      <c r="N1853" t="s">
        <v>470</v>
      </c>
      <c r="O1853" s="3" t="str">
        <f>TEXT(Ticket_Table[[#This Row],[raised_date]],"YYYY-MM")</f>
        <v>2022-08</v>
      </c>
      <c r="P1853" s="3" t="str">
        <f>IF(Ticket_Table[[#This Row],[resolution_hrs]]&lt;=4,"Fast",IF(Ticket_Table[[#This Row],[resolution_hrs]]&lt;=24,"Normal",IF(Ticket_Table[[#This Row],[resolution_hrs]]&lt;=48,"Slow","Very Slow")))</f>
        <v>Very Slow</v>
      </c>
      <c r="Q1853" s="3">
        <f>YEAR(Ticket_Table[[#This Row],[raised_date]])</f>
        <v>2022</v>
      </c>
    </row>
    <row r="1854" spans="1:17">
      <c r="A1854" t="s">
        <v>2414</v>
      </c>
      <c r="B1854" t="s">
        <v>439</v>
      </c>
      <c r="C1854" t="s">
        <v>28</v>
      </c>
      <c r="D1854" t="s">
        <v>29</v>
      </c>
      <c r="E1854" t="s">
        <v>106</v>
      </c>
      <c r="F1854" t="s">
        <v>22</v>
      </c>
      <c r="G1854" t="s">
        <v>23</v>
      </c>
      <c r="H1854" s="1">
        <v>44744</v>
      </c>
      <c r="I1854" s="2">
        <v>44746.8333333333</v>
      </c>
      <c r="J1854">
        <v>68</v>
      </c>
      <c r="K1854" t="s">
        <v>24</v>
      </c>
      <c r="L1854">
        <v>0</v>
      </c>
      <c r="M1854">
        <v>4</v>
      </c>
      <c r="N1854" t="s">
        <v>506</v>
      </c>
      <c r="O1854" s="3" t="str">
        <f>TEXT(Ticket_Table[[#This Row],[raised_date]],"YYYY-MM")</f>
        <v>2022-07</v>
      </c>
      <c r="P1854" s="3" t="str">
        <f>IF(Ticket_Table[[#This Row],[resolution_hrs]]&lt;=4,"Fast",IF(Ticket_Table[[#This Row],[resolution_hrs]]&lt;=24,"Normal",IF(Ticket_Table[[#This Row],[resolution_hrs]]&lt;=48,"Slow","Very Slow")))</f>
        <v>Very Slow</v>
      </c>
      <c r="Q1854" s="3">
        <f>YEAR(Ticket_Table[[#This Row],[raised_date]])</f>
        <v>2022</v>
      </c>
    </row>
    <row r="1855" spans="1:17">
      <c r="A1855" t="s">
        <v>2415</v>
      </c>
      <c r="B1855" t="s">
        <v>668</v>
      </c>
      <c r="C1855" t="s">
        <v>287</v>
      </c>
      <c r="D1855" t="s">
        <v>43</v>
      </c>
      <c r="E1855" t="s">
        <v>106</v>
      </c>
      <c r="F1855" t="s">
        <v>22</v>
      </c>
      <c r="G1855" t="s">
        <v>31</v>
      </c>
      <c r="H1855" s="1">
        <v>45250</v>
      </c>
      <c r="I1855" s="2">
        <v>45251.5333333333</v>
      </c>
      <c r="J1855">
        <v>36.8</v>
      </c>
      <c r="K1855" t="s">
        <v>24</v>
      </c>
      <c r="L1855">
        <v>0</v>
      </c>
      <c r="M1855">
        <v>4</v>
      </c>
      <c r="N1855" t="s">
        <v>172</v>
      </c>
      <c r="O1855" s="3" t="str">
        <f>TEXT(Ticket_Table[[#This Row],[raised_date]],"YYYY-MM")</f>
        <v>2023-11</v>
      </c>
      <c r="P1855" s="3" t="str">
        <f>IF(Ticket_Table[[#This Row],[resolution_hrs]]&lt;=4,"Fast",IF(Ticket_Table[[#This Row],[resolution_hrs]]&lt;=24,"Normal",IF(Ticket_Table[[#This Row],[resolution_hrs]]&lt;=48,"Slow","Very Slow")))</f>
        <v>Slow</v>
      </c>
      <c r="Q1855" s="3">
        <f>YEAR(Ticket_Table[[#This Row],[raised_date]])</f>
        <v>2023</v>
      </c>
    </row>
    <row r="1856" spans="1:17">
      <c r="A1856" t="s">
        <v>2416</v>
      </c>
      <c r="B1856" t="s">
        <v>262</v>
      </c>
      <c r="C1856" t="s">
        <v>60</v>
      </c>
      <c r="D1856" t="s">
        <v>20</v>
      </c>
      <c r="E1856" t="s">
        <v>166</v>
      </c>
      <c r="F1856" t="s">
        <v>38</v>
      </c>
      <c r="G1856" t="s">
        <v>74</v>
      </c>
      <c r="H1856" s="1">
        <v>44392</v>
      </c>
      <c r="I1856" s="2">
        <v>44392.4083333333</v>
      </c>
      <c r="J1856">
        <v>9.8</v>
      </c>
      <c r="K1856" t="s">
        <v>24</v>
      </c>
      <c r="L1856">
        <v>0</v>
      </c>
      <c r="M1856">
        <v>1</v>
      </c>
      <c r="N1856" t="s">
        <v>529</v>
      </c>
      <c r="O1856" s="3" t="str">
        <f>TEXT(Ticket_Table[[#This Row],[raised_date]],"YYYY-MM")</f>
        <v>2021-07</v>
      </c>
      <c r="P1856" s="3" t="str">
        <f>IF(Ticket_Table[[#This Row],[resolution_hrs]]&lt;=4,"Fast",IF(Ticket_Table[[#This Row],[resolution_hrs]]&lt;=24,"Normal",IF(Ticket_Table[[#This Row],[resolution_hrs]]&lt;=48,"Slow","Very Slow")))</f>
        <v>Normal</v>
      </c>
      <c r="Q1856" s="3">
        <f>YEAR(Ticket_Table[[#This Row],[raised_date]])</f>
        <v>2021</v>
      </c>
    </row>
    <row r="1857" spans="1:17">
      <c r="A1857" t="s">
        <v>2417</v>
      </c>
      <c r="B1857" t="s">
        <v>822</v>
      </c>
      <c r="C1857" t="s">
        <v>64</v>
      </c>
      <c r="D1857" t="s">
        <v>90</v>
      </c>
      <c r="E1857" t="s">
        <v>44</v>
      </c>
      <c r="F1857" t="s">
        <v>70</v>
      </c>
      <c r="G1857" t="s">
        <v>46</v>
      </c>
      <c r="H1857" s="1">
        <v>44474</v>
      </c>
      <c r="I1857" s="2">
        <v>44474.3625</v>
      </c>
      <c r="J1857">
        <v>8.7</v>
      </c>
      <c r="K1857" t="s">
        <v>24</v>
      </c>
      <c r="L1857">
        <v>0</v>
      </c>
      <c r="M1857">
        <v>4</v>
      </c>
      <c r="N1857" t="s">
        <v>397</v>
      </c>
      <c r="O1857" s="3" t="str">
        <f>TEXT(Ticket_Table[[#This Row],[raised_date]],"YYYY-MM")</f>
        <v>2021-10</v>
      </c>
      <c r="P1857" s="3" t="str">
        <f>IF(Ticket_Table[[#This Row],[resolution_hrs]]&lt;=4,"Fast",IF(Ticket_Table[[#This Row],[resolution_hrs]]&lt;=24,"Normal",IF(Ticket_Table[[#This Row],[resolution_hrs]]&lt;=48,"Slow","Very Slow")))</f>
        <v>Normal</v>
      </c>
      <c r="Q1857" s="3">
        <f>YEAR(Ticket_Table[[#This Row],[raised_date]])</f>
        <v>2021</v>
      </c>
    </row>
    <row r="1858" spans="1:17">
      <c r="A1858" t="s">
        <v>2418</v>
      </c>
      <c r="B1858" t="s">
        <v>578</v>
      </c>
      <c r="C1858" t="s">
        <v>102</v>
      </c>
      <c r="D1858" t="s">
        <v>36</v>
      </c>
      <c r="E1858" t="s">
        <v>44</v>
      </c>
      <c r="F1858" t="s">
        <v>22</v>
      </c>
      <c r="G1858" t="s">
        <v>46</v>
      </c>
      <c r="H1858" s="1">
        <v>45039</v>
      </c>
      <c r="I1858" s="2">
        <v>45040.1041666667</v>
      </c>
      <c r="J1858">
        <v>26.5</v>
      </c>
      <c r="K1858" t="s">
        <v>24</v>
      </c>
      <c r="L1858">
        <v>0</v>
      </c>
      <c r="M1858">
        <v>5</v>
      </c>
      <c r="N1858" t="s">
        <v>284</v>
      </c>
      <c r="O1858" s="3" t="str">
        <f>TEXT(Ticket_Table[[#This Row],[raised_date]],"YYYY-MM")</f>
        <v>2023-04</v>
      </c>
      <c r="P1858" s="3" t="str">
        <f>IF(Ticket_Table[[#This Row],[resolution_hrs]]&lt;=4,"Fast",IF(Ticket_Table[[#This Row],[resolution_hrs]]&lt;=24,"Normal",IF(Ticket_Table[[#This Row],[resolution_hrs]]&lt;=48,"Slow","Very Slow")))</f>
        <v>Slow</v>
      </c>
      <c r="Q1858" s="3">
        <f>YEAR(Ticket_Table[[#This Row],[raised_date]])</f>
        <v>2023</v>
      </c>
    </row>
    <row r="1859" spans="1:17">
      <c r="A1859" t="s">
        <v>2419</v>
      </c>
      <c r="B1859" t="s">
        <v>320</v>
      </c>
      <c r="C1859" t="s">
        <v>64</v>
      </c>
      <c r="D1859" t="s">
        <v>29</v>
      </c>
      <c r="E1859" t="s">
        <v>56</v>
      </c>
      <c r="F1859" t="s">
        <v>70</v>
      </c>
      <c r="G1859" t="s">
        <v>31</v>
      </c>
      <c r="H1859" s="1">
        <v>44318</v>
      </c>
      <c r="I1859" s="2">
        <v>44319.05</v>
      </c>
      <c r="J1859">
        <v>25.2</v>
      </c>
      <c r="K1859" t="s">
        <v>24</v>
      </c>
      <c r="L1859">
        <v>1</v>
      </c>
      <c r="M1859">
        <v>3</v>
      </c>
      <c r="N1859" t="s">
        <v>1123</v>
      </c>
      <c r="O1859" s="3" t="str">
        <f>TEXT(Ticket_Table[[#This Row],[raised_date]],"YYYY-MM")</f>
        <v>2021-05</v>
      </c>
      <c r="P1859" s="3" t="str">
        <f>IF(Ticket_Table[[#This Row],[resolution_hrs]]&lt;=4,"Fast",IF(Ticket_Table[[#This Row],[resolution_hrs]]&lt;=24,"Normal",IF(Ticket_Table[[#This Row],[resolution_hrs]]&lt;=48,"Slow","Very Slow")))</f>
        <v>Slow</v>
      </c>
      <c r="Q1859" s="3">
        <f>YEAR(Ticket_Table[[#This Row],[raised_date]])</f>
        <v>2021</v>
      </c>
    </row>
    <row r="1860" spans="1:17">
      <c r="A1860" t="s">
        <v>2420</v>
      </c>
      <c r="B1860" t="s">
        <v>501</v>
      </c>
      <c r="C1860" t="s">
        <v>140</v>
      </c>
      <c r="D1860" t="s">
        <v>43</v>
      </c>
      <c r="E1860" t="s">
        <v>37</v>
      </c>
      <c r="F1860" t="s">
        <v>45</v>
      </c>
      <c r="G1860" t="s">
        <v>74</v>
      </c>
      <c r="H1860" s="1">
        <v>44764</v>
      </c>
      <c r="I1860" s="2">
        <v>44764.0541666667</v>
      </c>
      <c r="J1860">
        <v>1.3</v>
      </c>
      <c r="K1860" t="s">
        <v>24</v>
      </c>
      <c r="L1860">
        <v>3</v>
      </c>
      <c r="M1860">
        <v>4</v>
      </c>
      <c r="N1860" t="s">
        <v>321</v>
      </c>
      <c r="O1860" s="3" t="str">
        <f>TEXT(Ticket_Table[[#This Row],[raised_date]],"YYYY-MM")</f>
        <v>2022-07</v>
      </c>
      <c r="P1860" s="3" t="str">
        <f>IF(Ticket_Table[[#This Row],[resolution_hrs]]&lt;=4,"Fast",IF(Ticket_Table[[#This Row],[resolution_hrs]]&lt;=24,"Normal",IF(Ticket_Table[[#This Row],[resolution_hrs]]&lt;=48,"Slow","Very Slow")))</f>
        <v>Fast</v>
      </c>
      <c r="Q1860" s="3">
        <f>YEAR(Ticket_Table[[#This Row],[raised_date]])</f>
        <v>2022</v>
      </c>
    </row>
    <row r="1861" spans="1:17">
      <c r="A1861" t="s">
        <v>2421</v>
      </c>
      <c r="B1861" t="s">
        <v>1107</v>
      </c>
      <c r="C1861" t="s">
        <v>78</v>
      </c>
      <c r="D1861" t="s">
        <v>43</v>
      </c>
      <c r="E1861" t="s">
        <v>51</v>
      </c>
      <c r="F1861" t="s">
        <v>70</v>
      </c>
      <c r="G1861" t="s">
        <v>46</v>
      </c>
      <c r="H1861" s="1">
        <v>44456</v>
      </c>
      <c r="I1861" s="2">
        <v>44457.0291666667</v>
      </c>
      <c r="J1861">
        <v>24.7</v>
      </c>
      <c r="K1861" t="s">
        <v>24</v>
      </c>
      <c r="L1861">
        <v>0</v>
      </c>
      <c r="M1861">
        <v>2</v>
      </c>
      <c r="N1861" t="s">
        <v>566</v>
      </c>
      <c r="O1861" s="3" t="str">
        <f>TEXT(Ticket_Table[[#This Row],[raised_date]],"YYYY-MM")</f>
        <v>2021-09</v>
      </c>
      <c r="P1861" s="3" t="str">
        <f>IF(Ticket_Table[[#This Row],[resolution_hrs]]&lt;=4,"Fast",IF(Ticket_Table[[#This Row],[resolution_hrs]]&lt;=24,"Normal",IF(Ticket_Table[[#This Row],[resolution_hrs]]&lt;=48,"Slow","Very Slow")))</f>
        <v>Slow</v>
      </c>
      <c r="Q1861" s="3">
        <f>YEAR(Ticket_Table[[#This Row],[raised_date]])</f>
        <v>2021</v>
      </c>
    </row>
    <row r="1862" spans="1:17">
      <c r="A1862" t="s">
        <v>2422</v>
      </c>
      <c r="B1862" t="s">
        <v>394</v>
      </c>
      <c r="C1862" t="s">
        <v>287</v>
      </c>
      <c r="D1862" t="s">
        <v>43</v>
      </c>
      <c r="E1862" t="s">
        <v>106</v>
      </c>
      <c r="F1862" t="s">
        <v>70</v>
      </c>
      <c r="G1862" t="s">
        <v>23</v>
      </c>
      <c r="H1862" s="1">
        <v>44468</v>
      </c>
      <c r="I1862" s="2">
        <v>44470.3916666667</v>
      </c>
      <c r="J1862">
        <v>57.4</v>
      </c>
      <c r="K1862" t="s">
        <v>32</v>
      </c>
      <c r="L1862">
        <v>0</v>
      </c>
      <c r="M1862">
        <v>4</v>
      </c>
      <c r="N1862" t="s">
        <v>1291</v>
      </c>
      <c r="O1862" s="3" t="str">
        <f>TEXT(Ticket_Table[[#This Row],[raised_date]],"YYYY-MM")</f>
        <v>2021-09</v>
      </c>
      <c r="P1862" s="3" t="str">
        <f>IF(Ticket_Table[[#This Row],[resolution_hrs]]&lt;=4,"Fast",IF(Ticket_Table[[#This Row],[resolution_hrs]]&lt;=24,"Normal",IF(Ticket_Table[[#This Row],[resolution_hrs]]&lt;=48,"Slow","Very Slow")))</f>
        <v>Very Slow</v>
      </c>
      <c r="Q1862" s="3">
        <f>YEAR(Ticket_Table[[#This Row],[raised_date]])</f>
        <v>2021</v>
      </c>
    </row>
    <row r="1863" spans="1:17">
      <c r="A1863" t="s">
        <v>2423</v>
      </c>
      <c r="B1863" t="s">
        <v>503</v>
      </c>
      <c r="C1863" t="s">
        <v>102</v>
      </c>
      <c r="D1863" t="s">
        <v>36</v>
      </c>
      <c r="E1863" t="s">
        <v>30</v>
      </c>
      <c r="F1863" t="s">
        <v>22</v>
      </c>
      <c r="G1863" t="s">
        <v>74</v>
      </c>
      <c r="H1863" s="1">
        <v>44708</v>
      </c>
      <c r="I1863" s="2">
        <v>44712.25</v>
      </c>
      <c r="J1863">
        <v>102</v>
      </c>
      <c r="K1863" t="s">
        <v>32</v>
      </c>
      <c r="L1863">
        <v>0</v>
      </c>
      <c r="M1863">
        <v>2</v>
      </c>
      <c r="N1863" t="s">
        <v>554</v>
      </c>
      <c r="O1863" s="3" t="str">
        <f>TEXT(Ticket_Table[[#This Row],[raised_date]],"YYYY-MM")</f>
        <v>2022-05</v>
      </c>
      <c r="P1863" s="3" t="str">
        <f>IF(Ticket_Table[[#This Row],[resolution_hrs]]&lt;=4,"Fast",IF(Ticket_Table[[#This Row],[resolution_hrs]]&lt;=24,"Normal",IF(Ticket_Table[[#This Row],[resolution_hrs]]&lt;=48,"Slow","Very Slow")))</f>
        <v>Very Slow</v>
      </c>
      <c r="Q1863" s="3">
        <f>YEAR(Ticket_Table[[#This Row],[raised_date]])</f>
        <v>2022</v>
      </c>
    </row>
    <row r="1864" spans="1:17">
      <c r="A1864" t="s">
        <v>2424</v>
      </c>
      <c r="B1864" t="s">
        <v>756</v>
      </c>
      <c r="C1864" t="s">
        <v>55</v>
      </c>
      <c r="D1864" t="s">
        <v>36</v>
      </c>
      <c r="E1864" t="s">
        <v>106</v>
      </c>
      <c r="F1864" t="s">
        <v>45</v>
      </c>
      <c r="G1864" t="s">
        <v>31</v>
      </c>
      <c r="H1864" s="1">
        <v>44496</v>
      </c>
      <c r="I1864" s="2">
        <v>44496.2041666667</v>
      </c>
      <c r="J1864">
        <v>4.9</v>
      </c>
      <c r="K1864" t="s">
        <v>32</v>
      </c>
      <c r="L1864">
        <v>1</v>
      </c>
      <c r="M1864">
        <v>4</v>
      </c>
      <c r="N1864" t="s">
        <v>178</v>
      </c>
      <c r="O1864" s="3" t="str">
        <f>TEXT(Ticket_Table[[#This Row],[raised_date]],"YYYY-MM")</f>
        <v>2021-10</v>
      </c>
      <c r="P1864" s="3" t="str">
        <f>IF(Ticket_Table[[#This Row],[resolution_hrs]]&lt;=4,"Fast",IF(Ticket_Table[[#This Row],[resolution_hrs]]&lt;=24,"Normal",IF(Ticket_Table[[#This Row],[resolution_hrs]]&lt;=48,"Slow","Very Slow")))</f>
        <v>Normal</v>
      </c>
      <c r="Q1864" s="3">
        <f>YEAR(Ticket_Table[[#This Row],[raised_date]])</f>
        <v>2021</v>
      </c>
    </row>
    <row r="1865" spans="1:17">
      <c r="A1865" t="s">
        <v>2425</v>
      </c>
      <c r="B1865" t="s">
        <v>61</v>
      </c>
      <c r="C1865" t="s">
        <v>28</v>
      </c>
      <c r="D1865" t="s">
        <v>29</v>
      </c>
      <c r="E1865" t="s">
        <v>30</v>
      </c>
      <c r="F1865" t="s">
        <v>38</v>
      </c>
      <c r="G1865" t="s">
        <v>23</v>
      </c>
      <c r="H1865" s="1">
        <v>44856</v>
      </c>
      <c r="I1865" s="2">
        <v>44856.9458333333</v>
      </c>
      <c r="J1865">
        <v>22.7</v>
      </c>
      <c r="K1865" t="s">
        <v>24</v>
      </c>
      <c r="L1865">
        <v>0</v>
      </c>
      <c r="M1865">
        <v>4</v>
      </c>
      <c r="N1865" t="s">
        <v>655</v>
      </c>
      <c r="O1865" s="3" t="str">
        <f>TEXT(Ticket_Table[[#This Row],[raised_date]],"YYYY-MM")</f>
        <v>2022-10</v>
      </c>
      <c r="P1865" s="3" t="str">
        <f>IF(Ticket_Table[[#This Row],[resolution_hrs]]&lt;=4,"Fast",IF(Ticket_Table[[#This Row],[resolution_hrs]]&lt;=24,"Normal",IF(Ticket_Table[[#This Row],[resolution_hrs]]&lt;=48,"Slow","Very Slow")))</f>
        <v>Normal</v>
      </c>
      <c r="Q1865" s="3">
        <f>YEAR(Ticket_Table[[#This Row],[raised_date]])</f>
        <v>2022</v>
      </c>
    </row>
    <row r="1866" spans="1:17">
      <c r="A1866" t="s">
        <v>2426</v>
      </c>
      <c r="B1866" t="s">
        <v>1226</v>
      </c>
      <c r="C1866" t="s">
        <v>133</v>
      </c>
      <c r="D1866" t="s">
        <v>36</v>
      </c>
      <c r="E1866" t="s">
        <v>166</v>
      </c>
      <c r="F1866" t="s">
        <v>22</v>
      </c>
      <c r="G1866" t="s">
        <v>31</v>
      </c>
      <c r="H1866" s="1">
        <v>44703</v>
      </c>
      <c r="I1866" s="2">
        <v>44706.45</v>
      </c>
      <c r="J1866">
        <v>82.8</v>
      </c>
      <c r="K1866" t="s">
        <v>32</v>
      </c>
      <c r="L1866">
        <v>0</v>
      </c>
      <c r="M1866">
        <v>3</v>
      </c>
      <c r="N1866" t="s">
        <v>343</v>
      </c>
      <c r="O1866" s="3" t="str">
        <f>TEXT(Ticket_Table[[#This Row],[raised_date]],"YYYY-MM")</f>
        <v>2022-05</v>
      </c>
      <c r="P1866" s="3" t="str">
        <f>IF(Ticket_Table[[#This Row],[resolution_hrs]]&lt;=4,"Fast",IF(Ticket_Table[[#This Row],[resolution_hrs]]&lt;=24,"Normal",IF(Ticket_Table[[#This Row],[resolution_hrs]]&lt;=48,"Slow","Very Slow")))</f>
        <v>Very Slow</v>
      </c>
      <c r="Q1866" s="3">
        <f>YEAR(Ticket_Table[[#This Row],[raised_date]])</f>
        <v>2022</v>
      </c>
    </row>
    <row r="1867" spans="1:17">
      <c r="A1867" t="s">
        <v>2427</v>
      </c>
      <c r="B1867" t="s">
        <v>489</v>
      </c>
      <c r="C1867" t="s">
        <v>60</v>
      </c>
      <c r="D1867" t="s">
        <v>29</v>
      </c>
      <c r="E1867" t="s">
        <v>30</v>
      </c>
      <c r="F1867" t="s">
        <v>22</v>
      </c>
      <c r="G1867" t="s">
        <v>74</v>
      </c>
      <c r="H1867" s="1">
        <v>45001</v>
      </c>
      <c r="I1867" s="2">
        <v>45003.8291666667</v>
      </c>
      <c r="J1867">
        <v>67.9</v>
      </c>
      <c r="K1867" t="s">
        <v>24</v>
      </c>
      <c r="L1867">
        <v>0</v>
      </c>
      <c r="M1867">
        <v>2</v>
      </c>
      <c r="N1867" t="s">
        <v>616</v>
      </c>
      <c r="O1867" s="3" t="str">
        <f>TEXT(Ticket_Table[[#This Row],[raised_date]],"YYYY-MM")</f>
        <v>2023-03</v>
      </c>
      <c r="P1867" s="3" t="str">
        <f>IF(Ticket_Table[[#This Row],[resolution_hrs]]&lt;=4,"Fast",IF(Ticket_Table[[#This Row],[resolution_hrs]]&lt;=24,"Normal",IF(Ticket_Table[[#This Row],[resolution_hrs]]&lt;=48,"Slow","Very Slow")))</f>
        <v>Very Slow</v>
      </c>
      <c r="Q1867" s="3">
        <f>YEAR(Ticket_Table[[#This Row],[raised_date]])</f>
        <v>2023</v>
      </c>
    </row>
    <row r="1868" spans="1:17">
      <c r="A1868" t="s">
        <v>2428</v>
      </c>
      <c r="B1868" t="s">
        <v>466</v>
      </c>
      <c r="C1868" t="s">
        <v>261</v>
      </c>
      <c r="D1868" t="s">
        <v>36</v>
      </c>
      <c r="E1868" t="s">
        <v>106</v>
      </c>
      <c r="F1868" t="s">
        <v>22</v>
      </c>
      <c r="G1868" t="s">
        <v>23</v>
      </c>
      <c r="H1868" s="1">
        <v>45199</v>
      </c>
      <c r="I1868" s="2">
        <v>45201.6208333333</v>
      </c>
      <c r="J1868">
        <v>62.9</v>
      </c>
      <c r="K1868" t="s">
        <v>24</v>
      </c>
      <c r="L1868">
        <v>0</v>
      </c>
      <c r="M1868">
        <v>5</v>
      </c>
      <c r="N1868" t="s">
        <v>202</v>
      </c>
      <c r="O1868" s="3" t="str">
        <f>TEXT(Ticket_Table[[#This Row],[raised_date]],"YYYY-MM")</f>
        <v>2023-09</v>
      </c>
      <c r="P1868" s="3" t="str">
        <f>IF(Ticket_Table[[#This Row],[resolution_hrs]]&lt;=4,"Fast",IF(Ticket_Table[[#This Row],[resolution_hrs]]&lt;=24,"Normal",IF(Ticket_Table[[#This Row],[resolution_hrs]]&lt;=48,"Slow","Very Slow")))</f>
        <v>Very Slow</v>
      </c>
      <c r="Q1868" s="3">
        <f>YEAR(Ticket_Table[[#This Row],[raised_date]])</f>
        <v>2023</v>
      </c>
    </row>
    <row r="1869" spans="1:17">
      <c r="A1869" t="s">
        <v>2429</v>
      </c>
      <c r="B1869" t="s">
        <v>678</v>
      </c>
      <c r="C1869" t="s">
        <v>287</v>
      </c>
      <c r="D1869" t="s">
        <v>36</v>
      </c>
      <c r="E1869" t="s">
        <v>69</v>
      </c>
      <c r="F1869" t="s">
        <v>22</v>
      </c>
      <c r="G1869" t="s">
        <v>31</v>
      </c>
      <c r="H1869" s="1">
        <v>44488</v>
      </c>
      <c r="I1869" s="2">
        <v>44488.425</v>
      </c>
      <c r="J1869">
        <v>10.2</v>
      </c>
      <c r="K1869" t="s">
        <v>24</v>
      </c>
      <c r="L1869">
        <v>0</v>
      </c>
      <c r="M1869">
        <v>4</v>
      </c>
      <c r="N1869" t="s">
        <v>431</v>
      </c>
      <c r="O1869" s="3" t="str">
        <f>TEXT(Ticket_Table[[#This Row],[raised_date]],"YYYY-MM")</f>
        <v>2021-10</v>
      </c>
      <c r="P1869" s="3" t="str">
        <f>IF(Ticket_Table[[#This Row],[resolution_hrs]]&lt;=4,"Fast",IF(Ticket_Table[[#This Row],[resolution_hrs]]&lt;=24,"Normal",IF(Ticket_Table[[#This Row],[resolution_hrs]]&lt;=48,"Slow","Very Slow")))</f>
        <v>Normal</v>
      </c>
      <c r="Q1869" s="3">
        <f>YEAR(Ticket_Table[[#This Row],[raised_date]])</f>
        <v>2021</v>
      </c>
    </row>
    <row r="1870" spans="1:17">
      <c r="A1870" t="s">
        <v>2430</v>
      </c>
      <c r="B1870" t="s">
        <v>1100</v>
      </c>
      <c r="C1870" t="s">
        <v>213</v>
      </c>
      <c r="D1870" t="s">
        <v>36</v>
      </c>
      <c r="E1870" t="s">
        <v>106</v>
      </c>
      <c r="F1870" t="s">
        <v>70</v>
      </c>
      <c r="G1870" t="s">
        <v>31</v>
      </c>
      <c r="H1870" s="1">
        <v>44747</v>
      </c>
      <c r="I1870" s="2">
        <v>44747.2208333333</v>
      </c>
      <c r="J1870">
        <v>5.3</v>
      </c>
      <c r="K1870" t="s">
        <v>24</v>
      </c>
      <c r="L1870">
        <v>0</v>
      </c>
      <c r="M1870">
        <v>4</v>
      </c>
      <c r="N1870" t="s">
        <v>576</v>
      </c>
      <c r="O1870" s="3" t="str">
        <f>TEXT(Ticket_Table[[#This Row],[raised_date]],"YYYY-MM")</f>
        <v>2022-07</v>
      </c>
      <c r="P1870" s="3" t="str">
        <f>IF(Ticket_Table[[#This Row],[resolution_hrs]]&lt;=4,"Fast",IF(Ticket_Table[[#This Row],[resolution_hrs]]&lt;=24,"Normal",IF(Ticket_Table[[#This Row],[resolution_hrs]]&lt;=48,"Slow","Very Slow")))</f>
        <v>Normal</v>
      </c>
      <c r="Q1870" s="3">
        <f>YEAR(Ticket_Table[[#This Row],[raised_date]])</f>
        <v>2022</v>
      </c>
    </row>
    <row r="1871" spans="1:17">
      <c r="A1871" t="s">
        <v>2431</v>
      </c>
      <c r="B1871" t="s">
        <v>194</v>
      </c>
      <c r="C1871" t="s">
        <v>95</v>
      </c>
      <c r="D1871" t="s">
        <v>29</v>
      </c>
      <c r="E1871" t="s">
        <v>83</v>
      </c>
      <c r="F1871" t="s">
        <v>45</v>
      </c>
      <c r="G1871" t="s">
        <v>46</v>
      </c>
      <c r="H1871" s="1">
        <v>45045</v>
      </c>
      <c r="I1871" s="2">
        <v>45045.05</v>
      </c>
      <c r="J1871">
        <v>1.2</v>
      </c>
      <c r="K1871" t="s">
        <v>24</v>
      </c>
      <c r="L1871">
        <v>0</v>
      </c>
      <c r="M1871">
        <v>4</v>
      </c>
      <c r="N1871" t="s">
        <v>94</v>
      </c>
      <c r="O1871" s="3" t="str">
        <f>TEXT(Ticket_Table[[#This Row],[raised_date]],"YYYY-MM")</f>
        <v>2023-04</v>
      </c>
      <c r="P1871" s="3" t="str">
        <f>IF(Ticket_Table[[#This Row],[resolution_hrs]]&lt;=4,"Fast",IF(Ticket_Table[[#This Row],[resolution_hrs]]&lt;=24,"Normal",IF(Ticket_Table[[#This Row],[resolution_hrs]]&lt;=48,"Slow","Very Slow")))</f>
        <v>Fast</v>
      </c>
      <c r="Q1871" s="3">
        <f>YEAR(Ticket_Table[[#This Row],[raised_date]])</f>
        <v>2023</v>
      </c>
    </row>
    <row r="1872" spans="1:17">
      <c r="A1872" t="s">
        <v>2432</v>
      </c>
      <c r="B1872" t="s">
        <v>655</v>
      </c>
      <c r="C1872" t="s">
        <v>175</v>
      </c>
      <c r="D1872" t="s">
        <v>90</v>
      </c>
      <c r="E1872" t="s">
        <v>69</v>
      </c>
      <c r="F1872" t="s">
        <v>70</v>
      </c>
      <c r="G1872" t="s">
        <v>23</v>
      </c>
      <c r="H1872" s="1">
        <v>44965</v>
      </c>
      <c r="I1872" s="2">
        <v>44965.9666666667</v>
      </c>
      <c r="J1872">
        <v>23.2</v>
      </c>
      <c r="K1872" t="s">
        <v>24</v>
      </c>
      <c r="L1872">
        <v>0</v>
      </c>
      <c r="M1872">
        <v>5</v>
      </c>
      <c r="N1872" t="s">
        <v>544</v>
      </c>
      <c r="O1872" s="3" t="str">
        <f>TEXT(Ticket_Table[[#This Row],[raised_date]],"YYYY-MM")</f>
        <v>2023-02</v>
      </c>
      <c r="P1872" s="3" t="str">
        <f>IF(Ticket_Table[[#This Row],[resolution_hrs]]&lt;=4,"Fast",IF(Ticket_Table[[#This Row],[resolution_hrs]]&lt;=24,"Normal",IF(Ticket_Table[[#This Row],[resolution_hrs]]&lt;=48,"Slow","Very Slow")))</f>
        <v>Normal</v>
      </c>
      <c r="Q1872" s="3">
        <f>YEAR(Ticket_Table[[#This Row],[raised_date]])</f>
        <v>2023</v>
      </c>
    </row>
    <row r="1873" spans="1:17">
      <c r="A1873" t="s">
        <v>2433</v>
      </c>
      <c r="B1873" t="s">
        <v>1582</v>
      </c>
      <c r="C1873" t="s">
        <v>50</v>
      </c>
      <c r="D1873" t="s">
        <v>29</v>
      </c>
      <c r="E1873" t="s">
        <v>44</v>
      </c>
      <c r="F1873" t="s">
        <v>38</v>
      </c>
      <c r="G1873" t="s">
        <v>31</v>
      </c>
      <c r="H1873" s="1">
        <v>45122</v>
      </c>
      <c r="I1873" s="2">
        <v>45123.2791666667</v>
      </c>
      <c r="J1873">
        <v>30.7</v>
      </c>
      <c r="K1873" t="s">
        <v>32</v>
      </c>
      <c r="L1873">
        <v>0</v>
      </c>
      <c r="M1873">
        <v>2</v>
      </c>
      <c r="N1873" t="s">
        <v>614</v>
      </c>
      <c r="O1873" s="3" t="str">
        <f>TEXT(Ticket_Table[[#This Row],[raised_date]],"YYYY-MM")</f>
        <v>2023-07</v>
      </c>
      <c r="P1873" s="3" t="str">
        <f>IF(Ticket_Table[[#This Row],[resolution_hrs]]&lt;=4,"Fast",IF(Ticket_Table[[#This Row],[resolution_hrs]]&lt;=24,"Normal",IF(Ticket_Table[[#This Row],[resolution_hrs]]&lt;=48,"Slow","Very Slow")))</f>
        <v>Slow</v>
      </c>
      <c r="Q1873" s="3">
        <f>YEAR(Ticket_Table[[#This Row],[raised_date]])</f>
        <v>2023</v>
      </c>
    </row>
    <row r="1874" spans="1:17">
      <c r="A1874" t="s">
        <v>2434</v>
      </c>
      <c r="B1874" t="s">
        <v>141</v>
      </c>
      <c r="C1874" t="s">
        <v>68</v>
      </c>
      <c r="D1874" t="s">
        <v>90</v>
      </c>
      <c r="E1874" t="s">
        <v>51</v>
      </c>
      <c r="F1874" t="s">
        <v>70</v>
      </c>
      <c r="G1874" t="s">
        <v>74</v>
      </c>
      <c r="H1874" s="1">
        <v>44351</v>
      </c>
      <c r="I1874" s="2">
        <v>44351.2333333333</v>
      </c>
      <c r="J1874">
        <v>5.6</v>
      </c>
      <c r="K1874" t="s">
        <v>24</v>
      </c>
      <c r="L1874">
        <v>0</v>
      </c>
      <c r="M1874">
        <v>5</v>
      </c>
      <c r="N1874" t="s">
        <v>1356</v>
      </c>
      <c r="O1874" s="3" t="str">
        <f>TEXT(Ticket_Table[[#This Row],[raised_date]],"YYYY-MM")</f>
        <v>2021-06</v>
      </c>
      <c r="P1874" s="3" t="str">
        <f>IF(Ticket_Table[[#This Row],[resolution_hrs]]&lt;=4,"Fast",IF(Ticket_Table[[#This Row],[resolution_hrs]]&lt;=24,"Normal",IF(Ticket_Table[[#This Row],[resolution_hrs]]&lt;=48,"Slow","Very Slow")))</f>
        <v>Normal</v>
      </c>
      <c r="Q1874" s="3">
        <f>YEAR(Ticket_Table[[#This Row],[raised_date]])</f>
        <v>2021</v>
      </c>
    </row>
    <row r="1875" spans="1:17">
      <c r="A1875" t="s">
        <v>2435</v>
      </c>
      <c r="B1875" t="s">
        <v>926</v>
      </c>
      <c r="C1875" t="s">
        <v>95</v>
      </c>
      <c r="D1875" t="s">
        <v>43</v>
      </c>
      <c r="E1875" t="s">
        <v>30</v>
      </c>
      <c r="F1875" t="s">
        <v>38</v>
      </c>
      <c r="G1875" t="s">
        <v>31</v>
      </c>
      <c r="H1875" s="1">
        <v>44387</v>
      </c>
      <c r="I1875" s="2">
        <v>44387.2291666667</v>
      </c>
      <c r="J1875">
        <v>5.5</v>
      </c>
      <c r="K1875" t="s">
        <v>24</v>
      </c>
      <c r="L1875">
        <v>0</v>
      </c>
      <c r="M1875">
        <v>3</v>
      </c>
      <c r="N1875" t="s">
        <v>495</v>
      </c>
      <c r="O1875" s="3" t="str">
        <f>TEXT(Ticket_Table[[#This Row],[raised_date]],"YYYY-MM")</f>
        <v>2021-07</v>
      </c>
      <c r="P1875" s="3" t="str">
        <f>IF(Ticket_Table[[#This Row],[resolution_hrs]]&lt;=4,"Fast",IF(Ticket_Table[[#This Row],[resolution_hrs]]&lt;=24,"Normal",IF(Ticket_Table[[#This Row],[resolution_hrs]]&lt;=48,"Slow","Very Slow")))</f>
        <v>Normal</v>
      </c>
      <c r="Q1875" s="3">
        <f>YEAR(Ticket_Table[[#This Row],[raised_date]])</f>
        <v>2021</v>
      </c>
    </row>
    <row r="1876" spans="1:17">
      <c r="A1876" t="s">
        <v>2436</v>
      </c>
      <c r="B1876" t="s">
        <v>52</v>
      </c>
      <c r="C1876" t="s">
        <v>133</v>
      </c>
      <c r="D1876" t="s">
        <v>43</v>
      </c>
      <c r="E1876" t="s">
        <v>106</v>
      </c>
      <c r="F1876" t="s">
        <v>38</v>
      </c>
      <c r="G1876" t="s">
        <v>23</v>
      </c>
      <c r="H1876" s="1">
        <v>45022</v>
      </c>
      <c r="I1876" s="2">
        <v>45023.3833333333</v>
      </c>
      <c r="J1876">
        <v>33.2</v>
      </c>
      <c r="K1876" t="s">
        <v>32</v>
      </c>
      <c r="L1876">
        <v>0</v>
      </c>
      <c r="M1876">
        <v>2</v>
      </c>
      <c r="N1876" t="s">
        <v>484</v>
      </c>
      <c r="O1876" s="3" t="str">
        <f>TEXT(Ticket_Table[[#This Row],[raised_date]],"YYYY-MM")</f>
        <v>2023-04</v>
      </c>
      <c r="P1876" s="3" t="str">
        <f>IF(Ticket_Table[[#This Row],[resolution_hrs]]&lt;=4,"Fast",IF(Ticket_Table[[#This Row],[resolution_hrs]]&lt;=24,"Normal",IF(Ticket_Table[[#This Row],[resolution_hrs]]&lt;=48,"Slow","Very Slow")))</f>
        <v>Slow</v>
      </c>
      <c r="Q1876" s="3">
        <f>YEAR(Ticket_Table[[#This Row],[raised_date]])</f>
        <v>2023</v>
      </c>
    </row>
    <row r="1877" spans="1:17">
      <c r="A1877" t="s">
        <v>2437</v>
      </c>
      <c r="B1877" t="s">
        <v>296</v>
      </c>
      <c r="C1877" t="s">
        <v>102</v>
      </c>
      <c r="D1877" t="s">
        <v>29</v>
      </c>
      <c r="E1877" t="s">
        <v>106</v>
      </c>
      <c r="F1877" t="s">
        <v>22</v>
      </c>
      <c r="G1877" t="s">
        <v>31</v>
      </c>
      <c r="H1877" s="1">
        <v>45252</v>
      </c>
      <c r="I1877" s="2">
        <v>45254.0125</v>
      </c>
      <c r="J1877">
        <v>48.3</v>
      </c>
      <c r="K1877" t="s">
        <v>24</v>
      </c>
      <c r="L1877">
        <v>0</v>
      </c>
      <c r="M1877">
        <v>4</v>
      </c>
      <c r="N1877" t="s">
        <v>470</v>
      </c>
      <c r="O1877" s="3" t="str">
        <f>TEXT(Ticket_Table[[#This Row],[raised_date]],"YYYY-MM")</f>
        <v>2023-11</v>
      </c>
      <c r="P1877" s="3" t="str">
        <f>IF(Ticket_Table[[#This Row],[resolution_hrs]]&lt;=4,"Fast",IF(Ticket_Table[[#This Row],[resolution_hrs]]&lt;=24,"Normal",IF(Ticket_Table[[#This Row],[resolution_hrs]]&lt;=48,"Slow","Very Slow")))</f>
        <v>Very Slow</v>
      </c>
      <c r="Q1877" s="3">
        <f>YEAR(Ticket_Table[[#This Row],[raised_date]])</f>
        <v>2023</v>
      </c>
    </row>
    <row r="1878" spans="1:17">
      <c r="A1878" t="s">
        <v>2438</v>
      </c>
      <c r="B1878" t="s">
        <v>238</v>
      </c>
      <c r="C1878" t="s">
        <v>201</v>
      </c>
      <c r="D1878" t="s">
        <v>90</v>
      </c>
      <c r="E1878" t="s">
        <v>30</v>
      </c>
      <c r="F1878" t="s">
        <v>70</v>
      </c>
      <c r="G1878" t="s">
        <v>23</v>
      </c>
      <c r="H1878" s="1">
        <v>44766</v>
      </c>
      <c r="I1878" s="2">
        <v>44766.9333333333</v>
      </c>
      <c r="J1878">
        <v>22.4</v>
      </c>
      <c r="K1878" t="s">
        <v>24</v>
      </c>
      <c r="L1878">
        <v>0</v>
      </c>
      <c r="M1878">
        <v>5</v>
      </c>
      <c r="N1878" t="s">
        <v>1502</v>
      </c>
      <c r="O1878" s="3" t="str">
        <f>TEXT(Ticket_Table[[#This Row],[raised_date]],"YYYY-MM")</f>
        <v>2022-07</v>
      </c>
      <c r="P1878" s="3" t="str">
        <f>IF(Ticket_Table[[#This Row],[resolution_hrs]]&lt;=4,"Fast",IF(Ticket_Table[[#This Row],[resolution_hrs]]&lt;=24,"Normal",IF(Ticket_Table[[#This Row],[resolution_hrs]]&lt;=48,"Slow","Very Slow")))</f>
        <v>Normal</v>
      </c>
      <c r="Q1878" s="3">
        <f>YEAR(Ticket_Table[[#This Row],[raised_date]])</f>
        <v>2022</v>
      </c>
    </row>
    <row r="1879" spans="1:17">
      <c r="A1879" t="s">
        <v>2439</v>
      </c>
      <c r="B1879" t="s">
        <v>109</v>
      </c>
      <c r="C1879" t="s">
        <v>95</v>
      </c>
      <c r="D1879" t="s">
        <v>90</v>
      </c>
      <c r="E1879" t="s">
        <v>21</v>
      </c>
      <c r="F1879" t="s">
        <v>70</v>
      </c>
      <c r="G1879" t="s">
        <v>74</v>
      </c>
      <c r="H1879" s="1">
        <v>44952</v>
      </c>
      <c r="I1879" s="2">
        <v>44953.8958333333</v>
      </c>
      <c r="J1879">
        <v>45.5</v>
      </c>
      <c r="K1879" t="s">
        <v>24</v>
      </c>
      <c r="L1879">
        <v>1</v>
      </c>
      <c r="M1879">
        <v>2</v>
      </c>
      <c r="N1879" t="s">
        <v>209</v>
      </c>
      <c r="O1879" s="3" t="str">
        <f>TEXT(Ticket_Table[[#This Row],[raised_date]],"YYYY-MM")</f>
        <v>2023-01</v>
      </c>
      <c r="P1879" s="3" t="str">
        <f>IF(Ticket_Table[[#This Row],[resolution_hrs]]&lt;=4,"Fast",IF(Ticket_Table[[#This Row],[resolution_hrs]]&lt;=24,"Normal",IF(Ticket_Table[[#This Row],[resolution_hrs]]&lt;=48,"Slow","Very Slow")))</f>
        <v>Slow</v>
      </c>
      <c r="Q1879" s="3">
        <f>YEAR(Ticket_Table[[#This Row],[raised_date]])</f>
        <v>2023</v>
      </c>
    </row>
    <row r="1880" spans="1:17">
      <c r="A1880" t="s">
        <v>2440</v>
      </c>
      <c r="B1880" t="s">
        <v>662</v>
      </c>
      <c r="C1880" t="s">
        <v>261</v>
      </c>
      <c r="D1880" t="s">
        <v>90</v>
      </c>
      <c r="E1880" t="s">
        <v>51</v>
      </c>
      <c r="F1880" t="s">
        <v>22</v>
      </c>
      <c r="G1880" t="s">
        <v>23</v>
      </c>
      <c r="H1880" s="1">
        <v>45128</v>
      </c>
      <c r="I1880" s="2">
        <v>45128.3333333333</v>
      </c>
      <c r="J1880">
        <v>8</v>
      </c>
      <c r="K1880" t="s">
        <v>24</v>
      </c>
      <c r="L1880">
        <v>1</v>
      </c>
      <c r="M1880">
        <v>4</v>
      </c>
      <c r="N1880" t="s">
        <v>314</v>
      </c>
      <c r="O1880" s="3" t="str">
        <f>TEXT(Ticket_Table[[#This Row],[raised_date]],"YYYY-MM")</f>
        <v>2023-07</v>
      </c>
      <c r="P1880" s="3" t="str">
        <f>IF(Ticket_Table[[#This Row],[resolution_hrs]]&lt;=4,"Fast",IF(Ticket_Table[[#This Row],[resolution_hrs]]&lt;=24,"Normal",IF(Ticket_Table[[#This Row],[resolution_hrs]]&lt;=48,"Slow","Very Slow")))</f>
        <v>Normal</v>
      </c>
      <c r="Q1880" s="3">
        <f>YEAR(Ticket_Table[[#This Row],[raised_date]])</f>
        <v>2023</v>
      </c>
    </row>
    <row r="1881" spans="1:17">
      <c r="A1881" t="s">
        <v>2441</v>
      </c>
      <c r="B1881" t="s">
        <v>275</v>
      </c>
      <c r="C1881" t="s">
        <v>55</v>
      </c>
      <c r="D1881" t="s">
        <v>43</v>
      </c>
      <c r="E1881" t="s">
        <v>56</v>
      </c>
      <c r="F1881" t="s">
        <v>70</v>
      </c>
      <c r="G1881" t="s">
        <v>91</v>
      </c>
      <c r="H1881" s="1">
        <v>45196</v>
      </c>
      <c r="I1881" s="2">
        <v>45198.0458333333</v>
      </c>
      <c r="J1881">
        <v>49.1</v>
      </c>
      <c r="K1881" t="s">
        <v>32</v>
      </c>
      <c r="L1881">
        <v>0</v>
      </c>
      <c r="M1881">
        <v>4</v>
      </c>
      <c r="N1881" t="s">
        <v>805</v>
      </c>
      <c r="O1881" s="3" t="str">
        <f>TEXT(Ticket_Table[[#This Row],[raised_date]],"YYYY-MM")</f>
        <v>2023-09</v>
      </c>
      <c r="P1881" s="3" t="str">
        <f>IF(Ticket_Table[[#This Row],[resolution_hrs]]&lt;=4,"Fast",IF(Ticket_Table[[#This Row],[resolution_hrs]]&lt;=24,"Normal",IF(Ticket_Table[[#This Row],[resolution_hrs]]&lt;=48,"Slow","Very Slow")))</f>
        <v>Very Slow</v>
      </c>
      <c r="Q1881" s="3">
        <f>YEAR(Ticket_Table[[#This Row],[raised_date]])</f>
        <v>2023</v>
      </c>
    </row>
    <row r="1882" spans="1:17">
      <c r="A1882" t="s">
        <v>2442</v>
      </c>
      <c r="B1882" t="s">
        <v>49</v>
      </c>
      <c r="C1882" t="s">
        <v>213</v>
      </c>
      <c r="D1882" t="s">
        <v>29</v>
      </c>
      <c r="E1882" t="s">
        <v>37</v>
      </c>
      <c r="F1882" t="s">
        <v>70</v>
      </c>
      <c r="G1882" t="s">
        <v>31</v>
      </c>
      <c r="H1882" s="1">
        <v>44867</v>
      </c>
      <c r="I1882" s="2">
        <v>44868.6958333333</v>
      </c>
      <c r="J1882">
        <v>40.7</v>
      </c>
      <c r="K1882" t="s">
        <v>24</v>
      </c>
      <c r="L1882">
        <v>0</v>
      </c>
      <c r="M1882">
        <v>3</v>
      </c>
      <c r="N1882" t="s">
        <v>367</v>
      </c>
      <c r="O1882" s="3" t="str">
        <f>TEXT(Ticket_Table[[#This Row],[raised_date]],"YYYY-MM")</f>
        <v>2022-11</v>
      </c>
      <c r="P1882" s="3" t="str">
        <f>IF(Ticket_Table[[#This Row],[resolution_hrs]]&lt;=4,"Fast",IF(Ticket_Table[[#This Row],[resolution_hrs]]&lt;=24,"Normal",IF(Ticket_Table[[#This Row],[resolution_hrs]]&lt;=48,"Slow","Very Slow")))</f>
        <v>Slow</v>
      </c>
      <c r="Q1882" s="3">
        <f>YEAR(Ticket_Table[[#This Row],[raised_date]])</f>
        <v>2022</v>
      </c>
    </row>
    <row r="1883" spans="1:17">
      <c r="A1883" t="s">
        <v>2443</v>
      </c>
      <c r="B1883" t="s">
        <v>188</v>
      </c>
      <c r="C1883" t="s">
        <v>95</v>
      </c>
      <c r="D1883" t="s">
        <v>20</v>
      </c>
      <c r="E1883" t="s">
        <v>44</v>
      </c>
      <c r="F1883" t="s">
        <v>45</v>
      </c>
      <c r="G1883" t="s">
        <v>23</v>
      </c>
      <c r="H1883" s="1">
        <v>44202</v>
      </c>
      <c r="I1883" s="2">
        <v>44202.1041666667</v>
      </c>
      <c r="J1883">
        <v>2.5</v>
      </c>
      <c r="K1883" t="s">
        <v>24</v>
      </c>
      <c r="L1883">
        <v>1</v>
      </c>
      <c r="M1883">
        <v>5</v>
      </c>
      <c r="N1883" t="s">
        <v>188</v>
      </c>
      <c r="O1883" s="3" t="str">
        <f>TEXT(Ticket_Table[[#This Row],[raised_date]],"YYYY-MM")</f>
        <v>2021-01</v>
      </c>
      <c r="P1883" s="3" t="str">
        <f>IF(Ticket_Table[[#This Row],[resolution_hrs]]&lt;=4,"Fast",IF(Ticket_Table[[#This Row],[resolution_hrs]]&lt;=24,"Normal",IF(Ticket_Table[[#This Row],[resolution_hrs]]&lt;=48,"Slow","Very Slow")))</f>
        <v>Fast</v>
      </c>
      <c r="Q1883" s="3">
        <f>YEAR(Ticket_Table[[#This Row],[raised_date]])</f>
        <v>2021</v>
      </c>
    </row>
    <row r="1884" spans="1:17">
      <c r="A1884" t="s">
        <v>2444</v>
      </c>
      <c r="B1884" t="s">
        <v>1016</v>
      </c>
      <c r="C1884" t="s">
        <v>28</v>
      </c>
      <c r="D1884" t="s">
        <v>90</v>
      </c>
      <c r="E1884" t="s">
        <v>69</v>
      </c>
      <c r="F1884" t="s">
        <v>70</v>
      </c>
      <c r="G1884" t="s">
        <v>23</v>
      </c>
      <c r="H1884" s="1">
        <v>44387</v>
      </c>
      <c r="I1884" s="2">
        <v>44388.1708333333</v>
      </c>
      <c r="J1884">
        <v>28.1</v>
      </c>
      <c r="K1884" t="s">
        <v>24</v>
      </c>
      <c r="L1884">
        <v>0</v>
      </c>
      <c r="M1884">
        <v>4</v>
      </c>
      <c r="N1884" t="s">
        <v>919</v>
      </c>
      <c r="O1884" s="3" t="str">
        <f>TEXT(Ticket_Table[[#This Row],[raised_date]],"YYYY-MM")</f>
        <v>2021-07</v>
      </c>
      <c r="P1884" s="3" t="str">
        <f>IF(Ticket_Table[[#This Row],[resolution_hrs]]&lt;=4,"Fast",IF(Ticket_Table[[#This Row],[resolution_hrs]]&lt;=24,"Normal",IF(Ticket_Table[[#This Row],[resolution_hrs]]&lt;=48,"Slow","Very Slow")))</f>
        <v>Slow</v>
      </c>
      <c r="Q1884" s="3">
        <f>YEAR(Ticket_Table[[#This Row],[raised_date]])</f>
        <v>2021</v>
      </c>
    </row>
    <row r="1885" spans="1:17">
      <c r="A1885" t="s">
        <v>2445</v>
      </c>
      <c r="B1885" t="s">
        <v>114</v>
      </c>
      <c r="C1885" t="s">
        <v>213</v>
      </c>
      <c r="D1885" t="s">
        <v>90</v>
      </c>
      <c r="E1885" t="s">
        <v>106</v>
      </c>
      <c r="F1885" t="s">
        <v>38</v>
      </c>
      <c r="G1885" t="s">
        <v>23</v>
      </c>
      <c r="H1885" s="1">
        <v>45135</v>
      </c>
      <c r="I1885" s="2">
        <v>45135.1833333333</v>
      </c>
      <c r="J1885">
        <v>4.4</v>
      </c>
      <c r="K1885" t="s">
        <v>24</v>
      </c>
      <c r="L1885">
        <v>0</v>
      </c>
      <c r="M1885">
        <v>5</v>
      </c>
      <c r="N1885" t="s">
        <v>302</v>
      </c>
      <c r="O1885" s="3" t="str">
        <f>TEXT(Ticket_Table[[#This Row],[raised_date]],"YYYY-MM")</f>
        <v>2023-07</v>
      </c>
      <c r="P1885" s="3" t="str">
        <f>IF(Ticket_Table[[#This Row],[resolution_hrs]]&lt;=4,"Fast",IF(Ticket_Table[[#This Row],[resolution_hrs]]&lt;=24,"Normal",IF(Ticket_Table[[#This Row],[resolution_hrs]]&lt;=48,"Slow","Very Slow")))</f>
        <v>Normal</v>
      </c>
      <c r="Q1885" s="3">
        <f>YEAR(Ticket_Table[[#This Row],[raised_date]])</f>
        <v>2023</v>
      </c>
    </row>
    <row r="1886" spans="1:17">
      <c r="A1886" t="s">
        <v>2446</v>
      </c>
      <c r="B1886" t="s">
        <v>413</v>
      </c>
      <c r="C1886" t="s">
        <v>287</v>
      </c>
      <c r="D1886" t="s">
        <v>20</v>
      </c>
      <c r="E1886" t="s">
        <v>166</v>
      </c>
      <c r="F1886" t="s">
        <v>70</v>
      </c>
      <c r="G1886" t="s">
        <v>74</v>
      </c>
      <c r="H1886" s="1">
        <v>44930</v>
      </c>
      <c r="I1886" s="2">
        <v>44932.2666666667</v>
      </c>
      <c r="J1886">
        <v>54.4</v>
      </c>
      <c r="K1886" t="s">
        <v>32</v>
      </c>
      <c r="L1886">
        <v>1</v>
      </c>
      <c r="M1886">
        <v>4</v>
      </c>
      <c r="N1886" t="s">
        <v>503</v>
      </c>
      <c r="O1886" s="3" t="str">
        <f>TEXT(Ticket_Table[[#This Row],[raised_date]],"YYYY-MM")</f>
        <v>2023-01</v>
      </c>
      <c r="P1886" s="3" t="str">
        <f>IF(Ticket_Table[[#This Row],[resolution_hrs]]&lt;=4,"Fast",IF(Ticket_Table[[#This Row],[resolution_hrs]]&lt;=24,"Normal",IF(Ticket_Table[[#This Row],[resolution_hrs]]&lt;=48,"Slow","Very Slow")))</f>
        <v>Very Slow</v>
      </c>
      <c r="Q1886" s="3">
        <f>YEAR(Ticket_Table[[#This Row],[raised_date]])</f>
        <v>2023</v>
      </c>
    </row>
    <row r="1887" spans="1:17">
      <c r="A1887" t="s">
        <v>2447</v>
      </c>
      <c r="B1887" t="s">
        <v>347</v>
      </c>
      <c r="C1887" t="s">
        <v>261</v>
      </c>
      <c r="D1887" t="s">
        <v>29</v>
      </c>
      <c r="E1887" t="s">
        <v>51</v>
      </c>
      <c r="F1887" t="s">
        <v>38</v>
      </c>
      <c r="G1887" t="s">
        <v>46</v>
      </c>
      <c r="H1887" s="1">
        <v>44326</v>
      </c>
      <c r="I1887" s="2">
        <v>44326.3833333333</v>
      </c>
      <c r="J1887">
        <v>9.2</v>
      </c>
      <c r="K1887" t="s">
        <v>24</v>
      </c>
      <c r="L1887">
        <v>0</v>
      </c>
      <c r="M1887">
        <v>3</v>
      </c>
      <c r="N1887" t="s">
        <v>169</v>
      </c>
      <c r="O1887" s="3" t="str">
        <f>TEXT(Ticket_Table[[#This Row],[raised_date]],"YYYY-MM")</f>
        <v>2021-05</v>
      </c>
      <c r="P1887" s="3" t="str">
        <f>IF(Ticket_Table[[#This Row],[resolution_hrs]]&lt;=4,"Fast",IF(Ticket_Table[[#This Row],[resolution_hrs]]&lt;=24,"Normal",IF(Ticket_Table[[#This Row],[resolution_hrs]]&lt;=48,"Slow","Very Slow")))</f>
        <v>Normal</v>
      </c>
      <c r="Q1887" s="3">
        <f>YEAR(Ticket_Table[[#This Row],[raised_date]])</f>
        <v>2021</v>
      </c>
    </row>
    <row r="1888" spans="1:17">
      <c r="A1888" t="s">
        <v>2448</v>
      </c>
      <c r="B1888" t="s">
        <v>228</v>
      </c>
      <c r="C1888" t="s">
        <v>55</v>
      </c>
      <c r="D1888" t="s">
        <v>90</v>
      </c>
      <c r="E1888" t="s">
        <v>30</v>
      </c>
      <c r="F1888" t="s">
        <v>70</v>
      </c>
      <c r="G1888" t="s">
        <v>23</v>
      </c>
      <c r="H1888" s="1">
        <v>45291</v>
      </c>
      <c r="I1888" s="2">
        <v>45292.8166666667</v>
      </c>
      <c r="J1888">
        <v>43.6</v>
      </c>
      <c r="K1888" t="s">
        <v>24</v>
      </c>
      <c r="L1888">
        <v>0</v>
      </c>
      <c r="M1888">
        <v>4</v>
      </c>
      <c r="N1888" t="s">
        <v>435</v>
      </c>
      <c r="O1888" s="3" t="str">
        <f>TEXT(Ticket_Table[[#This Row],[raised_date]],"YYYY-MM")</f>
        <v>2023-12</v>
      </c>
      <c r="P1888" s="3" t="str">
        <f>IF(Ticket_Table[[#This Row],[resolution_hrs]]&lt;=4,"Fast",IF(Ticket_Table[[#This Row],[resolution_hrs]]&lt;=24,"Normal",IF(Ticket_Table[[#This Row],[resolution_hrs]]&lt;=48,"Slow","Very Slow")))</f>
        <v>Slow</v>
      </c>
      <c r="Q1888" s="3">
        <f>YEAR(Ticket_Table[[#This Row],[raised_date]])</f>
        <v>2023</v>
      </c>
    </row>
    <row r="1889" spans="1:17">
      <c r="A1889" t="s">
        <v>2449</v>
      </c>
      <c r="B1889" t="s">
        <v>880</v>
      </c>
      <c r="C1889" t="s">
        <v>261</v>
      </c>
      <c r="D1889" t="s">
        <v>29</v>
      </c>
      <c r="E1889" t="s">
        <v>106</v>
      </c>
      <c r="F1889" t="s">
        <v>38</v>
      </c>
      <c r="G1889" t="s">
        <v>23</v>
      </c>
      <c r="H1889" s="1">
        <v>45011</v>
      </c>
      <c r="I1889" s="2">
        <v>45012.0041666667</v>
      </c>
      <c r="J1889">
        <v>24.1</v>
      </c>
      <c r="K1889" t="s">
        <v>32</v>
      </c>
      <c r="L1889">
        <v>0</v>
      </c>
      <c r="M1889">
        <v>4</v>
      </c>
      <c r="N1889" t="s">
        <v>822</v>
      </c>
      <c r="O1889" s="3" t="str">
        <f>TEXT(Ticket_Table[[#This Row],[raised_date]],"YYYY-MM")</f>
        <v>2023-03</v>
      </c>
      <c r="P1889" s="3" t="str">
        <f>IF(Ticket_Table[[#This Row],[resolution_hrs]]&lt;=4,"Fast",IF(Ticket_Table[[#This Row],[resolution_hrs]]&lt;=24,"Normal",IF(Ticket_Table[[#This Row],[resolution_hrs]]&lt;=48,"Slow","Very Slow")))</f>
        <v>Slow</v>
      </c>
      <c r="Q1889" s="3">
        <f>YEAR(Ticket_Table[[#This Row],[raised_date]])</f>
        <v>2023</v>
      </c>
    </row>
    <row r="1890" spans="1:17">
      <c r="A1890" t="s">
        <v>2450</v>
      </c>
      <c r="B1890" t="s">
        <v>238</v>
      </c>
      <c r="C1890" t="s">
        <v>140</v>
      </c>
      <c r="D1890" t="s">
        <v>90</v>
      </c>
      <c r="E1890" t="s">
        <v>69</v>
      </c>
      <c r="F1890" t="s">
        <v>70</v>
      </c>
      <c r="G1890" t="s">
        <v>46</v>
      </c>
      <c r="H1890" s="1">
        <v>44643</v>
      </c>
      <c r="I1890" s="2">
        <v>44643.075</v>
      </c>
      <c r="J1890">
        <v>1.8</v>
      </c>
      <c r="K1890" t="s">
        <v>24</v>
      </c>
      <c r="L1890">
        <v>0</v>
      </c>
      <c r="M1890">
        <v>4</v>
      </c>
      <c r="N1890" t="s">
        <v>419</v>
      </c>
      <c r="O1890" s="3" t="str">
        <f>TEXT(Ticket_Table[[#This Row],[raised_date]],"YYYY-MM")</f>
        <v>2022-03</v>
      </c>
      <c r="P1890" s="3" t="str">
        <f>IF(Ticket_Table[[#This Row],[resolution_hrs]]&lt;=4,"Fast",IF(Ticket_Table[[#This Row],[resolution_hrs]]&lt;=24,"Normal",IF(Ticket_Table[[#This Row],[resolution_hrs]]&lt;=48,"Slow","Very Slow")))</f>
        <v>Fast</v>
      </c>
      <c r="Q1890" s="3">
        <f>YEAR(Ticket_Table[[#This Row],[raised_date]])</f>
        <v>2022</v>
      </c>
    </row>
    <row r="1891" spans="1:17">
      <c r="A1891" t="s">
        <v>2451</v>
      </c>
      <c r="B1891" t="s">
        <v>101</v>
      </c>
      <c r="C1891" t="s">
        <v>95</v>
      </c>
      <c r="D1891" t="s">
        <v>36</v>
      </c>
      <c r="E1891" t="s">
        <v>166</v>
      </c>
      <c r="F1891" t="s">
        <v>70</v>
      </c>
      <c r="G1891" t="s">
        <v>31</v>
      </c>
      <c r="H1891" s="1">
        <v>45076</v>
      </c>
      <c r="I1891" s="2">
        <v>45077.1791666667</v>
      </c>
      <c r="J1891">
        <v>28.3</v>
      </c>
      <c r="K1891" t="s">
        <v>24</v>
      </c>
      <c r="L1891">
        <v>0</v>
      </c>
      <c r="M1891">
        <v>3</v>
      </c>
      <c r="N1891" t="s">
        <v>1301</v>
      </c>
      <c r="O1891" s="3" t="str">
        <f>TEXT(Ticket_Table[[#This Row],[raised_date]],"YYYY-MM")</f>
        <v>2023-05</v>
      </c>
      <c r="P1891" s="3" t="str">
        <f>IF(Ticket_Table[[#This Row],[resolution_hrs]]&lt;=4,"Fast",IF(Ticket_Table[[#This Row],[resolution_hrs]]&lt;=24,"Normal",IF(Ticket_Table[[#This Row],[resolution_hrs]]&lt;=48,"Slow","Very Slow")))</f>
        <v>Slow</v>
      </c>
      <c r="Q1891" s="3">
        <f>YEAR(Ticket_Table[[#This Row],[raised_date]])</f>
        <v>2023</v>
      </c>
    </row>
    <row r="1892" spans="1:17">
      <c r="A1892" t="s">
        <v>2452</v>
      </c>
      <c r="B1892" t="s">
        <v>223</v>
      </c>
      <c r="C1892" t="s">
        <v>42</v>
      </c>
      <c r="D1892" t="s">
        <v>90</v>
      </c>
      <c r="E1892" t="s">
        <v>37</v>
      </c>
      <c r="F1892" t="s">
        <v>70</v>
      </c>
      <c r="G1892" t="s">
        <v>23</v>
      </c>
      <c r="H1892" s="1">
        <v>44630</v>
      </c>
      <c r="I1892" s="2">
        <v>44632.3958333333</v>
      </c>
      <c r="J1892">
        <v>57.5</v>
      </c>
      <c r="K1892" t="s">
        <v>32</v>
      </c>
      <c r="L1892">
        <v>0</v>
      </c>
      <c r="M1892">
        <v>4</v>
      </c>
      <c r="N1892" t="s">
        <v>307</v>
      </c>
      <c r="O1892" s="3" t="str">
        <f>TEXT(Ticket_Table[[#This Row],[raised_date]],"YYYY-MM")</f>
        <v>2022-03</v>
      </c>
      <c r="P1892" s="3" t="str">
        <f>IF(Ticket_Table[[#This Row],[resolution_hrs]]&lt;=4,"Fast",IF(Ticket_Table[[#This Row],[resolution_hrs]]&lt;=24,"Normal",IF(Ticket_Table[[#This Row],[resolution_hrs]]&lt;=48,"Slow","Very Slow")))</f>
        <v>Very Slow</v>
      </c>
      <c r="Q1892" s="3">
        <f>YEAR(Ticket_Table[[#This Row],[raised_date]])</f>
        <v>2022</v>
      </c>
    </row>
    <row r="1893" spans="1:17">
      <c r="A1893" t="s">
        <v>2453</v>
      </c>
      <c r="B1893" t="s">
        <v>646</v>
      </c>
      <c r="C1893" t="s">
        <v>82</v>
      </c>
      <c r="D1893" t="s">
        <v>36</v>
      </c>
      <c r="E1893" t="s">
        <v>37</v>
      </c>
      <c r="F1893" t="s">
        <v>70</v>
      </c>
      <c r="G1893" t="s">
        <v>23</v>
      </c>
      <c r="H1893" s="1">
        <v>45210</v>
      </c>
      <c r="I1893" s="2">
        <v>45212.6458333333</v>
      </c>
      <c r="J1893">
        <v>63.5</v>
      </c>
      <c r="K1893" t="s">
        <v>32</v>
      </c>
      <c r="L1893">
        <v>0</v>
      </c>
      <c r="M1893">
        <v>5</v>
      </c>
      <c r="N1893" t="s">
        <v>730</v>
      </c>
      <c r="O1893" s="3" t="str">
        <f>TEXT(Ticket_Table[[#This Row],[raised_date]],"YYYY-MM")</f>
        <v>2023-10</v>
      </c>
      <c r="P1893" s="3" t="str">
        <f>IF(Ticket_Table[[#This Row],[resolution_hrs]]&lt;=4,"Fast",IF(Ticket_Table[[#This Row],[resolution_hrs]]&lt;=24,"Normal",IF(Ticket_Table[[#This Row],[resolution_hrs]]&lt;=48,"Slow","Very Slow")))</f>
        <v>Very Slow</v>
      </c>
      <c r="Q1893" s="3">
        <f>YEAR(Ticket_Table[[#This Row],[raised_date]])</f>
        <v>2023</v>
      </c>
    </row>
    <row r="1894" spans="1:17">
      <c r="A1894" t="s">
        <v>2454</v>
      </c>
      <c r="B1894" t="s">
        <v>1006</v>
      </c>
      <c r="C1894" t="s">
        <v>201</v>
      </c>
      <c r="D1894" t="s">
        <v>29</v>
      </c>
      <c r="E1894" t="s">
        <v>69</v>
      </c>
      <c r="F1894" t="s">
        <v>22</v>
      </c>
      <c r="G1894" t="s">
        <v>46</v>
      </c>
      <c r="H1894" s="1">
        <v>44746</v>
      </c>
      <c r="I1894" s="2">
        <v>44748.8041666667</v>
      </c>
      <c r="J1894">
        <v>67.3</v>
      </c>
      <c r="K1894" t="s">
        <v>24</v>
      </c>
      <c r="L1894">
        <v>0</v>
      </c>
      <c r="M1894">
        <v>4</v>
      </c>
      <c r="N1894" t="s">
        <v>365</v>
      </c>
      <c r="O1894" s="3" t="str">
        <f>TEXT(Ticket_Table[[#This Row],[raised_date]],"YYYY-MM")</f>
        <v>2022-07</v>
      </c>
      <c r="P1894" s="3" t="str">
        <f>IF(Ticket_Table[[#This Row],[resolution_hrs]]&lt;=4,"Fast",IF(Ticket_Table[[#This Row],[resolution_hrs]]&lt;=24,"Normal",IF(Ticket_Table[[#This Row],[resolution_hrs]]&lt;=48,"Slow","Very Slow")))</f>
        <v>Very Slow</v>
      </c>
      <c r="Q1894" s="3">
        <f>YEAR(Ticket_Table[[#This Row],[raised_date]])</f>
        <v>2022</v>
      </c>
    </row>
    <row r="1895" spans="1:17">
      <c r="A1895" t="s">
        <v>2455</v>
      </c>
      <c r="B1895" t="s">
        <v>358</v>
      </c>
      <c r="C1895" t="s">
        <v>82</v>
      </c>
      <c r="D1895" t="s">
        <v>90</v>
      </c>
      <c r="E1895" t="s">
        <v>51</v>
      </c>
      <c r="F1895" t="s">
        <v>22</v>
      </c>
      <c r="G1895" t="s">
        <v>23</v>
      </c>
      <c r="H1895" s="1">
        <v>44858</v>
      </c>
      <c r="I1895" s="2">
        <v>44859.5541666667</v>
      </c>
      <c r="J1895">
        <v>37.3</v>
      </c>
      <c r="K1895" t="s">
        <v>24</v>
      </c>
      <c r="L1895">
        <v>0</v>
      </c>
      <c r="M1895">
        <v>3</v>
      </c>
      <c r="N1895" t="s">
        <v>878</v>
      </c>
      <c r="O1895" s="3" t="str">
        <f>TEXT(Ticket_Table[[#This Row],[raised_date]],"YYYY-MM")</f>
        <v>2022-10</v>
      </c>
      <c r="P1895" s="3" t="str">
        <f>IF(Ticket_Table[[#This Row],[resolution_hrs]]&lt;=4,"Fast",IF(Ticket_Table[[#This Row],[resolution_hrs]]&lt;=24,"Normal",IF(Ticket_Table[[#This Row],[resolution_hrs]]&lt;=48,"Slow","Very Slow")))</f>
        <v>Slow</v>
      </c>
      <c r="Q1895" s="3">
        <f>YEAR(Ticket_Table[[#This Row],[raised_date]])</f>
        <v>2022</v>
      </c>
    </row>
    <row r="1896" spans="1:17">
      <c r="A1896" t="s">
        <v>2456</v>
      </c>
      <c r="B1896" t="s">
        <v>552</v>
      </c>
      <c r="C1896" t="s">
        <v>117</v>
      </c>
      <c r="D1896" t="s">
        <v>43</v>
      </c>
      <c r="E1896" t="s">
        <v>166</v>
      </c>
      <c r="F1896" t="s">
        <v>22</v>
      </c>
      <c r="G1896" t="s">
        <v>31</v>
      </c>
      <c r="H1896" s="1">
        <v>44777</v>
      </c>
      <c r="I1896" s="2">
        <v>44781.2208333333</v>
      </c>
      <c r="J1896">
        <v>101.3</v>
      </c>
      <c r="K1896" t="s">
        <v>32</v>
      </c>
      <c r="L1896">
        <v>0</v>
      </c>
      <c r="M1896">
        <v>5</v>
      </c>
      <c r="N1896" t="s">
        <v>737</v>
      </c>
      <c r="O1896" s="3" t="str">
        <f>TEXT(Ticket_Table[[#This Row],[raised_date]],"YYYY-MM")</f>
        <v>2022-08</v>
      </c>
      <c r="P1896" s="3" t="str">
        <f>IF(Ticket_Table[[#This Row],[resolution_hrs]]&lt;=4,"Fast",IF(Ticket_Table[[#This Row],[resolution_hrs]]&lt;=24,"Normal",IF(Ticket_Table[[#This Row],[resolution_hrs]]&lt;=48,"Slow","Very Slow")))</f>
        <v>Very Slow</v>
      </c>
      <c r="Q1896" s="3">
        <f>YEAR(Ticket_Table[[#This Row],[raised_date]])</f>
        <v>2022</v>
      </c>
    </row>
    <row r="1897" spans="1:17">
      <c r="A1897" t="s">
        <v>2457</v>
      </c>
      <c r="B1897" t="s">
        <v>71</v>
      </c>
      <c r="C1897" t="s">
        <v>117</v>
      </c>
      <c r="D1897" t="s">
        <v>43</v>
      </c>
      <c r="E1897" t="s">
        <v>30</v>
      </c>
      <c r="F1897" t="s">
        <v>38</v>
      </c>
      <c r="G1897" t="s">
        <v>31</v>
      </c>
      <c r="H1897" s="1">
        <v>44888</v>
      </c>
      <c r="I1897" s="2">
        <v>44889.1833333333</v>
      </c>
      <c r="J1897">
        <v>28.4</v>
      </c>
      <c r="K1897" t="s">
        <v>32</v>
      </c>
      <c r="L1897">
        <v>0</v>
      </c>
      <c r="M1897">
        <v>4</v>
      </c>
      <c r="N1897" t="s">
        <v>54</v>
      </c>
      <c r="O1897" s="3" t="str">
        <f>TEXT(Ticket_Table[[#This Row],[raised_date]],"YYYY-MM")</f>
        <v>2022-11</v>
      </c>
      <c r="P1897" s="3" t="str">
        <f>IF(Ticket_Table[[#This Row],[resolution_hrs]]&lt;=4,"Fast",IF(Ticket_Table[[#This Row],[resolution_hrs]]&lt;=24,"Normal",IF(Ticket_Table[[#This Row],[resolution_hrs]]&lt;=48,"Slow","Very Slow")))</f>
        <v>Slow</v>
      </c>
      <c r="Q1897" s="3">
        <f>YEAR(Ticket_Table[[#This Row],[raised_date]])</f>
        <v>2022</v>
      </c>
    </row>
    <row r="1898" spans="1:17">
      <c r="A1898" t="s">
        <v>2458</v>
      </c>
      <c r="B1898" t="s">
        <v>517</v>
      </c>
      <c r="C1898" t="s">
        <v>19</v>
      </c>
      <c r="D1898" t="s">
        <v>20</v>
      </c>
      <c r="E1898" t="s">
        <v>166</v>
      </c>
      <c r="F1898" t="s">
        <v>22</v>
      </c>
      <c r="G1898" t="s">
        <v>46</v>
      </c>
      <c r="H1898" s="1">
        <v>44464</v>
      </c>
      <c r="I1898" s="2">
        <v>44466.0666666667</v>
      </c>
      <c r="J1898">
        <v>49.6</v>
      </c>
      <c r="K1898" t="s">
        <v>24</v>
      </c>
      <c r="L1898">
        <v>0</v>
      </c>
      <c r="M1898">
        <v>4</v>
      </c>
      <c r="N1898" t="s">
        <v>603</v>
      </c>
      <c r="O1898" s="3" t="str">
        <f>TEXT(Ticket_Table[[#This Row],[raised_date]],"YYYY-MM")</f>
        <v>2021-09</v>
      </c>
      <c r="P1898" s="3" t="str">
        <f>IF(Ticket_Table[[#This Row],[resolution_hrs]]&lt;=4,"Fast",IF(Ticket_Table[[#This Row],[resolution_hrs]]&lt;=24,"Normal",IF(Ticket_Table[[#This Row],[resolution_hrs]]&lt;=48,"Slow","Very Slow")))</f>
        <v>Very Slow</v>
      </c>
      <c r="Q1898" s="3">
        <f>YEAR(Ticket_Table[[#This Row],[raised_date]])</f>
        <v>2021</v>
      </c>
    </row>
    <row r="1899" spans="1:17">
      <c r="A1899" t="s">
        <v>2459</v>
      </c>
      <c r="B1899" t="s">
        <v>180</v>
      </c>
      <c r="C1899" t="s">
        <v>64</v>
      </c>
      <c r="D1899" t="s">
        <v>43</v>
      </c>
      <c r="E1899" t="s">
        <v>83</v>
      </c>
      <c r="F1899" t="s">
        <v>22</v>
      </c>
      <c r="G1899" t="s">
        <v>23</v>
      </c>
      <c r="H1899" s="1">
        <v>45190</v>
      </c>
      <c r="I1899" s="2">
        <v>45191.5041666667</v>
      </c>
      <c r="J1899">
        <v>36.1</v>
      </c>
      <c r="K1899" t="s">
        <v>24</v>
      </c>
      <c r="L1899">
        <v>0</v>
      </c>
      <c r="M1899">
        <v>3</v>
      </c>
      <c r="N1899" t="s">
        <v>186</v>
      </c>
      <c r="O1899" s="3" t="str">
        <f>TEXT(Ticket_Table[[#This Row],[raised_date]],"YYYY-MM")</f>
        <v>2023-09</v>
      </c>
      <c r="P1899" s="3" t="str">
        <f>IF(Ticket_Table[[#This Row],[resolution_hrs]]&lt;=4,"Fast",IF(Ticket_Table[[#This Row],[resolution_hrs]]&lt;=24,"Normal",IF(Ticket_Table[[#This Row],[resolution_hrs]]&lt;=48,"Slow","Very Slow")))</f>
        <v>Slow</v>
      </c>
      <c r="Q1899" s="3">
        <f>YEAR(Ticket_Table[[#This Row],[raised_date]])</f>
        <v>2023</v>
      </c>
    </row>
    <row r="1900" spans="1:17">
      <c r="A1900" t="s">
        <v>2460</v>
      </c>
      <c r="B1900" t="s">
        <v>707</v>
      </c>
      <c r="C1900" t="s">
        <v>95</v>
      </c>
      <c r="D1900" t="s">
        <v>36</v>
      </c>
      <c r="E1900" t="s">
        <v>30</v>
      </c>
      <c r="F1900" t="s">
        <v>38</v>
      </c>
      <c r="G1900" t="s">
        <v>31</v>
      </c>
      <c r="H1900" s="1">
        <v>44900</v>
      </c>
      <c r="I1900" s="2">
        <v>44900.3208333333</v>
      </c>
      <c r="J1900">
        <v>7.7</v>
      </c>
      <c r="K1900" t="s">
        <v>24</v>
      </c>
      <c r="L1900">
        <v>0</v>
      </c>
      <c r="M1900">
        <v>4</v>
      </c>
      <c r="N1900" t="s">
        <v>370</v>
      </c>
      <c r="O1900" s="3" t="str">
        <f>TEXT(Ticket_Table[[#This Row],[raised_date]],"YYYY-MM")</f>
        <v>2022-12</v>
      </c>
      <c r="P1900" s="3" t="str">
        <f>IF(Ticket_Table[[#This Row],[resolution_hrs]]&lt;=4,"Fast",IF(Ticket_Table[[#This Row],[resolution_hrs]]&lt;=24,"Normal",IF(Ticket_Table[[#This Row],[resolution_hrs]]&lt;=48,"Slow","Very Slow")))</f>
        <v>Normal</v>
      </c>
      <c r="Q1900" s="3">
        <f>YEAR(Ticket_Table[[#This Row],[raised_date]])</f>
        <v>2022</v>
      </c>
    </row>
    <row r="1901" spans="1:17">
      <c r="A1901" t="s">
        <v>2461</v>
      </c>
      <c r="B1901" t="s">
        <v>183</v>
      </c>
      <c r="C1901" t="s">
        <v>78</v>
      </c>
      <c r="D1901" t="s">
        <v>43</v>
      </c>
      <c r="E1901" t="s">
        <v>44</v>
      </c>
      <c r="F1901" t="s">
        <v>70</v>
      </c>
      <c r="G1901" t="s">
        <v>23</v>
      </c>
      <c r="H1901" s="1">
        <v>44296</v>
      </c>
      <c r="I1901" s="2">
        <v>44296.3458333333</v>
      </c>
      <c r="J1901">
        <v>8.3</v>
      </c>
      <c r="K1901" t="s">
        <v>24</v>
      </c>
      <c r="L1901">
        <v>0</v>
      </c>
      <c r="M1901">
        <v>5</v>
      </c>
      <c r="N1901" t="s">
        <v>955</v>
      </c>
      <c r="O1901" s="3" t="str">
        <f>TEXT(Ticket_Table[[#This Row],[raised_date]],"YYYY-MM")</f>
        <v>2021-04</v>
      </c>
      <c r="P1901" s="3" t="str">
        <f>IF(Ticket_Table[[#This Row],[resolution_hrs]]&lt;=4,"Fast",IF(Ticket_Table[[#This Row],[resolution_hrs]]&lt;=24,"Normal",IF(Ticket_Table[[#This Row],[resolution_hrs]]&lt;=48,"Slow","Very Slow")))</f>
        <v>Normal</v>
      </c>
      <c r="Q1901" s="3">
        <f>YEAR(Ticket_Table[[#This Row],[raised_date]])</f>
        <v>2021</v>
      </c>
    </row>
    <row r="1902" spans="1:17">
      <c r="A1902" t="s">
        <v>2462</v>
      </c>
      <c r="B1902" t="s">
        <v>75</v>
      </c>
      <c r="C1902" t="s">
        <v>201</v>
      </c>
      <c r="D1902" t="s">
        <v>43</v>
      </c>
      <c r="E1902" t="s">
        <v>56</v>
      </c>
      <c r="F1902" t="s">
        <v>70</v>
      </c>
      <c r="G1902" t="s">
        <v>46</v>
      </c>
      <c r="H1902" s="1">
        <v>44291</v>
      </c>
      <c r="I1902" s="2">
        <v>44292.8041666667</v>
      </c>
      <c r="J1902">
        <v>43.3</v>
      </c>
      <c r="K1902" t="s">
        <v>24</v>
      </c>
      <c r="L1902">
        <v>0</v>
      </c>
      <c r="M1902">
        <v>3</v>
      </c>
      <c r="N1902" t="s">
        <v>594</v>
      </c>
      <c r="O1902" s="3" t="str">
        <f>TEXT(Ticket_Table[[#This Row],[raised_date]],"YYYY-MM")</f>
        <v>2021-04</v>
      </c>
      <c r="P1902" s="3" t="str">
        <f>IF(Ticket_Table[[#This Row],[resolution_hrs]]&lt;=4,"Fast",IF(Ticket_Table[[#This Row],[resolution_hrs]]&lt;=24,"Normal",IF(Ticket_Table[[#This Row],[resolution_hrs]]&lt;=48,"Slow","Very Slow")))</f>
        <v>Slow</v>
      </c>
      <c r="Q1902" s="3">
        <f>YEAR(Ticket_Table[[#This Row],[raised_date]])</f>
        <v>2021</v>
      </c>
    </row>
    <row r="1903" spans="1:17">
      <c r="A1903" t="s">
        <v>2463</v>
      </c>
      <c r="B1903" t="s">
        <v>186</v>
      </c>
      <c r="C1903" t="s">
        <v>117</v>
      </c>
      <c r="D1903" t="s">
        <v>43</v>
      </c>
      <c r="E1903" t="s">
        <v>44</v>
      </c>
      <c r="F1903" t="s">
        <v>22</v>
      </c>
      <c r="G1903" t="s">
        <v>31</v>
      </c>
      <c r="H1903" s="1">
        <v>44400</v>
      </c>
      <c r="I1903" s="2">
        <v>44400.3416666667</v>
      </c>
      <c r="J1903">
        <v>8.2</v>
      </c>
      <c r="K1903" t="s">
        <v>24</v>
      </c>
      <c r="L1903">
        <v>0</v>
      </c>
      <c r="M1903">
        <v>3</v>
      </c>
      <c r="N1903" t="s">
        <v>1078</v>
      </c>
      <c r="O1903" s="3" t="str">
        <f>TEXT(Ticket_Table[[#This Row],[raised_date]],"YYYY-MM")</f>
        <v>2021-07</v>
      </c>
      <c r="P1903" s="3" t="str">
        <f>IF(Ticket_Table[[#This Row],[resolution_hrs]]&lt;=4,"Fast",IF(Ticket_Table[[#This Row],[resolution_hrs]]&lt;=24,"Normal",IF(Ticket_Table[[#This Row],[resolution_hrs]]&lt;=48,"Slow","Very Slow")))</f>
        <v>Normal</v>
      </c>
      <c r="Q1903" s="3">
        <f>YEAR(Ticket_Table[[#This Row],[raised_date]])</f>
        <v>2021</v>
      </c>
    </row>
    <row r="1904" spans="1:17">
      <c r="A1904" t="s">
        <v>2464</v>
      </c>
      <c r="B1904" t="s">
        <v>340</v>
      </c>
      <c r="C1904" t="s">
        <v>28</v>
      </c>
      <c r="D1904" t="s">
        <v>90</v>
      </c>
      <c r="E1904" t="s">
        <v>56</v>
      </c>
      <c r="F1904" t="s">
        <v>45</v>
      </c>
      <c r="G1904" t="s">
        <v>46</v>
      </c>
      <c r="H1904" s="1">
        <v>45138</v>
      </c>
      <c r="I1904" s="2">
        <v>45138.2041666667</v>
      </c>
      <c r="J1904">
        <v>4.9</v>
      </c>
      <c r="K1904" t="s">
        <v>32</v>
      </c>
      <c r="L1904">
        <v>0</v>
      </c>
      <c r="M1904">
        <v>3</v>
      </c>
      <c r="N1904" t="s">
        <v>391</v>
      </c>
      <c r="O1904" s="3" t="str">
        <f>TEXT(Ticket_Table[[#This Row],[raised_date]],"YYYY-MM")</f>
        <v>2023-07</v>
      </c>
      <c r="P1904" s="3" t="str">
        <f>IF(Ticket_Table[[#This Row],[resolution_hrs]]&lt;=4,"Fast",IF(Ticket_Table[[#This Row],[resolution_hrs]]&lt;=24,"Normal",IF(Ticket_Table[[#This Row],[resolution_hrs]]&lt;=48,"Slow","Very Slow")))</f>
        <v>Normal</v>
      </c>
      <c r="Q1904" s="3">
        <f>YEAR(Ticket_Table[[#This Row],[raised_date]])</f>
        <v>2023</v>
      </c>
    </row>
    <row r="1905" spans="1:17">
      <c r="A1905" t="s">
        <v>2465</v>
      </c>
      <c r="B1905" t="s">
        <v>296</v>
      </c>
      <c r="C1905" t="s">
        <v>64</v>
      </c>
      <c r="D1905" t="s">
        <v>20</v>
      </c>
      <c r="E1905" t="s">
        <v>44</v>
      </c>
      <c r="F1905" t="s">
        <v>38</v>
      </c>
      <c r="G1905" t="s">
        <v>23</v>
      </c>
      <c r="H1905" s="1">
        <v>44230</v>
      </c>
      <c r="I1905" s="2">
        <v>44230.325</v>
      </c>
      <c r="J1905">
        <v>7.8</v>
      </c>
      <c r="K1905" t="s">
        <v>24</v>
      </c>
      <c r="L1905">
        <v>0</v>
      </c>
      <c r="M1905">
        <v>2</v>
      </c>
      <c r="N1905" t="s">
        <v>124</v>
      </c>
      <c r="O1905" s="3" t="str">
        <f>TEXT(Ticket_Table[[#This Row],[raised_date]],"YYYY-MM")</f>
        <v>2021-02</v>
      </c>
      <c r="P1905" s="3" t="str">
        <f>IF(Ticket_Table[[#This Row],[resolution_hrs]]&lt;=4,"Fast",IF(Ticket_Table[[#This Row],[resolution_hrs]]&lt;=24,"Normal",IF(Ticket_Table[[#This Row],[resolution_hrs]]&lt;=48,"Slow","Very Slow")))</f>
        <v>Normal</v>
      </c>
      <c r="Q1905" s="3">
        <f>YEAR(Ticket_Table[[#This Row],[raised_date]])</f>
        <v>2021</v>
      </c>
    </row>
    <row r="1906" spans="1:17">
      <c r="A1906" t="s">
        <v>2466</v>
      </c>
      <c r="B1906" t="s">
        <v>656</v>
      </c>
      <c r="C1906" t="s">
        <v>261</v>
      </c>
      <c r="D1906" t="s">
        <v>29</v>
      </c>
      <c r="E1906" t="s">
        <v>166</v>
      </c>
      <c r="F1906" t="s">
        <v>38</v>
      </c>
      <c r="G1906" t="s">
        <v>46</v>
      </c>
      <c r="H1906" s="1">
        <v>44451</v>
      </c>
      <c r="I1906" s="2">
        <v>44451.8791666667</v>
      </c>
      <c r="J1906">
        <v>21.1</v>
      </c>
      <c r="K1906" t="s">
        <v>24</v>
      </c>
      <c r="L1906">
        <v>0</v>
      </c>
      <c r="M1906">
        <v>4</v>
      </c>
      <c r="N1906" t="s">
        <v>346</v>
      </c>
      <c r="O1906" s="3" t="str">
        <f>TEXT(Ticket_Table[[#This Row],[raised_date]],"YYYY-MM")</f>
        <v>2021-09</v>
      </c>
      <c r="P1906" s="3" t="str">
        <f>IF(Ticket_Table[[#This Row],[resolution_hrs]]&lt;=4,"Fast",IF(Ticket_Table[[#This Row],[resolution_hrs]]&lt;=24,"Normal",IF(Ticket_Table[[#This Row],[resolution_hrs]]&lt;=48,"Slow","Very Slow")))</f>
        <v>Normal</v>
      </c>
      <c r="Q1906" s="3">
        <f>YEAR(Ticket_Table[[#This Row],[raised_date]])</f>
        <v>2021</v>
      </c>
    </row>
    <row r="1907" spans="1:17">
      <c r="A1907" t="s">
        <v>2467</v>
      </c>
      <c r="B1907" t="s">
        <v>370</v>
      </c>
      <c r="C1907" t="s">
        <v>95</v>
      </c>
      <c r="D1907" t="s">
        <v>20</v>
      </c>
      <c r="E1907" t="s">
        <v>51</v>
      </c>
      <c r="F1907" t="s">
        <v>70</v>
      </c>
      <c r="G1907" t="s">
        <v>23</v>
      </c>
      <c r="H1907" s="1">
        <v>44520</v>
      </c>
      <c r="I1907" s="2">
        <v>44521.9291666667</v>
      </c>
      <c r="J1907">
        <v>46.3</v>
      </c>
      <c r="K1907" t="s">
        <v>24</v>
      </c>
      <c r="L1907">
        <v>1</v>
      </c>
      <c r="M1907">
        <v>2</v>
      </c>
      <c r="N1907" t="s">
        <v>950</v>
      </c>
      <c r="O1907" s="3" t="str">
        <f>TEXT(Ticket_Table[[#This Row],[raised_date]],"YYYY-MM")</f>
        <v>2021-11</v>
      </c>
      <c r="P1907" s="3" t="str">
        <f>IF(Ticket_Table[[#This Row],[resolution_hrs]]&lt;=4,"Fast",IF(Ticket_Table[[#This Row],[resolution_hrs]]&lt;=24,"Normal",IF(Ticket_Table[[#This Row],[resolution_hrs]]&lt;=48,"Slow","Very Slow")))</f>
        <v>Slow</v>
      </c>
      <c r="Q1907" s="3">
        <f>YEAR(Ticket_Table[[#This Row],[raised_date]])</f>
        <v>2021</v>
      </c>
    </row>
    <row r="1908" spans="1:17">
      <c r="A1908" t="s">
        <v>2468</v>
      </c>
      <c r="B1908" t="s">
        <v>1226</v>
      </c>
      <c r="C1908" t="s">
        <v>78</v>
      </c>
      <c r="D1908" t="s">
        <v>36</v>
      </c>
      <c r="E1908" t="s">
        <v>69</v>
      </c>
      <c r="F1908" t="s">
        <v>38</v>
      </c>
      <c r="G1908" t="s">
        <v>23</v>
      </c>
      <c r="H1908" s="1">
        <v>45100</v>
      </c>
      <c r="I1908" s="2">
        <v>45100.4166666667</v>
      </c>
      <c r="J1908">
        <v>10</v>
      </c>
      <c r="K1908" t="s">
        <v>24</v>
      </c>
      <c r="L1908">
        <v>0</v>
      </c>
      <c r="M1908">
        <v>3</v>
      </c>
      <c r="N1908" t="s">
        <v>487</v>
      </c>
      <c r="O1908" s="3" t="str">
        <f>TEXT(Ticket_Table[[#This Row],[raised_date]],"YYYY-MM")</f>
        <v>2023-06</v>
      </c>
      <c r="P1908" s="3" t="str">
        <f>IF(Ticket_Table[[#This Row],[resolution_hrs]]&lt;=4,"Fast",IF(Ticket_Table[[#This Row],[resolution_hrs]]&lt;=24,"Normal",IF(Ticket_Table[[#This Row],[resolution_hrs]]&lt;=48,"Slow","Very Slow")))</f>
        <v>Normal</v>
      </c>
      <c r="Q1908" s="3">
        <f>YEAR(Ticket_Table[[#This Row],[raised_date]])</f>
        <v>2023</v>
      </c>
    </row>
    <row r="1909" spans="1:17">
      <c r="A1909" t="s">
        <v>2469</v>
      </c>
      <c r="B1909" t="s">
        <v>35</v>
      </c>
      <c r="C1909" t="s">
        <v>64</v>
      </c>
      <c r="D1909" t="s">
        <v>90</v>
      </c>
      <c r="E1909" t="s">
        <v>106</v>
      </c>
      <c r="F1909" t="s">
        <v>22</v>
      </c>
      <c r="G1909" t="s">
        <v>74</v>
      </c>
      <c r="H1909" s="1">
        <v>45131</v>
      </c>
      <c r="I1909" s="2">
        <v>45132.9166666667</v>
      </c>
      <c r="J1909">
        <v>46</v>
      </c>
      <c r="K1909" t="s">
        <v>24</v>
      </c>
      <c r="L1909">
        <v>0</v>
      </c>
      <c r="M1909">
        <v>5</v>
      </c>
      <c r="N1909" t="s">
        <v>148</v>
      </c>
      <c r="O1909" s="3" t="str">
        <f>TEXT(Ticket_Table[[#This Row],[raised_date]],"YYYY-MM")</f>
        <v>2023-07</v>
      </c>
      <c r="P1909" s="3" t="str">
        <f>IF(Ticket_Table[[#This Row],[resolution_hrs]]&lt;=4,"Fast",IF(Ticket_Table[[#This Row],[resolution_hrs]]&lt;=24,"Normal",IF(Ticket_Table[[#This Row],[resolution_hrs]]&lt;=48,"Slow","Very Slow")))</f>
        <v>Slow</v>
      </c>
      <c r="Q1909" s="3">
        <f>YEAR(Ticket_Table[[#This Row],[raised_date]])</f>
        <v>2023</v>
      </c>
    </row>
    <row r="1910" spans="1:17">
      <c r="A1910" t="s">
        <v>2470</v>
      </c>
      <c r="B1910" t="s">
        <v>810</v>
      </c>
      <c r="C1910" t="s">
        <v>42</v>
      </c>
      <c r="D1910" t="s">
        <v>90</v>
      </c>
      <c r="E1910" t="s">
        <v>56</v>
      </c>
      <c r="F1910" t="s">
        <v>22</v>
      </c>
      <c r="G1910" t="s">
        <v>31</v>
      </c>
      <c r="H1910" s="1">
        <v>44198</v>
      </c>
      <c r="I1910" s="2">
        <v>44201.2708333333</v>
      </c>
      <c r="J1910">
        <v>78.5</v>
      </c>
      <c r="K1910" t="s">
        <v>32</v>
      </c>
      <c r="L1910">
        <v>1</v>
      </c>
      <c r="M1910">
        <v>4</v>
      </c>
      <c r="N1910" t="s">
        <v>103</v>
      </c>
      <c r="O1910" s="3" t="str">
        <f>TEXT(Ticket_Table[[#This Row],[raised_date]],"YYYY-MM")</f>
        <v>2021-01</v>
      </c>
      <c r="P1910" s="3" t="str">
        <f>IF(Ticket_Table[[#This Row],[resolution_hrs]]&lt;=4,"Fast",IF(Ticket_Table[[#This Row],[resolution_hrs]]&lt;=24,"Normal",IF(Ticket_Table[[#This Row],[resolution_hrs]]&lt;=48,"Slow","Very Slow")))</f>
        <v>Very Slow</v>
      </c>
      <c r="Q1910" s="3">
        <f>YEAR(Ticket_Table[[#This Row],[raised_date]])</f>
        <v>2021</v>
      </c>
    </row>
    <row r="1911" spans="1:17">
      <c r="A1911" t="s">
        <v>2471</v>
      </c>
      <c r="B1911" t="s">
        <v>487</v>
      </c>
      <c r="C1911" t="s">
        <v>19</v>
      </c>
      <c r="D1911" t="s">
        <v>43</v>
      </c>
      <c r="E1911" t="s">
        <v>106</v>
      </c>
      <c r="F1911" t="s">
        <v>22</v>
      </c>
      <c r="G1911" t="s">
        <v>23</v>
      </c>
      <c r="H1911" s="1">
        <v>45073</v>
      </c>
      <c r="I1911" s="2">
        <v>45075.025</v>
      </c>
      <c r="J1911">
        <v>48.6</v>
      </c>
      <c r="K1911" t="s">
        <v>24</v>
      </c>
      <c r="L1911">
        <v>0</v>
      </c>
      <c r="M1911">
        <v>3</v>
      </c>
      <c r="N1911" t="s">
        <v>493</v>
      </c>
      <c r="O1911" s="3" t="str">
        <f>TEXT(Ticket_Table[[#This Row],[raised_date]],"YYYY-MM")</f>
        <v>2023-05</v>
      </c>
      <c r="P1911" s="3" t="str">
        <f>IF(Ticket_Table[[#This Row],[resolution_hrs]]&lt;=4,"Fast",IF(Ticket_Table[[#This Row],[resolution_hrs]]&lt;=24,"Normal",IF(Ticket_Table[[#This Row],[resolution_hrs]]&lt;=48,"Slow","Very Slow")))</f>
        <v>Very Slow</v>
      </c>
      <c r="Q1911" s="3">
        <f>YEAR(Ticket_Table[[#This Row],[raised_date]])</f>
        <v>2023</v>
      </c>
    </row>
    <row r="1912" spans="1:17">
      <c r="A1912" t="s">
        <v>2472</v>
      </c>
      <c r="B1912" t="s">
        <v>223</v>
      </c>
      <c r="C1912" t="s">
        <v>42</v>
      </c>
      <c r="D1912" t="s">
        <v>43</v>
      </c>
      <c r="E1912" t="s">
        <v>83</v>
      </c>
      <c r="F1912" t="s">
        <v>70</v>
      </c>
      <c r="G1912" t="s">
        <v>23</v>
      </c>
      <c r="H1912" s="1">
        <v>44611</v>
      </c>
      <c r="I1912" s="2">
        <v>44611.7625</v>
      </c>
      <c r="J1912">
        <v>18.3</v>
      </c>
      <c r="K1912" t="s">
        <v>24</v>
      </c>
      <c r="L1912">
        <v>3</v>
      </c>
      <c r="M1912">
        <v>4</v>
      </c>
      <c r="N1912" t="s">
        <v>664</v>
      </c>
      <c r="O1912" s="3" t="str">
        <f>TEXT(Ticket_Table[[#This Row],[raised_date]],"YYYY-MM")</f>
        <v>2022-02</v>
      </c>
      <c r="P1912" s="3" t="str">
        <f>IF(Ticket_Table[[#This Row],[resolution_hrs]]&lt;=4,"Fast",IF(Ticket_Table[[#This Row],[resolution_hrs]]&lt;=24,"Normal",IF(Ticket_Table[[#This Row],[resolution_hrs]]&lt;=48,"Slow","Very Slow")))</f>
        <v>Normal</v>
      </c>
      <c r="Q1912" s="3">
        <f>YEAR(Ticket_Table[[#This Row],[raised_date]])</f>
        <v>2022</v>
      </c>
    </row>
    <row r="1913" spans="1:17">
      <c r="A1913" t="s">
        <v>2473</v>
      </c>
      <c r="B1913" t="s">
        <v>246</v>
      </c>
      <c r="C1913" t="s">
        <v>78</v>
      </c>
      <c r="D1913" t="s">
        <v>36</v>
      </c>
      <c r="E1913" t="s">
        <v>83</v>
      </c>
      <c r="F1913" t="s">
        <v>70</v>
      </c>
      <c r="G1913" t="s">
        <v>23</v>
      </c>
      <c r="H1913" s="1">
        <v>44467</v>
      </c>
      <c r="I1913" s="2">
        <v>44469.4</v>
      </c>
      <c r="J1913">
        <v>57.6</v>
      </c>
      <c r="K1913" t="s">
        <v>32</v>
      </c>
      <c r="L1913">
        <v>2</v>
      </c>
      <c r="M1913">
        <v>3</v>
      </c>
      <c r="N1913" t="s">
        <v>94</v>
      </c>
      <c r="O1913" s="3" t="str">
        <f>TEXT(Ticket_Table[[#This Row],[raised_date]],"YYYY-MM")</f>
        <v>2021-09</v>
      </c>
      <c r="P1913" s="3" t="str">
        <f>IF(Ticket_Table[[#This Row],[resolution_hrs]]&lt;=4,"Fast",IF(Ticket_Table[[#This Row],[resolution_hrs]]&lt;=24,"Normal",IF(Ticket_Table[[#This Row],[resolution_hrs]]&lt;=48,"Slow","Very Slow")))</f>
        <v>Very Slow</v>
      </c>
      <c r="Q1913" s="3">
        <f>YEAR(Ticket_Table[[#This Row],[raised_date]])</f>
        <v>2021</v>
      </c>
    </row>
    <row r="1914" spans="1:17">
      <c r="A1914" t="s">
        <v>2474</v>
      </c>
      <c r="B1914" t="s">
        <v>198</v>
      </c>
      <c r="C1914" t="s">
        <v>28</v>
      </c>
      <c r="D1914" t="s">
        <v>90</v>
      </c>
      <c r="E1914" t="s">
        <v>106</v>
      </c>
      <c r="F1914" t="s">
        <v>70</v>
      </c>
      <c r="G1914" t="s">
        <v>31</v>
      </c>
      <c r="H1914" s="1">
        <v>44815</v>
      </c>
      <c r="I1914" s="2">
        <v>44815.2208333333</v>
      </c>
      <c r="J1914">
        <v>5.3</v>
      </c>
      <c r="K1914" t="s">
        <v>24</v>
      </c>
      <c r="L1914">
        <v>0</v>
      </c>
      <c r="M1914">
        <v>1</v>
      </c>
      <c r="N1914" t="s">
        <v>47</v>
      </c>
      <c r="O1914" s="3" t="str">
        <f>TEXT(Ticket_Table[[#This Row],[raised_date]],"YYYY-MM")</f>
        <v>2022-09</v>
      </c>
      <c r="P1914" s="3" t="str">
        <f>IF(Ticket_Table[[#This Row],[resolution_hrs]]&lt;=4,"Fast",IF(Ticket_Table[[#This Row],[resolution_hrs]]&lt;=24,"Normal",IF(Ticket_Table[[#This Row],[resolution_hrs]]&lt;=48,"Slow","Very Slow")))</f>
        <v>Normal</v>
      </c>
      <c r="Q1914" s="3">
        <f>YEAR(Ticket_Table[[#This Row],[raised_date]])</f>
        <v>2022</v>
      </c>
    </row>
    <row r="1915" spans="1:17">
      <c r="A1915" t="s">
        <v>2475</v>
      </c>
      <c r="B1915" t="s">
        <v>284</v>
      </c>
      <c r="C1915" t="s">
        <v>68</v>
      </c>
      <c r="D1915" t="s">
        <v>29</v>
      </c>
      <c r="E1915" t="s">
        <v>83</v>
      </c>
      <c r="F1915" t="s">
        <v>22</v>
      </c>
      <c r="G1915" t="s">
        <v>23</v>
      </c>
      <c r="H1915" s="1">
        <v>44522</v>
      </c>
      <c r="I1915" s="2">
        <v>44523.4291666667</v>
      </c>
      <c r="J1915">
        <v>34.3</v>
      </c>
      <c r="K1915" t="s">
        <v>24</v>
      </c>
      <c r="L1915">
        <v>1</v>
      </c>
      <c r="M1915">
        <v>4</v>
      </c>
      <c r="N1915" t="s">
        <v>183</v>
      </c>
      <c r="O1915" s="3" t="str">
        <f>TEXT(Ticket_Table[[#This Row],[raised_date]],"YYYY-MM")</f>
        <v>2021-11</v>
      </c>
      <c r="P1915" s="3" t="str">
        <f>IF(Ticket_Table[[#This Row],[resolution_hrs]]&lt;=4,"Fast",IF(Ticket_Table[[#This Row],[resolution_hrs]]&lt;=24,"Normal",IF(Ticket_Table[[#This Row],[resolution_hrs]]&lt;=48,"Slow","Very Slow")))</f>
        <v>Slow</v>
      </c>
      <c r="Q1915" s="3">
        <f>YEAR(Ticket_Table[[#This Row],[raised_date]])</f>
        <v>2021</v>
      </c>
    </row>
    <row r="1916" spans="1:17">
      <c r="A1916" t="s">
        <v>2476</v>
      </c>
      <c r="B1916" t="s">
        <v>517</v>
      </c>
      <c r="C1916" t="s">
        <v>28</v>
      </c>
      <c r="D1916" t="s">
        <v>20</v>
      </c>
      <c r="E1916" t="s">
        <v>30</v>
      </c>
      <c r="F1916" t="s">
        <v>70</v>
      </c>
      <c r="G1916" t="s">
        <v>31</v>
      </c>
      <c r="H1916" s="1">
        <v>44758</v>
      </c>
      <c r="I1916" s="2">
        <v>44759.3291666667</v>
      </c>
      <c r="J1916">
        <v>31.9</v>
      </c>
      <c r="K1916" t="s">
        <v>24</v>
      </c>
      <c r="L1916">
        <v>1</v>
      </c>
      <c r="M1916">
        <v>4</v>
      </c>
      <c r="N1916" t="s">
        <v>235</v>
      </c>
      <c r="O1916" s="3" t="str">
        <f>TEXT(Ticket_Table[[#This Row],[raised_date]],"YYYY-MM")</f>
        <v>2022-07</v>
      </c>
      <c r="P1916" s="3" t="str">
        <f>IF(Ticket_Table[[#This Row],[resolution_hrs]]&lt;=4,"Fast",IF(Ticket_Table[[#This Row],[resolution_hrs]]&lt;=24,"Normal",IF(Ticket_Table[[#This Row],[resolution_hrs]]&lt;=48,"Slow","Very Slow")))</f>
        <v>Slow</v>
      </c>
      <c r="Q1916" s="3">
        <f>YEAR(Ticket_Table[[#This Row],[raised_date]])</f>
        <v>2022</v>
      </c>
    </row>
    <row r="1917" spans="1:17">
      <c r="A1917" t="s">
        <v>2477</v>
      </c>
      <c r="B1917" t="s">
        <v>148</v>
      </c>
      <c r="C1917" t="s">
        <v>50</v>
      </c>
      <c r="D1917" t="s">
        <v>90</v>
      </c>
      <c r="E1917" t="s">
        <v>106</v>
      </c>
      <c r="F1917" t="s">
        <v>38</v>
      </c>
      <c r="G1917" t="s">
        <v>31</v>
      </c>
      <c r="H1917" s="1">
        <v>44388</v>
      </c>
      <c r="I1917" s="2">
        <v>44389.4416666667</v>
      </c>
      <c r="J1917">
        <v>34.6</v>
      </c>
      <c r="K1917" t="s">
        <v>32</v>
      </c>
      <c r="L1917">
        <v>2</v>
      </c>
      <c r="M1917">
        <v>5</v>
      </c>
      <c r="N1917" t="s">
        <v>182</v>
      </c>
      <c r="O1917" s="3" t="str">
        <f>TEXT(Ticket_Table[[#This Row],[raised_date]],"YYYY-MM")</f>
        <v>2021-07</v>
      </c>
      <c r="P1917" s="3" t="str">
        <f>IF(Ticket_Table[[#This Row],[resolution_hrs]]&lt;=4,"Fast",IF(Ticket_Table[[#This Row],[resolution_hrs]]&lt;=24,"Normal",IF(Ticket_Table[[#This Row],[resolution_hrs]]&lt;=48,"Slow","Very Slow")))</f>
        <v>Slow</v>
      </c>
      <c r="Q1917" s="3">
        <f>YEAR(Ticket_Table[[#This Row],[raised_date]])</f>
        <v>2021</v>
      </c>
    </row>
    <row r="1918" spans="1:17">
      <c r="A1918" t="s">
        <v>2478</v>
      </c>
      <c r="B1918" t="s">
        <v>248</v>
      </c>
      <c r="C1918" t="s">
        <v>60</v>
      </c>
      <c r="D1918" t="s">
        <v>29</v>
      </c>
      <c r="E1918" t="s">
        <v>83</v>
      </c>
      <c r="F1918" t="s">
        <v>70</v>
      </c>
      <c r="G1918" t="s">
        <v>31</v>
      </c>
      <c r="H1918" s="1">
        <v>44935</v>
      </c>
      <c r="I1918" s="2">
        <v>44937.275</v>
      </c>
      <c r="J1918">
        <v>54.6</v>
      </c>
      <c r="K1918" t="s">
        <v>32</v>
      </c>
      <c r="L1918">
        <v>0</v>
      </c>
      <c r="M1918">
        <v>4</v>
      </c>
      <c r="N1918" t="s">
        <v>378</v>
      </c>
      <c r="O1918" s="3" t="str">
        <f>TEXT(Ticket_Table[[#This Row],[raised_date]],"YYYY-MM")</f>
        <v>2023-01</v>
      </c>
      <c r="P1918" s="3" t="str">
        <f>IF(Ticket_Table[[#This Row],[resolution_hrs]]&lt;=4,"Fast",IF(Ticket_Table[[#This Row],[resolution_hrs]]&lt;=24,"Normal",IF(Ticket_Table[[#This Row],[resolution_hrs]]&lt;=48,"Slow","Very Slow")))</f>
        <v>Very Slow</v>
      </c>
      <c r="Q1918" s="3">
        <f>YEAR(Ticket_Table[[#This Row],[raised_date]])</f>
        <v>2023</v>
      </c>
    </row>
    <row r="1919" spans="1:17">
      <c r="A1919" t="s">
        <v>2479</v>
      </c>
      <c r="B1919" t="s">
        <v>84</v>
      </c>
      <c r="C1919" t="s">
        <v>50</v>
      </c>
      <c r="D1919" t="s">
        <v>29</v>
      </c>
      <c r="E1919" t="s">
        <v>56</v>
      </c>
      <c r="F1919" t="s">
        <v>38</v>
      </c>
      <c r="G1919" t="s">
        <v>23</v>
      </c>
      <c r="H1919" s="1">
        <v>44709</v>
      </c>
      <c r="I1919" s="2">
        <v>44709.4958333333</v>
      </c>
      <c r="J1919">
        <v>11.9</v>
      </c>
      <c r="K1919" t="s">
        <v>24</v>
      </c>
      <c r="L1919">
        <v>0</v>
      </c>
      <c r="M1919">
        <v>5</v>
      </c>
      <c r="N1919" t="s">
        <v>61</v>
      </c>
      <c r="O1919" s="3" t="str">
        <f>TEXT(Ticket_Table[[#This Row],[raised_date]],"YYYY-MM")</f>
        <v>2022-05</v>
      </c>
      <c r="P1919" s="3" t="str">
        <f>IF(Ticket_Table[[#This Row],[resolution_hrs]]&lt;=4,"Fast",IF(Ticket_Table[[#This Row],[resolution_hrs]]&lt;=24,"Normal",IF(Ticket_Table[[#This Row],[resolution_hrs]]&lt;=48,"Slow","Very Slow")))</f>
        <v>Normal</v>
      </c>
      <c r="Q1919" s="3">
        <f>YEAR(Ticket_Table[[#This Row],[raised_date]])</f>
        <v>2022</v>
      </c>
    </row>
    <row r="1920" spans="1:17">
      <c r="A1920" t="s">
        <v>2480</v>
      </c>
      <c r="B1920" t="s">
        <v>59</v>
      </c>
      <c r="C1920" t="s">
        <v>201</v>
      </c>
      <c r="D1920" t="s">
        <v>20</v>
      </c>
      <c r="E1920" t="s">
        <v>51</v>
      </c>
      <c r="F1920" t="s">
        <v>22</v>
      </c>
      <c r="G1920" t="s">
        <v>31</v>
      </c>
      <c r="H1920" s="1">
        <v>44365</v>
      </c>
      <c r="I1920" s="2">
        <v>44368.9875</v>
      </c>
      <c r="J1920">
        <v>95.7</v>
      </c>
      <c r="K1920" t="s">
        <v>32</v>
      </c>
      <c r="L1920">
        <v>0</v>
      </c>
      <c r="M1920">
        <v>5</v>
      </c>
      <c r="N1920" t="s">
        <v>1093</v>
      </c>
      <c r="O1920" s="3" t="str">
        <f>TEXT(Ticket_Table[[#This Row],[raised_date]],"YYYY-MM")</f>
        <v>2021-06</v>
      </c>
      <c r="P1920" s="3" t="str">
        <f>IF(Ticket_Table[[#This Row],[resolution_hrs]]&lt;=4,"Fast",IF(Ticket_Table[[#This Row],[resolution_hrs]]&lt;=24,"Normal",IF(Ticket_Table[[#This Row],[resolution_hrs]]&lt;=48,"Slow","Very Slow")))</f>
        <v>Very Slow</v>
      </c>
      <c r="Q1920" s="3">
        <f>YEAR(Ticket_Table[[#This Row],[raised_date]])</f>
        <v>2021</v>
      </c>
    </row>
    <row r="1921" spans="1:17">
      <c r="A1921" t="s">
        <v>2481</v>
      </c>
      <c r="B1921" t="s">
        <v>530</v>
      </c>
      <c r="C1921" t="s">
        <v>64</v>
      </c>
      <c r="D1921" t="s">
        <v>29</v>
      </c>
      <c r="E1921" t="s">
        <v>83</v>
      </c>
      <c r="F1921" t="s">
        <v>38</v>
      </c>
      <c r="G1921" t="s">
        <v>23</v>
      </c>
      <c r="H1921" s="1">
        <v>44958</v>
      </c>
      <c r="I1921" s="2">
        <v>44959.1708333333</v>
      </c>
      <c r="J1921">
        <v>28.1</v>
      </c>
      <c r="K1921" t="s">
        <v>32</v>
      </c>
      <c r="L1921">
        <v>0</v>
      </c>
      <c r="M1921">
        <v>4</v>
      </c>
      <c r="N1921" t="s">
        <v>241</v>
      </c>
      <c r="O1921" s="3" t="str">
        <f>TEXT(Ticket_Table[[#This Row],[raised_date]],"YYYY-MM")</f>
        <v>2023-02</v>
      </c>
      <c r="P1921" s="3" t="str">
        <f>IF(Ticket_Table[[#This Row],[resolution_hrs]]&lt;=4,"Fast",IF(Ticket_Table[[#This Row],[resolution_hrs]]&lt;=24,"Normal",IF(Ticket_Table[[#This Row],[resolution_hrs]]&lt;=48,"Slow","Very Slow")))</f>
        <v>Slow</v>
      </c>
      <c r="Q1921" s="3">
        <f>YEAR(Ticket_Table[[#This Row],[raised_date]])</f>
        <v>2023</v>
      </c>
    </row>
    <row r="1922" spans="1:17">
      <c r="A1922" t="s">
        <v>2482</v>
      </c>
      <c r="B1922" t="s">
        <v>630</v>
      </c>
      <c r="C1922" t="s">
        <v>213</v>
      </c>
      <c r="D1922" t="s">
        <v>36</v>
      </c>
      <c r="E1922" t="s">
        <v>106</v>
      </c>
      <c r="F1922" t="s">
        <v>70</v>
      </c>
      <c r="G1922" t="s">
        <v>46</v>
      </c>
      <c r="H1922" s="1">
        <v>44535</v>
      </c>
      <c r="I1922" s="2">
        <v>44535.4791666667</v>
      </c>
      <c r="J1922">
        <v>11.5</v>
      </c>
      <c r="K1922" t="s">
        <v>24</v>
      </c>
      <c r="L1922">
        <v>0</v>
      </c>
      <c r="M1922">
        <v>5</v>
      </c>
      <c r="N1922" t="s">
        <v>653</v>
      </c>
      <c r="O1922" s="3" t="str">
        <f>TEXT(Ticket_Table[[#This Row],[raised_date]],"YYYY-MM")</f>
        <v>2021-12</v>
      </c>
      <c r="P1922" s="3" t="str">
        <f>IF(Ticket_Table[[#This Row],[resolution_hrs]]&lt;=4,"Fast",IF(Ticket_Table[[#This Row],[resolution_hrs]]&lt;=24,"Normal",IF(Ticket_Table[[#This Row],[resolution_hrs]]&lt;=48,"Slow","Very Slow")))</f>
        <v>Normal</v>
      </c>
      <c r="Q1922" s="3">
        <f>YEAR(Ticket_Table[[#This Row],[raised_date]])</f>
        <v>2021</v>
      </c>
    </row>
    <row r="1923" spans="1:17">
      <c r="A1923" t="s">
        <v>2483</v>
      </c>
      <c r="B1923" t="s">
        <v>844</v>
      </c>
      <c r="C1923" t="s">
        <v>117</v>
      </c>
      <c r="D1923" t="s">
        <v>29</v>
      </c>
      <c r="E1923" t="s">
        <v>56</v>
      </c>
      <c r="F1923" t="s">
        <v>22</v>
      </c>
      <c r="G1923" t="s">
        <v>46</v>
      </c>
      <c r="H1923" s="1">
        <v>44303</v>
      </c>
      <c r="I1923" s="2">
        <v>44304.4166666667</v>
      </c>
      <c r="J1923">
        <v>34</v>
      </c>
      <c r="K1923" t="s">
        <v>24</v>
      </c>
      <c r="L1923">
        <v>0</v>
      </c>
      <c r="M1923">
        <v>4</v>
      </c>
      <c r="N1923" t="s">
        <v>776</v>
      </c>
      <c r="O1923" s="3" t="str">
        <f>TEXT(Ticket_Table[[#This Row],[raised_date]],"YYYY-MM")</f>
        <v>2021-04</v>
      </c>
      <c r="P1923" s="3" t="str">
        <f>IF(Ticket_Table[[#This Row],[resolution_hrs]]&lt;=4,"Fast",IF(Ticket_Table[[#This Row],[resolution_hrs]]&lt;=24,"Normal",IF(Ticket_Table[[#This Row],[resolution_hrs]]&lt;=48,"Slow","Very Slow")))</f>
        <v>Slow</v>
      </c>
      <c r="Q1923" s="3">
        <f>YEAR(Ticket_Table[[#This Row],[raised_date]])</f>
        <v>2021</v>
      </c>
    </row>
    <row r="1924" spans="1:17">
      <c r="A1924" t="s">
        <v>2484</v>
      </c>
      <c r="B1924" t="s">
        <v>59</v>
      </c>
      <c r="C1924" t="s">
        <v>55</v>
      </c>
      <c r="D1924" t="s">
        <v>36</v>
      </c>
      <c r="E1924" t="s">
        <v>106</v>
      </c>
      <c r="F1924" t="s">
        <v>22</v>
      </c>
      <c r="G1924" t="s">
        <v>31</v>
      </c>
      <c r="H1924" s="1">
        <v>45008</v>
      </c>
      <c r="I1924" s="2">
        <v>45009.5708333333</v>
      </c>
      <c r="J1924">
        <v>37.7</v>
      </c>
      <c r="K1924" t="s">
        <v>24</v>
      </c>
      <c r="L1924">
        <v>3</v>
      </c>
      <c r="M1924">
        <v>3</v>
      </c>
      <c r="N1924" t="s">
        <v>431</v>
      </c>
      <c r="O1924" s="3" t="str">
        <f>TEXT(Ticket_Table[[#This Row],[raised_date]],"YYYY-MM")</f>
        <v>2023-03</v>
      </c>
      <c r="P1924" s="3" t="str">
        <f>IF(Ticket_Table[[#This Row],[resolution_hrs]]&lt;=4,"Fast",IF(Ticket_Table[[#This Row],[resolution_hrs]]&lt;=24,"Normal",IF(Ticket_Table[[#This Row],[resolution_hrs]]&lt;=48,"Slow","Very Slow")))</f>
        <v>Slow</v>
      </c>
      <c r="Q1924" s="3">
        <f>YEAR(Ticket_Table[[#This Row],[raised_date]])</f>
        <v>2023</v>
      </c>
    </row>
    <row r="1925" spans="1:17">
      <c r="A1925" t="s">
        <v>2485</v>
      </c>
      <c r="B1925" t="s">
        <v>178</v>
      </c>
      <c r="C1925" t="s">
        <v>287</v>
      </c>
      <c r="D1925" t="s">
        <v>29</v>
      </c>
      <c r="E1925" t="s">
        <v>37</v>
      </c>
      <c r="F1925" t="s">
        <v>70</v>
      </c>
      <c r="G1925" t="s">
        <v>46</v>
      </c>
      <c r="H1925" s="1">
        <v>44822</v>
      </c>
      <c r="I1925" s="2">
        <v>44823.1333333333</v>
      </c>
      <c r="J1925">
        <v>27.2</v>
      </c>
      <c r="K1925" t="s">
        <v>24</v>
      </c>
      <c r="L1925">
        <v>0</v>
      </c>
      <c r="M1925">
        <v>3</v>
      </c>
      <c r="N1925" t="s">
        <v>655</v>
      </c>
      <c r="O1925" s="3" t="str">
        <f>TEXT(Ticket_Table[[#This Row],[raised_date]],"YYYY-MM")</f>
        <v>2022-09</v>
      </c>
      <c r="P1925" s="3" t="str">
        <f>IF(Ticket_Table[[#This Row],[resolution_hrs]]&lt;=4,"Fast",IF(Ticket_Table[[#This Row],[resolution_hrs]]&lt;=24,"Normal",IF(Ticket_Table[[#This Row],[resolution_hrs]]&lt;=48,"Slow","Very Slow")))</f>
        <v>Slow</v>
      </c>
      <c r="Q1925" s="3">
        <f>YEAR(Ticket_Table[[#This Row],[raised_date]])</f>
        <v>2022</v>
      </c>
    </row>
    <row r="1926" spans="1:17">
      <c r="A1926" t="s">
        <v>2486</v>
      </c>
      <c r="B1926" t="s">
        <v>157</v>
      </c>
      <c r="C1926" t="s">
        <v>102</v>
      </c>
      <c r="D1926" t="s">
        <v>43</v>
      </c>
      <c r="E1926" t="s">
        <v>166</v>
      </c>
      <c r="F1926" t="s">
        <v>38</v>
      </c>
      <c r="G1926" t="s">
        <v>31</v>
      </c>
      <c r="H1926" s="1">
        <v>44676</v>
      </c>
      <c r="I1926" s="2">
        <v>44676.0541666667</v>
      </c>
      <c r="J1926">
        <v>1.3</v>
      </c>
      <c r="K1926" t="s">
        <v>24</v>
      </c>
      <c r="L1926">
        <v>1</v>
      </c>
      <c r="M1926">
        <v>2</v>
      </c>
      <c r="N1926" t="s">
        <v>145</v>
      </c>
      <c r="O1926" s="3" t="str">
        <f>TEXT(Ticket_Table[[#This Row],[raised_date]],"YYYY-MM")</f>
        <v>2022-04</v>
      </c>
      <c r="P1926" s="3" t="str">
        <f>IF(Ticket_Table[[#This Row],[resolution_hrs]]&lt;=4,"Fast",IF(Ticket_Table[[#This Row],[resolution_hrs]]&lt;=24,"Normal",IF(Ticket_Table[[#This Row],[resolution_hrs]]&lt;=48,"Slow","Very Slow")))</f>
        <v>Fast</v>
      </c>
      <c r="Q1926" s="3">
        <f>YEAR(Ticket_Table[[#This Row],[raised_date]])</f>
        <v>2022</v>
      </c>
    </row>
    <row r="1927" spans="1:17">
      <c r="A1927" t="s">
        <v>2487</v>
      </c>
      <c r="B1927" t="s">
        <v>474</v>
      </c>
      <c r="C1927" t="s">
        <v>140</v>
      </c>
      <c r="D1927" t="s">
        <v>29</v>
      </c>
      <c r="E1927" t="s">
        <v>166</v>
      </c>
      <c r="F1927" t="s">
        <v>70</v>
      </c>
      <c r="G1927" t="s">
        <v>46</v>
      </c>
      <c r="H1927" s="1">
        <v>45076</v>
      </c>
      <c r="I1927" s="2">
        <v>45077.775</v>
      </c>
      <c r="J1927">
        <v>42.6</v>
      </c>
      <c r="K1927" t="s">
        <v>24</v>
      </c>
      <c r="L1927">
        <v>0</v>
      </c>
      <c r="M1927">
        <v>5</v>
      </c>
      <c r="N1927" t="s">
        <v>114</v>
      </c>
      <c r="O1927" s="3" t="str">
        <f>TEXT(Ticket_Table[[#This Row],[raised_date]],"YYYY-MM")</f>
        <v>2023-05</v>
      </c>
      <c r="P1927" s="3" t="str">
        <f>IF(Ticket_Table[[#This Row],[resolution_hrs]]&lt;=4,"Fast",IF(Ticket_Table[[#This Row],[resolution_hrs]]&lt;=24,"Normal",IF(Ticket_Table[[#This Row],[resolution_hrs]]&lt;=48,"Slow","Very Slow")))</f>
        <v>Slow</v>
      </c>
      <c r="Q1927" s="3">
        <f>YEAR(Ticket_Table[[#This Row],[raised_date]])</f>
        <v>2023</v>
      </c>
    </row>
    <row r="1928" spans="1:17">
      <c r="A1928" t="s">
        <v>2488</v>
      </c>
      <c r="B1928" t="s">
        <v>359</v>
      </c>
      <c r="C1928" t="s">
        <v>201</v>
      </c>
      <c r="D1928" t="s">
        <v>36</v>
      </c>
      <c r="E1928" t="s">
        <v>166</v>
      </c>
      <c r="F1928" t="s">
        <v>22</v>
      </c>
      <c r="G1928" t="s">
        <v>23</v>
      </c>
      <c r="H1928" s="1">
        <v>44383</v>
      </c>
      <c r="I1928" s="2">
        <v>44386.0666666667</v>
      </c>
      <c r="J1928">
        <v>73.6</v>
      </c>
      <c r="K1928" t="s">
        <v>32</v>
      </c>
      <c r="L1928">
        <v>0</v>
      </c>
      <c r="M1928">
        <v>4</v>
      </c>
      <c r="N1928" t="s">
        <v>959</v>
      </c>
      <c r="O1928" s="3" t="str">
        <f>TEXT(Ticket_Table[[#This Row],[raised_date]],"YYYY-MM")</f>
        <v>2021-07</v>
      </c>
      <c r="P1928" s="3" t="str">
        <f>IF(Ticket_Table[[#This Row],[resolution_hrs]]&lt;=4,"Fast",IF(Ticket_Table[[#This Row],[resolution_hrs]]&lt;=24,"Normal",IF(Ticket_Table[[#This Row],[resolution_hrs]]&lt;=48,"Slow","Very Slow")))</f>
        <v>Very Slow</v>
      </c>
      <c r="Q1928" s="3">
        <f>YEAR(Ticket_Table[[#This Row],[raised_date]])</f>
        <v>2021</v>
      </c>
    </row>
    <row r="1929" spans="1:17">
      <c r="A1929" t="s">
        <v>2489</v>
      </c>
      <c r="B1929" t="s">
        <v>438</v>
      </c>
      <c r="C1929" t="s">
        <v>55</v>
      </c>
      <c r="D1929" t="s">
        <v>29</v>
      </c>
      <c r="E1929" t="s">
        <v>44</v>
      </c>
      <c r="F1929" t="s">
        <v>38</v>
      </c>
      <c r="G1929" t="s">
        <v>31</v>
      </c>
      <c r="H1929" s="1">
        <v>44391</v>
      </c>
      <c r="I1929" s="2">
        <v>44391.125</v>
      </c>
      <c r="J1929">
        <v>3</v>
      </c>
      <c r="K1929" t="s">
        <v>24</v>
      </c>
      <c r="L1929">
        <v>0</v>
      </c>
      <c r="M1929">
        <v>4</v>
      </c>
      <c r="N1929" t="s">
        <v>778</v>
      </c>
      <c r="O1929" s="3" t="str">
        <f>TEXT(Ticket_Table[[#This Row],[raised_date]],"YYYY-MM")</f>
        <v>2021-07</v>
      </c>
      <c r="P1929" s="3" t="str">
        <f>IF(Ticket_Table[[#This Row],[resolution_hrs]]&lt;=4,"Fast",IF(Ticket_Table[[#This Row],[resolution_hrs]]&lt;=24,"Normal",IF(Ticket_Table[[#This Row],[resolution_hrs]]&lt;=48,"Slow","Very Slow")))</f>
        <v>Fast</v>
      </c>
      <c r="Q1929" s="3">
        <f>YEAR(Ticket_Table[[#This Row],[raised_date]])</f>
        <v>2021</v>
      </c>
    </row>
    <row r="1930" spans="1:17">
      <c r="A1930" t="s">
        <v>2490</v>
      </c>
      <c r="B1930" t="s">
        <v>105</v>
      </c>
      <c r="C1930" t="s">
        <v>201</v>
      </c>
      <c r="D1930" t="s">
        <v>29</v>
      </c>
      <c r="E1930" t="s">
        <v>30</v>
      </c>
      <c r="F1930" t="s">
        <v>38</v>
      </c>
      <c r="G1930" t="s">
        <v>46</v>
      </c>
      <c r="H1930" s="1">
        <v>44199</v>
      </c>
      <c r="I1930" s="2">
        <v>44199.7791666667</v>
      </c>
      <c r="J1930">
        <v>18.7</v>
      </c>
      <c r="K1930" t="s">
        <v>24</v>
      </c>
      <c r="L1930">
        <v>0</v>
      </c>
      <c r="M1930">
        <v>3</v>
      </c>
      <c r="N1930" t="s">
        <v>1582</v>
      </c>
      <c r="O1930" s="3" t="str">
        <f>TEXT(Ticket_Table[[#This Row],[raised_date]],"YYYY-MM")</f>
        <v>2021-01</v>
      </c>
      <c r="P1930" s="3" t="str">
        <f>IF(Ticket_Table[[#This Row],[resolution_hrs]]&lt;=4,"Fast",IF(Ticket_Table[[#This Row],[resolution_hrs]]&lt;=24,"Normal",IF(Ticket_Table[[#This Row],[resolution_hrs]]&lt;=48,"Slow","Very Slow")))</f>
        <v>Normal</v>
      </c>
      <c r="Q1930" s="3">
        <f>YEAR(Ticket_Table[[#This Row],[raised_date]])</f>
        <v>2021</v>
      </c>
    </row>
    <row r="1931" spans="1:17">
      <c r="A1931" t="s">
        <v>2491</v>
      </c>
      <c r="B1931" t="s">
        <v>295</v>
      </c>
      <c r="C1931" t="s">
        <v>175</v>
      </c>
      <c r="D1931" t="s">
        <v>29</v>
      </c>
      <c r="E1931" t="s">
        <v>106</v>
      </c>
      <c r="F1931" t="s">
        <v>70</v>
      </c>
      <c r="G1931" t="s">
        <v>31</v>
      </c>
      <c r="H1931" s="1">
        <v>44634</v>
      </c>
      <c r="I1931" s="2">
        <v>44636.5125</v>
      </c>
      <c r="J1931">
        <v>60.3</v>
      </c>
      <c r="K1931" t="s">
        <v>32</v>
      </c>
      <c r="L1931">
        <v>2</v>
      </c>
      <c r="M1931">
        <v>4</v>
      </c>
      <c r="N1931" t="s">
        <v>275</v>
      </c>
      <c r="O1931" s="3" t="str">
        <f>TEXT(Ticket_Table[[#This Row],[raised_date]],"YYYY-MM")</f>
        <v>2022-03</v>
      </c>
      <c r="P1931" s="3" t="str">
        <f>IF(Ticket_Table[[#This Row],[resolution_hrs]]&lt;=4,"Fast",IF(Ticket_Table[[#This Row],[resolution_hrs]]&lt;=24,"Normal",IF(Ticket_Table[[#This Row],[resolution_hrs]]&lt;=48,"Slow","Very Slow")))</f>
        <v>Very Slow</v>
      </c>
      <c r="Q1931" s="3">
        <f>YEAR(Ticket_Table[[#This Row],[raised_date]])</f>
        <v>2022</v>
      </c>
    </row>
    <row r="1932" spans="1:17">
      <c r="A1932" t="s">
        <v>2492</v>
      </c>
      <c r="B1932" t="s">
        <v>25</v>
      </c>
      <c r="C1932" t="s">
        <v>50</v>
      </c>
      <c r="D1932" t="s">
        <v>36</v>
      </c>
      <c r="E1932" t="s">
        <v>30</v>
      </c>
      <c r="F1932" t="s">
        <v>70</v>
      </c>
      <c r="G1932" t="s">
        <v>31</v>
      </c>
      <c r="H1932" s="1">
        <v>45173</v>
      </c>
      <c r="I1932" s="2">
        <v>45175.5833333333</v>
      </c>
      <c r="J1932">
        <v>62</v>
      </c>
      <c r="K1932" t="s">
        <v>32</v>
      </c>
      <c r="L1932">
        <v>0</v>
      </c>
      <c r="M1932">
        <v>1</v>
      </c>
      <c r="N1932" t="s">
        <v>504</v>
      </c>
      <c r="O1932" s="3" t="str">
        <f>TEXT(Ticket_Table[[#This Row],[raised_date]],"YYYY-MM")</f>
        <v>2023-09</v>
      </c>
      <c r="P1932" s="3" t="str">
        <f>IF(Ticket_Table[[#This Row],[resolution_hrs]]&lt;=4,"Fast",IF(Ticket_Table[[#This Row],[resolution_hrs]]&lt;=24,"Normal",IF(Ticket_Table[[#This Row],[resolution_hrs]]&lt;=48,"Slow","Very Slow")))</f>
        <v>Very Slow</v>
      </c>
      <c r="Q1932" s="3">
        <f>YEAR(Ticket_Table[[#This Row],[raised_date]])</f>
        <v>2023</v>
      </c>
    </row>
    <row r="1933" spans="1:17">
      <c r="A1933" t="s">
        <v>2493</v>
      </c>
      <c r="B1933" t="s">
        <v>143</v>
      </c>
      <c r="C1933" t="s">
        <v>117</v>
      </c>
      <c r="D1933" t="s">
        <v>29</v>
      </c>
      <c r="E1933" t="s">
        <v>106</v>
      </c>
      <c r="F1933" t="s">
        <v>22</v>
      </c>
      <c r="G1933" t="s">
        <v>23</v>
      </c>
      <c r="H1933" s="1">
        <v>44356</v>
      </c>
      <c r="I1933" s="2">
        <v>44357.925</v>
      </c>
      <c r="J1933">
        <v>46.2</v>
      </c>
      <c r="K1933" t="s">
        <v>24</v>
      </c>
      <c r="L1933">
        <v>0</v>
      </c>
      <c r="M1933">
        <v>5</v>
      </c>
      <c r="N1933" t="s">
        <v>419</v>
      </c>
      <c r="O1933" s="3" t="str">
        <f>TEXT(Ticket_Table[[#This Row],[raised_date]],"YYYY-MM")</f>
        <v>2021-06</v>
      </c>
      <c r="P1933" s="3" t="str">
        <f>IF(Ticket_Table[[#This Row],[resolution_hrs]]&lt;=4,"Fast",IF(Ticket_Table[[#This Row],[resolution_hrs]]&lt;=24,"Normal",IF(Ticket_Table[[#This Row],[resolution_hrs]]&lt;=48,"Slow","Very Slow")))</f>
        <v>Slow</v>
      </c>
      <c r="Q1933" s="3">
        <f>YEAR(Ticket_Table[[#This Row],[raised_date]])</f>
        <v>2021</v>
      </c>
    </row>
    <row r="1934" spans="1:17">
      <c r="A1934" t="s">
        <v>2494</v>
      </c>
      <c r="B1934" t="s">
        <v>740</v>
      </c>
      <c r="C1934" t="s">
        <v>287</v>
      </c>
      <c r="D1934" t="s">
        <v>20</v>
      </c>
      <c r="E1934" t="s">
        <v>37</v>
      </c>
      <c r="F1934" t="s">
        <v>70</v>
      </c>
      <c r="G1934" t="s">
        <v>23</v>
      </c>
      <c r="H1934" s="1">
        <v>44468</v>
      </c>
      <c r="I1934" s="2">
        <v>44468.6208333333</v>
      </c>
      <c r="J1934">
        <v>14.9</v>
      </c>
      <c r="K1934" t="s">
        <v>24</v>
      </c>
      <c r="L1934">
        <v>0</v>
      </c>
      <c r="M1934">
        <v>5</v>
      </c>
      <c r="N1934" t="s">
        <v>698</v>
      </c>
      <c r="O1934" s="3" t="str">
        <f>TEXT(Ticket_Table[[#This Row],[raised_date]],"YYYY-MM")</f>
        <v>2021-09</v>
      </c>
      <c r="P1934" s="3" t="str">
        <f>IF(Ticket_Table[[#This Row],[resolution_hrs]]&lt;=4,"Fast",IF(Ticket_Table[[#This Row],[resolution_hrs]]&lt;=24,"Normal",IF(Ticket_Table[[#This Row],[resolution_hrs]]&lt;=48,"Slow","Very Slow")))</f>
        <v>Normal</v>
      </c>
      <c r="Q1934" s="3">
        <f>YEAR(Ticket_Table[[#This Row],[raised_date]])</f>
        <v>2021</v>
      </c>
    </row>
    <row r="1935" spans="1:17">
      <c r="A1935" t="s">
        <v>2495</v>
      </c>
      <c r="B1935" t="s">
        <v>57</v>
      </c>
      <c r="C1935" t="s">
        <v>102</v>
      </c>
      <c r="D1935" t="s">
        <v>20</v>
      </c>
      <c r="E1935" t="s">
        <v>83</v>
      </c>
      <c r="F1935" t="s">
        <v>70</v>
      </c>
      <c r="G1935" t="s">
        <v>46</v>
      </c>
      <c r="H1935" s="1">
        <v>44660</v>
      </c>
      <c r="I1935" s="2">
        <v>44660.6333333333</v>
      </c>
      <c r="J1935">
        <v>15.2</v>
      </c>
      <c r="K1935" t="s">
        <v>24</v>
      </c>
      <c r="L1935">
        <v>0</v>
      </c>
      <c r="M1935">
        <v>4</v>
      </c>
      <c r="N1935" t="s">
        <v>696</v>
      </c>
      <c r="O1935" s="3" t="str">
        <f>TEXT(Ticket_Table[[#This Row],[raised_date]],"YYYY-MM")</f>
        <v>2022-04</v>
      </c>
      <c r="P1935" s="3" t="str">
        <f>IF(Ticket_Table[[#This Row],[resolution_hrs]]&lt;=4,"Fast",IF(Ticket_Table[[#This Row],[resolution_hrs]]&lt;=24,"Normal",IF(Ticket_Table[[#This Row],[resolution_hrs]]&lt;=48,"Slow","Very Slow")))</f>
        <v>Normal</v>
      </c>
      <c r="Q1935" s="3">
        <f>YEAR(Ticket_Table[[#This Row],[raised_date]])</f>
        <v>2022</v>
      </c>
    </row>
    <row r="1936" spans="1:17">
      <c r="A1936" t="s">
        <v>2496</v>
      </c>
      <c r="B1936" t="s">
        <v>605</v>
      </c>
      <c r="C1936" t="s">
        <v>82</v>
      </c>
      <c r="D1936" t="s">
        <v>36</v>
      </c>
      <c r="E1936" t="s">
        <v>44</v>
      </c>
      <c r="F1936" t="s">
        <v>45</v>
      </c>
      <c r="G1936" t="s">
        <v>23</v>
      </c>
      <c r="H1936" s="1">
        <v>45260</v>
      </c>
      <c r="I1936" s="2">
        <v>45260.2291666667</v>
      </c>
      <c r="J1936">
        <v>5.5</v>
      </c>
      <c r="K1936" t="s">
        <v>32</v>
      </c>
      <c r="L1936">
        <v>0</v>
      </c>
      <c r="M1936">
        <v>2</v>
      </c>
      <c r="N1936" t="s">
        <v>401</v>
      </c>
      <c r="O1936" s="3" t="str">
        <f>TEXT(Ticket_Table[[#This Row],[raised_date]],"YYYY-MM")</f>
        <v>2023-11</v>
      </c>
      <c r="P1936" s="3" t="str">
        <f>IF(Ticket_Table[[#This Row],[resolution_hrs]]&lt;=4,"Fast",IF(Ticket_Table[[#This Row],[resolution_hrs]]&lt;=24,"Normal",IF(Ticket_Table[[#This Row],[resolution_hrs]]&lt;=48,"Slow","Very Slow")))</f>
        <v>Normal</v>
      </c>
      <c r="Q1936" s="3">
        <f>YEAR(Ticket_Table[[#This Row],[raised_date]])</f>
        <v>2023</v>
      </c>
    </row>
    <row r="1937" spans="1:17">
      <c r="A1937" t="s">
        <v>2497</v>
      </c>
      <c r="B1937" t="s">
        <v>968</v>
      </c>
      <c r="C1937" t="s">
        <v>95</v>
      </c>
      <c r="D1937" t="s">
        <v>43</v>
      </c>
      <c r="E1937" t="s">
        <v>51</v>
      </c>
      <c r="F1937" t="s">
        <v>70</v>
      </c>
      <c r="G1937" t="s">
        <v>74</v>
      </c>
      <c r="H1937" s="1">
        <v>45108</v>
      </c>
      <c r="I1937" s="2">
        <v>45110.3666666667</v>
      </c>
      <c r="J1937">
        <v>56.8</v>
      </c>
      <c r="K1937" t="s">
        <v>32</v>
      </c>
      <c r="L1937">
        <v>0</v>
      </c>
      <c r="M1937">
        <v>3</v>
      </c>
      <c r="N1937" t="s">
        <v>947</v>
      </c>
      <c r="O1937" s="3" t="str">
        <f>TEXT(Ticket_Table[[#This Row],[raised_date]],"YYYY-MM")</f>
        <v>2023-07</v>
      </c>
      <c r="P1937" s="3" t="str">
        <f>IF(Ticket_Table[[#This Row],[resolution_hrs]]&lt;=4,"Fast",IF(Ticket_Table[[#This Row],[resolution_hrs]]&lt;=24,"Normal",IF(Ticket_Table[[#This Row],[resolution_hrs]]&lt;=48,"Slow","Very Slow")))</f>
        <v>Very Slow</v>
      </c>
      <c r="Q1937" s="3">
        <f>YEAR(Ticket_Table[[#This Row],[raised_date]])</f>
        <v>2023</v>
      </c>
    </row>
    <row r="1938" spans="1:17">
      <c r="A1938" t="s">
        <v>2498</v>
      </c>
      <c r="B1938" t="s">
        <v>75</v>
      </c>
      <c r="C1938" t="s">
        <v>201</v>
      </c>
      <c r="D1938" t="s">
        <v>20</v>
      </c>
      <c r="E1938" t="s">
        <v>106</v>
      </c>
      <c r="F1938" t="s">
        <v>70</v>
      </c>
      <c r="G1938" t="s">
        <v>23</v>
      </c>
      <c r="H1938" s="1">
        <v>44216</v>
      </c>
      <c r="I1938" s="2">
        <v>44217.0541666667</v>
      </c>
      <c r="J1938">
        <v>25.3</v>
      </c>
      <c r="K1938" t="s">
        <v>24</v>
      </c>
      <c r="L1938">
        <v>0</v>
      </c>
      <c r="M1938">
        <v>3</v>
      </c>
      <c r="N1938" t="s">
        <v>817</v>
      </c>
      <c r="O1938" s="3" t="str">
        <f>TEXT(Ticket_Table[[#This Row],[raised_date]],"YYYY-MM")</f>
        <v>2021-01</v>
      </c>
      <c r="P1938" s="3" t="str">
        <f>IF(Ticket_Table[[#This Row],[resolution_hrs]]&lt;=4,"Fast",IF(Ticket_Table[[#This Row],[resolution_hrs]]&lt;=24,"Normal",IF(Ticket_Table[[#This Row],[resolution_hrs]]&lt;=48,"Slow","Very Slow")))</f>
        <v>Slow</v>
      </c>
      <c r="Q1938" s="3">
        <f>YEAR(Ticket_Table[[#This Row],[raised_date]])</f>
        <v>2021</v>
      </c>
    </row>
    <row r="1939" spans="1:17">
      <c r="A1939" t="s">
        <v>2499</v>
      </c>
      <c r="B1939" t="s">
        <v>554</v>
      </c>
      <c r="C1939" t="s">
        <v>140</v>
      </c>
      <c r="D1939" t="s">
        <v>90</v>
      </c>
      <c r="E1939" t="s">
        <v>56</v>
      </c>
      <c r="F1939" t="s">
        <v>70</v>
      </c>
      <c r="G1939" t="s">
        <v>31</v>
      </c>
      <c r="H1939" s="1">
        <v>44213</v>
      </c>
      <c r="I1939" s="2">
        <v>44215.0166666667</v>
      </c>
      <c r="J1939">
        <v>48.4</v>
      </c>
      <c r="K1939" t="s">
        <v>32</v>
      </c>
      <c r="L1939">
        <v>0</v>
      </c>
      <c r="M1939">
        <v>3</v>
      </c>
      <c r="N1939" t="s">
        <v>344</v>
      </c>
      <c r="O1939" s="3" t="str">
        <f>TEXT(Ticket_Table[[#This Row],[raised_date]],"YYYY-MM")</f>
        <v>2021-01</v>
      </c>
      <c r="P1939" s="3" t="str">
        <f>IF(Ticket_Table[[#This Row],[resolution_hrs]]&lt;=4,"Fast",IF(Ticket_Table[[#This Row],[resolution_hrs]]&lt;=24,"Normal",IF(Ticket_Table[[#This Row],[resolution_hrs]]&lt;=48,"Slow","Very Slow")))</f>
        <v>Very Slow</v>
      </c>
      <c r="Q1939" s="3">
        <f>YEAR(Ticket_Table[[#This Row],[raised_date]])</f>
        <v>2021</v>
      </c>
    </row>
    <row r="1940" spans="1:17">
      <c r="A1940" t="s">
        <v>2500</v>
      </c>
      <c r="B1940" t="s">
        <v>922</v>
      </c>
      <c r="C1940" t="s">
        <v>287</v>
      </c>
      <c r="D1940" t="s">
        <v>20</v>
      </c>
      <c r="E1940" t="s">
        <v>83</v>
      </c>
      <c r="F1940" t="s">
        <v>45</v>
      </c>
      <c r="G1940" t="s">
        <v>23</v>
      </c>
      <c r="H1940" s="1">
        <v>44900</v>
      </c>
      <c r="I1940" s="2">
        <v>44900.1875</v>
      </c>
      <c r="J1940">
        <v>4.5</v>
      </c>
      <c r="K1940" t="s">
        <v>32</v>
      </c>
      <c r="L1940">
        <v>0</v>
      </c>
      <c r="M1940">
        <v>5</v>
      </c>
      <c r="N1940" t="s">
        <v>1252</v>
      </c>
      <c r="O1940" s="3" t="str">
        <f>TEXT(Ticket_Table[[#This Row],[raised_date]],"YYYY-MM")</f>
        <v>2022-12</v>
      </c>
      <c r="P1940" s="3" t="str">
        <f>IF(Ticket_Table[[#This Row],[resolution_hrs]]&lt;=4,"Fast",IF(Ticket_Table[[#This Row],[resolution_hrs]]&lt;=24,"Normal",IF(Ticket_Table[[#This Row],[resolution_hrs]]&lt;=48,"Slow","Very Slow")))</f>
        <v>Normal</v>
      </c>
      <c r="Q1940" s="3">
        <f>YEAR(Ticket_Table[[#This Row],[raised_date]])</f>
        <v>2022</v>
      </c>
    </row>
    <row r="1941" spans="1:17">
      <c r="A1941" t="s">
        <v>2501</v>
      </c>
      <c r="B1941" t="s">
        <v>1243</v>
      </c>
      <c r="C1941" t="s">
        <v>140</v>
      </c>
      <c r="D1941" t="s">
        <v>90</v>
      </c>
      <c r="E1941" t="s">
        <v>69</v>
      </c>
      <c r="F1941" t="s">
        <v>38</v>
      </c>
      <c r="G1941" t="s">
        <v>31</v>
      </c>
      <c r="H1941" s="1">
        <v>44443</v>
      </c>
      <c r="I1941" s="2">
        <v>44444.475</v>
      </c>
      <c r="J1941">
        <v>35.4</v>
      </c>
      <c r="K1941" t="s">
        <v>32</v>
      </c>
      <c r="L1941">
        <v>1</v>
      </c>
      <c r="M1941">
        <v>3</v>
      </c>
      <c r="N1941" t="s">
        <v>906</v>
      </c>
      <c r="O1941" s="3" t="str">
        <f>TEXT(Ticket_Table[[#This Row],[raised_date]],"YYYY-MM")</f>
        <v>2021-09</v>
      </c>
      <c r="P1941" s="3" t="str">
        <f>IF(Ticket_Table[[#This Row],[resolution_hrs]]&lt;=4,"Fast",IF(Ticket_Table[[#This Row],[resolution_hrs]]&lt;=24,"Normal",IF(Ticket_Table[[#This Row],[resolution_hrs]]&lt;=48,"Slow","Very Slow")))</f>
        <v>Slow</v>
      </c>
      <c r="Q1941" s="3">
        <f>YEAR(Ticket_Table[[#This Row],[raised_date]])</f>
        <v>2021</v>
      </c>
    </row>
    <row r="1942" spans="1:17">
      <c r="A1942" t="s">
        <v>2502</v>
      </c>
      <c r="B1942" t="s">
        <v>397</v>
      </c>
      <c r="C1942" t="s">
        <v>102</v>
      </c>
      <c r="D1942" t="s">
        <v>36</v>
      </c>
      <c r="E1942" t="s">
        <v>69</v>
      </c>
      <c r="F1942" t="s">
        <v>70</v>
      </c>
      <c r="G1942" t="s">
        <v>23</v>
      </c>
      <c r="H1942" s="1">
        <v>45061</v>
      </c>
      <c r="I1942" s="2">
        <v>45062.8166666667</v>
      </c>
      <c r="J1942">
        <v>43.6</v>
      </c>
      <c r="K1942" t="s">
        <v>24</v>
      </c>
      <c r="L1942">
        <v>0</v>
      </c>
      <c r="M1942">
        <v>4</v>
      </c>
      <c r="N1942" t="s">
        <v>293</v>
      </c>
      <c r="O1942" s="3" t="str">
        <f>TEXT(Ticket_Table[[#This Row],[raised_date]],"YYYY-MM")</f>
        <v>2023-05</v>
      </c>
      <c r="P1942" s="3" t="str">
        <f>IF(Ticket_Table[[#This Row],[resolution_hrs]]&lt;=4,"Fast",IF(Ticket_Table[[#This Row],[resolution_hrs]]&lt;=24,"Normal",IF(Ticket_Table[[#This Row],[resolution_hrs]]&lt;=48,"Slow","Very Slow")))</f>
        <v>Slow</v>
      </c>
      <c r="Q1942" s="3">
        <f>YEAR(Ticket_Table[[#This Row],[raised_date]])</f>
        <v>2023</v>
      </c>
    </row>
    <row r="1943" spans="1:17">
      <c r="A1943" t="s">
        <v>2503</v>
      </c>
      <c r="B1943" t="s">
        <v>155</v>
      </c>
      <c r="C1943" t="s">
        <v>82</v>
      </c>
      <c r="D1943" t="s">
        <v>43</v>
      </c>
      <c r="E1943" t="s">
        <v>51</v>
      </c>
      <c r="F1943" t="s">
        <v>38</v>
      </c>
      <c r="G1943" t="s">
        <v>46</v>
      </c>
      <c r="H1943" s="1">
        <v>44467</v>
      </c>
      <c r="I1943" s="2">
        <v>44467.525</v>
      </c>
      <c r="J1943">
        <v>12.6</v>
      </c>
      <c r="K1943" t="s">
        <v>24</v>
      </c>
      <c r="L1943">
        <v>0</v>
      </c>
      <c r="M1943">
        <v>4</v>
      </c>
      <c r="N1943" t="s">
        <v>1011</v>
      </c>
      <c r="O1943" s="3" t="str">
        <f>TEXT(Ticket_Table[[#This Row],[raised_date]],"YYYY-MM")</f>
        <v>2021-09</v>
      </c>
      <c r="P1943" s="3" t="str">
        <f>IF(Ticket_Table[[#This Row],[resolution_hrs]]&lt;=4,"Fast",IF(Ticket_Table[[#This Row],[resolution_hrs]]&lt;=24,"Normal",IF(Ticket_Table[[#This Row],[resolution_hrs]]&lt;=48,"Slow","Very Slow")))</f>
        <v>Normal</v>
      </c>
      <c r="Q1943" s="3">
        <f>YEAR(Ticket_Table[[#This Row],[raised_date]])</f>
        <v>2021</v>
      </c>
    </row>
    <row r="1944" spans="1:17">
      <c r="A1944" t="s">
        <v>2504</v>
      </c>
      <c r="B1944" t="s">
        <v>546</v>
      </c>
      <c r="C1944" t="s">
        <v>78</v>
      </c>
      <c r="D1944" t="s">
        <v>90</v>
      </c>
      <c r="E1944" t="s">
        <v>56</v>
      </c>
      <c r="F1944" t="s">
        <v>70</v>
      </c>
      <c r="G1944" t="s">
        <v>23</v>
      </c>
      <c r="H1944" s="1">
        <v>45175</v>
      </c>
      <c r="I1944" s="2">
        <v>45176.7541666667</v>
      </c>
      <c r="J1944">
        <v>42.1</v>
      </c>
      <c r="K1944" t="s">
        <v>24</v>
      </c>
      <c r="L1944">
        <v>0</v>
      </c>
      <c r="M1944">
        <v>4</v>
      </c>
      <c r="N1944" t="s">
        <v>955</v>
      </c>
      <c r="O1944" s="3" t="str">
        <f>TEXT(Ticket_Table[[#This Row],[raised_date]],"YYYY-MM")</f>
        <v>2023-09</v>
      </c>
      <c r="P1944" s="3" t="str">
        <f>IF(Ticket_Table[[#This Row],[resolution_hrs]]&lt;=4,"Fast",IF(Ticket_Table[[#This Row],[resolution_hrs]]&lt;=24,"Normal",IF(Ticket_Table[[#This Row],[resolution_hrs]]&lt;=48,"Slow","Very Slow")))</f>
        <v>Slow</v>
      </c>
      <c r="Q1944" s="3">
        <f>YEAR(Ticket_Table[[#This Row],[raised_date]])</f>
        <v>2023</v>
      </c>
    </row>
    <row r="1945" spans="1:17">
      <c r="A1945" t="s">
        <v>2505</v>
      </c>
      <c r="B1945" t="s">
        <v>518</v>
      </c>
      <c r="C1945" t="s">
        <v>201</v>
      </c>
      <c r="D1945" t="s">
        <v>90</v>
      </c>
      <c r="E1945" t="s">
        <v>166</v>
      </c>
      <c r="F1945" t="s">
        <v>70</v>
      </c>
      <c r="G1945" t="s">
        <v>31</v>
      </c>
      <c r="H1945" s="1">
        <v>44342</v>
      </c>
      <c r="I1945" s="2">
        <v>44344.8916666667</v>
      </c>
      <c r="J1945">
        <v>69.4</v>
      </c>
      <c r="K1945" t="s">
        <v>32</v>
      </c>
      <c r="L1945">
        <v>1</v>
      </c>
      <c r="M1945">
        <v>3</v>
      </c>
      <c r="N1945" t="s">
        <v>569</v>
      </c>
      <c r="O1945" s="3" t="str">
        <f>TEXT(Ticket_Table[[#This Row],[raised_date]],"YYYY-MM")</f>
        <v>2021-05</v>
      </c>
      <c r="P1945" s="3" t="str">
        <f>IF(Ticket_Table[[#This Row],[resolution_hrs]]&lt;=4,"Fast",IF(Ticket_Table[[#This Row],[resolution_hrs]]&lt;=24,"Normal",IF(Ticket_Table[[#This Row],[resolution_hrs]]&lt;=48,"Slow","Very Slow")))</f>
        <v>Very Slow</v>
      </c>
      <c r="Q1945" s="3">
        <f>YEAR(Ticket_Table[[#This Row],[raised_date]])</f>
        <v>2021</v>
      </c>
    </row>
    <row r="1946" spans="1:17">
      <c r="A1946" t="s">
        <v>2506</v>
      </c>
      <c r="B1946" t="s">
        <v>197</v>
      </c>
      <c r="C1946" t="s">
        <v>213</v>
      </c>
      <c r="D1946" t="s">
        <v>20</v>
      </c>
      <c r="E1946" t="s">
        <v>44</v>
      </c>
      <c r="F1946" t="s">
        <v>22</v>
      </c>
      <c r="G1946" t="s">
        <v>46</v>
      </c>
      <c r="H1946" s="1">
        <v>44665</v>
      </c>
      <c r="I1946" s="2">
        <v>44667.7875</v>
      </c>
      <c r="J1946">
        <v>66.9</v>
      </c>
      <c r="K1946" t="s">
        <v>24</v>
      </c>
      <c r="L1946">
        <v>1</v>
      </c>
      <c r="M1946">
        <v>5</v>
      </c>
      <c r="N1946" t="s">
        <v>218</v>
      </c>
      <c r="O1946" s="3" t="str">
        <f>TEXT(Ticket_Table[[#This Row],[raised_date]],"YYYY-MM")</f>
        <v>2022-04</v>
      </c>
      <c r="P1946" s="3" t="str">
        <f>IF(Ticket_Table[[#This Row],[resolution_hrs]]&lt;=4,"Fast",IF(Ticket_Table[[#This Row],[resolution_hrs]]&lt;=24,"Normal",IF(Ticket_Table[[#This Row],[resolution_hrs]]&lt;=48,"Slow","Very Slow")))</f>
        <v>Very Slow</v>
      </c>
      <c r="Q1946" s="3">
        <f>YEAR(Ticket_Table[[#This Row],[raised_date]])</f>
        <v>2022</v>
      </c>
    </row>
    <row r="1947" spans="1:17">
      <c r="A1947" t="s">
        <v>2507</v>
      </c>
      <c r="B1947" t="s">
        <v>708</v>
      </c>
      <c r="C1947" t="s">
        <v>140</v>
      </c>
      <c r="D1947" t="s">
        <v>90</v>
      </c>
      <c r="E1947" t="s">
        <v>30</v>
      </c>
      <c r="F1947" t="s">
        <v>70</v>
      </c>
      <c r="G1947" t="s">
        <v>31</v>
      </c>
      <c r="H1947" s="1">
        <v>44981</v>
      </c>
      <c r="I1947" s="2">
        <v>44982.2791666667</v>
      </c>
      <c r="J1947">
        <v>30.7</v>
      </c>
      <c r="K1947" t="s">
        <v>24</v>
      </c>
      <c r="L1947">
        <v>1</v>
      </c>
      <c r="M1947">
        <v>4</v>
      </c>
      <c r="N1947" t="s">
        <v>245</v>
      </c>
      <c r="O1947" s="3" t="str">
        <f>TEXT(Ticket_Table[[#This Row],[raised_date]],"YYYY-MM")</f>
        <v>2023-02</v>
      </c>
      <c r="P1947" s="3" t="str">
        <f>IF(Ticket_Table[[#This Row],[resolution_hrs]]&lt;=4,"Fast",IF(Ticket_Table[[#This Row],[resolution_hrs]]&lt;=24,"Normal",IF(Ticket_Table[[#This Row],[resolution_hrs]]&lt;=48,"Slow","Very Slow")))</f>
        <v>Slow</v>
      </c>
      <c r="Q1947" s="3">
        <f>YEAR(Ticket_Table[[#This Row],[raised_date]])</f>
        <v>2023</v>
      </c>
    </row>
    <row r="1948" spans="1:17">
      <c r="A1948" t="s">
        <v>2508</v>
      </c>
      <c r="B1948" t="s">
        <v>1123</v>
      </c>
      <c r="C1948" t="s">
        <v>201</v>
      </c>
      <c r="D1948" t="s">
        <v>36</v>
      </c>
      <c r="E1948" t="s">
        <v>21</v>
      </c>
      <c r="F1948" t="s">
        <v>22</v>
      </c>
      <c r="G1948" t="s">
        <v>23</v>
      </c>
      <c r="H1948" s="1">
        <v>44379</v>
      </c>
      <c r="I1948" s="2">
        <v>44379.7666666667</v>
      </c>
      <c r="J1948">
        <v>18.4</v>
      </c>
      <c r="K1948" t="s">
        <v>24</v>
      </c>
      <c r="L1948">
        <v>0</v>
      </c>
      <c r="M1948">
        <v>4</v>
      </c>
      <c r="N1948" t="s">
        <v>650</v>
      </c>
      <c r="O1948" s="3" t="str">
        <f>TEXT(Ticket_Table[[#This Row],[raised_date]],"YYYY-MM")</f>
        <v>2021-07</v>
      </c>
      <c r="P1948" s="3" t="str">
        <f>IF(Ticket_Table[[#This Row],[resolution_hrs]]&lt;=4,"Fast",IF(Ticket_Table[[#This Row],[resolution_hrs]]&lt;=24,"Normal",IF(Ticket_Table[[#This Row],[resolution_hrs]]&lt;=48,"Slow","Very Slow")))</f>
        <v>Normal</v>
      </c>
      <c r="Q1948" s="3">
        <f>YEAR(Ticket_Table[[#This Row],[raised_date]])</f>
        <v>2021</v>
      </c>
    </row>
    <row r="1949" spans="1:17">
      <c r="A1949" t="s">
        <v>2509</v>
      </c>
      <c r="B1949" t="s">
        <v>79</v>
      </c>
      <c r="C1949" t="s">
        <v>201</v>
      </c>
      <c r="D1949" t="s">
        <v>36</v>
      </c>
      <c r="E1949" t="s">
        <v>21</v>
      </c>
      <c r="F1949" t="s">
        <v>45</v>
      </c>
      <c r="G1949" t="s">
        <v>74</v>
      </c>
      <c r="H1949" s="1">
        <v>44406</v>
      </c>
      <c r="I1949" s="2">
        <v>44406.1375</v>
      </c>
      <c r="J1949">
        <v>3.3</v>
      </c>
      <c r="K1949" t="s">
        <v>24</v>
      </c>
      <c r="L1949">
        <v>0</v>
      </c>
      <c r="M1949">
        <v>3</v>
      </c>
      <c r="N1949" t="s">
        <v>258</v>
      </c>
      <c r="O1949" s="3" t="str">
        <f>TEXT(Ticket_Table[[#This Row],[raised_date]],"YYYY-MM")</f>
        <v>2021-07</v>
      </c>
      <c r="P1949" s="3" t="str">
        <f>IF(Ticket_Table[[#This Row],[resolution_hrs]]&lt;=4,"Fast",IF(Ticket_Table[[#This Row],[resolution_hrs]]&lt;=24,"Normal",IF(Ticket_Table[[#This Row],[resolution_hrs]]&lt;=48,"Slow","Very Slow")))</f>
        <v>Fast</v>
      </c>
      <c r="Q1949" s="3">
        <f>YEAR(Ticket_Table[[#This Row],[raised_date]])</f>
        <v>2021</v>
      </c>
    </row>
    <row r="1950" spans="1:17">
      <c r="A1950" t="s">
        <v>2510</v>
      </c>
      <c r="B1950" t="s">
        <v>970</v>
      </c>
      <c r="C1950" t="s">
        <v>213</v>
      </c>
      <c r="D1950" t="s">
        <v>36</v>
      </c>
      <c r="E1950" t="s">
        <v>44</v>
      </c>
      <c r="F1950" t="s">
        <v>70</v>
      </c>
      <c r="G1950" t="s">
        <v>23</v>
      </c>
      <c r="H1950" s="1">
        <v>44408</v>
      </c>
      <c r="I1950" s="2">
        <v>44410.375</v>
      </c>
      <c r="J1950">
        <v>57</v>
      </c>
      <c r="K1950" t="s">
        <v>32</v>
      </c>
      <c r="L1950">
        <v>0</v>
      </c>
      <c r="M1950">
        <v>5</v>
      </c>
      <c r="N1950" t="s">
        <v>138</v>
      </c>
      <c r="O1950" s="3" t="str">
        <f>TEXT(Ticket_Table[[#This Row],[raised_date]],"YYYY-MM")</f>
        <v>2021-07</v>
      </c>
      <c r="P1950" s="3" t="str">
        <f>IF(Ticket_Table[[#This Row],[resolution_hrs]]&lt;=4,"Fast",IF(Ticket_Table[[#This Row],[resolution_hrs]]&lt;=24,"Normal",IF(Ticket_Table[[#This Row],[resolution_hrs]]&lt;=48,"Slow","Very Slow")))</f>
        <v>Very Slow</v>
      </c>
      <c r="Q1950" s="3">
        <f>YEAR(Ticket_Table[[#This Row],[raised_date]])</f>
        <v>2021</v>
      </c>
    </row>
    <row r="1951" spans="1:17">
      <c r="A1951" t="s">
        <v>2511</v>
      </c>
      <c r="B1951" t="s">
        <v>35</v>
      </c>
      <c r="C1951" t="s">
        <v>19</v>
      </c>
      <c r="D1951" t="s">
        <v>20</v>
      </c>
      <c r="E1951" t="s">
        <v>83</v>
      </c>
      <c r="F1951" t="s">
        <v>45</v>
      </c>
      <c r="G1951" t="s">
        <v>23</v>
      </c>
      <c r="H1951" s="1">
        <v>44838</v>
      </c>
      <c r="I1951" s="2">
        <v>44838.05</v>
      </c>
      <c r="J1951">
        <v>1.2</v>
      </c>
      <c r="K1951" t="s">
        <v>24</v>
      </c>
      <c r="L1951">
        <v>1</v>
      </c>
      <c r="M1951">
        <v>3</v>
      </c>
      <c r="N1951" t="s">
        <v>107</v>
      </c>
      <c r="O1951" s="3" t="str">
        <f>TEXT(Ticket_Table[[#This Row],[raised_date]],"YYYY-MM")</f>
        <v>2022-10</v>
      </c>
      <c r="P1951" s="3" t="str">
        <f>IF(Ticket_Table[[#This Row],[resolution_hrs]]&lt;=4,"Fast",IF(Ticket_Table[[#This Row],[resolution_hrs]]&lt;=24,"Normal",IF(Ticket_Table[[#This Row],[resolution_hrs]]&lt;=48,"Slow","Very Slow")))</f>
        <v>Fast</v>
      </c>
      <c r="Q1951" s="3">
        <f>YEAR(Ticket_Table[[#This Row],[raised_date]])</f>
        <v>2022</v>
      </c>
    </row>
    <row r="1952" spans="1:17">
      <c r="A1952" t="s">
        <v>2512</v>
      </c>
      <c r="B1952" t="s">
        <v>760</v>
      </c>
      <c r="C1952" t="s">
        <v>82</v>
      </c>
      <c r="D1952" t="s">
        <v>43</v>
      </c>
      <c r="E1952" t="s">
        <v>37</v>
      </c>
      <c r="F1952" t="s">
        <v>70</v>
      </c>
      <c r="G1952" t="s">
        <v>23</v>
      </c>
      <c r="H1952" s="1">
        <v>44949</v>
      </c>
      <c r="I1952" s="2">
        <v>44949.6916666667</v>
      </c>
      <c r="J1952">
        <v>16.6</v>
      </c>
      <c r="K1952" t="s">
        <v>24</v>
      </c>
      <c r="L1952">
        <v>0</v>
      </c>
      <c r="M1952">
        <v>4</v>
      </c>
      <c r="N1952" t="s">
        <v>722</v>
      </c>
      <c r="O1952" s="3" t="str">
        <f>TEXT(Ticket_Table[[#This Row],[raised_date]],"YYYY-MM")</f>
        <v>2023-01</v>
      </c>
      <c r="P1952" s="3" t="str">
        <f>IF(Ticket_Table[[#This Row],[resolution_hrs]]&lt;=4,"Fast",IF(Ticket_Table[[#This Row],[resolution_hrs]]&lt;=24,"Normal",IF(Ticket_Table[[#This Row],[resolution_hrs]]&lt;=48,"Slow","Very Slow")))</f>
        <v>Normal</v>
      </c>
      <c r="Q1952" s="3">
        <f>YEAR(Ticket_Table[[#This Row],[raised_date]])</f>
        <v>2023</v>
      </c>
    </row>
    <row r="1953" spans="1:17">
      <c r="A1953" t="s">
        <v>2513</v>
      </c>
      <c r="B1953" t="s">
        <v>401</v>
      </c>
      <c r="C1953" t="s">
        <v>201</v>
      </c>
      <c r="D1953" t="s">
        <v>20</v>
      </c>
      <c r="E1953" t="s">
        <v>83</v>
      </c>
      <c r="F1953" t="s">
        <v>70</v>
      </c>
      <c r="G1953" t="s">
        <v>31</v>
      </c>
      <c r="H1953" s="1">
        <v>44809</v>
      </c>
      <c r="I1953" s="2">
        <v>44809.0541666667</v>
      </c>
      <c r="J1953">
        <v>1.3</v>
      </c>
      <c r="K1953" t="s">
        <v>24</v>
      </c>
      <c r="L1953">
        <v>0</v>
      </c>
      <c r="M1953">
        <v>4</v>
      </c>
      <c r="N1953" t="s">
        <v>712</v>
      </c>
      <c r="O1953" s="3" t="str">
        <f>TEXT(Ticket_Table[[#This Row],[raised_date]],"YYYY-MM")</f>
        <v>2022-09</v>
      </c>
      <c r="P1953" s="3" t="str">
        <f>IF(Ticket_Table[[#This Row],[resolution_hrs]]&lt;=4,"Fast",IF(Ticket_Table[[#This Row],[resolution_hrs]]&lt;=24,"Normal",IF(Ticket_Table[[#This Row],[resolution_hrs]]&lt;=48,"Slow","Very Slow")))</f>
        <v>Fast</v>
      </c>
      <c r="Q1953" s="3">
        <f>YEAR(Ticket_Table[[#This Row],[raised_date]])</f>
        <v>2022</v>
      </c>
    </row>
    <row r="1954" spans="1:17">
      <c r="A1954" t="s">
        <v>2514</v>
      </c>
      <c r="B1954" t="s">
        <v>1291</v>
      </c>
      <c r="C1954" t="s">
        <v>213</v>
      </c>
      <c r="D1954" t="s">
        <v>36</v>
      </c>
      <c r="E1954" t="s">
        <v>69</v>
      </c>
      <c r="F1954" t="s">
        <v>70</v>
      </c>
      <c r="G1954" t="s">
        <v>31</v>
      </c>
      <c r="H1954" s="1">
        <v>44477</v>
      </c>
      <c r="I1954" s="2">
        <v>44477.7</v>
      </c>
      <c r="J1954">
        <v>16.8</v>
      </c>
      <c r="K1954" t="s">
        <v>24</v>
      </c>
      <c r="L1954">
        <v>1</v>
      </c>
      <c r="M1954">
        <v>2</v>
      </c>
      <c r="N1954" t="s">
        <v>1078</v>
      </c>
      <c r="O1954" s="3" t="str">
        <f>TEXT(Ticket_Table[[#This Row],[raised_date]],"YYYY-MM")</f>
        <v>2021-10</v>
      </c>
      <c r="P1954" s="3" t="str">
        <f>IF(Ticket_Table[[#This Row],[resolution_hrs]]&lt;=4,"Fast",IF(Ticket_Table[[#This Row],[resolution_hrs]]&lt;=24,"Normal",IF(Ticket_Table[[#This Row],[resolution_hrs]]&lt;=48,"Slow","Very Slow")))</f>
        <v>Normal</v>
      </c>
      <c r="Q1954" s="3">
        <f>YEAR(Ticket_Table[[#This Row],[raised_date]])</f>
        <v>2021</v>
      </c>
    </row>
    <row r="1955" spans="1:17">
      <c r="A1955" t="s">
        <v>2515</v>
      </c>
      <c r="B1955" t="s">
        <v>183</v>
      </c>
      <c r="C1955" t="s">
        <v>42</v>
      </c>
      <c r="D1955" t="s">
        <v>20</v>
      </c>
      <c r="E1955" t="s">
        <v>30</v>
      </c>
      <c r="F1955" t="s">
        <v>22</v>
      </c>
      <c r="G1955" t="s">
        <v>31</v>
      </c>
      <c r="H1955" s="1">
        <v>44980</v>
      </c>
      <c r="I1955" s="2">
        <v>44981.0666666667</v>
      </c>
      <c r="J1955">
        <v>25.6</v>
      </c>
      <c r="K1955" t="s">
        <v>24</v>
      </c>
      <c r="L1955">
        <v>0</v>
      </c>
      <c r="M1955">
        <v>1</v>
      </c>
      <c r="N1955" t="s">
        <v>525</v>
      </c>
      <c r="O1955" s="3" t="str">
        <f>TEXT(Ticket_Table[[#This Row],[raised_date]],"YYYY-MM")</f>
        <v>2023-02</v>
      </c>
      <c r="P1955" s="3" t="str">
        <f>IF(Ticket_Table[[#This Row],[resolution_hrs]]&lt;=4,"Fast",IF(Ticket_Table[[#This Row],[resolution_hrs]]&lt;=24,"Normal",IF(Ticket_Table[[#This Row],[resolution_hrs]]&lt;=48,"Slow","Very Slow")))</f>
        <v>Slow</v>
      </c>
      <c r="Q1955" s="3">
        <f>YEAR(Ticket_Table[[#This Row],[raised_date]])</f>
        <v>2023</v>
      </c>
    </row>
    <row r="1956" spans="1:17">
      <c r="A1956" t="s">
        <v>2516</v>
      </c>
      <c r="B1956" t="s">
        <v>512</v>
      </c>
      <c r="C1956" t="s">
        <v>42</v>
      </c>
      <c r="D1956" t="s">
        <v>36</v>
      </c>
      <c r="E1956" t="s">
        <v>69</v>
      </c>
      <c r="F1956" t="s">
        <v>70</v>
      </c>
      <c r="G1956" t="s">
        <v>31</v>
      </c>
      <c r="H1956" s="1">
        <v>44469</v>
      </c>
      <c r="I1956" s="2">
        <v>44470.8875</v>
      </c>
      <c r="J1956">
        <v>45.3</v>
      </c>
      <c r="K1956" t="s">
        <v>24</v>
      </c>
      <c r="L1956">
        <v>0</v>
      </c>
      <c r="M1956">
        <v>5</v>
      </c>
      <c r="N1956" t="s">
        <v>325</v>
      </c>
      <c r="O1956" s="3" t="str">
        <f>TEXT(Ticket_Table[[#This Row],[raised_date]],"YYYY-MM")</f>
        <v>2021-09</v>
      </c>
      <c r="P1956" s="3" t="str">
        <f>IF(Ticket_Table[[#This Row],[resolution_hrs]]&lt;=4,"Fast",IF(Ticket_Table[[#This Row],[resolution_hrs]]&lt;=24,"Normal",IF(Ticket_Table[[#This Row],[resolution_hrs]]&lt;=48,"Slow","Very Slow")))</f>
        <v>Slow</v>
      </c>
      <c r="Q1956" s="3">
        <f>YEAR(Ticket_Table[[#This Row],[raised_date]])</f>
        <v>2021</v>
      </c>
    </row>
    <row r="1957" spans="1:17">
      <c r="A1957" t="s">
        <v>2517</v>
      </c>
      <c r="B1957" t="s">
        <v>114</v>
      </c>
      <c r="C1957" t="s">
        <v>19</v>
      </c>
      <c r="D1957" t="s">
        <v>29</v>
      </c>
      <c r="E1957" t="s">
        <v>106</v>
      </c>
      <c r="F1957" t="s">
        <v>22</v>
      </c>
      <c r="G1957" t="s">
        <v>31</v>
      </c>
      <c r="H1957" s="1">
        <v>44489</v>
      </c>
      <c r="I1957" s="2">
        <v>44490.1083333333</v>
      </c>
      <c r="J1957">
        <v>26.6</v>
      </c>
      <c r="K1957" t="s">
        <v>24</v>
      </c>
      <c r="L1957">
        <v>0</v>
      </c>
      <c r="M1957">
        <v>2</v>
      </c>
      <c r="N1957" t="s">
        <v>1013</v>
      </c>
      <c r="O1957" s="3" t="str">
        <f>TEXT(Ticket_Table[[#This Row],[raised_date]],"YYYY-MM")</f>
        <v>2021-10</v>
      </c>
      <c r="P1957" s="3" t="str">
        <f>IF(Ticket_Table[[#This Row],[resolution_hrs]]&lt;=4,"Fast",IF(Ticket_Table[[#This Row],[resolution_hrs]]&lt;=24,"Normal",IF(Ticket_Table[[#This Row],[resolution_hrs]]&lt;=48,"Slow","Very Slow")))</f>
        <v>Slow</v>
      </c>
      <c r="Q1957" s="3">
        <f>YEAR(Ticket_Table[[#This Row],[raised_date]])</f>
        <v>2021</v>
      </c>
    </row>
    <row r="1958" spans="1:17">
      <c r="A1958" t="s">
        <v>2518</v>
      </c>
      <c r="B1958" t="s">
        <v>1180</v>
      </c>
      <c r="C1958" t="s">
        <v>201</v>
      </c>
      <c r="D1958" t="s">
        <v>29</v>
      </c>
      <c r="E1958" t="s">
        <v>69</v>
      </c>
      <c r="F1958" t="s">
        <v>70</v>
      </c>
      <c r="G1958" t="s">
        <v>31</v>
      </c>
      <c r="H1958" s="1">
        <v>44337</v>
      </c>
      <c r="I1958" s="2">
        <v>44339.2166666667</v>
      </c>
      <c r="J1958">
        <v>53.2</v>
      </c>
      <c r="K1958" t="s">
        <v>32</v>
      </c>
      <c r="L1958">
        <v>0</v>
      </c>
      <c r="M1958">
        <v>4</v>
      </c>
      <c r="N1958" t="s">
        <v>358</v>
      </c>
      <c r="O1958" s="3" t="str">
        <f>TEXT(Ticket_Table[[#This Row],[raised_date]],"YYYY-MM")</f>
        <v>2021-05</v>
      </c>
      <c r="P1958" s="3" t="str">
        <f>IF(Ticket_Table[[#This Row],[resolution_hrs]]&lt;=4,"Fast",IF(Ticket_Table[[#This Row],[resolution_hrs]]&lt;=24,"Normal",IF(Ticket_Table[[#This Row],[resolution_hrs]]&lt;=48,"Slow","Very Slow")))</f>
        <v>Very Slow</v>
      </c>
      <c r="Q1958" s="3">
        <f>YEAR(Ticket_Table[[#This Row],[raised_date]])</f>
        <v>2021</v>
      </c>
    </row>
    <row r="1959" spans="1:17">
      <c r="A1959" t="s">
        <v>2519</v>
      </c>
      <c r="B1959" t="s">
        <v>733</v>
      </c>
      <c r="C1959" t="s">
        <v>287</v>
      </c>
      <c r="D1959" t="s">
        <v>90</v>
      </c>
      <c r="E1959" t="s">
        <v>21</v>
      </c>
      <c r="F1959" t="s">
        <v>70</v>
      </c>
      <c r="G1959" t="s">
        <v>46</v>
      </c>
      <c r="H1959" s="1">
        <v>45283</v>
      </c>
      <c r="I1959" s="2">
        <v>45285.8583333333</v>
      </c>
      <c r="J1959">
        <v>68.6</v>
      </c>
      <c r="K1959" t="s">
        <v>32</v>
      </c>
      <c r="L1959">
        <v>0</v>
      </c>
      <c r="M1959">
        <v>4</v>
      </c>
      <c r="N1959" t="s">
        <v>886</v>
      </c>
      <c r="O1959" s="3" t="str">
        <f>TEXT(Ticket_Table[[#This Row],[raised_date]],"YYYY-MM")</f>
        <v>2023-12</v>
      </c>
      <c r="P1959" s="3" t="str">
        <f>IF(Ticket_Table[[#This Row],[resolution_hrs]]&lt;=4,"Fast",IF(Ticket_Table[[#This Row],[resolution_hrs]]&lt;=24,"Normal",IF(Ticket_Table[[#This Row],[resolution_hrs]]&lt;=48,"Slow","Very Slow")))</f>
        <v>Very Slow</v>
      </c>
      <c r="Q1959" s="3">
        <f>YEAR(Ticket_Table[[#This Row],[raised_date]])</f>
        <v>2023</v>
      </c>
    </row>
    <row r="1960" spans="1:17">
      <c r="A1960" t="s">
        <v>2520</v>
      </c>
      <c r="B1960" t="s">
        <v>780</v>
      </c>
      <c r="C1960" t="s">
        <v>95</v>
      </c>
      <c r="D1960" t="s">
        <v>43</v>
      </c>
      <c r="E1960" t="s">
        <v>21</v>
      </c>
      <c r="F1960" t="s">
        <v>38</v>
      </c>
      <c r="G1960" t="s">
        <v>23</v>
      </c>
      <c r="H1960" s="1">
        <v>44214</v>
      </c>
      <c r="I1960" s="2">
        <v>44214.525</v>
      </c>
      <c r="J1960">
        <v>12.6</v>
      </c>
      <c r="K1960" t="s">
        <v>24</v>
      </c>
      <c r="L1960">
        <v>0</v>
      </c>
      <c r="M1960">
        <v>3</v>
      </c>
      <c r="N1960" t="s">
        <v>1143</v>
      </c>
      <c r="O1960" s="3" t="str">
        <f>TEXT(Ticket_Table[[#This Row],[raised_date]],"YYYY-MM")</f>
        <v>2021-01</v>
      </c>
      <c r="P1960" s="3" t="str">
        <f>IF(Ticket_Table[[#This Row],[resolution_hrs]]&lt;=4,"Fast",IF(Ticket_Table[[#This Row],[resolution_hrs]]&lt;=24,"Normal",IF(Ticket_Table[[#This Row],[resolution_hrs]]&lt;=48,"Slow","Very Slow")))</f>
        <v>Normal</v>
      </c>
      <c r="Q1960" s="3">
        <f>YEAR(Ticket_Table[[#This Row],[raised_date]])</f>
        <v>2021</v>
      </c>
    </row>
    <row r="1961" spans="1:17">
      <c r="A1961" t="s">
        <v>2521</v>
      </c>
      <c r="B1961" t="s">
        <v>735</v>
      </c>
      <c r="C1961" t="s">
        <v>102</v>
      </c>
      <c r="D1961" t="s">
        <v>29</v>
      </c>
      <c r="E1961" t="s">
        <v>30</v>
      </c>
      <c r="F1961" t="s">
        <v>22</v>
      </c>
      <c r="G1961" t="s">
        <v>74</v>
      </c>
      <c r="H1961" s="1">
        <v>44533</v>
      </c>
      <c r="I1961" s="2">
        <v>44536.3416666667</v>
      </c>
      <c r="J1961">
        <v>80.2</v>
      </c>
      <c r="K1961" t="s">
        <v>32</v>
      </c>
      <c r="L1961">
        <v>1</v>
      </c>
      <c r="M1961">
        <v>3</v>
      </c>
      <c r="N1961" t="s">
        <v>612</v>
      </c>
      <c r="O1961" s="3" t="str">
        <f>TEXT(Ticket_Table[[#This Row],[raised_date]],"YYYY-MM")</f>
        <v>2021-12</v>
      </c>
      <c r="P1961" s="3" t="str">
        <f>IF(Ticket_Table[[#This Row],[resolution_hrs]]&lt;=4,"Fast",IF(Ticket_Table[[#This Row],[resolution_hrs]]&lt;=24,"Normal",IF(Ticket_Table[[#This Row],[resolution_hrs]]&lt;=48,"Slow","Very Slow")))</f>
        <v>Very Slow</v>
      </c>
      <c r="Q1961" s="3">
        <f>YEAR(Ticket_Table[[#This Row],[raised_date]])</f>
        <v>2021</v>
      </c>
    </row>
    <row r="1962" spans="1:17">
      <c r="A1962" t="s">
        <v>2522</v>
      </c>
      <c r="B1962" t="s">
        <v>782</v>
      </c>
      <c r="C1962" t="s">
        <v>261</v>
      </c>
      <c r="D1962" t="s">
        <v>36</v>
      </c>
      <c r="E1962" t="s">
        <v>69</v>
      </c>
      <c r="F1962" t="s">
        <v>22</v>
      </c>
      <c r="G1962" t="s">
        <v>23</v>
      </c>
      <c r="H1962" s="1">
        <v>45098</v>
      </c>
      <c r="I1962" s="2">
        <v>45098.9583333333</v>
      </c>
      <c r="J1962">
        <v>23</v>
      </c>
      <c r="K1962" t="s">
        <v>24</v>
      </c>
      <c r="L1962">
        <v>1</v>
      </c>
      <c r="M1962">
        <v>3</v>
      </c>
      <c r="N1962" t="s">
        <v>950</v>
      </c>
      <c r="O1962" s="3" t="str">
        <f>TEXT(Ticket_Table[[#This Row],[raised_date]],"YYYY-MM")</f>
        <v>2023-06</v>
      </c>
      <c r="P1962" s="3" t="str">
        <f>IF(Ticket_Table[[#This Row],[resolution_hrs]]&lt;=4,"Fast",IF(Ticket_Table[[#This Row],[resolution_hrs]]&lt;=24,"Normal",IF(Ticket_Table[[#This Row],[resolution_hrs]]&lt;=48,"Slow","Very Slow")))</f>
        <v>Normal</v>
      </c>
      <c r="Q1962" s="3">
        <f>YEAR(Ticket_Table[[#This Row],[raised_date]])</f>
        <v>2023</v>
      </c>
    </row>
    <row r="1963" spans="1:17">
      <c r="A1963" t="s">
        <v>2523</v>
      </c>
      <c r="B1963" t="s">
        <v>817</v>
      </c>
      <c r="C1963" t="s">
        <v>175</v>
      </c>
      <c r="D1963" t="s">
        <v>20</v>
      </c>
      <c r="E1963" t="s">
        <v>44</v>
      </c>
      <c r="F1963" t="s">
        <v>70</v>
      </c>
      <c r="G1963" t="s">
        <v>31</v>
      </c>
      <c r="H1963" s="1">
        <v>44916</v>
      </c>
      <c r="I1963" s="2">
        <v>44916.5875</v>
      </c>
      <c r="J1963">
        <v>14.1</v>
      </c>
      <c r="K1963" t="s">
        <v>24</v>
      </c>
      <c r="L1963">
        <v>0</v>
      </c>
      <c r="M1963">
        <v>4</v>
      </c>
      <c r="N1963" t="s">
        <v>895</v>
      </c>
      <c r="O1963" s="3" t="str">
        <f>TEXT(Ticket_Table[[#This Row],[raised_date]],"YYYY-MM")</f>
        <v>2022-12</v>
      </c>
      <c r="P1963" s="3" t="str">
        <f>IF(Ticket_Table[[#This Row],[resolution_hrs]]&lt;=4,"Fast",IF(Ticket_Table[[#This Row],[resolution_hrs]]&lt;=24,"Normal",IF(Ticket_Table[[#This Row],[resolution_hrs]]&lt;=48,"Slow","Very Slow")))</f>
        <v>Normal</v>
      </c>
      <c r="Q1963" s="3">
        <f>YEAR(Ticket_Table[[#This Row],[raised_date]])</f>
        <v>2022</v>
      </c>
    </row>
    <row r="1964" spans="1:17">
      <c r="A1964" t="s">
        <v>2524</v>
      </c>
      <c r="B1964" t="s">
        <v>592</v>
      </c>
      <c r="C1964" t="s">
        <v>28</v>
      </c>
      <c r="D1964" t="s">
        <v>20</v>
      </c>
      <c r="E1964" t="s">
        <v>44</v>
      </c>
      <c r="F1964" t="s">
        <v>45</v>
      </c>
      <c r="G1964" t="s">
        <v>46</v>
      </c>
      <c r="H1964" s="1">
        <v>44633</v>
      </c>
      <c r="I1964" s="2">
        <v>44633.2458333333</v>
      </c>
      <c r="J1964">
        <v>5.9</v>
      </c>
      <c r="K1964" t="s">
        <v>32</v>
      </c>
      <c r="L1964">
        <v>0</v>
      </c>
      <c r="M1964">
        <v>4</v>
      </c>
      <c r="N1964" t="s">
        <v>504</v>
      </c>
      <c r="O1964" s="3" t="str">
        <f>TEXT(Ticket_Table[[#This Row],[raised_date]],"YYYY-MM")</f>
        <v>2022-03</v>
      </c>
      <c r="P1964" s="3" t="str">
        <f>IF(Ticket_Table[[#This Row],[resolution_hrs]]&lt;=4,"Fast",IF(Ticket_Table[[#This Row],[resolution_hrs]]&lt;=24,"Normal",IF(Ticket_Table[[#This Row],[resolution_hrs]]&lt;=48,"Slow","Very Slow")))</f>
        <v>Normal</v>
      </c>
      <c r="Q1964" s="3">
        <f>YEAR(Ticket_Table[[#This Row],[raised_date]])</f>
        <v>2022</v>
      </c>
    </row>
    <row r="1965" spans="1:17">
      <c r="A1965" t="s">
        <v>2525</v>
      </c>
      <c r="B1965" t="s">
        <v>866</v>
      </c>
      <c r="C1965" t="s">
        <v>287</v>
      </c>
      <c r="D1965" t="s">
        <v>90</v>
      </c>
      <c r="E1965" t="s">
        <v>51</v>
      </c>
      <c r="F1965" t="s">
        <v>38</v>
      </c>
      <c r="G1965" t="s">
        <v>23</v>
      </c>
      <c r="H1965" s="1">
        <v>44507</v>
      </c>
      <c r="I1965" s="2">
        <v>44507.5708333333</v>
      </c>
      <c r="J1965">
        <v>13.7</v>
      </c>
      <c r="K1965" t="s">
        <v>24</v>
      </c>
      <c r="L1965">
        <v>0</v>
      </c>
      <c r="M1965">
        <v>5</v>
      </c>
      <c r="N1965" t="s">
        <v>687</v>
      </c>
      <c r="O1965" s="3" t="str">
        <f>TEXT(Ticket_Table[[#This Row],[raised_date]],"YYYY-MM")</f>
        <v>2021-11</v>
      </c>
      <c r="P1965" s="3" t="str">
        <f>IF(Ticket_Table[[#This Row],[resolution_hrs]]&lt;=4,"Fast",IF(Ticket_Table[[#This Row],[resolution_hrs]]&lt;=24,"Normal",IF(Ticket_Table[[#This Row],[resolution_hrs]]&lt;=48,"Slow","Very Slow")))</f>
        <v>Normal</v>
      </c>
      <c r="Q1965" s="3">
        <f>YEAR(Ticket_Table[[#This Row],[raised_date]])</f>
        <v>2021</v>
      </c>
    </row>
    <row r="1966" spans="1:17">
      <c r="A1966" t="s">
        <v>2526</v>
      </c>
      <c r="B1966" t="s">
        <v>52</v>
      </c>
      <c r="C1966" t="s">
        <v>140</v>
      </c>
      <c r="D1966" t="s">
        <v>20</v>
      </c>
      <c r="E1966" t="s">
        <v>37</v>
      </c>
      <c r="F1966" t="s">
        <v>70</v>
      </c>
      <c r="G1966" t="s">
        <v>23</v>
      </c>
      <c r="H1966" s="1">
        <v>45040</v>
      </c>
      <c r="I1966" s="2">
        <v>45040.2583333333</v>
      </c>
      <c r="J1966">
        <v>6.2</v>
      </c>
      <c r="K1966" t="s">
        <v>24</v>
      </c>
      <c r="L1966">
        <v>0</v>
      </c>
      <c r="M1966">
        <v>4</v>
      </c>
      <c r="N1966" t="s">
        <v>340</v>
      </c>
      <c r="O1966" s="3" t="str">
        <f>TEXT(Ticket_Table[[#This Row],[raised_date]],"YYYY-MM")</f>
        <v>2023-04</v>
      </c>
      <c r="P1966" s="3" t="str">
        <f>IF(Ticket_Table[[#This Row],[resolution_hrs]]&lt;=4,"Fast",IF(Ticket_Table[[#This Row],[resolution_hrs]]&lt;=24,"Normal",IF(Ticket_Table[[#This Row],[resolution_hrs]]&lt;=48,"Slow","Very Slow")))</f>
        <v>Normal</v>
      </c>
      <c r="Q1966" s="3">
        <f>YEAR(Ticket_Table[[#This Row],[raised_date]])</f>
        <v>2023</v>
      </c>
    </row>
    <row r="1967" spans="1:17">
      <c r="A1967" t="s">
        <v>2527</v>
      </c>
      <c r="B1967" t="s">
        <v>1474</v>
      </c>
      <c r="C1967" t="s">
        <v>213</v>
      </c>
      <c r="D1967" t="s">
        <v>29</v>
      </c>
      <c r="E1967" t="s">
        <v>30</v>
      </c>
      <c r="F1967" t="s">
        <v>70</v>
      </c>
      <c r="G1967" t="s">
        <v>46</v>
      </c>
      <c r="H1967" s="1">
        <v>45103</v>
      </c>
      <c r="I1967" s="2">
        <v>45103.1291666667</v>
      </c>
      <c r="J1967">
        <v>3.1</v>
      </c>
      <c r="K1967" t="s">
        <v>24</v>
      </c>
      <c r="L1967">
        <v>0</v>
      </c>
      <c r="M1967">
        <v>5</v>
      </c>
      <c r="N1967" t="s">
        <v>506</v>
      </c>
      <c r="O1967" s="3" t="str">
        <f>TEXT(Ticket_Table[[#This Row],[raised_date]],"YYYY-MM")</f>
        <v>2023-06</v>
      </c>
      <c r="P1967" s="3" t="str">
        <f>IF(Ticket_Table[[#This Row],[resolution_hrs]]&lt;=4,"Fast",IF(Ticket_Table[[#This Row],[resolution_hrs]]&lt;=24,"Normal",IF(Ticket_Table[[#This Row],[resolution_hrs]]&lt;=48,"Slow","Very Slow")))</f>
        <v>Fast</v>
      </c>
      <c r="Q1967" s="3">
        <f>YEAR(Ticket_Table[[#This Row],[raised_date]])</f>
        <v>2023</v>
      </c>
    </row>
    <row r="1968" spans="1:17">
      <c r="A1968" t="s">
        <v>2528</v>
      </c>
      <c r="B1968" t="s">
        <v>884</v>
      </c>
      <c r="C1968" t="s">
        <v>82</v>
      </c>
      <c r="D1968" t="s">
        <v>20</v>
      </c>
      <c r="E1968" t="s">
        <v>69</v>
      </c>
      <c r="F1968" t="s">
        <v>22</v>
      </c>
      <c r="G1968" t="s">
        <v>46</v>
      </c>
      <c r="H1968" s="1">
        <v>44641</v>
      </c>
      <c r="I1968" s="2">
        <v>44641.5541666667</v>
      </c>
      <c r="J1968">
        <v>13.3</v>
      </c>
      <c r="K1968" t="s">
        <v>24</v>
      </c>
      <c r="L1968">
        <v>0</v>
      </c>
      <c r="M1968">
        <v>1</v>
      </c>
      <c r="N1968" t="s">
        <v>597</v>
      </c>
      <c r="O1968" s="3" t="str">
        <f>TEXT(Ticket_Table[[#This Row],[raised_date]],"YYYY-MM")</f>
        <v>2022-03</v>
      </c>
      <c r="P1968" s="3" t="str">
        <f>IF(Ticket_Table[[#This Row],[resolution_hrs]]&lt;=4,"Fast",IF(Ticket_Table[[#This Row],[resolution_hrs]]&lt;=24,"Normal",IF(Ticket_Table[[#This Row],[resolution_hrs]]&lt;=48,"Slow","Very Slow")))</f>
        <v>Normal</v>
      </c>
      <c r="Q1968" s="3">
        <f>YEAR(Ticket_Table[[#This Row],[raised_date]])</f>
        <v>2022</v>
      </c>
    </row>
    <row r="1969" spans="1:17">
      <c r="A1969" t="s">
        <v>2529</v>
      </c>
      <c r="B1969" t="s">
        <v>1100</v>
      </c>
      <c r="C1969" t="s">
        <v>287</v>
      </c>
      <c r="D1969" t="s">
        <v>29</v>
      </c>
      <c r="E1969" t="s">
        <v>30</v>
      </c>
      <c r="F1969" t="s">
        <v>45</v>
      </c>
      <c r="G1969" t="s">
        <v>23</v>
      </c>
      <c r="H1969" s="1">
        <v>44374</v>
      </c>
      <c r="I1969" s="2">
        <v>44374.1041666667</v>
      </c>
      <c r="J1969">
        <v>2.5</v>
      </c>
      <c r="K1969" t="s">
        <v>24</v>
      </c>
      <c r="L1969">
        <v>1</v>
      </c>
      <c r="M1969">
        <v>4</v>
      </c>
      <c r="N1969" t="s">
        <v>1143</v>
      </c>
      <c r="O1969" s="3" t="str">
        <f>TEXT(Ticket_Table[[#This Row],[raised_date]],"YYYY-MM")</f>
        <v>2021-06</v>
      </c>
      <c r="P1969" s="3" t="str">
        <f>IF(Ticket_Table[[#This Row],[resolution_hrs]]&lt;=4,"Fast",IF(Ticket_Table[[#This Row],[resolution_hrs]]&lt;=24,"Normal",IF(Ticket_Table[[#This Row],[resolution_hrs]]&lt;=48,"Slow","Very Slow")))</f>
        <v>Fast</v>
      </c>
      <c r="Q1969" s="3">
        <f>YEAR(Ticket_Table[[#This Row],[raised_date]])</f>
        <v>2021</v>
      </c>
    </row>
    <row r="1970" spans="1:17">
      <c r="A1970" t="s">
        <v>2530</v>
      </c>
      <c r="B1970" t="s">
        <v>92</v>
      </c>
      <c r="C1970" t="s">
        <v>78</v>
      </c>
      <c r="D1970" t="s">
        <v>29</v>
      </c>
      <c r="E1970" t="s">
        <v>83</v>
      </c>
      <c r="F1970" t="s">
        <v>38</v>
      </c>
      <c r="G1970" t="s">
        <v>46</v>
      </c>
      <c r="H1970" s="1">
        <v>44402</v>
      </c>
      <c r="I1970" s="2">
        <v>44402.325</v>
      </c>
      <c r="J1970">
        <v>7.8</v>
      </c>
      <c r="K1970" t="s">
        <v>24</v>
      </c>
      <c r="L1970">
        <v>2</v>
      </c>
      <c r="M1970">
        <v>3</v>
      </c>
      <c r="N1970" t="s">
        <v>387</v>
      </c>
      <c r="O1970" s="3" t="str">
        <f>TEXT(Ticket_Table[[#This Row],[raised_date]],"YYYY-MM")</f>
        <v>2021-07</v>
      </c>
      <c r="P1970" s="3" t="str">
        <f>IF(Ticket_Table[[#This Row],[resolution_hrs]]&lt;=4,"Fast",IF(Ticket_Table[[#This Row],[resolution_hrs]]&lt;=24,"Normal",IF(Ticket_Table[[#This Row],[resolution_hrs]]&lt;=48,"Slow","Very Slow")))</f>
        <v>Normal</v>
      </c>
      <c r="Q1970" s="3">
        <f>YEAR(Ticket_Table[[#This Row],[raised_date]])</f>
        <v>2021</v>
      </c>
    </row>
    <row r="1971" spans="1:17">
      <c r="A1971" t="s">
        <v>2531</v>
      </c>
      <c r="B1971" t="s">
        <v>858</v>
      </c>
      <c r="C1971" t="s">
        <v>64</v>
      </c>
      <c r="D1971" t="s">
        <v>43</v>
      </c>
      <c r="E1971" t="s">
        <v>166</v>
      </c>
      <c r="F1971" t="s">
        <v>22</v>
      </c>
      <c r="G1971" t="s">
        <v>23</v>
      </c>
      <c r="H1971" s="1">
        <v>44483</v>
      </c>
      <c r="I1971" s="2">
        <v>44485.6541666667</v>
      </c>
      <c r="J1971">
        <v>63.7</v>
      </c>
      <c r="K1971" t="s">
        <v>24</v>
      </c>
      <c r="L1971">
        <v>0</v>
      </c>
      <c r="M1971">
        <v>3</v>
      </c>
      <c r="N1971" t="s">
        <v>464</v>
      </c>
      <c r="O1971" s="3" t="str">
        <f>TEXT(Ticket_Table[[#This Row],[raised_date]],"YYYY-MM")</f>
        <v>2021-10</v>
      </c>
      <c r="P1971" s="3" t="str">
        <f>IF(Ticket_Table[[#This Row],[resolution_hrs]]&lt;=4,"Fast",IF(Ticket_Table[[#This Row],[resolution_hrs]]&lt;=24,"Normal",IF(Ticket_Table[[#This Row],[resolution_hrs]]&lt;=48,"Slow","Very Slow")))</f>
        <v>Very Slow</v>
      </c>
      <c r="Q1971" s="3">
        <f>YEAR(Ticket_Table[[#This Row],[raised_date]])</f>
        <v>2021</v>
      </c>
    </row>
    <row r="1972" spans="1:17">
      <c r="A1972" t="s">
        <v>2532</v>
      </c>
      <c r="B1972" t="s">
        <v>305</v>
      </c>
      <c r="C1972" t="s">
        <v>213</v>
      </c>
      <c r="D1972" t="s">
        <v>90</v>
      </c>
      <c r="E1972" t="s">
        <v>56</v>
      </c>
      <c r="F1972" t="s">
        <v>70</v>
      </c>
      <c r="G1972" t="s">
        <v>23</v>
      </c>
      <c r="H1972" s="1">
        <v>44449</v>
      </c>
      <c r="I1972" s="2">
        <v>44451.3083333333</v>
      </c>
      <c r="J1972">
        <v>55.4</v>
      </c>
      <c r="K1972" t="s">
        <v>32</v>
      </c>
      <c r="L1972">
        <v>0</v>
      </c>
      <c r="M1972">
        <v>4</v>
      </c>
      <c r="N1972" t="s">
        <v>266</v>
      </c>
      <c r="O1972" s="3" t="str">
        <f>TEXT(Ticket_Table[[#This Row],[raised_date]],"YYYY-MM")</f>
        <v>2021-09</v>
      </c>
      <c r="P1972" s="3" t="str">
        <f>IF(Ticket_Table[[#This Row],[resolution_hrs]]&lt;=4,"Fast",IF(Ticket_Table[[#This Row],[resolution_hrs]]&lt;=24,"Normal",IF(Ticket_Table[[#This Row],[resolution_hrs]]&lt;=48,"Slow","Very Slow")))</f>
        <v>Very Slow</v>
      </c>
      <c r="Q1972" s="3">
        <f>YEAR(Ticket_Table[[#This Row],[raised_date]])</f>
        <v>2021</v>
      </c>
    </row>
    <row r="1973" spans="1:17">
      <c r="A1973" t="s">
        <v>2533</v>
      </c>
      <c r="B1973" t="s">
        <v>223</v>
      </c>
      <c r="C1973" t="s">
        <v>261</v>
      </c>
      <c r="D1973" t="s">
        <v>36</v>
      </c>
      <c r="E1973" t="s">
        <v>83</v>
      </c>
      <c r="F1973" t="s">
        <v>22</v>
      </c>
      <c r="G1973" t="s">
        <v>23</v>
      </c>
      <c r="H1973" s="1">
        <v>44983</v>
      </c>
      <c r="I1973" s="2">
        <v>44983.2375</v>
      </c>
      <c r="J1973">
        <v>5.7</v>
      </c>
      <c r="K1973" t="s">
        <v>24</v>
      </c>
      <c r="L1973">
        <v>0</v>
      </c>
      <c r="M1973">
        <v>4</v>
      </c>
      <c r="N1973" t="s">
        <v>616</v>
      </c>
      <c r="O1973" s="3" t="str">
        <f>TEXT(Ticket_Table[[#This Row],[raised_date]],"YYYY-MM")</f>
        <v>2023-02</v>
      </c>
      <c r="P1973" s="3" t="str">
        <f>IF(Ticket_Table[[#This Row],[resolution_hrs]]&lt;=4,"Fast",IF(Ticket_Table[[#This Row],[resolution_hrs]]&lt;=24,"Normal",IF(Ticket_Table[[#This Row],[resolution_hrs]]&lt;=48,"Slow","Very Slow")))</f>
        <v>Normal</v>
      </c>
      <c r="Q1973" s="3">
        <f>YEAR(Ticket_Table[[#This Row],[raised_date]])</f>
        <v>2023</v>
      </c>
    </row>
    <row r="1974" spans="1:17">
      <c r="A1974" t="s">
        <v>2534</v>
      </c>
      <c r="B1974" t="s">
        <v>1164</v>
      </c>
      <c r="C1974" t="s">
        <v>201</v>
      </c>
      <c r="D1974" t="s">
        <v>29</v>
      </c>
      <c r="E1974" t="s">
        <v>83</v>
      </c>
      <c r="F1974" t="s">
        <v>45</v>
      </c>
      <c r="G1974" t="s">
        <v>46</v>
      </c>
      <c r="H1974" s="1">
        <v>44916</v>
      </c>
      <c r="I1974" s="2">
        <v>44916.0458333333</v>
      </c>
      <c r="J1974">
        <v>1.1</v>
      </c>
      <c r="K1974" t="s">
        <v>24</v>
      </c>
      <c r="L1974">
        <v>0</v>
      </c>
      <c r="M1974">
        <v>3</v>
      </c>
      <c r="N1974" t="s">
        <v>180</v>
      </c>
      <c r="O1974" s="3" t="str">
        <f>TEXT(Ticket_Table[[#This Row],[raised_date]],"YYYY-MM")</f>
        <v>2022-12</v>
      </c>
      <c r="P1974" s="3" t="str">
        <f>IF(Ticket_Table[[#This Row],[resolution_hrs]]&lt;=4,"Fast",IF(Ticket_Table[[#This Row],[resolution_hrs]]&lt;=24,"Normal",IF(Ticket_Table[[#This Row],[resolution_hrs]]&lt;=48,"Slow","Very Slow")))</f>
        <v>Fast</v>
      </c>
      <c r="Q1974" s="3">
        <f>YEAR(Ticket_Table[[#This Row],[raised_date]])</f>
        <v>2022</v>
      </c>
    </row>
    <row r="1975" spans="1:17">
      <c r="A1975" t="s">
        <v>2535</v>
      </c>
      <c r="B1975" t="s">
        <v>462</v>
      </c>
      <c r="C1975" t="s">
        <v>213</v>
      </c>
      <c r="D1975" t="s">
        <v>90</v>
      </c>
      <c r="E1975" t="s">
        <v>69</v>
      </c>
      <c r="F1975" t="s">
        <v>22</v>
      </c>
      <c r="G1975" t="s">
        <v>23</v>
      </c>
      <c r="H1975" s="1">
        <v>45076</v>
      </c>
      <c r="I1975" s="2">
        <v>45076.925</v>
      </c>
      <c r="J1975">
        <v>22.2</v>
      </c>
      <c r="K1975" t="s">
        <v>24</v>
      </c>
      <c r="L1975">
        <v>0</v>
      </c>
      <c r="M1975">
        <v>4</v>
      </c>
      <c r="N1975" t="s">
        <v>835</v>
      </c>
      <c r="O1975" s="3" t="str">
        <f>TEXT(Ticket_Table[[#This Row],[raised_date]],"YYYY-MM")</f>
        <v>2023-05</v>
      </c>
      <c r="P1975" s="3" t="str">
        <f>IF(Ticket_Table[[#This Row],[resolution_hrs]]&lt;=4,"Fast",IF(Ticket_Table[[#This Row],[resolution_hrs]]&lt;=24,"Normal",IF(Ticket_Table[[#This Row],[resolution_hrs]]&lt;=48,"Slow","Very Slow")))</f>
        <v>Normal</v>
      </c>
      <c r="Q1975" s="3">
        <f>YEAR(Ticket_Table[[#This Row],[raised_date]])</f>
        <v>2023</v>
      </c>
    </row>
    <row r="1976" spans="1:17">
      <c r="A1976" t="s">
        <v>2536</v>
      </c>
      <c r="B1976" t="s">
        <v>149</v>
      </c>
      <c r="C1976" t="s">
        <v>19</v>
      </c>
      <c r="D1976" t="s">
        <v>36</v>
      </c>
      <c r="E1976" t="s">
        <v>166</v>
      </c>
      <c r="F1976" t="s">
        <v>70</v>
      </c>
      <c r="G1976" t="s">
        <v>74</v>
      </c>
      <c r="H1976" s="1">
        <v>44841</v>
      </c>
      <c r="I1976" s="2">
        <v>44841.5583333333</v>
      </c>
      <c r="J1976">
        <v>13.4</v>
      </c>
      <c r="K1976" t="s">
        <v>24</v>
      </c>
      <c r="L1976">
        <v>1</v>
      </c>
      <c r="M1976">
        <v>4</v>
      </c>
      <c r="N1976" t="s">
        <v>1080</v>
      </c>
      <c r="O1976" s="3" t="str">
        <f>TEXT(Ticket_Table[[#This Row],[raised_date]],"YYYY-MM")</f>
        <v>2022-10</v>
      </c>
      <c r="P1976" s="3" t="str">
        <f>IF(Ticket_Table[[#This Row],[resolution_hrs]]&lt;=4,"Fast",IF(Ticket_Table[[#This Row],[resolution_hrs]]&lt;=24,"Normal",IF(Ticket_Table[[#This Row],[resolution_hrs]]&lt;=48,"Slow","Very Slow")))</f>
        <v>Normal</v>
      </c>
      <c r="Q1976" s="3">
        <f>YEAR(Ticket_Table[[#This Row],[raised_date]])</f>
        <v>2022</v>
      </c>
    </row>
    <row r="1977" spans="1:17">
      <c r="A1977" t="s">
        <v>2537</v>
      </c>
      <c r="B1977" t="s">
        <v>385</v>
      </c>
      <c r="C1977" t="s">
        <v>64</v>
      </c>
      <c r="D1977" t="s">
        <v>20</v>
      </c>
      <c r="E1977" t="s">
        <v>44</v>
      </c>
      <c r="F1977" t="s">
        <v>22</v>
      </c>
      <c r="G1977" t="s">
        <v>31</v>
      </c>
      <c r="H1977" s="1">
        <v>44483</v>
      </c>
      <c r="I1977" s="2">
        <v>44486.9875</v>
      </c>
      <c r="J1977">
        <v>95.7</v>
      </c>
      <c r="K1977" t="s">
        <v>32</v>
      </c>
      <c r="L1977">
        <v>1</v>
      </c>
      <c r="M1977">
        <v>5</v>
      </c>
      <c r="N1977" t="s">
        <v>355</v>
      </c>
      <c r="O1977" s="3" t="str">
        <f>TEXT(Ticket_Table[[#This Row],[raised_date]],"YYYY-MM")</f>
        <v>2021-10</v>
      </c>
      <c r="P1977" s="3" t="str">
        <f>IF(Ticket_Table[[#This Row],[resolution_hrs]]&lt;=4,"Fast",IF(Ticket_Table[[#This Row],[resolution_hrs]]&lt;=24,"Normal",IF(Ticket_Table[[#This Row],[resolution_hrs]]&lt;=48,"Slow","Very Slow")))</f>
        <v>Very Slow</v>
      </c>
      <c r="Q1977" s="3">
        <f>YEAR(Ticket_Table[[#This Row],[raised_date]])</f>
        <v>2021</v>
      </c>
    </row>
    <row r="1978" spans="1:17">
      <c r="A1978" t="s">
        <v>2538</v>
      </c>
      <c r="B1978" t="s">
        <v>1154</v>
      </c>
      <c r="C1978" t="s">
        <v>95</v>
      </c>
      <c r="D1978" t="s">
        <v>90</v>
      </c>
      <c r="E1978" t="s">
        <v>44</v>
      </c>
      <c r="F1978" t="s">
        <v>38</v>
      </c>
      <c r="G1978" t="s">
        <v>23</v>
      </c>
      <c r="H1978" s="1">
        <v>44704</v>
      </c>
      <c r="I1978" s="2">
        <v>44705.0916666667</v>
      </c>
      <c r="J1978">
        <v>26.2</v>
      </c>
      <c r="K1978" t="s">
        <v>32</v>
      </c>
      <c r="L1978">
        <v>0</v>
      </c>
      <c r="M1978">
        <v>1</v>
      </c>
      <c r="N1978" t="s">
        <v>374</v>
      </c>
      <c r="O1978" s="3" t="str">
        <f>TEXT(Ticket_Table[[#This Row],[raised_date]],"YYYY-MM")</f>
        <v>2022-05</v>
      </c>
      <c r="P1978" s="3" t="str">
        <f>IF(Ticket_Table[[#This Row],[resolution_hrs]]&lt;=4,"Fast",IF(Ticket_Table[[#This Row],[resolution_hrs]]&lt;=24,"Normal",IF(Ticket_Table[[#This Row],[resolution_hrs]]&lt;=48,"Slow","Very Slow")))</f>
        <v>Slow</v>
      </c>
      <c r="Q1978" s="3">
        <f>YEAR(Ticket_Table[[#This Row],[raised_date]])</f>
        <v>2022</v>
      </c>
    </row>
    <row r="1979" spans="1:17">
      <c r="A1979" t="s">
        <v>2539</v>
      </c>
      <c r="B1979" t="s">
        <v>1291</v>
      </c>
      <c r="C1979" t="s">
        <v>42</v>
      </c>
      <c r="D1979" t="s">
        <v>90</v>
      </c>
      <c r="E1979" t="s">
        <v>83</v>
      </c>
      <c r="F1979" t="s">
        <v>38</v>
      </c>
      <c r="G1979" t="s">
        <v>31</v>
      </c>
      <c r="H1979" s="1">
        <v>44764</v>
      </c>
      <c r="I1979" s="2">
        <v>44764.5375</v>
      </c>
      <c r="J1979">
        <v>12.9</v>
      </c>
      <c r="K1979" t="s">
        <v>24</v>
      </c>
      <c r="L1979">
        <v>0</v>
      </c>
      <c r="M1979">
        <v>2</v>
      </c>
      <c r="N1979" t="s">
        <v>541</v>
      </c>
      <c r="O1979" s="3" t="str">
        <f>TEXT(Ticket_Table[[#This Row],[raised_date]],"YYYY-MM")</f>
        <v>2022-07</v>
      </c>
      <c r="P1979" s="3" t="str">
        <f>IF(Ticket_Table[[#This Row],[resolution_hrs]]&lt;=4,"Fast",IF(Ticket_Table[[#This Row],[resolution_hrs]]&lt;=24,"Normal",IF(Ticket_Table[[#This Row],[resolution_hrs]]&lt;=48,"Slow","Very Slow")))</f>
        <v>Normal</v>
      </c>
      <c r="Q1979" s="3">
        <f>YEAR(Ticket_Table[[#This Row],[raised_date]])</f>
        <v>2022</v>
      </c>
    </row>
    <row r="1980" spans="1:17">
      <c r="A1980" t="s">
        <v>2540</v>
      </c>
      <c r="B1980" t="s">
        <v>284</v>
      </c>
      <c r="C1980" t="s">
        <v>19</v>
      </c>
      <c r="D1980" t="s">
        <v>90</v>
      </c>
      <c r="E1980" t="s">
        <v>37</v>
      </c>
      <c r="F1980" t="s">
        <v>38</v>
      </c>
      <c r="G1980" t="s">
        <v>31</v>
      </c>
      <c r="H1980" s="1">
        <v>44369</v>
      </c>
      <c r="I1980" s="2">
        <v>44369.85</v>
      </c>
      <c r="J1980">
        <v>20.4</v>
      </c>
      <c r="K1980" t="s">
        <v>24</v>
      </c>
      <c r="L1980">
        <v>2</v>
      </c>
      <c r="M1980">
        <v>4</v>
      </c>
      <c r="N1980" t="s">
        <v>27</v>
      </c>
      <c r="O1980" s="3" t="str">
        <f>TEXT(Ticket_Table[[#This Row],[raised_date]],"YYYY-MM")</f>
        <v>2021-06</v>
      </c>
      <c r="P1980" s="3" t="str">
        <f>IF(Ticket_Table[[#This Row],[resolution_hrs]]&lt;=4,"Fast",IF(Ticket_Table[[#This Row],[resolution_hrs]]&lt;=24,"Normal",IF(Ticket_Table[[#This Row],[resolution_hrs]]&lt;=48,"Slow","Very Slow")))</f>
        <v>Normal</v>
      </c>
      <c r="Q1980" s="3">
        <f>YEAR(Ticket_Table[[#This Row],[raised_date]])</f>
        <v>2021</v>
      </c>
    </row>
    <row r="1981" spans="1:17">
      <c r="A1981" t="s">
        <v>2541</v>
      </c>
      <c r="B1981" t="s">
        <v>246</v>
      </c>
      <c r="C1981" t="s">
        <v>68</v>
      </c>
      <c r="D1981" t="s">
        <v>20</v>
      </c>
      <c r="E1981" t="s">
        <v>44</v>
      </c>
      <c r="F1981" t="s">
        <v>70</v>
      </c>
      <c r="G1981" t="s">
        <v>31</v>
      </c>
      <c r="H1981" s="1">
        <v>44705</v>
      </c>
      <c r="I1981" s="2">
        <v>44705.5708333333</v>
      </c>
      <c r="J1981">
        <v>13.7</v>
      </c>
      <c r="K1981" t="s">
        <v>24</v>
      </c>
      <c r="L1981">
        <v>1</v>
      </c>
      <c r="M1981">
        <v>4</v>
      </c>
      <c r="N1981" t="s">
        <v>358</v>
      </c>
      <c r="O1981" s="3" t="str">
        <f>TEXT(Ticket_Table[[#This Row],[raised_date]],"YYYY-MM")</f>
        <v>2022-05</v>
      </c>
      <c r="P1981" s="3" t="str">
        <f>IF(Ticket_Table[[#This Row],[resolution_hrs]]&lt;=4,"Fast",IF(Ticket_Table[[#This Row],[resolution_hrs]]&lt;=24,"Normal",IF(Ticket_Table[[#This Row],[resolution_hrs]]&lt;=48,"Slow","Very Slow")))</f>
        <v>Normal</v>
      </c>
      <c r="Q1981" s="3">
        <f>YEAR(Ticket_Table[[#This Row],[raised_date]])</f>
        <v>2022</v>
      </c>
    </row>
    <row r="1982" spans="1:17">
      <c r="A1982" t="s">
        <v>2542</v>
      </c>
      <c r="B1982" t="s">
        <v>616</v>
      </c>
      <c r="C1982" t="s">
        <v>102</v>
      </c>
      <c r="D1982" t="s">
        <v>20</v>
      </c>
      <c r="E1982" t="s">
        <v>106</v>
      </c>
      <c r="F1982" t="s">
        <v>38</v>
      </c>
      <c r="G1982" t="s">
        <v>23</v>
      </c>
      <c r="H1982" s="1">
        <v>44780</v>
      </c>
      <c r="I1982" s="2">
        <v>44780.075</v>
      </c>
      <c r="J1982">
        <v>1.8</v>
      </c>
      <c r="K1982" t="s">
        <v>24</v>
      </c>
      <c r="L1982">
        <v>0</v>
      </c>
      <c r="M1982">
        <v>4</v>
      </c>
      <c r="N1982" t="s">
        <v>479</v>
      </c>
      <c r="O1982" s="3" t="str">
        <f>TEXT(Ticket_Table[[#This Row],[raised_date]],"YYYY-MM")</f>
        <v>2022-08</v>
      </c>
      <c r="P1982" s="3" t="str">
        <f>IF(Ticket_Table[[#This Row],[resolution_hrs]]&lt;=4,"Fast",IF(Ticket_Table[[#This Row],[resolution_hrs]]&lt;=24,"Normal",IF(Ticket_Table[[#This Row],[resolution_hrs]]&lt;=48,"Slow","Very Slow")))</f>
        <v>Fast</v>
      </c>
      <c r="Q1982" s="3">
        <f>YEAR(Ticket_Table[[#This Row],[raised_date]])</f>
        <v>2022</v>
      </c>
    </row>
    <row r="1983" spans="1:17">
      <c r="A1983" t="s">
        <v>2543</v>
      </c>
      <c r="B1983" t="s">
        <v>491</v>
      </c>
      <c r="C1983" t="s">
        <v>68</v>
      </c>
      <c r="D1983" t="s">
        <v>90</v>
      </c>
      <c r="E1983" t="s">
        <v>83</v>
      </c>
      <c r="F1983" t="s">
        <v>22</v>
      </c>
      <c r="G1983" t="s">
        <v>46</v>
      </c>
      <c r="H1983" s="1">
        <v>44251</v>
      </c>
      <c r="I1983" s="2">
        <v>44254.8</v>
      </c>
      <c r="J1983">
        <v>91.2</v>
      </c>
      <c r="K1983" t="s">
        <v>32</v>
      </c>
      <c r="L1983">
        <v>0</v>
      </c>
      <c r="M1983">
        <v>4</v>
      </c>
      <c r="N1983" t="s">
        <v>191</v>
      </c>
      <c r="O1983" s="3" t="str">
        <f>TEXT(Ticket_Table[[#This Row],[raised_date]],"YYYY-MM")</f>
        <v>2021-02</v>
      </c>
      <c r="P1983" s="3" t="str">
        <f>IF(Ticket_Table[[#This Row],[resolution_hrs]]&lt;=4,"Fast",IF(Ticket_Table[[#This Row],[resolution_hrs]]&lt;=24,"Normal",IF(Ticket_Table[[#This Row],[resolution_hrs]]&lt;=48,"Slow","Very Slow")))</f>
        <v>Very Slow</v>
      </c>
      <c r="Q1983" s="3">
        <f>YEAR(Ticket_Table[[#This Row],[raised_date]])</f>
        <v>2021</v>
      </c>
    </row>
    <row r="1984" spans="1:17">
      <c r="A1984" t="s">
        <v>2544</v>
      </c>
      <c r="B1984" t="s">
        <v>576</v>
      </c>
      <c r="C1984" t="s">
        <v>68</v>
      </c>
      <c r="D1984" t="s">
        <v>43</v>
      </c>
      <c r="E1984" t="s">
        <v>56</v>
      </c>
      <c r="F1984" t="s">
        <v>70</v>
      </c>
      <c r="G1984" t="s">
        <v>23</v>
      </c>
      <c r="H1984" s="1">
        <v>44814</v>
      </c>
      <c r="I1984" s="2">
        <v>44816.7375</v>
      </c>
      <c r="J1984">
        <v>65.7</v>
      </c>
      <c r="K1984" t="s">
        <v>32</v>
      </c>
      <c r="L1984">
        <v>1</v>
      </c>
      <c r="M1984">
        <v>5</v>
      </c>
      <c r="N1984" t="s">
        <v>897</v>
      </c>
      <c r="O1984" s="3" t="str">
        <f>TEXT(Ticket_Table[[#This Row],[raised_date]],"YYYY-MM")</f>
        <v>2022-09</v>
      </c>
      <c r="P1984" s="3" t="str">
        <f>IF(Ticket_Table[[#This Row],[resolution_hrs]]&lt;=4,"Fast",IF(Ticket_Table[[#This Row],[resolution_hrs]]&lt;=24,"Normal",IF(Ticket_Table[[#This Row],[resolution_hrs]]&lt;=48,"Slow","Very Slow")))</f>
        <v>Very Slow</v>
      </c>
      <c r="Q1984" s="3">
        <f>YEAR(Ticket_Table[[#This Row],[raised_date]])</f>
        <v>2022</v>
      </c>
    </row>
    <row r="1985" spans="1:17">
      <c r="A1985" t="s">
        <v>2545</v>
      </c>
      <c r="B1985" t="s">
        <v>824</v>
      </c>
      <c r="C1985" t="s">
        <v>68</v>
      </c>
      <c r="D1985" t="s">
        <v>29</v>
      </c>
      <c r="E1985" t="s">
        <v>166</v>
      </c>
      <c r="F1985" t="s">
        <v>22</v>
      </c>
      <c r="G1985" t="s">
        <v>74</v>
      </c>
      <c r="H1985" s="1">
        <v>44617</v>
      </c>
      <c r="I1985" s="2">
        <v>44617.1333333333</v>
      </c>
      <c r="J1985">
        <v>3.2</v>
      </c>
      <c r="K1985" t="s">
        <v>24</v>
      </c>
      <c r="L1985">
        <v>0</v>
      </c>
      <c r="M1985">
        <v>4</v>
      </c>
      <c r="N1985" t="s">
        <v>970</v>
      </c>
      <c r="O1985" s="3" t="str">
        <f>TEXT(Ticket_Table[[#This Row],[raised_date]],"YYYY-MM")</f>
        <v>2022-02</v>
      </c>
      <c r="P1985" s="3" t="str">
        <f>IF(Ticket_Table[[#This Row],[resolution_hrs]]&lt;=4,"Fast",IF(Ticket_Table[[#This Row],[resolution_hrs]]&lt;=24,"Normal",IF(Ticket_Table[[#This Row],[resolution_hrs]]&lt;=48,"Slow","Very Slow")))</f>
        <v>Fast</v>
      </c>
      <c r="Q1985" s="3">
        <f>YEAR(Ticket_Table[[#This Row],[raised_date]])</f>
        <v>2022</v>
      </c>
    </row>
    <row r="1986" spans="1:17">
      <c r="A1986" t="s">
        <v>2546</v>
      </c>
      <c r="B1986" t="s">
        <v>255</v>
      </c>
      <c r="C1986" t="s">
        <v>68</v>
      </c>
      <c r="D1986" t="s">
        <v>20</v>
      </c>
      <c r="E1986" t="s">
        <v>51</v>
      </c>
      <c r="F1986" t="s">
        <v>45</v>
      </c>
      <c r="G1986" t="s">
        <v>31</v>
      </c>
      <c r="H1986" s="1">
        <v>45257</v>
      </c>
      <c r="I1986" s="2">
        <v>45257.1833333333</v>
      </c>
      <c r="J1986">
        <v>4.4</v>
      </c>
      <c r="K1986" t="s">
        <v>32</v>
      </c>
      <c r="L1986">
        <v>0</v>
      </c>
      <c r="M1986">
        <v>4</v>
      </c>
      <c r="N1986" t="s">
        <v>676</v>
      </c>
      <c r="O1986" s="3" t="str">
        <f>TEXT(Ticket_Table[[#This Row],[raised_date]],"YYYY-MM")</f>
        <v>2023-11</v>
      </c>
      <c r="P1986" s="3" t="str">
        <f>IF(Ticket_Table[[#This Row],[resolution_hrs]]&lt;=4,"Fast",IF(Ticket_Table[[#This Row],[resolution_hrs]]&lt;=24,"Normal",IF(Ticket_Table[[#This Row],[resolution_hrs]]&lt;=48,"Slow","Very Slow")))</f>
        <v>Normal</v>
      </c>
      <c r="Q1986" s="3">
        <f>YEAR(Ticket_Table[[#This Row],[raised_date]])</f>
        <v>2023</v>
      </c>
    </row>
    <row r="1987" spans="1:17">
      <c r="A1987" t="s">
        <v>2547</v>
      </c>
      <c r="B1987" t="s">
        <v>259</v>
      </c>
      <c r="C1987" t="s">
        <v>213</v>
      </c>
      <c r="D1987" t="s">
        <v>43</v>
      </c>
      <c r="E1987" t="s">
        <v>21</v>
      </c>
      <c r="F1987" t="s">
        <v>70</v>
      </c>
      <c r="G1987" t="s">
        <v>23</v>
      </c>
      <c r="H1987" s="1">
        <v>45240</v>
      </c>
      <c r="I1987" s="2">
        <v>45241.1625</v>
      </c>
      <c r="J1987">
        <v>27.9</v>
      </c>
      <c r="K1987" t="s">
        <v>24</v>
      </c>
      <c r="L1987">
        <v>0</v>
      </c>
      <c r="M1987">
        <v>4</v>
      </c>
      <c r="N1987" t="s">
        <v>394</v>
      </c>
      <c r="O1987" s="3" t="str">
        <f>TEXT(Ticket_Table[[#This Row],[raised_date]],"YYYY-MM")</f>
        <v>2023-11</v>
      </c>
      <c r="P1987" s="3" t="str">
        <f>IF(Ticket_Table[[#This Row],[resolution_hrs]]&lt;=4,"Fast",IF(Ticket_Table[[#This Row],[resolution_hrs]]&lt;=24,"Normal",IF(Ticket_Table[[#This Row],[resolution_hrs]]&lt;=48,"Slow","Very Slow")))</f>
        <v>Slow</v>
      </c>
      <c r="Q1987" s="3">
        <f>YEAR(Ticket_Table[[#This Row],[raised_date]])</f>
        <v>2023</v>
      </c>
    </row>
    <row r="1988" spans="1:17">
      <c r="A1988" t="s">
        <v>2548</v>
      </c>
      <c r="B1988" t="s">
        <v>929</v>
      </c>
      <c r="C1988" t="s">
        <v>19</v>
      </c>
      <c r="D1988" t="s">
        <v>20</v>
      </c>
      <c r="E1988" t="s">
        <v>30</v>
      </c>
      <c r="F1988" t="s">
        <v>38</v>
      </c>
      <c r="G1988" t="s">
        <v>91</v>
      </c>
      <c r="H1988" s="1">
        <v>44583</v>
      </c>
      <c r="I1988" s="2">
        <v>44584.1916666667</v>
      </c>
      <c r="J1988">
        <v>28.6</v>
      </c>
      <c r="K1988" t="s">
        <v>32</v>
      </c>
      <c r="L1988">
        <v>1</v>
      </c>
      <c r="M1988">
        <v>5</v>
      </c>
      <c r="N1988" t="s">
        <v>1502</v>
      </c>
      <c r="O1988" s="3" t="str">
        <f>TEXT(Ticket_Table[[#This Row],[raised_date]],"YYYY-MM")</f>
        <v>2022-01</v>
      </c>
      <c r="P1988" s="3" t="str">
        <f>IF(Ticket_Table[[#This Row],[resolution_hrs]]&lt;=4,"Fast",IF(Ticket_Table[[#This Row],[resolution_hrs]]&lt;=24,"Normal",IF(Ticket_Table[[#This Row],[resolution_hrs]]&lt;=48,"Slow","Very Slow")))</f>
        <v>Slow</v>
      </c>
      <c r="Q1988" s="3">
        <f>YEAR(Ticket_Table[[#This Row],[raised_date]])</f>
        <v>2022</v>
      </c>
    </row>
    <row r="1989" spans="1:17">
      <c r="A1989" t="s">
        <v>2549</v>
      </c>
      <c r="B1989" t="s">
        <v>114</v>
      </c>
      <c r="C1989" t="s">
        <v>95</v>
      </c>
      <c r="D1989" t="s">
        <v>90</v>
      </c>
      <c r="E1989" t="s">
        <v>83</v>
      </c>
      <c r="F1989" t="s">
        <v>38</v>
      </c>
      <c r="G1989" t="s">
        <v>31</v>
      </c>
      <c r="H1989" s="1">
        <v>44999</v>
      </c>
      <c r="I1989" s="2">
        <v>44999.2041666667</v>
      </c>
      <c r="J1989">
        <v>4.9</v>
      </c>
      <c r="K1989" t="s">
        <v>24</v>
      </c>
      <c r="L1989">
        <v>0</v>
      </c>
      <c r="M1989">
        <v>3</v>
      </c>
      <c r="N1989" t="s">
        <v>767</v>
      </c>
      <c r="O1989" s="3" t="str">
        <f>TEXT(Ticket_Table[[#This Row],[raised_date]],"YYYY-MM")</f>
        <v>2023-03</v>
      </c>
      <c r="P1989" s="3" t="str">
        <f>IF(Ticket_Table[[#This Row],[resolution_hrs]]&lt;=4,"Fast",IF(Ticket_Table[[#This Row],[resolution_hrs]]&lt;=24,"Normal",IF(Ticket_Table[[#This Row],[resolution_hrs]]&lt;=48,"Slow","Very Slow")))</f>
        <v>Normal</v>
      </c>
      <c r="Q1989" s="3">
        <f>YEAR(Ticket_Table[[#This Row],[raised_date]])</f>
        <v>2023</v>
      </c>
    </row>
    <row r="1990" spans="1:17">
      <c r="A1990" t="s">
        <v>2550</v>
      </c>
      <c r="B1990" t="s">
        <v>334</v>
      </c>
      <c r="C1990" t="s">
        <v>117</v>
      </c>
      <c r="D1990" t="s">
        <v>43</v>
      </c>
      <c r="E1990" t="s">
        <v>44</v>
      </c>
      <c r="F1990" t="s">
        <v>22</v>
      </c>
      <c r="G1990" t="s">
        <v>74</v>
      </c>
      <c r="H1990" s="1">
        <v>44802</v>
      </c>
      <c r="I1990" s="2">
        <v>44806.2166666667</v>
      </c>
      <c r="J1990">
        <v>101.2</v>
      </c>
      <c r="K1990" t="s">
        <v>32</v>
      </c>
      <c r="L1990">
        <v>0</v>
      </c>
      <c r="M1990">
        <v>4</v>
      </c>
      <c r="N1990" t="s">
        <v>586</v>
      </c>
      <c r="O1990" s="3" t="str">
        <f>TEXT(Ticket_Table[[#This Row],[raised_date]],"YYYY-MM")</f>
        <v>2022-08</v>
      </c>
      <c r="P1990" s="3" t="str">
        <f>IF(Ticket_Table[[#This Row],[resolution_hrs]]&lt;=4,"Fast",IF(Ticket_Table[[#This Row],[resolution_hrs]]&lt;=24,"Normal",IF(Ticket_Table[[#This Row],[resolution_hrs]]&lt;=48,"Slow","Very Slow")))</f>
        <v>Very Slow</v>
      </c>
      <c r="Q1990" s="3">
        <f>YEAR(Ticket_Table[[#This Row],[raised_date]])</f>
        <v>2022</v>
      </c>
    </row>
    <row r="1991" spans="1:17">
      <c r="A1991" t="s">
        <v>2551</v>
      </c>
      <c r="B1991" t="s">
        <v>1019</v>
      </c>
      <c r="C1991" t="s">
        <v>213</v>
      </c>
      <c r="D1991" t="s">
        <v>36</v>
      </c>
      <c r="E1991" t="s">
        <v>30</v>
      </c>
      <c r="F1991" t="s">
        <v>22</v>
      </c>
      <c r="G1991" t="s">
        <v>31</v>
      </c>
      <c r="H1991" s="1">
        <v>44308</v>
      </c>
      <c r="I1991" s="2">
        <v>44309.4</v>
      </c>
      <c r="J1991">
        <v>33.6</v>
      </c>
      <c r="K1991" t="s">
        <v>24</v>
      </c>
      <c r="L1991">
        <v>1</v>
      </c>
      <c r="M1991">
        <v>4</v>
      </c>
      <c r="N1991" t="s">
        <v>1301</v>
      </c>
      <c r="O1991" s="3" t="str">
        <f>TEXT(Ticket_Table[[#This Row],[raised_date]],"YYYY-MM")</f>
        <v>2021-04</v>
      </c>
      <c r="P1991" s="3" t="str">
        <f>IF(Ticket_Table[[#This Row],[resolution_hrs]]&lt;=4,"Fast",IF(Ticket_Table[[#This Row],[resolution_hrs]]&lt;=24,"Normal",IF(Ticket_Table[[#This Row],[resolution_hrs]]&lt;=48,"Slow","Very Slow")))</f>
        <v>Slow</v>
      </c>
      <c r="Q1991" s="3">
        <f>YEAR(Ticket_Table[[#This Row],[raised_date]])</f>
        <v>2021</v>
      </c>
    </row>
    <row r="1992" spans="1:17">
      <c r="A1992" t="s">
        <v>2552</v>
      </c>
      <c r="B1992" t="s">
        <v>562</v>
      </c>
      <c r="C1992" t="s">
        <v>213</v>
      </c>
      <c r="D1992" t="s">
        <v>29</v>
      </c>
      <c r="E1992" t="s">
        <v>56</v>
      </c>
      <c r="F1992" t="s">
        <v>22</v>
      </c>
      <c r="G1992" t="s">
        <v>23</v>
      </c>
      <c r="H1992" s="1">
        <v>44687</v>
      </c>
      <c r="I1992" s="2">
        <v>44688.1125</v>
      </c>
      <c r="J1992">
        <v>26.7</v>
      </c>
      <c r="K1992" t="s">
        <v>24</v>
      </c>
      <c r="L1992">
        <v>2</v>
      </c>
      <c r="M1992">
        <v>2</v>
      </c>
      <c r="N1992" t="s">
        <v>210</v>
      </c>
      <c r="O1992" s="3" t="str">
        <f>TEXT(Ticket_Table[[#This Row],[raised_date]],"YYYY-MM")</f>
        <v>2022-05</v>
      </c>
      <c r="P1992" s="3" t="str">
        <f>IF(Ticket_Table[[#This Row],[resolution_hrs]]&lt;=4,"Fast",IF(Ticket_Table[[#This Row],[resolution_hrs]]&lt;=24,"Normal",IF(Ticket_Table[[#This Row],[resolution_hrs]]&lt;=48,"Slow","Very Slow")))</f>
        <v>Slow</v>
      </c>
      <c r="Q1992" s="3">
        <f>YEAR(Ticket_Table[[#This Row],[raised_date]])</f>
        <v>2022</v>
      </c>
    </row>
    <row r="1993" spans="1:17">
      <c r="A1993" t="s">
        <v>2553</v>
      </c>
      <c r="B1993" t="s">
        <v>415</v>
      </c>
      <c r="C1993" t="s">
        <v>28</v>
      </c>
      <c r="D1993" t="s">
        <v>29</v>
      </c>
      <c r="E1993" t="s">
        <v>69</v>
      </c>
      <c r="F1993" t="s">
        <v>70</v>
      </c>
      <c r="G1993" t="s">
        <v>46</v>
      </c>
      <c r="H1993" s="1">
        <v>45210</v>
      </c>
      <c r="I1993" s="2">
        <v>45212.4375</v>
      </c>
      <c r="J1993">
        <v>58.5</v>
      </c>
      <c r="K1993" t="s">
        <v>32</v>
      </c>
      <c r="L1993">
        <v>1</v>
      </c>
      <c r="M1993">
        <v>4</v>
      </c>
      <c r="N1993" t="s">
        <v>457</v>
      </c>
      <c r="O1993" s="3" t="str">
        <f>TEXT(Ticket_Table[[#This Row],[raised_date]],"YYYY-MM")</f>
        <v>2023-10</v>
      </c>
      <c r="P1993" s="3" t="str">
        <f>IF(Ticket_Table[[#This Row],[resolution_hrs]]&lt;=4,"Fast",IF(Ticket_Table[[#This Row],[resolution_hrs]]&lt;=24,"Normal",IF(Ticket_Table[[#This Row],[resolution_hrs]]&lt;=48,"Slow","Very Slow")))</f>
        <v>Very Slow</v>
      </c>
      <c r="Q1993" s="3">
        <f>YEAR(Ticket_Table[[#This Row],[raised_date]])</f>
        <v>2023</v>
      </c>
    </row>
    <row r="1994" spans="1:17">
      <c r="A1994" t="s">
        <v>2554</v>
      </c>
      <c r="B1994" t="s">
        <v>833</v>
      </c>
      <c r="C1994" t="s">
        <v>175</v>
      </c>
      <c r="D1994" t="s">
        <v>20</v>
      </c>
      <c r="E1994" t="s">
        <v>21</v>
      </c>
      <c r="F1994" t="s">
        <v>22</v>
      </c>
      <c r="G1994" t="s">
        <v>23</v>
      </c>
      <c r="H1994" s="1">
        <v>44987</v>
      </c>
      <c r="I1994" s="2">
        <v>44989.9875</v>
      </c>
      <c r="J1994">
        <v>71.7</v>
      </c>
      <c r="K1994" t="s">
        <v>24</v>
      </c>
      <c r="L1994">
        <v>0</v>
      </c>
      <c r="M1994">
        <v>2</v>
      </c>
      <c r="N1994" t="s">
        <v>530</v>
      </c>
      <c r="O1994" s="3" t="str">
        <f>TEXT(Ticket_Table[[#This Row],[raised_date]],"YYYY-MM")</f>
        <v>2023-03</v>
      </c>
      <c r="P1994" s="3" t="str">
        <f>IF(Ticket_Table[[#This Row],[resolution_hrs]]&lt;=4,"Fast",IF(Ticket_Table[[#This Row],[resolution_hrs]]&lt;=24,"Normal",IF(Ticket_Table[[#This Row],[resolution_hrs]]&lt;=48,"Slow","Very Slow")))</f>
        <v>Very Slow</v>
      </c>
      <c r="Q1994" s="3">
        <f>YEAR(Ticket_Table[[#This Row],[raised_date]])</f>
        <v>2023</v>
      </c>
    </row>
    <row r="1995" spans="1:17">
      <c r="A1995" t="s">
        <v>2555</v>
      </c>
      <c r="B1995" t="s">
        <v>75</v>
      </c>
      <c r="C1995" t="s">
        <v>55</v>
      </c>
      <c r="D1995" t="s">
        <v>29</v>
      </c>
      <c r="E1995" t="s">
        <v>37</v>
      </c>
      <c r="F1995" t="s">
        <v>22</v>
      </c>
      <c r="G1995" t="s">
        <v>31</v>
      </c>
      <c r="H1995" s="1">
        <v>44427</v>
      </c>
      <c r="I1995" s="2">
        <v>44431.2375</v>
      </c>
      <c r="J1995">
        <v>101.7</v>
      </c>
      <c r="K1995" t="s">
        <v>32</v>
      </c>
      <c r="L1995">
        <v>0</v>
      </c>
      <c r="M1995">
        <v>3</v>
      </c>
      <c r="N1995" t="s">
        <v>1241</v>
      </c>
      <c r="O1995" s="3" t="str">
        <f>TEXT(Ticket_Table[[#This Row],[raised_date]],"YYYY-MM")</f>
        <v>2021-08</v>
      </c>
      <c r="P1995" s="3" t="str">
        <f>IF(Ticket_Table[[#This Row],[resolution_hrs]]&lt;=4,"Fast",IF(Ticket_Table[[#This Row],[resolution_hrs]]&lt;=24,"Normal",IF(Ticket_Table[[#This Row],[resolution_hrs]]&lt;=48,"Slow","Very Slow")))</f>
        <v>Very Slow</v>
      </c>
      <c r="Q1995" s="3">
        <f>YEAR(Ticket_Table[[#This Row],[raised_date]])</f>
        <v>2021</v>
      </c>
    </row>
    <row r="1996" spans="1:17">
      <c r="A1996" t="s">
        <v>2556</v>
      </c>
      <c r="B1996" t="s">
        <v>510</v>
      </c>
      <c r="C1996" t="s">
        <v>64</v>
      </c>
      <c r="D1996" t="s">
        <v>36</v>
      </c>
      <c r="E1996" t="s">
        <v>51</v>
      </c>
      <c r="F1996" t="s">
        <v>38</v>
      </c>
      <c r="G1996" t="s">
        <v>23</v>
      </c>
      <c r="H1996" s="1">
        <v>44690</v>
      </c>
      <c r="I1996" s="2">
        <v>44691.4666666667</v>
      </c>
      <c r="J1996">
        <v>35.2</v>
      </c>
      <c r="K1996" t="s">
        <v>32</v>
      </c>
      <c r="L1996">
        <v>0</v>
      </c>
      <c r="M1996">
        <v>5</v>
      </c>
      <c r="N1996" t="s">
        <v>1112</v>
      </c>
      <c r="O1996" s="3" t="str">
        <f>TEXT(Ticket_Table[[#This Row],[raised_date]],"YYYY-MM")</f>
        <v>2022-05</v>
      </c>
      <c r="P1996" s="3" t="str">
        <f>IF(Ticket_Table[[#This Row],[resolution_hrs]]&lt;=4,"Fast",IF(Ticket_Table[[#This Row],[resolution_hrs]]&lt;=24,"Normal",IF(Ticket_Table[[#This Row],[resolution_hrs]]&lt;=48,"Slow","Very Slow")))</f>
        <v>Slow</v>
      </c>
      <c r="Q1996" s="3">
        <f>YEAR(Ticket_Table[[#This Row],[raised_date]])</f>
        <v>2022</v>
      </c>
    </row>
    <row r="1997" spans="1:17">
      <c r="A1997" t="s">
        <v>2557</v>
      </c>
      <c r="B1997" t="s">
        <v>293</v>
      </c>
      <c r="C1997" t="s">
        <v>201</v>
      </c>
      <c r="D1997" t="s">
        <v>43</v>
      </c>
      <c r="E1997" t="s">
        <v>69</v>
      </c>
      <c r="F1997" t="s">
        <v>45</v>
      </c>
      <c r="G1997" t="s">
        <v>31</v>
      </c>
      <c r="H1997" s="1">
        <v>45220</v>
      </c>
      <c r="I1997" s="2">
        <v>45220.25</v>
      </c>
      <c r="J1997">
        <v>6</v>
      </c>
      <c r="K1997" t="s">
        <v>32</v>
      </c>
      <c r="L1997">
        <v>0</v>
      </c>
      <c r="M1997">
        <v>2</v>
      </c>
      <c r="N1997" t="s">
        <v>1252</v>
      </c>
      <c r="O1997" s="3" t="str">
        <f>TEXT(Ticket_Table[[#This Row],[raised_date]],"YYYY-MM")</f>
        <v>2023-10</v>
      </c>
      <c r="P1997" s="3" t="str">
        <f>IF(Ticket_Table[[#This Row],[resolution_hrs]]&lt;=4,"Fast",IF(Ticket_Table[[#This Row],[resolution_hrs]]&lt;=24,"Normal",IF(Ticket_Table[[#This Row],[resolution_hrs]]&lt;=48,"Slow","Very Slow")))</f>
        <v>Normal</v>
      </c>
      <c r="Q1997" s="3">
        <f>YEAR(Ticket_Table[[#This Row],[raised_date]])</f>
        <v>2023</v>
      </c>
    </row>
    <row r="1998" spans="1:17">
      <c r="A1998" t="s">
        <v>2558</v>
      </c>
      <c r="B1998" t="s">
        <v>352</v>
      </c>
      <c r="C1998" t="s">
        <v>133</v>
      </c>
      <c r="D1998" t="s">
        <v>43</v>
      </c>
      <c r="E1998" t="s">
        <v>56</v>
      </c>
      <c r="F1998" t="s">
        <v>70</v>
      </c>
      <c r="G1998" t="s">
        <v>23</v>
      </c>
      <c r="H1998" s="1">
        <v>44342</v>
      </c>
      <c r="I1998" s="2">
        <v>44344.65</v>
      </c>
      <c r="J1998">
        <v>63.6</v>
      </c>
      <c r="K1998" t="s">
        <v>32</v>
      </c>
      <c r="L1998">
        <v>2</v>
      </c>
      <c r="M1998">
        <v>4</v>
      </c>
      <c r="N1998" t="s">
        <v>355</v>
      </c>
      <c r="O1998" s="3" t="str">
        <f>TEXT(Ticket_Table[[#This Row],[raised_date]],"YYYY-MM")</f>
        <v>2021-05</v>
      </c>
      <c r="P1998" s="3" t="str">
        <f>IF(Ticket_Table[[#This Row],[resolution_hrs]]&lt;=4,"Fast",IF(Ticket_Table[[#This Row],[resolution_hrs]]&lt;=24,"Normal",IF(Ticket_Table[[#This Row],[resolution_hrs]]&lt;=48,"Slow","Very Slow")))</f>
        <v>Very Slow</v>
      </c>
      <c r="Q1998" s="3">
        <f>YEAR(Ticket_Table[[#This Row],[raised_date]])</f>
        <v>2021</v>
      </c>
    </row>
    <row r="1999" spans="1:17">
      <c r="A1999" t="s">
        <v>2559</v>
      </c>
      <c r="B1999" t="s">
        <v>207</v>
      </c>
      <c r="C1999" t="s">
        <v>102</v>
      </c>
      <c r="D1999" t="s">
        <v>90</v>
      </c>
      <c r="E1999" t="s">
        <v>44</v>
      </c>
      <c r="F1999" t="s">
        <v>70</v>
      </c>
      <c r="G1999" t="s">
        <v>23</v>
      </c>
      <c r="H1999" s="1">
        <v>45278</v>
      </c>
      <c r="I1999" s="2">
        <v>45280.6416666667</v>
      </c>
      <c r="J1999">
        <v>63.4</v>
      </c>
      <c r="K1999" t="s">
        <v>32</v>
      </c>
      <c r="L1999">
        <v>1</v>
      </c>
      <c r="M1999">
        <v>3</v>
      </c>
      <c r="N1999" t="s">
        <v>235</v>
      </c>
      <c r="O1999" s="3" t="str">
        <f>TEXT(Ticket_Table[[#This Row],[raised_date]],"YYYY-MM")</f>
        <v>2023-12</v>
      </c>
      <c r="P1999" s="3" t="str">
        <f>IF(Ticket_Table[[#This Row],[resolution_hrs]]&lt;=4,"Fast",IF(Ticket_Table[[#This Row],[resolution_hrs]]&lt;=24,"Normal",IF(Ticket_Table[[#This Row],[resolution_hrs]]&lt;=48,"Slow","Very Slow")))</f>
        <v>Very Slow</v>
      </c>
      <c r="Q1999" s="3">
        <f>YEAR(Ticket_Table[[#This Row],[raised_date]])</f>
        <v>2023</v>
      </c>
    </row>
    <row r="2000" spans="1:17">
      <c r="A2000" t="s">
        <v>2560</v>
      </c>
      <c r="B2000" t="s">
        <v>884</v>
      </c>
      <c r="C2000" t="s">
        <v>78</v>
      </c>
      <c r="D2000" t="s">
        <v>43</v>
      </c>
      <c r="E2000" t="s">
        <v>106</v>
      </c>
      <c r="F2000" t="s">
        <v>22</v>
      </c>
      <c r="G2000" t="s">
        <v>23</v>
      </c>
      <c r="H2000" s="1">
        <v>44221</v>
      </c>
      <c r="I2000" s="2">
        <v>44221.3333333333</v>
      </c>
      <c r="J2000">
        <v>8</v>
      </c>
      <c r="K2000" t="s">
        <v>24</v>
      </c>
      <c r="L2000">
        <v>0</v>
      </c>
      <c r="M2000">
        <v>4</v>
      </c>
      <c r="N2000" t="s">
        <v>420</v>
      </c>
      <c r="O2000" s="3" t="str">
        <f>TEXT(Ticket_Table[[#This Row],[raised_date]],"YYYY-MM")</f>
        <v>2021-01</v>
      </c>
      <c r="P2000" s="3" t="str">
        <f>IF(Ticket_Table[[#This Row],[resolution_hrs]]&lt;=4,"Fast",IF(Ticket_Table[[#This Row],[resolution_hrs]]&lt;=24,"Normal",IF(Ticket_Table[[#This Row],[resolution_hrs]]&lt;=48,"Slow","Very Slow")))</f>
        <v>Normal</v>
      </c>
      <c r="Q2000" s="3">
        <f>YEAR(Ticket_Table[[#This Row],[raised_date]])</f>
        <v>2021</v>
      </c>
    </row>
    <row r="2001" spans="1:17">
      <c r="A2001" t="s">
        <v>2561</v>
      </c>
      <c r="B2001" t="s">
        <v>778</v>
      </c>
      <c r="C2001" t="s">
        <v>68</v>
      </c>
      <c r="D2001" t="s">
        <v>20</v>
      </c>
      <c r="E2001" t="s">
        <v>166</v>
      </c>
      <c r="F2001" t="s">
        <v>38</v>
      </c>
      <c r="G2001" t="s">
        <v>23</v>
      </c>
      <c r="H2001" s="1">
        <v>44936</v>
      </c>
      <c r="I2001" s="2">
        <v>44936.2541666667</v>
      </c>
      <c r="J2001">
        <v>6.1</v>
      </c>
      <c r="K2001" t="s">
        <v>24</v>
      </c>
      <c r="L2001">
        <v>0</v>
      </c>
      <c r="M2001">
        <v>3</v>
      </c>
      <c r="N2001" t="s">
        <v>924</v>
      </c>
      <c r="O2001" s="3" t="str">
        <f>TEXT(Ticket_Table[[#This Row],[raised_date]],"YYYY-MM")</f>
        <v>2023-01</v>
      </c>
      <c r="P2001" s="3" t="str">
        <f>IF(Ticket_Table[[#This Row],[resolution_hrs]]&lt;=4,"Fast",IF(Ticket_Table[[#This Row],[resolution_hrs]]&lt;=24,"Normal",IF(Ticket_Table[[#This Row],[resolution_hrs]]&lt;=48,"Slow","Very Slow")))</f>
        <v>Normal</v>
      </c>
      <c r="Q2001" s="3">
        <f>YEAR(Ticket_Table[[#This Row],[raised_date]])</f>
        <v>2023</v>
      </c>
    </row>
    <row r="2002" spans="1:17">
      <c r="A2002" t="s">
        <v>2562</v>
      </c>
      <c r="B2002" t="s">
        <v>204</v>
      </c>
      <c r="C2002" t="s">
        <v>287</v>
      </c>
      <c r="D2002" t="s">
        <v>36</v>
      </c>
      <c r="E2002" t="s">
        <v>69</v>
      </c>
      <c r="F2002" t="s">
        <v>38</v>
      </c>
      <c r="G2002" t="s">
        <v>46</v>
      </c>
      <c r="H2002" s="1">
        <v>44845</v>
      </c>
      <c r="I2002" s="2">
        <v>44846.3875</v>
      </c>
      <c r="J2002">
        <v>33.3</v>
      </c>
      <c r="K2002" t="s">
        <v>32</v>
      </c>
      <c r="L2002">
        <v>0</v>
      </c>
      <c r="M2002">
        <v>4</v>
      </c>
      <c r="N2002" t="s">
        <v>603</v>
      </c>
      <c r="O2002" s="3" t="str">
        <f>TEXT(Ticket_Table[[#This Row],[raised_date]],"YYYY-MM")</f>
        <v>2022-10</v>
      </c>
      <c r="P2002" s="3" t="str">
        <f>IF(Ticket_Table[[#This Row],[resolution_hrs]]&lt;=4,"Fast",IF(Ticket_Table[[#This Row],[resolution_hrs]]&lt;=24,"Normal",IF(Ticket_Table[[#This Row],[resolution_hrs]]&lt;=48,"Slow","Very Slow")))</f>
        <v>Slow</v>
      </c>
      <c r="Q2002" s="3">
        <f>YEAR(Ticket_Table[[#This Row],[raised_date]])</f>
        <v>2022</v>
      </c>
    </row>
    <row r="2003" spans="1:17">
      <c r="A2003" t="s">
        <v>2563</v>
      </c>
      <c r="B2003" t="s">
        <v>332</v>
      </c>
      <c r="C2003" t="s">
        <v>133</v>
      </c>
      <c r="D2003" t="s">
        <v>90</v>
      </c>
      <c r="E2003" t="s">
        <v>69</v>
      </c>
      <c r="F2003" t="s">
        <v>22</v>
      </c>
      <c r="G2003" t="s">
        <v>23</v>
      </c>
      <c r="H2003" s="1">
        <v>44467</v>
      </c>
      <c r="I2003" s="2">
        <v>44470.5875</v>
      </c>
      <c r="J2003">
        <v>86.1</v>
      </c>
      <c r="K2003" t="s">
        <v>32</v>
      </c>
      <c r="L2003">
        <v>0</v>
      </c>
      <c r="M2003">
        <v>5</v>
      </c>
      <c r="N2003" t="s">
        <v>935</v>
      </c>
      <c r="O2003" s="3" t="str">
        <f>TEXT(Ticket_Table[[#This Row],[raised_date]],"YYYY-MM")</f>
        <v>2021-09</v>
      </c>
      <c r="P2003" s="3" t="str">
        <f>IF(Ticket_Table[[#This Row],[resolution_hrs]]&lt;=4,"Fast",IF(Ticket_Table[[#This Row],[resolution_hrs]]&lt;=24,"Normal",IF(Ticket_Table[[#This Row],[resolution_hrs]]&lt;=48,"Slow","Very Slow")))</f>
        <v>Very Slow</v>
      </c>
      <c r="Q2003" s="3">
        <f>YEAR(Ticket_Table[[#This Row],[raised_date]])</f>
        <v>2021</v>
      </c>
    </row>
    <row r="2004" spans="1:17">
      <c r="A2004" t="s">
        <v>2564</v>
      </c>
      <c r="B2004" t="s">
        <v>914</v>
      </c>
      <c r="C2004" t="s">
        <v>19</v>
      </c>
      <c r="D2004" t="s">
        <v>20</v>
      </c>
      <c r="E2004" t="s">
        <v>51</v>
      </c>
      <c r="F2004" t="s">
        <v>22</v>
      </c>
      <c r="G2004" t="s">
        <v>31</v>
      </c>
      <c r="H2004" s="1">
        <v>44989</v>
      </c>
      <c r="I2004" s="2">
        <v>44989.8958333333</v>
      </c>
      <c r="J2004">
        <v>21.5</v>
      </c>
      <c r="K2004" t="s">
        <v>24</v>
      </c>
      <c r="L2004">
        <v>0</v>
      </c>
      <c r="M2004">
        <v>3</v>
      </c>
      <c r="N2004" t="s">
        <v>238</v>
      </c>
      <c r="O2004" s="3" t="str">
        <f>TEXT(Ticket_Table[[#This Row],[raised_date]],"YYYY-MM")</f>
        <v>2023-03</v>
      </c>
      <c r="P2004" s="3" t="str">
        <f>IF(Ticket_Table[[#This Row],[resolution_hrs]]&lt;=4,"Fast",IF(Ticket_Table[[#This Row],[resolution_hrs]]&lt;=24,"Normal",IF(Ticket_Table[[#This Row],[resolution_hrs]]&lt;=48,"Slow","Very Slow")))</f>
        <v>Normal</v>
      </c>
      <c r="Q2004" s="3">
        <f>YEAR(Ticket_Table[[#This Row],[raised_date]])</f>
        <v>2023</v>
      </c>
    </row>
    <row r="2005" spans="1:17">
      <c r="A2005" t="s">
        <v>2565</v>
      </c>
      <c r="B2005" t="s">
        <v>334</v>
      </c>
      <c r="C2005" t="s">
        <v>50</v>
      </c>
      <c r="D2005" t="s">
        <v>20</v>
      </c>
      <c r="E2005" t="s">
        <v>166</v>
      </c>
      <c r="F2005" t="s">
        <v>38</v>
      </c>
      <c r="G2005" t="s">
        <v>46</v>
      </c>
      <c r="H2005" s="1">
        <v>45058</v>
      </c>
      <c r="I2005" s="2">
        <v>45058.5916666667</v>
      </c>
      <c r="J2005">
        <v>14.2</v>
      </c>
      <c r="K2005" t="s">
        <v>24</v>
      </c>
      <c r="L2005">
        <v>0</v>
      </c>
      <c r="M2005">
        <v>3</v>
      </c>
      <c r="N2005" t="s">
        <v>293</v>
      </c>
      <c r="O2005" s="3" t="str">
        <f>TEXT(Ticket_Table[[#This Row],[raised_date]],"YYYY-MM")</f>
        <v>2023-05</v>
      </c>
      <c r="P2005" s="3" t="str">
        <f>IF(Ticket_Table[[#This Row],[resolution_hrs]]&lt;=4,"Fast",IF(Ticket_Table[[#This Row],[resolution_hrs]]&lt;=24,"Normal",IF(Ticket_Table[[#This Row],[resolution_hrs]]&lt;=48,"Slow","Very Slow")))</f>
        <v>Normal</v>
      </c>
      <c r="Q2005" s="3">
        <f>YEAR(Ticket_Table[[#This Row],[raised_date]])</f>
        <v>2023</v>
      </c>
    </row>
    <row r="2006" spans="1:17">
      <c r="A2006" t="s">
        <v>2566</v>
      </c>
      <c r="B2006" t="s">
        <v>367</v>
      </c>
      <c r="C2006" t="s">
        <v>55</v>
      </c>
      <c r="D2006" t="s">
        <v>20</v>
      </c>
      <c r="E2006" t="s">
        <v>56</v>
      </c>
      <c r="F2006" t="s">
        <v>70</v>
      </c>
      <c r="G2006" t="s">
        <v>91</v>
      </c>
      <c r="H2006" s="1">
        <v>44945</v>
      </c>
      <c r="I2006" s="2">
        <v>44946.15</v>
      </c>
      <c r="J2006">
        <v>27.6</v>
      </c>
      <c r="K2006" t="s">
        <v>24</v>
      </c>
      <c r="L2006">
        <v>0</v>
      </c>
      <c r="M2006">
        <v>4</v>
      </c>
      <c r="N2006" t="s">
        <v>293</v>
      </c>
      <c r="O2006" s="3" t="str">
        <f>TEXT(Ticket_Table[[#This Row],[raised_date]],"YYYY-MM")</f>
        <v>2023-01</v>
      </c>
      <c r="P2006" s="3" t="str">
        <f>IF(Ticket_Table[[#This Row],[resolution_hrs]]&lt;=4,"Fast",IF(Ticket_Table[[#This Row],[resolution_hrs]]&lt;=24,"Normal",IF(Ticket_Table[[#This Row],[resolution_hrs]]&lt;=48,"Slow","Very Slow")))</f>
        <v>Slow</v>
      </c>
      <c r="Q2006" s="3">
        <f>YEAR(Ticket_Table[[#This Row],[raised_date]])</f>
        <v>2023</v>
      </c>
    </row>
    <row r="2007" spans="1:17">
      <c r="A2007" t="s">
        <v>2567</v>
      </c>
      <c r="B2007" t="s">
        <v>685</v>
      </c>
      <c r="C2007" t="s">
        <v>82</v>
      </c>
      <c r="D2007" t="s">
        <v>29</v>
      </c>
      <c r="E2007" t="s">
        <v>30</v>
      </c>
      <c r="F2007" t="s">
        <v>22</v>
      </c>
      <c r="G2007" t="s">
        <v>46</v>
      </c>
      <c r="H2007" s="1">
        <v>44550</v>
      </c>
      <c r="I2007" s="2">
        <v>44552.7166666667</v>
      </c>
      <c r="J2007">
        <v>65.2</v>
      </c>
      <c r="K2007" t="s">
        <v>24</v>
      </c>
      <c r="L2007">
        <v>1</v>
      </c>
      <c r="M2007">
        <v>2</v>
      </c>
      <c r="N2007" t="s">
        <v>123</v>
      </c>
      <c r="O2007" s="3" t="str">
        <f>TEXT(Ticket_Table[[#This Row],[raised_date]],"YYYY-MM")</f>
        <v>2021-12</v>
      </c>
      <c r="P2007" s="3" t="str">
        <f>IF(Ticket_Table[[#This Row],[resolution_hrs]]&lt;=4,"Fast",IF(Ticket_Table[[#This Row],[resolution_hrs]]&lt;=24,"Normal",IF(Ticket_Table[[#This Row],[resolution_hrs]]&lt;=48,"Slow","Very Slow")))</f>
        <v>Very Slow</v>
      </c>
      <c r="Q2007" s="3">
        <f>YEAR(Ticket_Table[[#This Row],[raised_date]])</f>
        <v>2021</v>
      </c>
    </row>
    <row r="2008" spans="1:17">
      <c r="A2008" t="s">
        <v>2568</v>
      </c>
      <c r="B2008" t="s">
        <v>558</v>
      </c>
      <c r="C2008" t="s">
        <v>60</v>
      </c>
      <c r="D2008" t="s">
        <v>20</v>
      </c>
      <c r="E2008" t="s">
        <v>30</v>
      </c>
      <c r="F2008" t="s">
        <v>70</v>
      </c>
      <c r="G2008" t="s">
        <v>23</v>
      </c>
      <c r="H2008" s="1">
        <v>45161</v>
      </c>
      <c r="I2008" s="2">
        <v>45163.9333333333</v>
      </c>
      <c r="J2008">
        <v>70.4</v>
      </c>
      <c r="K2008" t="s">
        <v>32</v>
      </c>
      <c r="L2008">
        <v>0</v>
      </c>
      <c r="M2008">
        <v>3</v>
      </c>
      <c r="N2008" t="s">
        <v>138</v>
      </c>
      <c r="O2008" s="3" t="str">
        <f>TEXT(Ticket_Table[[#This Row],[raised_date]],"YYYY-MM")</f>
        <v>2023-08</v>
      </c>
      <c r="P2008" s="3" t="str">
        <f>IF(Ticket_Table[[#This Row],[resolution_hrs]]&lt;=4,"Fast",IF(Ticket_Table[[#This Row],[resolution_hrs]]&lt;=24,"Normal",IF(Ticket_Table[[#This Row],[resolution_hrs]]&lt;=48,"Slow","Very Slow")))</f>
        <v>Very Slow</v>
      </c>
      <c r="Q2008" s="3">
        <f>YEAR(Ticket_Table[[#This Row],[raised_date]])</f>
        <v>2023</v>
      </c>
    </row>
    <row r="2009" spans="1:17">
      <c r="A2009" t="s">
        <v>2569</v>
      </c>
      <c r="B2009" t="s">
        <v>857</v>
      </c>
      <c r="C2009" t="s">
        <v>60</v>
      </c>
      <c r="D2009" t="s">
        <v>29</v>
      </c>
      <c r="E2009" t="s">
        <v>166</v>
      </c>
      <c r="F2009" t="s">
        <v>70</v>
      </c>
      <c r="G2009" t="s">
        <v>74</v>
      </c>
      <c r="H2009" s="1">
        <v>44346</v>
      </c>
      <c r="I2009" s="2">
        <v>44346.7666666667</v>
      </c>
      <c r="J2009">
        <v>18.4</v>
      </c>
      <c r="K2009" t="s">
        <v>24</v>
      </c>
      <c r="L2009">
        <v>0</v>
      </c>
      <c r="M2009">
        <v>1</v>
      </c>
      <c r="N2009" t="s">
        <v>454</v>
      </c>
      <c r="O2009" s="3" t="str">
        <f>TEXT(Ticket_Table[[#This Row],[raised_date]],"YYYY-MM")</f>
        <v>2021-05</v>
      </c>
      <c r="P2009" s="3" t="str">
        <f>IF(Ticket_Table[[#This Row],[resolution_hrs]]&lt;=4,"Fast",IF(Ticket_Table[[#This Row],[resolution_hrs]]&lt;=24,"Normal",IF(Ticket_Table[[#This Row],[resolution_hrs]]&lt;=48,"Slow","Very Slow")))</f>
        <v>Normal</v>
      </c>
      <c r="Q2009" s="3">
        <f>YEAR(Ticket_Table[[#This Row],[raised_date]])</f>
        <v>2021</v>
      </c>
    </row>
    <row r="2010" spans="1:17">
      <c r="A2010" t="s">
        <v>2570</v>
      </c>
      <c r="B2010" t="s">
        <v>332</v>
      </c>
      <c r="C2010" t="s">
        <v>42</v>
      </c>
      <c r="D2010" t="s">
        <v>43</v>
      </c>
      <c r="E2010" t="s">
        <v>37</v>
      </c>
      <c r="F2010" t="s">
        <v>70</v>
      </c>
      <c r="G2010" t="s">
        <v>74</v>
      </c>
      <c r="H2010" s="1">
        <v>44231</v>
      </c>
      <c r="I2010" s="2">
        <v>44231.1791666667</v>
      </c>
      <c r="J2010">
        <v>4.3</v>
      </c>
      <c r="K2010" t="s">
        <v>24</v>
      </c>
      <c r="L2010">
        <v>1</v>
      </c>
      <c r="M2010">
        <v>4</v>
      </c>
      <c r="N2010" t="s">
        <v>1337</v>
      </c>
      <c r="O2010" s="3" t="str">
        <f>TEXT(Ticket_Table[[#This Row],[raised_date]],"YYYY-MM")</f>
        <v>2021-02</v>
      </c>
      <c r="P2010" s="3" t="str">
        <f>IF(Ticket_Table[[#This Row],[resolution_hrs]]&lt;=4,"Fast",IF(Ticket_Table[[#This Row],[resolution_hrs]]&lt;=24,"Normal",IF(Ticket_Table[[#This Row],[resolution_hrs]]&lt;=48,"Slow","Very Slow")))</f>
        <v>Normal</v>
      </c>
      <c r="Q2010" s="3">
        <f>YEAR(Ticket_Table[[#This Row],[raised_date]])</f>
        <v>2021</v>
      </c>
    </row>
    <row r="2011" spans="1:17">
      <c r="A2011" t="s">
        <v>2571</v>
      </c>
      <c r="B2011" t="s">
        <v>293</v>
      </c>
      <c r="C2011" t="s">
        <v>95</v>
      </c>
      <c r="D2011" t="s">
        <v>29</v>
      </c>
      <c r="E2011" t="s">
        <v>83</v>
      </c>
      <c r="F2011" t="s">
        <v>38</v>
      </c>
      <c r="G2011" t="s">
        <v>31</v>
      </c>
      <c r="H2011" s="1">
        <v>44335</v>
      </c>
      <c r="I2011" s="2">
        <v>44335.9416666667</v>
      </c>
      <c r="J2011">
        <v>22.6</v>
      </c>
      <c r="K2011" t="s">
        <v>24</v>
      </c>
      <c r="L2011">
        <v>0</v>
      </c>
      <c r="M2011">
        <v>5</v>
      </c>
      <c r="N2011" t="s">
        <v>397</v>
      </c>
      <c r="O2011" s="3" t="str">
        <f>TEXT(Ticket_Table[[#This Row],[raised_date]],"YYYY-MM")</f>
        <v>2021-05</v>
      </c>
      <c r="P2011" s="3" t="str">
        <f>IF(Ticket_Table[[#This Row],[resolution_hrs]]&lt;=4,"Fast",IF(Ticket_Table[[#This Row],[resolution_hrs]]&lt;=24,"Normal",IF(Ticket_Table[[#This Row],[resolution_hrs]]&lt;=48,"Slow","Very Slow")))</f>
        <v>Normal</v>
      </c>
      <c r="Q2011" s="3">
        <f>YEAR(Ticket_Table[[#This Row],[raised_date]])</f>
        <v>2021</v>
      </c>
    </row>
    <row r="2012" spans="1:17">
      <c r="A2012" t="s">
        <v>2572</v>
      </c>
      <c r="B2012" t="s">
        <v>94</v>
      </c>
      <c r="C2012" t="s">
        <v>213</v>
      </c>
      <c r="D2012" t="s">
        <v>20</v>
      </c>
      <c r="E2012" t="s">
        <v>37</v>
      </c>
      <c r="F2012" t="s">
        <v>38</v>
      </c>
      <c r="G2012" t="s">
        <v>31</v>
      </c>
      <c r="H2012" s="1">
        <v>44225</v>
      </c>
      <c r="I2012" s="2">
        <v>44225.3166666667</v>
      </c>
      <c r="J2012">
        <v>7.6</v>
      </c>
      <c r="K2012" t="s">
        <v>24</v>
      </c>
      <c r="L2012">
        <v>0</v>
      </c>
      <c r="M2012">
        <v>4</v>
      </c>
      <c r="N2012" t="s">
        <v>372</v>
      </c>
      <c r="O2012" s="3" t="str">
        <f>TEXT(Ticket_Table[[#This Row],[raised_date]],"YYYY-MM")</f>
        <v>2021-01</v>
      </c>
      <c r="P2012" s="3" t="str">
        <f>IF(Ticket_Table[[#This Row],[resolution_hrs]]&lt;=4,"Fast",IF(Ticket_Table[[#This Row],[resolution_hrs]]&lt;=24,"Normal",IF(Ticket_Table[[#This Row],[resolution_hrs]]&lt;=48,"Slow","Very Slow")))</f>
        <v>Normal</v>
      </c>
      <c r="Q2012" s="3">
        <f>YEAR(Ticket_Table[[#This Row],[raised_date]])</f>
        <v>2021</v>
      </c>
    </row>
    <row r="2013" spans="1:17">
      <c r="A2013" t="s">
        <v>2573</v>
      </c>
      <c r="B2013" t="s">
        <v>332</v>
      </c>
      <c r="C2013" t="s">
        <v>201</v>
      </c>
      <c r="D2013" t="s">
        <v>36</v>
      </c>
      <c r="E2013" t="s">
        <v>37</v>
      </c>
      <c r="F2013" t="s">
        <v>70</v>
      </c>
      <c r="G2013" t="s">
        <v>31</v>
      </c>
      <c r="H2013" s="1">
        <v>44733</v>
      </c>
      <c r="I2013" s="2">
        <v>44734.625</v>
      </c>
      <c r="J2013">
        <v>39</v>
      </c>
      <c r="K2013" t="s">
        <v>24</v>
      </c>
      <c r="L2013">
        <v>0</v>
      </c>
      <c r="M2013">
        <v>4</v>
      </c>
      <c r="N2013" t="s">
        <v>449</v>
      </c>
      <c r="O2013" s="3" t="str">
        <f>TEXT(Ticket_Table[[#This Row],[raised_date]],"YYYY-MM")</f>
        <v>2022-06</v>
      </c>
      <c r="P2013" s="3" t="str">
        <f>IF(Ticket_Table[[#This Row],[resolution_hrs]]&lt;=4,"Fast",IF(Ticket_Table[[#This Row],[resolution_hrs]]&lt;=24,"Normal",IF(Ticket_Table[[#This Row],[resolution_hrs]]&lt;=48,"Slow","Very Slow")))</f>
        <v>Slow</v>
      </c>
      <c r="Q2013" s="3">
        <f>YEAR(Ticket_Table[[#This Row],[raised_date]])</f>
        <v>2022</v>
      </c>
    </row>
    <row r="2014" spans="1:17">
      <c r="A2014" t="s">
        <v>2574</v>
      </c>
      <c r="B2014" t="s">
        <v>86</v>
      </c>
      <c r="C2014" t="s">
        <v>287</v>
      </c>
      <c r="D2014" t="s">
        <v>36</v>
      </c>
      <c r="E2014" t="s">
        <v>69</v>
      </c>
      <c r="F2014" t="s">
        <v>45</v>
      </c>
      <c r="G2014" t="s">
        <v>31</v>
      </c>
      <c r="H2014" s="1">
        <v>44638</v>
      </c>
      <c r="I2014" s="2">
        <v>44638.2041666667</v>
      </c>
      <c r="J2014">
        <v>4.9</v>
      </c>
      <c r="K2014" t="s">
        <v>32</v>
      </c>
      <c r="L2014">
        <v>1</v>
      </c>
      <c r="M2014">
        <v>1</v>
      </c>
      <c r="N2014" t="s">
        <v>959</v>
      </c>
      <c r="O2014" s="3" t="str">
        <f>TEXT(Ticket_Table[[#This Row],[raised_date]],"YYYY-MM")</f>
        <v>2022-03</v>
      </c>
      <c r="P2014" s="3" t="str">
        <f>IF(Ticket_Table[[#This Row],[resolution_hrs]]&lt;=4,"Fast",IF(Ticket_Table[[#This Row],[resolution_hrs]]&lt;=24,"Normal",IF(Ticket_Table[[#This Row],[resolution_hrs]]&lt;=48,"Slow","Very Slow")))</f>
        <v>Normal</v>
      </c>
      <c r="Q2014" s="3">
        <f>YEAR(Ticket_Table[[#This Row],[raised_date]])</f>
        <v>2022</v>
      </c>
    </row>
    <row r="2015" spans="1:17">
      <c r="A2015" t="s">
        <v>2575</v>
      </c>
      <c r="B2015" t="s">
        <v>96</v>
      </c>
      <c r="C2015" t="s">
        <v>78</v>
      </c>
      <c r="D2015" t="s">
        <v>43</v>
      </c>
      <c r="E2015" t="s">
        <v>69</v>
      </c>
      <c r="F2015" t="s">
        <v>70</v>
      </c>
      <c r="G2015" t="s">
        <v>31</v>
      </c>
      <c r="H2015" s="1">
        <v>44278</v>
      </c>
      <c r="I2015" s="2">
        <v>44279.0125</v>
      </c>
      <c r="J2015">
        <v>24.3</v>
      </c>
      <c r="K2015" t="s">
        <v>24</v>
      </c>
      <c r="L2015">
        <v>1</v>
      </c>
      <c r="M2015">
        <v>5</v>
      </c>
      <c r="N2015" t="s">
        <v>787</v>
      </c>
      <c r="O2015" s="3" t="str">
        <f>TEXT(Ticket_Table[[#This Row],[raised_date]],"YYYY-MM")</f>
        <v>2021-03</v>
      </c>
      <c r="P2015" s="3" t="str">
        <f>IF(Ticket_Table[[#This Row],[resolution_hrs]]&lt;=4,"Fast",IF(Ticket_Table[[#This Row],[resolution_hrs]]&lt;=24,"Normal",IF(Ticket_Table[[#This Row],[resolution_hrs]]&lt;=48,"Slow","Very Slow")))</f>
        <v>Slow</v>
      </c>
      <c r="Q2015" s="3">
        <f>YEAR(Ticket_Table[[#This Row],[raised_date]])</f>
        <v>2021</v>
      </c>
    </row>
    <row r="2016" spans="1:17">
      <c r="A2016" t="s">
        <v>2576</v>
      </c>
      <c r="B2016" t="s">
        <v>746</v>
      </c>
      <c r="C2016" t="s">
        <v>117</v>
      </c>
      <c r="D2016" t="s">
        <v>20</v>
      </c>
      <c r="E2016" t="s">
        <v>21</v>
      </c>
      <c r="F2016" t="s">
        <v>38</v>
      </c>
      <c r="G2016" t="s">
        <v>23</v>
      </c>
      <c r="H2016" s="1">
        <v>44320</v>
      </c>
      <c r="I2016" s="2">
        <v>44320.1208333333</v>
      </c>
      <c r="J2016">
        <v>2.9</v>
      </c>
      <c r="K2016" t="s">
        <v>24</v>
      </c>
      <c r="L2016">
        <v>1</v>
      </c>
      <c r="M2016">
        <v>3</v>
      </c>
      <c r="N2016" t="s">
        <v>578</v>
      </c>
      <c r="O2016" s="3" t="str">
        <f>TEXT(Ticket_Table[[#This Row],[raised_date]],"YYYY-MM")</f>
        <v>2021-05</v>
      </c>
      <c r="P2016" s="3" t="str">
        <f>IF(Ticket_Table[[#This Row],[resolution_hrs]]&lt;=4,"Fast",IF(Ticket_Table[[#This Row],[resolution_hrs]]&lt;=24,"Normal",IF(Ticket_Table[[#This Row],[resolution_hrs]]&lt;=48,"Slow","Very Slow")))</f>
        <v>Fast</v>
      </c>
      <c r="Q2016" s="3">
        <f>YEAR(Ticket_Table[[#This Row],[raised_date]])</f>
        <v>2021</v>
      </c>
    </row>
    <row r="2017" spans="1:17">
      <c r="A2017" t="s">
        <v>2577</v>
      </c>
      <c r="B2017" t="s">
        <v>675</v>
      </c>
      <c r="C2017" t="s">
        <v>201</v>
      </c>
      <c r="D2017" t="s">
        <v>29</v>
      </c>
      <c r="E2017" t="s">
        <v>44</v>
      </c>
      <c r="F2017" t="s">
        <v>70</v>
      </c>
      <c r="G2017" t="s">
        <v>31</v>
      </c>
      <c r="H2017" s="1">
        <v>45012</v>
      </c>
      <c r="I2017" s="2">
        <v>45014.3958333333</v>
      </c>
      <c r="J2017">
        <v>57.5</v>
      </c>
      <c r="K2017" t="s">
        <v>32</v>
      </c>
      <c r="L2017">
        <v>0</v>
      </c>
      <c r="M2017">
        <v>5</v>
      </c>
      <c r="N2017" t="s">
        <v>942</v>
      </c>
      <c r="O2017" s="3" t="str">
        <f>TEXT(Ticket_Table[[#This Row],[raised_date]],"YYYY-MM")</f>
        <v>2023-03</v>
      </c>
      <c r="P2017" s="3" t="str">
        <f>IF(Ticket_Table[[#This Row],[resolution_hrs]]&lt;=4,"Fast",IF(Ticket_Table[[#This Row],[resolution_hrs]]&lt;=24,"Normal",IF(Ticket_Table[[#This Row],[resolution_hrs]]&lt;=48,"Slow","Very Slow")))</f>
        <v>Very Slow</v>
      </c>
      <c r="Q2017" s="3">
        <f>YEAR(Ticket_Table[[#This Row],[raised_date]])</f>
        <v>2023</v>
      </c>
    </row>
    <row r="2018" spans="1:17">
      <c r="A2018" t="s">
        <v>2578</v>
      </c>
      <c r="B2018" t="s">
        <v>103</v>
      </c>
      <c r="C2018" t="s">
        <v>175</v>
      </c>
      <c r="D2018" t="s">
        <v>36</v>
      </c>
      <c r="E2018" t="s">
        <v>56</v>
      </c>
      <c r="F2018" t="s">
        <v>38</v>
      </c>
      <c r="G2018" t="s">
        <v>23</v>
      </c>
      <c r="H2018" s="1">
        <v>45234</v>
      </c>
      <c r="I2018" s="2">
        <v>45235.3125</v>
      </c>
      <c r="J2018">
        <v>31.5</v>
      </c>
      <c r="K2018" t="s">
        <v>32</v>
      </c>
      <c r="L2018">
        <v>1</v>
      </c>
      <c r="M2018">
        <v>2</v>
      </c>
      <c r="N2018" t="s">
        <v>608</v>
      </c>
      <c r="O2018" s="3" t="str">
        <f>TEXT(Ticket_Table[[#This Row],[raised_date]],"YYYY-MM")</f>
        <v>2023-11</v>
      </c>
      <c r="P2018" s="3" t="str">
        <f>IF(Ticket_Table[[#This Row],[resolution_hrs]]&lt;=4,"Fast",IF(Ticket_Table[[#This Row],[resolution_hrs]]&lt;=24,"Normal",IF(Ticket_Table[[#This Row],[resolution_hrs]]&lt;=48,"Slow","Very Slow")))</f>
        <v>Slow</v>
      </c>
      <c r="Q2018" s="3">
        <f>YEAR(Ticket_Table[[#This Row],[raised_date]])</f>
        <v>2023</v>
      </c>
    </row>
    <row r="2019" spans="1:17">
      <c r="A2019" t="s">
        <v>2579</v>
      </c>
      <c r="B2019" t="s">
        <v>899</v>
      </c>
      <c r="C2019" t="s">
        <v>60</v>
      </c>
      <c r="D2019" t="s">
        <v>90</v>
      </c>
      <c r="E2019" t="s">
        <v>56</v>
      </c>
      <c r="F2019" t="s">
        <v>45</v>
      </c>
      <c r="G2019" t="s">
        <v>23</v>
      </c>
      <c r="H2019" s="1">
        <v>44783</v>
      </c>
      <c r="I2019" s="2">
        <v>44783.2208333333</v>
      </c>
      <c r="J2019">
        <v>5.3</v>
      </c>
      <c r="K2019" t="s">
        <v>32</v>
      </c>
      <c r="L2019">
        <v>0</v>
      </c>
      <c r="M2019">
        <v>5</v>
      </c>
      <c r="N2019" t="s">
        <v>352</v>
      </c>
      <c r="O2019" s="3" t="str">
        <f>TEXT(Ticket_Table[[#This Row],[raised_date]],"YYYY-MM")</f>
        <v>2022-08</v>
      </c>
      <c r="P2019" s="3" t="str">
        <f>IF(Ticket_Table[[#This Row],[resolution_hrs]]&lt;=4,"Fast",IF(Ticket_Table[[#This Row],[resolution_hrs]]&lt;=24,"Normal",IF(Ticket_Table[[#This Row],[resolution_hrs]]&lt;=48,"Slow","Very Slow")))</f>
        <v>Normal</v>
      </c>
      <c r="Q2019" s="3">
        <f>YEAR(Ticket_Table[[#This Row],[raised_date]])</f>
        <v>2022</v>
      </c>
    </row>
    <row r="2020" spans="1:17">
      <c r="A2020" t="s">
        <v>2580</v>
      </c>
      <c r="B2020" t="s">
        <v>432</v>
      </c>
      <c r="C2020" t="s">
        <v>175</v>
      </c>
      <c r="D2020" t="s">
        <v>20</v>
      </c>
      <c r="E2020" t="s">
        <v>21</v>
      </c>
      <c r="F2020" t="s">
        <v>22</v>
      </c>
      <c r="G2020" t="s">
        <v>31</v>
      </c>
      <c r="H2020" s="1">
        <v>45223</v>
      </c>
      <c r="I2020" s="2">
        <v>45227.3583333333</v>
      </c>
      <c r="J2020">
        <v>104.6</v>
      </c>
      <c r="K2020" t="s">
        <v>32</v>
      </c>
      <c r="L2020">
        <v>0</v>
      </c>
      <c r="M2020">
        <v>4</v>
      </c>
      <c r="N2020" t="s">
        <v>1058</v>
      </c>
      <c r="O2020" s="3" t="str">
        <f>TEXT(Ticket_Table[[#This Row],[raised_date]],"YYYY-MM")</f>
        <v>2023-10</v>
      </c>
      <c r="P20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020" s="3">
        <f>YEAR(Ticket_Table[[#This Row],[raised_date]])</f>
        <v>2023</v>
      </c>
    </row>
    <row r="2021" spans="1:17">
      <c r="A2021" t="s">
        <v>2581</v>
      </c>
      <c r="B2021" t="s">
        <v>871</v>
      </c>
      <c r="C2021" t="s">
        <v>82</v>
      </c>
      <c r="D2021" t="s">
        <v>20</v>
      </c>
      <c r="E2021" t="s">
        <v>69</v>
      </c>
      <c r="F2021" t="s">
        <v>45</v>
      </c>
      <c r="G2021" t="s">
        <v>74</v>
      </c>
      <c r="H2021" s="1">
        <v>45047</v>
      </c>
      <c r="I2021" s="2">
        <v>45047.225</v>
      </c>
      <c r="J2021">
        <v>5.4</v>
      </c>
      <c r="K2021" t="s">
        <v>32</v>
      </c>
      <c r="L2021">
        <v>3</v>
      </c>
      <c r="M2021">
        <v>2</v>
      </c>
      <c r="N2021" t="s">
        <v>1050</v>
      </c>
      <c r="O2021" s="3" t="str">
        <f>TEXT(Ticket_Table[[#This Row],[raised_date]],"YYYY-MM")</f>
        <v>2023-05</v>
      </c>
      <c r="P2021" s="3" t="str">
        <f>IF(Ticket_Table[[#This Row],[resolution_hrs]]&lt;=4,"Fast",IF(Ticket_Table[[#This Row],[resolution_hrs]]&lt;=24,"Normal",IF(Ticket_Table[[#This Row],[resolution_hrs]]&lt;=48,"Slow","Very Slow")))</f>
        <v>Normal</v>
      </c>
      <c r="Q2021" s="3">
        <f>YEAR(Ticket_Table[[#This Row],[raised_date]])</f>
        <v>2023</v>
      </c>
    </row>
    <row r="2022" spans="1:17">
      <c r="A2022" t="s">
        <v>2582</v>
      </c>
      <c r="B2022" t="s">
        <v>279</v>
      </c>
      <c r="C2022" t="s">
        <v>213</v>
      </c>
      <c r="D2022" t="s">
        <v>90</v>
      </c>
      <c r="E2022" t="s">
        <v>51</v>
      </c>
      <c r="F2022" t="s">
        <v>38</v>
      </c>
      <c r="G2022" t="s">
        <v>31</v>
      </c>
      <c r="H2022" s="1">
        <v>45064</v>
      </c>
      <c r="I2022" s="2">
        <v>45064.3458333333</v>
      </c>
      <c r="J2022">
        <v>8.3</v>
      </c>
      <c r="K2022" t="s">
        <v>24</v>
      </c>
      <c r="L2022">
        <v>0</v>
      </c>
      <c r="M2022">
        <v>5</v>
      </c>
      <c r="N2022" t="s">
        <v>214</v>
      </c>
      <c r="O2022" s="3" t="str">
        <f>TEXT(Ticket_Table[[#This Row],[raised_date]],"YYYY-MM")</f>
        <v>2023-05</v>
      </c>
      <c r="P2022" s="3" t="str">
        <f>IF(Ticket_Table[[#This Row],[resolution_hrs]]&lt;=4,"Fast",IF(Ticket_Table[[#This Row],[resolution_hrs]]&lt;=24,"Normal",IF(Ticket_Table[[#This Row],[resolution_hrs]]&lt;=48,"Slow","Very Slow")))</f>
        <v>Normal</v>
      </c>
      <c r="Q2022" s="3">
        <f>YEAR(Ticket_Table[[#This Row],[raised_date]])</f>
        <v>2023</v>
      </c>
    </row>
    <row r="2023" spans="1:17">
      <c r="A2023" t="s">
        <v>2583</v>
      </c>
      <c r="B2023" t="s">
        <v>671</v>
      </c>
      <c r="C2023" t="s">
        <v>287</v>
      </c>
      <c r="D2023" t="s">
        <v>36</v>
      </c>
      <c r="E2023" t="s">
        <v>51</v>
      </c>
      <c r="F2023" t="s">
        <v>38</v>
      </c>
      <c r="G2023" t="s">
        <v>46</v>
      </c>
      <c r="H2023" s="1">
        <v>45020</v>
      </c>
      <c r="I2023" s="2">
        <v>45020.1583333333</v>
      </c>
      <c r="J2023">
        <v>3.8</v>
      </c>
      <c r="K2023" t="s">
        <v>24</v>
      </c>
      <c r="L2023">
        <v>2</v>
      </c>
      <c r="M2023">
        <v>1</v>
      </c>
      <c r="N2023" t="s">
        <v>489</v>
      </c>
      <c r="O2023" s="3" t="str">
        <f>TEXT(Ticket_Table[[#This Row],[raised_date]],"YYYY-MM")</f>
        <v>2023-04</v>
      </c>
      <c r="P2023" s="3" t="str">
        <f>IF(Ticket_Table[[#This Row],[resolution_hrs]]&lt;=4,"Fast",IF(Ticket_Table[[#This Row],[resolution_hrs]]&lt;=24,"Normal",IF(Ticket_Table[[#This Row],[resolution_hrs]]&lt;=48,"Slow","Very Slow")))</f>
        <v>Fast</v>
      </c>
      <c r="Q2023" s="3">
        <f>YEAR(Ticket_Table[[#This Row],[raised_date]])</f>
        <v>2023</v>
      </c>
    </row>
    <row r="2024" spans="1:17">
      <c r="A2024" t="s">
        <v>2584</v>
      </c>
      <c r="B2024" t="s">
        <v>174</v>
      </c>
      <c r="C2024" t="s">
        <v>95</v>
      </c>
      <c r="D2024" t="s">
        <v>90</v>
      </c>
      <c r="E2024" t="s">
        <v>44</v>
      </c>
      <c r="F2024" t="s">
        <v>22</v>
      </c>
      <c r="G2024" t="s">
        <v>31</v>
      </c>
      <c r="H2024" s="1">
        <v>44365</v>
      </c>
      <c r="I2024" s="2">
        <v>44367.1416666667</v>
      </c>
      <c r="J2024">
        <v>51.4</v>
      </c>
      <c r="K2024" t="s">
        <v>24</v>
      </c>
      <c r="L2024">
        <v>1</v>
      </c>
      <c r="M2024">
        <v>4</v>
      </c>
      <c r="N2024" t="s">
        <v>787</v>
      </c>
      <c r="O2024" s="3" t="str">
        <f>TEXT(Ticket_Table[[#This Row],[raised_date]],"YYYY-MM")</f>
        <v>2021-06</v>
      </c>
      <c r="P2024" s="3" t="str">
        <f>IF(Ticket_Table[[#This Row],[resolution_hrs]]&lt;=4,"Fast",IF(Ticket_Table[[#This Row],[resolution_hrs]]&lt;=24,"Normal",IF(Ticket_Table[[#This Row],[resolution_hrs]]&lt;=48,"Slow","Very Slow")))</f>
        <v>Very Slow</v>
      </c>
      <c r="Q2024" s="3">
        <f>YEAR(Ticket_Table[[#This Row],[raised_date]])</f>
        <v>2021</v>
      </c>
    </row>
    <row r="2025" spans="1:17">
      <c r="A2025" t="s">
        <v>2585</v>
      </c>
      <c r="B2025" t="s">
        <v>374</v>
      </c>
      <c r="C2025" t="s">
        <v>60</v>
      </c>
      <c r="D2025" t="s">
        <v>43</v>
      </c>
      <c r="E2025" t="s">
        <v>166</v>
      </c>
      <c r="F2025" t="s">
        <v>38</v>
      </c>
      <c r="G2025" t="s">
        <v>23</v>
      </c>
      <c r="H2025" s="1">
        <v>44509</v>
      </c>
      <c r="I2025" s="2">
        <v>44510.0083333333</v>
      </c>
      <c r="J2025">
        <v>24.2</v>
      </c>
      <c r="K2025" t="s">
        <v>32</v>
      </c>
      <c r="L2025">
        <v>0</v>
      </c>
      <c r="M2025">
        <v>5</v>
      </c>
      <c r="N2025" t="s">
        <v>382</v>
      </c>
      <c r="O2025" s="3" t="str">
        <f>TEXT(Ticket_Table[[#This Row],[raised_date]],"YYYY-MM")</f>
        <v>2021-11</v>
      </c>
      <c r="P2025" s="3" t="str">
        <f>IF(Ticket_Table[[#This Row],[resolution_hrs]]&lt;=4,"Fast",IF(Ticket_Table[[#This Row],[resolution_hrs]]&lt;=24,"Normal",IF(Ticket_Table[[#This Row],[resolution_hrs]]&lt;=48,"Slow","Very Slow")))</f>
        <v>Slow</v>
      </c>
      <c r="Q2025" s="3">
        <f>YEAR(Ticket_Table[[#This Row],[raised_date]])</f>
        <v>2021</v>
      </c>
    </row>
    <row r="2026" spans="1:17">
      <c r="A2026" t="s">
        <v>2586</v>
      </c>
      <c r="B2026" t="s">
        <v>1112</v>
      </c>
      <c r="C2026" t="s">
        <v>82</v>
      </c>
      <c r="D2026" t="s">
        <v>29</v>
      </c>
      <c r="E2026" t="s">
        <v>69</v>
      </c>
      <c r="F2026" t="s">
        <v>38</v>
      </c>
      <c r="G2026" t="s">
        <v>23</v>
      </c>
      <c r="H2026" s="1">
        <v>44765</v>
      </c>
      <c r="I2026" s="2">
        <v>44765.1375</v>
      </c>
      <c r="J2026">
        <v>3.3</v>
      </c>
      <c r="K2026" t="s">
        <v>24</v>
      </c>
      <c r="L2026">
        <v>0</v>
      </c>
      <c r="M2026">
        <v>3</v>
      </c>
      <c r="N2026" t="s">
        <v>576</v>
      </c>
      <c r="O2026" s="3" t="str">
        <f>TEXT(Ticket_Table[[#This Row],[raised_date]],"YYYY-MM")</f>
        <v>2022-07</v>
      </c>
      <c r="P2026" s="3" t="str">
        <f>IF(Ticket_Table[[#This Row],[resolution_hrs]]&lt;=4,"Fast",IF(Ticket_Table[[#This Row],[resolution_hrs]]&lt;=24,"Normal",IF(Ticket_Table[[#This Row],[resolution_hrs]]&lt;=48,"Slow","Very Slow")))</f>
        <v>Fast</v>
      </c>
      <c r="Q2026" s="3">
        <f>YEAR(Ticket_Table[[#This Row],[raised_date]])</f>
        <v>2022</v>
      </c>
    </row>
    <row r="2027" spans="1:17">
      <c r="A2027" t="s">
        <v>2587</v>
      </c>
      <c r="B2027" t="s">
        <v>241</v>
      </c>
      <c r="C2027" t="s">
        <v>78</v>
      </c>
      <c r="D2027" t="s">
        <v>29</v>
      </c>
      <c r="E2027" t="s">
        <v>30</v>
      </c>
      <c r="F2027" t="s">
        <v>22</v>
      </c>
      <c r="G2027" t="s">
        <v>74</v>
      </c>
      <c r="H2027" s="1">
        <v>44368</v>
      </c>
      <c r="I2027" s="2">
        <v>44370.3083333333</v>
      </c>
      <c r="J2027">
        <v>55.4</v>
      </c>
      <c r="K2027" t="s">
        <v>24</v>
      </c>
      <c r="L2027">
        <v>0</v>
      </c>
      <c r="M2027">
        <v>3</v>
      </c>
      <c r="N2027" t="s">
        <v>515</v>
      </c>
      <c r="O2027" s="3" t="str">
        <f>TEXT(Ticket_Table[[#This Row],[raised_date]],"YYYY-MM")</f>
        <v>2021-06</v>
      </c>
      <c r="P2027" s="3" t="str">
        <f>IF(Ticket_Table[[#This Row],[resolution_hrs]]&lt;=4,"Fast",IF(Ticket_Table[[#This Row],[resolution_hrs]]&lt;=24,"Normal",IF(Ticket_Table[[#This Row],[resolution_hrs]]&lt;=48,"Slow","Very Slow")))</f>
        <v>Very Slow</v>
      </c>
      <c r="Q2027" s="3">
        <f>YEAR(Ticket_Table[[#This Row],[raised_date]])</f>
        <v>2021</v>
      </c>
    </row>
    <row r="2028" spans="1:17">
      <c r="A2028" t="s">
        <v>2588</v>
      </c>
      <c r="B2028" t="s">
        <v>562</v>
      </c>
      <c r="C2028" t="s">
        <v>102</v>
      </c>
      <c r="D2028" t="s">
        <v>36</v>
      </c>
      <c r="E2028" t="s">
        <v>30</v>
      </c>
      <c r="F2028" t="s">
        <v>45</v>
      </c>
      <c r="G2028" t="s">
        <v>31</v>
      </c>
      <c r="H2028" s="1">
        <v>44831</v>
      </c>
      <c r="I2028" s="2">
        <v>44831.2</v>
      </c>
      <c r="J2028">
        <v>4.8</v>
      </c>
      <c r="K2028" t="s">
        <v>32</v>
      </c>
      <c r="L2028">
        <v>1</v>
      </c>
      <c r="M2028">
        <v>4</v>
      </c>
      <c r="N2028" t="s">
        <v>296</v>
      </c>
      <c r="O2028" s="3" t="str">
        <f>TEXT(Ticket_Table[[#This Row],[raised_date]],"YYYY-MM")</f>
        <v>2022-09</v>
      </c>
      <c r="P2028" s="3" t="str">
        <f>IF(Ticket_Table[[#This Row],[resolution_hrs]]&lt;=4,"Fast",IF(Ticket_Table[[#This Row],[resolution_hrs]]&lt;=24,"Normal",IF(Ticket_Table[[#This Row],[resolution_hrs]]&lt;=48,"Slow","Very Slow")))</f>
        <v>Normal</v>
      </c>
      <c r="Q2028" s="3">
        <f>YEAR(Ticket_Table[[#This Row],[raised_date]])</f>
        <v>2022</v>
      </c>
    </row>
    <row r="2029" spans="1:17">
      <c r="A2029" t="s">
        <v>2589</v>
      </c>
      <c r="B2029" t="s">
        <v>937</v>
      </c>
      <c r="C2029" t="s">
        <v>19</v>
      </c>
      <c r="D2029" t="s">
        <v>90</v>
      </c>
      <c r="E2029" t="s">
        <v>69</v>
      </c>
      <c r="F2029" t="s">
        <v>22</v>
      </c>
      <c r="G2029" t="s">
        <v>46</v>
      </c>
      <c r="H2029" s="1">
        <v>44358</v>
      </c>
      <c r="I2029" s="2">
        <v>44360.9166666667</v>
      </c>
      <c r="J2029">
        <v>70</v>
      </c>
      <c r="K2029" t="s">
        <v>24</v>
      </c>
      <c r="L2029">
        <v>0</v>
      </c>
      <c r="M2029">
        <v>4</v>
      </c>
      <c r="N2029" t="s">
        <v>471</v>
      </c>
      <c r="O2029" s="3" t="str">
        <f>TEXT(Ticket_Table[[#This Row],[raised_date]],"YYYY-MM")</f>
        <v>2021-06</v>
      </c>
      <c r="P2029" s="3" t="str">
        <f>IF(Ticket_Table[[#This Row],[resolution_hrs]]&lt;=4,"Fast",IF(Ticket_Table[[#This Row],[resolution_hrs]]&lt;=24,"Normal",IF(Ticket_Table[[#This Row],[resolution_hrs]]&lt;=48,"Slow","Very Slow")))</f>
        <v>Very Slow</v>
      </c>
      <c r="Q2029" s="3">
        <f>YEAR(Ticket_Table[[#This Row],[raised_date]])</f>
        <v>2021</v>
      </c>
    </row>
    <row r="2030" spans="1:17">
      <c r="A2030" t="s">
        <v>2590</v>
      </c>
      <c r="B2030" t="s">
        <v>420</v>
      </c>
      <c r="C2030" t="s">
        <v>50</v>
      </c>
      <c r="D2030" t="s">
        <v>20</v>
      </c>
      <c r="E2030" t="s">
        <v>106</v>
      </c>
      <c r="F2030" t="s">
        <v>22</v>
      </c>
      <c r="G2030" t="s">
        <v>23</v>
      </c>
      <c r="H2030" s="1">
        <v>45244</v>
      </c>
      <c r="I2030" s="2">
        <v>45246.3125</v>
      </c>
      <c r="J2030">
        <v>55.5</v>
      </c>
      <c r="K2030" t="s">
        <v>24</v>
      </c>
      <c r="L2030">
        <v>1</v>
      </c>
      <c r="M2030">
        <v>5</v>
      </c>
      <c r="N2030" t="s">
        <v>567</v>
      </c>
      <c r="O2030" s="3" t="str">
        <f>TEXT(Ticket_Table[[#This Row],[raised_date]],"YYYY-MM")</f>
        <v>2023-11</v>
      </c>
      <c r="P2030" s="3" t="str">
        <f>IF(Ticket_Table[[#This Row],[resolution_hrs]]&lt;=4,"Fast",IF(Ticket_Table[[#This Row],[resolution_hrs]]&lt;=24,"Normal",IF(Ticket_Table[[#This Row],[resolution_hrs]]&lt;=48,"Slow","Very Slow")))</f>
        <v>Very Slow</v>
      </c>
      <c r="Q2030" s="3">
        <f>YEAR(Ticket_Table[[#This Row],[raised_date]])</f>
        <v>2023</v>
      </c>
    </row>
    <row r="2031" spans="1:17">
      <c r="A2031" t="s">
        <v>2591</v>
      </c>
      <c r="B2031" t="s">
        <v>698</v>
      </c>
      <c r="C2031" t="s">
        <v>175</v>
      </c>
      <c r="D2031" t="s">
        <v>20</v>
      </c>
      <c r="E2031" t="s">
        <v>166</v>
      </c>
      <c r="F2031" t="s">
        <v>70</v>
      </c>
      <c r="G2031" t="s">
        <v>23</v>
      </c>
      <c r="H2031" s="1">
        <v>44613</v>
      </c>
      <c r="I2031" s="2">
        <v>44614.5166666667</v>
      </c>
      <c r="J2031">
        <v>36.4</v>
      </c>
      <c r="K2031" t="s">
        <v>24</v>
      </c>
      <c r="L2031">
        <v>0</v>
      </c>
      <c r="M2031">
        <v>4</v>
      </c>
      <c r="N2031" t="s">
        <v>1348</v>
      </c>
      <c r="O2031" s="3" t="str">
        <f>TEXT(Ticket_Table[[#This Row],[raised_date]],"YYYY-MM")</f>
        <v>2022-02</v>
      </c>
      <c r="P2031" s="3" t="str">
        <f>IF(Ticket_Table[[#This Row],[resolution_hrs]]&lt;=4,"Fast",IF(Ticket_Table[[#This Row],[resolution_hrs]]&lt;=24,"Normal",IF(Ticket_Table[[#This Row],[resolution_hrs]]&lt;=48,"Slow","Very Slow")))</f>
        <v>Slow</v>
      </c>
      <c r="Q2031" s="3">
        <f>YEAR(Ticket_Table[[#This Row],[raised_date]])</f>
        <v>2022</v>
      </c>
    </row>
    <row r="2032" spans="1:17">
      <c r="A2032" t="s">
        <v>2592</v>
      </c>
      <c r="B2032" t="s">
        <v>1100</v>
      </c>
      <c r="C2032" t="s">
        <v>102</v>
      </c>
      <c r="D2032" t="s">
        <v>20</v>
      </c>
      <c r="E2032" t="s">
        <v>30</v>
      </c>
      <c r="F2032" t="s">
        <v>70</v>
      </c>
      <c r="G2032" t="s">
        <v>23</v>
      </c>
      <c r="H2032" s="1">
        <v>44515</v>
      </c>
      <c r="I2032" s="2">
        <v>44516.4166666667</v>
      </c>
      <c r="J2032">
        <v>34</v>
      </c>
      <c r="K2032" t="s">
        <v>24</v>
      </c>
      <c r="L2032">
        <v>0</v>
      </c>
      <c r="M2032">
        <v>3</v>
      </c>
      <c r="N2032" t="s">
        <v>1252</v>
      </c>
      <c r="O2032" s="3" t="str">
        <f>TEXT(Ticket_Table[[#This Row],[raised_date]],"YYYY-MM")</f>
        <v>2021-11</v>
      </c>
      <c r="P2032" s="3" t="str">
        <f>IF(Ticket_Table[[#This Row],[resolution_hrs]]&lt;=4,"Fast",IF(Ticket_Table[[#This Row],[resolution_hrs]]&lt;=24,"Normal",IF(Ticket_Table[[#This Row],[resolution_hrs]]&lt;=48,"Slow","Very Slow")))</f>
        <v>Slow</v>
      </c>
      <c r="Q2032" s="3">
        <f>YEAR(Ticket_Table[[#This Row],[raised_date]])</f>
        <v>2021</v>
      </c>
    </row>
    <row r="2033" spans="1:17">
      <c r="A2033" t="s">
        <v>2593</v>
      </c>
      <c r="B2033" t="s">
        <v>608</v>
      </c>
      <c r="C2033" t="s">
        <v>82</v>
      </c>
      <c r="D2033" t="s">
        <v>43</v>
      </c>
      <c r="E2033" t="s">
        <v>83</v>
      </c>
      <c r="F2033" t="s">
        <v>70</v>
      </c>
      <c r="G2033" t="s">
        <v>91</v>
      </c>
      <c r="H2033" s="1">
        <v>44866</v>
      </c>
      <c r="I2033" s="2">
        <v>44866.9916666667</v>
      </c>
      <c r="J2033">
        <v>23.8</v>
      </c>
      <c r="K2033" t="s">
        <v>24</v>
      </c>
      <c r="L2033">
        <v>0</v>
      </c>
      <c r="M2033">
        <v>5</v>
      </c>
      <c r="N2033" t="s">
        <v>183</v>
      </c>
      <c r="O2033" s="3" t="str">
        <f>TEXT(Ticket_Table[[#This Row],[raised_date]],"YYYY-MM")</f>
        <v>2022-11</v>
      </c>
      <c r="P2033" s="3" t="str">
        <f>IF(Ticket_Table[[#This Row],[resolution_hrs]]&lt;=4,"Fast",IF(Ticket_Table[[#This Row],[resolution_hrs]]&lt;=24,"Normal",IF(Ticket_Table[[#This Row],[resolution_hrs]]&lt;=48,"Slow","Very Slow")))</f>
        <v>Normal</v>
      </c>
      <c r="Q2033" s="3">
        <f>YEAR(Ticket_Table[[#This Row],[raised_date]])</f>
        <v>2022</v>
      </c>
    </row>
    <row r="2034" spans="1:17">
      <c r="A2034" t="s">
        <v>2594</v>
      </c>
      <c r="B2034" t="s">
        <v>1760</v>
      </c>
      <c r="C2034" t="s">
        <v>261</v>
      </c>
      <c r="D2034" t="s">
        <v>43</v>
      </c>
      <c r="E2034" t="s">
        <v>37</v>
      </c>
      <c r="F2034" t="s">
        <v>22</v>
      </c>
      <c r="G2034" t="s">
        <v>74</v>
      </c>
      <c r="H2034" s="1">
        <v>44997</v>
      </c>
      <c r="I2034" s="2">
        <v>44998.7083333333</v>
      </c>
      <c r="J2034">
        <v>41</v>
      </c>
      <c r="K2034" t="s">
        <v>24</v>
      </c>
      <c r="L2034">
        <v>0</v>
      </c>
      <c r="M2034">
        <v>5</v>
      </c>
      <c r="N2034" t="s">
        <v>558</v>
      </c>
      <c r="O2034" s="3" t="str">
        <f>TEXT(Ticket_Table[[#This Row],[raised_date]],"YYYY-MM")</f>
        <v>2023-03</v>
      </c>
      <c r="P2034" s="3" t="str">
        <f>IF(Ticket_Table[[#This Row],[resolution_hrs]]&lt;=4,"Fast",IF(Ticket_Table[[#This Row],[resolution_hrs]]&lt;=24,"Normal",IF(Ticket_Table[[#This Row],[resolution_hrs]]&lt;=48,"Slow","Very Slow")))</f>
        <v>Slow</v>
      </c>
      <c r="Q2034" s="3">
        <f>YEAR(Ticket_Table[[#This Row],[raised_date]])</f>
        <v>2023</v>
      </c>
    </row>
    <row r="2035" spans="1:17">
      <c r="A2035" t="s">
        <v>2595</v>
      </c>
      <c r="B2035" t="s">
        <v>929</v>
      </c>
      <c r="C2035" t="s">
        <v>64</v>
      </c>
      <c r="D2035" t="s">
        <v>20</v>
      </c>
      <c r="E2035" t="s">
        <v>69</v>
      </c>
      <c r="F2035" t="s">
        <v>45</v>
      </c>
      <c r="G2035" t="s">
        <v>23</v>
      </c>
      <c r="H2035" s="1">
        <v>44332</v>
      </c>
      <c r="I2035" s="2">
        <v>44332.1875</v>
      </c>
      <c r="J2035">
        <v>4.5</v>
      </c>
      <c r="K2035" t="s">
        <v>32</v>
      </c>
      <c r="L2035">
        <v>1</v>
      </c>
      <c r="M2035">
        <v>3</v>
      </c>
      <c r="N2035" t="s">
        <v>165</v>
      </c>
      <c r="O2035" s="3" t="str">
        <f>TEXT(Ticket_Table[[#This Row],[raised_date]],"YYYY-MM")</f>
        <v>2021-05</v>
      </c>
      <c r="P2035" s="3" t="str">
        <f>IF(Ticket_Table[[#This Row],[resolution_hrs]]&lt;=4,"Fast",IF(Ticket_Table[[#This Row],[resolution_hrs]]&lt;=24,"Normal",IF(Ticket_Table[[#This Row],[resolution_hrs]]&lt;=48,"Slow","Very Slow")))</f>
        <v>Normal</v>
      </c>
      <c r="Q2035" s="3">
        <f>YEAR(Ticket_Table[[#This Row],[raised_date]])</f>
        <v>2021</v>
      </c>
    </row>
    <row r="2036" spans="1:17">
      <c r="A2036" t="s">
        <v>2596</v>
      </c>
      <c r="B2036" t="s">
        <v>327</v>
      </c>
      <c r="C2036" t="s">
        <v>68</v>
      </c>
      <c r="D2036" t="s">
        <v>36</v>
      </c>
      <c r="E2036" t="s">
        <v>106</v>
      </c>
      <c r="F2036" t="s">
        <v>22</v>
      </c>
      <c r="G2036" t="s">
        <v>23</v>
      </c>
      <c r="H2036" s="1">
        <v>44832</v>
      </c>
      <c r="I2036" s="2">
        <v>44835.2333333333</v>
      </c>
      <c r="J2036">
        <v>77.6</v>
      </c>
      <c r="K2036" t="s">
        <v>32</v>
      </c>
      <c r="L2036">
        <v>0</v>
      </c>
      <c r="M2036">
        <v>2</v>
      </c>
      <c r="N2036" t="s">
        <v>169</v>
      </c>
      <c r="O2036" s="3" t="str">
        <f>TEXT(Ticket_Table[[#This Row],[raised_date]],"YYYY-MM")</f>
        <v>2022-09</v>
      </c>
      <c r="P2036" s="3" t="str">
        <f>IF(Ticket_Table[[#This Row],[resolution_hrs]]&lt;=4,"Fast",IF(Ticket_Table[[#This Row],[resolution_hrs]]&lt;=24,"Normal",IF(Ticket_Table[[#This Row],[resolution_hrs]]&lt;=48,"Slow","Very Slow")))</f>
        <v>Very Slow</v>
      </c>
      <c r="Q2036" s="3">
        <f>YEAR(Ticket_Table[[#This Row],[raised_date]])</f>
        <v>2022</v>
      </c>
    </row>
    <row r="2037" spans="1:17">
      <c r="A2037" t="s">
        <v>2597</v>
      </c>
      <c r="B2037" t="s">
        <v>240</v>
      </c>
      <c r="C2037" t="s">
        <v>102</v>
      </c>
      <c r="D2037" t="s">
        <v>43</v>
      </c>
      <c r="E2037" t="s">
        <v>83</v>
      </c>
      <c r="F2037" t="s">
        <v>22</v>
      </c>
      <c r="G2037" t="s">
        <v>46</v>
      </c>
      <c r="H2037" s="1">
        <v>45092</v>
      </c>
      <c r="I2037" s="2">
        <v>45094.2458333333</v>
      </c>
      <c r="J2037">
        <v>53.9</v>
      </c>
      <c r="K2037" t="s">
        <v>24</v>
      </c>
      <c r="L2037">
        <v>0</v>
      </c>
      <c r="M2037">
        <v>4</v>
      </c>
      <c r="N2037" t="s">
        <v>180</v>
      </c>
      <c r="O2037" s="3" t="str">
        <f>TEXT(Ticket_Table[[#This Row],[raised_date]],"YYYY-MM")</f>
        <v>2023-06</v>
      </c>
      <c r="P2037" s="3" t="str">
        <f>IF(Ticket_Table[[#This Row],[resolution_hrs]]&lt;=4,"Fast",IF(Ticket_Table[[#This Row],[resolution_hrs]]&lt;=24,"Normal",IF(Ticket_Table[[#This Row],[resolution_hrs]]&lt;=48,"Slow","Very Slow")))</f>
        <v>Very Slow</v>
      </c>
      <c r="Q2037" s="3">
        <f>YEAR(Ticket_Table[[#This Row],[raised_date]])</f>
        <v>2023</v>
      </c>
    </row>
    <row r="2038" spans="1:17">
      <c r="A2038" t="s">
        <v>2598</v>
      </c>
      <c r="B2038" t="s">
        <v>610</v>
      </c>
      <c r="C2038" t="s">
        <v>78</v>
      </c>
      <c r="D2038" t="s">
        <v>43</v>
      </c>
      <c r="E2038" t="s">
        <v>37</v>
      </c>
      <c r="F2038" t="s">
        <v>22</v>
      </c>
      <c r="G2038" t="s">
        <v>46</v>
      </c>
      <c r="H2038" s="1">
        <v>44685</v>
      </c>
      <c r="I2038" s="2">
        <v>44686.2375</v>
      </c>
      <c r="J2038">
        <v>29.7</v>
      </c>
      <c r="K2038" t="s">
        <v>24</v>
      </c>
      <c r="L2038">
        <v>0</v>
      </c>
      <c r="M2038">
        <v>5</v>
      </c>
      <c r="N2038" t="s">
        <v>474</v>
      </c>
      <c r="O2038" s="3" t="str">
        <f>TEXT(Ticket_Table[[#This Row],[raised_date]],"YYYY-MM")</f>
        <v>2022-05</v>
      </c>
      <c r="P2038" s="3" t="str">
        <f>IF(Ticket_Table[[#This Row],[resolution_hrs]]&lt;=4,"Fast",IF(Ticket_Table[[#This Row],[resolution_hrs]]&lt;=24,"Normal",IF(Ticket_Table[[#This Row],[resolution_hrs]]&lt;=48,"Slow","Very Slow")))</f>
        <v>Slow</v>
      </c>
      <c r="Q2038" s="3">
        <f>YEAR(Ticket_Table[[#This Row],[raised_date]])</f>
        <v>2022</v>
      </c>
    </row>
    <row r="2039" spans="1:17">
      <c r="A2039" t="s">
        <v>2599</v>
      </c>
      <c r="B2039" t="s">
        <v>353</v>
      </c>
      <c r="C2039" t="s">
        <v>102</v>
      </c>
      <c r="D2039" t="s">
        <v>29</v>
      </c>
      <c r="E2039" t="s">
        <v>37</v>
      </c>
      <c r="F2039" t="s">
        <v>70</v>
      </c>
      <c r="G2039" t="s">
        <v>31</v>
      </c>
      <c r="H2039" s="1">
        <v>44315</v>
      </c>
      <c r="I2039" s="2">
        <v>44316.2291666667</v>
      </c>
      <c r="J2039">
        <v>29.5</v>
      </c>
      <c r="K2039" t="s">
        <v>24</v>
      </c>
      <c r="L2039">
        <v>0</v>
      </c>
      <c r="M2039">
        <v>3</v>
      </c>
      <c r="N2039" t="s">
        <v>273</v>
      </c>
      <c r="O2039" s="3" t="str">
        <f>TEXT(Ticket_Table[[#This Row],[raised_date]],"YYYY-MM")</f>
        <v>2021-04</v>
      </c>
      <c r="P2039" s="3" t="str">
        <f>IF(Ticket_Table[[#This Row],[resolution_hrs]]&lt;=4,"Fast",IF(Ticket_Table[[#This Row],[resolution_hrs]]&lt;=24,"Normal",IF(Ticket_Table[[#This Row],[resolution_hrs]]&lt;=48,"Slow","Very Slow")))</f>
        <v>Slow</v>
      </c>
      <c r="Q2039" s="3">
        <f>YEAR(Ticket_Table[[#This Row],[raised_date]])</f>
        <v>2021</v>
      </c>
    </row>
    <row r="2040" spans="1:17">
      <c r="A2040" t="s">
        <v>2600</v>
      </c>
      <c r="B2040" t="s">
        <v>2204</v>
      </c>
      <c r="C2040" t="s">
        <v>68</v>
      </c>
      <c r="D2040" t="s">
        <v>29</v>
      </c>
      <c r="E2040" t="s">
        <v>44</v>
      </c>
      <c r="F2040" t="s">
        <v>45</v>
      </c>
      <c r="G2040" t="s">
        <v>31</v>
      </c>
      <c r="H2040" s="1">
        <v>44697</v>
      </c>
      <c r="I2040" s="2">
        <v>44697.2333333333</v>
      </c>
      <c r="J2040">
        <v>5.6</v>
      </c>
      <c r="K2040" t="s">
        <v>32</v>
      </c>
      <c r="L2040">
        <v>0</v>
      </c>
      <c r="M2040">
        <v>5</v>
      </c>
      <c r="N2040" t="s">
        <v>756</v>
      </c>
      <c r="O2040" s="3" t="str">
        <f>TEXT(Ticket_Table[[#This Row],[raised_date]],"YYYY-MM")</f>
        <v>2022-05</v>
      </c>
      <c r="P2040" s="3" t="str">
        <f>IF(Ticket_Table[[#This Row],[resolution_hrs]]&lt;=4,"Fast",IF(Ticket_Table[[#This Row],[resolution_hrs]]&lt;=24,"Normal",IF(Ticket_Table[[#This Row],[resolution_hrs]]&lt;=48,"Slow","Very Slow")))</f>
        <v>Normal</v>
      </c>
      <c r="Q2040" s="3">
        <f>YEAR(Ticket_Table[[#This Row],[raised_date]])</f>
        <v>2022</v>
      </c>
    </row>
    <row r="2041" spans="1:17">
      <c r="A2041" t="s">
        <v>2601</v>
      </c>
      <c r="B2041" t="s">
        <v>1337</v>
      </c>
      <c r="C2041" t="s">
        <v>42</v>
      </c>
      <c r="D2041" t="s">
        <v>36</v>
      </c>
      <c r="E2041" t="s">
        <v>166</v>
      </c>
      <c r="F2041" t="s">
        <v>38</v>
      </c>
      <c r="G2041" t="s">
        <v>46</v>
      </c>
      <c r="H2041" s="1">
        <v>44373</v>
      </c>
      <c r="I2041" s="2">
        <v>44373.8916666667</v>
      </c>
      <c r="J2041">
        <v>21.4</v>
      </c>
      <c r="K2041" t="s">
        <v>24</v>
      </c>
      <c r="L2041">
        <v>1</v>
      </c>
      <c r="M2041">
        <v>5</v>
      </c>
      <c r="N2041" t="s">
        <v>307</v>
      </c>
      <c r="O2041" s="3" t="str">
        <f>TEXT(Ticket_Table[[#This Row],[raised_date]],"YYYY-MM")</f>
        <v>2021-06</v>
      </c>
      <c r="P2041" s="3" t="str">
        <f>IF(Ticket_Table[[#This Row],[resolution_hrs]]&lt;=4,"Fast",IF(Ticket_Table[[#This Row],[resolution_hrs]]&lt;=24,"Normal",IF(Ticket_Table[[#This Row],[resolution_hrs]]&lt;=48,"Slow","Very Slow")))</f>
        <v>Normal</v>
      </c>
      <c r="Q2041" s="3">
        <f>YEAR(Ticket_Table[[#This Row],[raised_date]])</f>
        <v>2021</v>
      </c>
    </row>
    <row r="2042" spans="1:17">
      <c r="A2042" t="s">
        <v>2602</v>
      </c>
      <c r="B2042" t="s">
        <v>544</v>
      </c>
      <c r="C2042" t="s">
        <v>140</v>
      </c>
      <c r="D2042" t="s">
        <v>43</v>
      </c>
      <c r="E2042" t="s">
        <v>69</v>
      </c>
      <c r="F2042" t="s">
        <v>38</v>
      </c>
      <c r="G2042" t="s">
        <v>46</v>
      </c>
      <c r="H2042" s="1">
        <v>45086</v>
      </c>
      <c r="I2042" s="2">
        <v>45086.0958333333</v>
      </c>
      <c r="J2042">
        <v>2.3</v>
      </c>
      <c r="K2042" t="s">
        <v>24</v>
      </c>
      <c r="L2042">
        <v>0</v>
      </c>
      <c r="M2042">
        <v>2</v>
      </c>
      <c r="N2042" t="s">
        <v>419</v>
      </c>
      <c r="O2042" s="3" t="str">
        <f>TEXT(Ticket_Table[[#This Row],[raised_date]],"YYYY-MM")</f>
        <v>2023-06</v>
      </c>
      <c r="P2042" s="3" t="str">
        <f>IF(Ticket_Table[[#This Row],[resolution_hrs]]&lt;=4,"Fast",IF(Ticket_Table[[#This Row],[resolution_hrs]]&lt;=24,"Normal",IF(Ticket_Table[[#This Row],[resolution_hrs]]&lt;=48,"Slow","Very Slow")))</f>
        <v>Fast</v>
      </c>
      <c r="Q2042" s="3">
        <f>YEAR(Ticket_Table[[#This Row],[raised_date]])</f>
        <v>2023</v>
      </c>
    </row>
    <row r="2043" spans="1:17">
      <c r="A2043" t="s">
        <v>2603</v>
      </c>
      <c r="B2043" t="s">
        <v>255</v>
      </c>
      <c r="C2043" t="s">
        <v>50</v>
      </c>
      <c r="D2043" t="s">
        <v>43</v>
      </c>
      <c r="E2043" t="s">
        <v>106</v>
      </c>
      <c r="F2043" t="s">
        <v>22</v>
      </c>
      <c r="G2043" t="s">
        <v>91</v>
      </c>
      <c r="H2043" s="1">
        <v>44434</v>
      </c>
      <c r="I2043" s="2">
        <v>44435.0208333333</v>
      </c>
      <c r="J2043">
        <v>24.5</v>
      </c>
      <c r="K2043" t="s">
        <v>24</v>
      </c>
      <c r="L2043">
        <v>0</v>
      </c>
      <c r="M2043">
        <v>4</v>
      </c>
      <c r="N2043" t="s">
        <v>466</v>
      </c>
      <c r="O2043" s="3" t="str">
        <f>TEXT(Ticket_Table[[#This Row],[raised_date]],"YYYY-MM")</f>
        <v>2021-08</v>
      </c>
      <c r="P2043" s="3" t="str">
        <f>IF(Ticket_Table[[#This Row],[resolution_hrs]]&lt;=4,"Fast",IF(Ticket_Table[[#This Row],[resolution_hrs]]&lt;=24,"Normal",IF(Ticket_Table[[#This Row],[resolution_hrs]]&lt;=48,"Slow","Very Slow")))</f>
        <v>Slow</v>
      </c>
      <c r="Q2043" s="3">
        <f>YEAR(Ticket_Table[[#This Row],[raised_date]])</f>
        <v>2021</v>
      </c>
    </row>
    <row r="2044" spans="1:17">
      <c r="A2044" t="s">
        <v>2604</v>
      </c>
      <c r="B2044" t="s">
        <v>98</v>
      </c>
      <c r="C2044" t="s">
        <v>133</v>
      </c>
      <c r="D2044" t="s">
        <v>90</v>
      </c>
      <c r="E2044" t="s">
        <v>21</v>
      </c>
      <c r="F2044" t="s">
        <v>70</v>
      </c>
      <c r="G2044" t="s">
        <v>74</v>
      </c>
      <c r="H2044" s="1">
        <v>45125</v>
      </c>
      <c r="I2044" s="2">
        <v>45125.6416666667</v>
      </c>
      <c r="J2044">
        <v>15.4</v>
      </c>
      <c r="K2044" t="s">
        <v>24</v>
      </c>
      <c r="L2044">
        <v>0</v>
      </c>
      <c r="M2044">
        <v>3</v>
      </c>
      <c r="N2044" t="s">
        <v>161</v>
      </c>
      <c r="O2044" s="3" t="str">
        <f>TEXT(Ticket_Table[[#This Row],[raised_date]],"YYYY-MM")</f>
        <v>2023-07</v>
      </c>
      <c r="P2044" s="3" t="str">
        <f>IF(Ticket_Table[[#This Row],[resolution_hrs]]&lt;=4,"Fast",IF(Ticket_Table[[#This Row],[resolution_hrs]]&lt;=24,"Normal",IF(Ticket_Table[[#This Row],[resolution_hrs]]&lt;=48,"Slow","Very Slow")))</f>
        <v>Normal</v>
      </c>
      <c r="Q2044" s="3">
        <f>YEAR(Ticket_Table[[#This Row],[raised_date]])</f>
        <v>2023</v>
      </c>
    </row>
    <row r="2045" spans="1:17">
      <c r="A2045" t="s">
        <v>2605</v>
      </c>
      <c r="B2045" t="s">
        <v>536</v>
      </c>
      <c r="C2045" t="s">
        <v>19</v>
      </c>
      <c r="D2045" t="s">
        <v>36</v>
      </c>
      <c r="E2045" t="s">
        <v>44</v>
      </c>
      <c r="F2045" t="s">
        <v>70</v>
      </c>
      <c r="G2045" t="s">
        <v>23</v>
      </c>
      <c r="H2045" s="1">
        <v>44309</v>
      </c>
      <c r="I2045" s="2">
        <v>44311.5958333333</v>
      </c>
      <c r="J2045">
        <v>62.3</v>
      </c>
      <c r="K2045" t="s">
        <v>32</v>
      </c>
      <c r="L2045">
        <v>0</v>
      </c>
      <c r="M2045">
        <v>3</v>
      </c>
      <c r="N2045" t="s">
        <v>135</v>
      </c>
      <c r="O2045" s="3" t="str">
        <f>TEXT(Ticket_Table[[#This Row],[raised_date]],"YYYY-MM")</f>
        <v>2021-04</v>
      </c>
      <c r="P2045" s="3" t="str">
        <f>IF(Ticket_Table[[#This Row],[resolution_hrs]]&lt;=4,"Fast",IF(Ticket_Table[[#This Row],[resolution_hrs]]&lt;=24,"Normal",IF(Ticket_Table[[#This Row],[resolution_hrs]]&lt;=48,"Slow","Very Slow")))</f>
        <v>Very Slow</v>
      </c>
      <c r="Q2045" s="3">
        <f>YEAR(Ticket_Table[[#This Row],[raised_date]])</f>
        <v>2021</v>
      </c>
    </row>
    <row r="2046" spans="1:17">
      <c r="A2046" t="s">
        <v>2606</v>
      </c>
      <c r="B2046" t="s">
        <v>315</v>
      </c>
      <c r="C2046" t="s">
        <v>213</v>
      </c>
      <c r="D2046" t="s">
        <v>36</v>
      </c>
      <c r="E2046" t="s">
        <v>51</v>
      </c>
      <c r="F2046" t="s">
        <v>70</v>
      </c>
      <c r="G2046" t="s">
        <v>23</v>
      </c>
      <c r="H2046" s="1">
        <v>44830</v>
      </c>
      <c r="I2046" s="2">
        <v>44831.2125</v>
      </c>
      <c r="J2046">
        <v>29.1</v>
      </c>
      <c r="K2046" t="s">
        <v>24</v>
      </c>
      <c r="L2046">
        <v>0</v>
      </c>
      <c r="M2046">
        <v>4</v>
      </c>
      <c r="N2046" t="s">
        <v>302</v>
      </c>
      <c r="O2046" s="3" t="str">
        <f>TEXT(Ticket_Table[[#This Row],[raised_date]],"YYYY-MM")</f>
        <v>2022-09</v>
      </c>
      <c r="P2046" s="3" t="str">
        <f>IF(Ticket_Table[[#This Row],[resolution_hrs]]&lt;=4,"Fast",IF(Ticket_Table[[#This Row],[resolution_hrs]]&lt;=24,"Normal",IF(Ticket_Table[[#This Row],[resolution_hrs]]&lt;=48,"Slow","Very Slow")))</f>
        <v>Slow</v>
      </c>
      <c r="Q2046" s="3">
        <f>YEAR(Ticket_Table[[#This Row],[raised_date]])</f>
        <v>2022</v>
      </c>
    </row>
    <row r="2047" spans="1:17">
      <c r="A2047" t="s">
        <v>2607</v>
      </c>
      <c r="B2047" t="s">
        <v>491</v>
      </c>
      <c r="C2047" t="s">
        <v>133</v>
      </c>
      <c r="D2047" t="s">
        <v>90</v>
      </c>
      <c r="E2047" t="s">
        <v>83</v>
      </c>
      <c r="F2047" t="s">
        <v>22</v>
      </c>
      <c r="G2047" t="s">
        <v>23</v>
      </c>
      <c r="H2047" s="1">
        <v>44556</v>
      </c>
      <c r="I2047" s="2">
        <v>44557.4041666667</v>
      </c>
      <c r="J2047">
        <v>33.7</v>
      </c>
      <c r="K2047" t="s">
        <v>24</v>
      </c>
      <c r="L2047">
        <v>0</v>
      </c>
      <c r="M2047">
        <v>4</v>
      </c>
      <c r="N2047" t="s">
        <v>802</v>
      </c>
      <c r="O2047" s="3" t="str">
        <f>TEXT(Ticket_Table[[#This Row],[raised_date]],"YYYY-MM")</f>
        <v>2021-12</v>
      </c>
      <c r="P2047" s="3" t="str">
        <f>IF(Ticket_Table[[#This Row],[resolution_hrs]]&lt;=4,"Fast",IF(Ticket_Table[[#This Row],[resolution_hrs]]&lt;=24,"Normal",IF(Ticket_Table[[#This Row],[resolution_hrs]]&lt;=48,"Slow","Very Slow")))</f>
        <v>Slow</v>
      </c>
      <c r="Q2047" s="3">
        <f>YEAR(Ticket_Table[[#This Row],[raised_date]])</f>
        <v>2021</v>
      </c>
    </row>
    <row r="2048" spans="1:17">
      <c r="A2048" t="s">
        <v>2608</v>
      </c>
      <c r="B2048" t="s">
        <v>871</v>
      </c>
      <c r="C2048" t="s">
        <v>82</v>
      </c>
      <c r="D2048" t="s">
        <v>90</v>
      </c>
      <c r="E2048" t="s">
        <v>21</v>
      </c>
      <c r="F2048" t="s">
        <v>38</v>
      </c>
      <c r="G2048" t="s">
        <v>31</v>
      </c>
      <c r="H2048" s="1">
        <v>44441</v>
      </c>
      <c r="I2048" s="2">
        <v>44442.3375</v>
      </c>
      <c r="J2048">
        <v>32.1</v>
      </c>
      <c r="K2048" t="s">
        <v>32</v>
      </c>
      <c r="L2048">
        <v>0</v>
      </c>
      <c r="M2048">
        <v>4</v>
      </c>
      <c r="N2048" t="s">
        <v>321</v>
      </c>
      <c r="O2048" s="3" t="str">
        <f>TEXT(Ticket_Table[[#This Row],[raised_date]],"YYYY-MM")</f>
        <v>2021-09</v>
      </c>
      <c r="P2048" s="3" t="str">
        <f>IF(Ticket_Table[[#This Row],[resolution_hrs]]&lt;=4,"Fast",IF(Ticket_Table[[#This Row],[resolution_hrs]]&lt;=24,"Normal",IF(Ticket_Table[[#This Row],[resolution_hrs]]&lt;=48,"Slow","Very Slow")))</f>
        <v>Slow</v>
      </c>
      <c r="Q2048" s="3">
        <f>YEAR(Ticket_Table[[#This Row],[raised_date]])</f>
        <v>2021</v>
      </c>
    </row>
    <row r="2049" spans="1:17">
      <c r="A2049" t="s">
        <v>2609</v>
      </c>
      <c r="B2049" t="s">
        <v>460</v>
      </c>
      <c r="C2049" t="s">
        <v>42</v>
      </c>
      <c r="D2049" t="s">
        <v>29</v>
      </c>
      <c r="E2049" t="s">
        <v>83</v>
      </c>
      <c r="F2049" t="s">
        <v>70</v>
      </c>
      <c r="G2049" t="s">
        <v>31</v>
      </c>
      <c r="H2049" s="1">
        <v>44222</v>
      </c>
      <c r="I2049" s="2">
        <v>44223.7333333333</v>
      </c>
      <c r="J2049">
        <v>41.6</v>
      </c>
      <c r="K2049" t="s">
        <v>24</v>
      </c>
      <c r="L2049">
        <v>0</v>
      </c>
      <c r="M2049">
        <v>5</v>
      </c>
      <c r="N2049" t="s">
        <v>676</v>
      </c>
      <c r="O2049" s="3" t="str">
        <f>TEXT(Ticket_Table[[#This Row],[raised_date]],"YYYY-MM")</f>
        <v>2021-01</v>
      </c>
      <c r="P2049" s="3" t="str">
        <f>IF(Ticket_Table[[#This Row],[resolution_hrs]]&lt;=4,"Fast",IF(Ticket_Table[[#This Row],[resolution_hrs]]&lt;=24,"Normal",IF(Ticket_Table[[#This Row],[resolution_hrs]]&lt;=48,"Slow","Very Slow")))</f>
        <v>Slow</v>
      </c>
      <c r="Q2049" s="3">
        <f>YEAR(Ticket_Table[[#This Row],[raised_date]])</f>
        <v>2021</v>
      </c>
    </row>
    <row r="2050" spans="1:17">
      <c r="A2050" t="s">
        <v>2610</v>
      </c>
      <c r="B2050" t="s">
        <v>491</v>
      </c>
      <c r="C2050" t="s">
        <v>82</v>
      </c>
      <c r="D2050" t="s">
        <v>36</v>
      </c>
      <c r="E2050" t="s">
        <v>69</v>
      </c>
      <c r="F2050" t="s">
        <v>38</v>
      </c>
      <c r="G2050" t="s">
        <v>23</v>
      </c>
      <c r="H2050" s="1">
        <v>44478</v>
      </c>
      <c r="I2050" s="2">
        <v>44479.4041666667</v>
      </c>
      <c r="J2050">
        <v>33.7</v>
      </c>
      <c r="K2050" t="s">
        <v>32</v>
      </c>
      <c r="L2050">
        <v>0</v>
      </c>
      <c r="M2050">
        <v>3</v>
      </c>
      <c r="N2050" t="s">
        <v>401</v>
      </c>
      <c r="O2050" s="3" t="str">
        <f>TEXT(Ticket_Table[[#This Row],[raised_date]],"YYYY-MM")</f>
        <v>2021-10</v>
      </c>
      <c r="P2050" s="3" t="str">
        <f>IF(Ticket_Table[[#This Row],[resolution_hrs]]&lt;=4,"Fast",IF(Ticket_Table[[#This Row],[resolution_hrs]]&lt;=24,"Normal",IF(Ticket_Table[[#This Row],[resolution_hrs]]&lt;=48,"Slow","Very Slow")))</f>
        <v>Slow</v>
      </c>
      <c r="Q2050" s="3">
        <f>YEAR(Ticket_Table[[#This Row],[raised_date]])</f>
        <v>2021</v>
      </c>
    </row>
    <row r="2051" spans="1:17">
      <c r="A2051" t="s">
        <v>2611</v>
      </c>
      <c r="B2051" t="s">
        <v>189</v>
      </c>
      <c r="C2051" t="s">
        <v>287</v>
      </c>
      <c r="D2051" t="s">
        <v>36</v>
      </c>
      <c r="E2051" t="s">
        <v>106</v>
      </c>
      <c r="F2051" t="s">
        <v>70</v>
      </c>
      <c r="G2051" t="s">
        <v>31</v>
      </c>
      <c r="H2051" s="1">
        <v>44220</v>
      </c>
      <c r="I2051" s="2">
        <v>44221.15</v>
      </c>
      <c r="J2051">
        <v>27.6</v>
      </c>
      <c r="K2051" t="s">
        <v>24</v>
      </c>
      <c r="L2051">
        <v>1</v>
      </c>
      <c r="M2051">
        <v>4</v>
      </c>
      <c r="N2051" t="s">
        <v>47</v>
      </c>
      <c r="O2051" s="3" t="str">
        <f>TEXT(Ticket_Table[[#This Row],[raised_date]],"YYYY-MM")</f>
        <v>2021-01</v>
      </c>
      <c r="P2051" s="3" t="str">
        <f>IF(Ticket_Table[[#This Row],[resolution_hrs]]&lt;=4,"Fast",IF(Ticket_Table[[#This Row],[resolution_hrs]]&lt;=24,"Normal",IF(Ticket_Table[[#This Row],[resolution_hrs]]&lt;=48,"Slow","Very Slow")))</f>
        <v>Slow</v>
      </c>
      <c r="Q2051" s="3">
        <f>YEAR(Ticket_Table[[#This Row],[raised_date]])</f>
        <v>2021</v>
      </c>
    </row>
    <row r="2052" spans="1:17">
      <c r="A2052" t="s">
        <v>2612</v>
      </c>
      <c r="B2052" t="s">
        <v>670</v>
      </c>
      <c r="C2052" t="s">
        <v>50</v>
      </c>
      <c r="D2052" t="s">
        <v>90</v>
      </c>
      <c r="E2052" t="s">
        <v>106</v>
      </c>
      <c r="F2052" t="s">
        <v>22</v>
      </c>
      <c r="G2052" t="s">
        <v>23</v>
      </c>
      <c r="H2052" s="1">
        <v>44532</v>
      </c>
      <c r="I2052" s="2">
        <v>44534.4958333333</v>
      </c>
      <c r="J2052">
        <v>59.9</v>
      </c>
      <c r="K2052" t="s">
        <v>24</v>
      </c>
      <c r="L2052">
        <v>0</v>
      </c>
      <c r="M2052">
        <v>5</v>
      </c>
      <c r="N2052" t="s">
        <v>1857</v>
      </c>
      <c r="O2052" s="3" t="str">
        <f>TEXT(Ticket_Table[[#This Row],[raised_date]],"YYYY-MM")</f>
        <v>2021-12</v>
      </c>
      <c r="P2052" s="3" t="str">
        <f>IF(Ticket_Table[[#This Row],[resolution_hrs]]&lt;=4,"Fast",IF(Ticket_Table[[#This Row],[resolution_hrs]]&lt;=24,"Normal",IF(Ticket_Table[[#This Row],[resolution_hrs]]&lt;=48,"Slow","Very Slow")))</f>
        <v>Very Slow</v>
      </c>
      <c r="Q2052" s="3">
        <f>YEAR(Ticket_Table[[#This Row],[raised_date]])</f>
        <v>2021</v>
      </c>
    </row>
    <row r="2053" spans="1:17">
      <c r="A2053" t="s">
        <v>2613</v>
      </c>
      <c r="B2053" t="s">
        <v>1058</v>
      </c>
      <c r="C2053" t="s">
        <v>50</v>
      </c>
      <c r="D2053" t="s">
        <v>20</v>
      </c>
      <c r="E2053" t="s">
        <v>37</v>
      </c>
      <c r="F2053" t="s">
        <v>70</v>
      </c>
      <c r="G2053" t="s">
        <v>23</v>
      </c>
      <c r="H2053" s="1">
        <v>45213</v>
      </c>
      <c r="I2053" s="2">
        <v>45213.4375</v>
      </c>
      <c r="J2053">
        <v>10.5</v>
      </c>
      <c r="K2053" t="s">
        <v>24</v>
      </c>
      <c r="L2053">
        <v>0</v>
      </c>
      <c r="M2053">
        <v>3</v>
      </c>
      <c r="N2053" t="s">
        <v>296</v>
      </c>
      <c r="O2053" s="3" t="str">
        <f>TEXT(Ticket_Table[[#This Row],[raised_date]],"YYYY-MM")</f>
        <v>2023-10</v>
      </c>
      <c r="P2053" s="3" t="str">
        <f>IF(Ticket_Table[[#This Row],[resolution_hrs]]&lt;=4,"Fast",IF(Ticket_Table[[#This Row],[resolution_hrs]]&lt;=24,"Normal",IF(Ticket_Table[[#This Row],[resolution_hrs]]&lt;=48,"Slow","Very Slow")))</f>
        <v>Normal</v>
      </c>
      <c r="Q2053" s="3">
        <f>YEAR(Ticket_Table[[#This Row],[raised_date]])</f>
        <v>2023</v>
      </c>
    </row>
    <row r="2054" spans="1:17">
      <c r="A2054" t="s">
        <v>2614</v>
      </c>
      <c r="B2054" t="s">
        <v>289</v>
      </c>
      <c r="C2054" t="s">
        <v>117</v>
      </c>
      <c r="D2054" t="s">
        <v>20</v>
      </c>
      <c r="E2054" t="s">
        <v>21</v>
      </c>
      <c r="F2054" t="s">
        <v>22</v>
      </c>
      <c r="G2054" t="s">
        <v>74</v>
      </c>
      <c r="H2054" s="1">
        <v>44907</v>
      </c>
      <c r="I2054" s="2">
        <v>44907.4166666667</v>
      </c>
      <c r="J2054">
        <v>10</v>
      </c>
      <c r="K2054" t="s">
        <v>24</v>
      </c>
      <c r="L2054">
        <v>0</v>
      </c>
      <c r="M2054">
        <v>4</v>
      </c>
      <c r="N2054" t="s">
        <v>220</v>
      </c>
      <c r="O2054" s="3" t="str">
        <f>TEXT(Ticket_Table[[#This Row],[raised_date]],"YYYY-MM")</f>
        <v>2022-12</v>
      </c>
      <c r="P2054" s="3" t="str">
        <f>IF(Ticket_Table[[#This Row],[resolution_hrs]]&lt;=4,"Fast",IF(Ticket_Table[[#This Row],[resolution_hrs]]&lt;=24,"Normal",IF(Ticket_Table[[#This Row],[resolution_hrs]]&lt;=48,"Slow","Very Slow")))</f>
        <v>Normal</v>
      </c>
      <c r="Q2054" s="3">
        <f>YEAR(Ticket_Table[[#This Row],[raised_date]])</f>
        <v>2022</v>
      </c>
    </row>
    <row r="2055" spans="1:17">
      <c r="A2055" t="s">
        <v>2615</v>
      </c>
      <c r="B2055" t="s">
        <v>191</v>
      </c>
      <c r="C2055" t="s">
        <v>55</v>
      </c>
      <c r="D2055" t="s">
        <v>29</v>
      </c>
      <c r="E2055" t="s">
        <v>106</v>
      </c>
      <c r="F2055" t="s">
        <v>38</v>
      </c>
      <c r="G2055" t="s">
        <v>31</v>
      </c>
      <c r="H2055" s="1">
        <v>45268</v>
      </c>
      <c r="I2055" s="2">
        <v>45268.6916666667</v>
      </c>
      <c r="J2055">
        <v>16.6</v>
      </c>
      <c r="K2055" t="s">
        <v>24</v>
      </c>
      <c r="L2055">
        <v>2</v>
      </c>
      <c r="M2055">
        <v>4</v>
      </c>
      <c r="N2055" t="s">
        <v>470</v>
      </c>
      <c r="O2055" s="3" t="str">
        <f>TEXT(Ticket_Table[[#This Row],[raised_date]],"YYYY-MM")</f>
        <v>2023-12</v>
      </c>
      <c r="P2055" s="3" t="str">
        <f>IF(Ticket_Table[[#This Row],[resolution_hrs]]&lt;=4,"Fast",IF(Ticket_Table[[#This Row],[resolution_hrs]]&lt;=24,"Normal",IF(Ticket_Table[[#This Row],[resolution_hrs]]&lt;=48,"Slow","Very Slow")))</f>
        <v>Normal</v>
      </c>
      <c r="Q2055" s="3">
        <f>YEAR(Ticket_Table[[#This Row],[raised_date]])</f>
        <v>2023</v>
      </c>
    </row>
    <row r="2056" spans="1:17">
      <c r="A2056" t="s">
        <v>2616</v>
      </c>
      <c r="B2056" t="s">
        <v>610</v>
      </c>
      <c r="C2056" t="s">
        <v>140</v>
      </c>
      <c r="D2056" t="s">
        <v>20</v>
      </c>
      <c r="E2056" t="s">
        <v>30</v>
      </c>
      <c r="F2056" t="s">
        <v>70</v>
      </c>
      <c r="G2056" t="s">
        <v>23</v>
      </c>
      <c r="H2056" s="1">
        <v>45256</v>
      </c>
      <c r="I2056" s="2">
        <v>45257.0833333333</v>
      </c>
      <c r="J2056">
        <v>26</v>
      </c>
      <c r="K2056" t="s">
        <v>24</v>
      </c>
      <c r="L2056">
        <v>1</v>
      </c>
      <c r="M2056">
        <v>5</v>
      </c>
      <c r="N2056" t="s">
        <v>595</v>
      </c>
      <c r="O2056" s="3" t="str">
        <f>TEXT(Ticket_Table[[#This Row],[raised_date]],"YYYY-MM")</f>
        <v>2023-11</v>
      </c>
      <c r="P2056" s="3" t="str">
        <f>IF(Ticket_Table[[#This Row],[resolution_hrs]]&lt;=4,"Fast",IF(Ticket_Table[[#This Row],[resolution_hrs]]&lt;=24,"Normal",IF(Ticket_Table[[#This Row],[resolution_hrs]]&lt;=48,"Slow","Very Slow")))</f>
        <v>Slow</v>
      </c>
      <c r="Q2056" s="3">
        <f>YEAR(Ticket_Table[[#This Row],[raised_date]])</f>
        <v>2023</v>
      </c>
    </row>
    <row r="2057" spans="1:17">
      <c r="A2057" t="s">
        <v>2617</v>
      </c>
      <c r="B2057" t="s">
        <v>968</v>
      </c>
      <c r="C2057" t="s">
        <v>261</v>
      </c>
      <c r="D2057" t="s">
        <v>20</v>
      </c>
      <c r="E2057" t="s">
        <v>83</v>
      </c>
      <c r="F2057" t="s">
        <v>22</v>
      </c>
      <c r="G2057" t="s">
        <v>46</v>
      </c>
      <c r="H2057" s="1">
        <v>44727</v>
      </c>
      <c r="I2057" s="2">
        <v>44729.6458333333</v>
      </c>
      <c r="J2057">
        <v>63.5</v>
      </c>
      <c r="K2057" t="s">
        <v>24</v>
      </c>
      <c r="L2057">
        <v>0</v>
      </c>
      <c r="M2057">
        <v>4</v>
      </c>
      <c r="N2057" t="s">
        <v>756</v>
      </c>
      <c r="O2057" s="3" t="str">
        <f>TEXT(Ticket_Table[[#This Row],[raised_date]],"YYYY-MM")</f>
        <v>2022-06</v>
      </c>
      <c r="P2057" s="3" t="str">
        <f>IF(Ticket_Table[[#This Row],[resolution_hrs]]&lt;=4,"Fast",IF(Ticket_Table[[#This Row],[resolution_hrs]]&lt;=24,"Normal",IF(Ticket_Table[[#This Row],[resolution_hrs]]&lt;=48,"Slow","Very Slow")))</f>
        <v>Very Slow</v>
      </c>
      <c r="Q2057" s="3">
        <f>YEAR(Ticket_Table[[#This Row],[raised_date]])</f>
        <v>2022</v>
      </c>
    </row>
    <row r="2058" spans="1:17">
      <c r="A2058" t="s">
        <v>2618</v>
      </c>
      <c r="B2058" t="s">
        <v>148</v>
      </c>
      <c r="C2058" t="s">
        <v>287</v>
      </c>
      <c r="D2058" t="s">
        <v>20</v>
      </c>
      <c r="E2058" t="s">
        <v>37</v>
      </c>
      <c r="F2058" t="s">
        <v>45</v>
      </c>
      <c r="G2058" t="s">
        <v>31</v>
      </c>
      <c r="H2058" s="1">
        <v>44538</v>
      </c>
      <c r="I2058" s="2">
        <v>44538.1375</v>
      </c>
      <c r="J2058">
        <v>3.3</v>
      </c>
      <c r="K2058" t="s">
        <v>24</v>
      </c>
      <c r="L2058">
        <v>0</v>
      </c>
      <c r="M2058">
        <v>4</v>
      </c>
      <c r="N2058" t="s">
        <v>567</v>
      </c>
      <c r="O2058" s="3" t="str">
        <f>TEXT(Ticket_Table[[#This Row],[raised_date]],"YYYY-MM")</f>
        <v>2021-12</v>
      </c>
      <c r="P2058" s="3" t="str">
        <f>IF(Ticket_Table[[#This Row],[resolution_hrs]]&lt;=4,"Fast",IF(Ticket_Table[[#This Row],[resolution_hrs]]&lt;=24,"Normal",IF(Ticket_Table[[#This Row],[resolution_hrs]]&lt;=48,"Slow","Very Slow")))</f>
        <v>Fast</v>
      </c>
      <c r="Q2058" s="3">
        <f>YEAR(Ticket_Table[[#This Row],[raised_date]])</f>
        <v>2021</v>
      </c>
    </row>
    <row r="2059" spans="1:17">
      <c r="A2059" t="s">
        <v>2619</v>
      </c>
      <c r="B2059" t="s">
        <v>790</v>
      </c>
      <c r="C2059" t="s">
        <v>42</v>
      </c>
      <c r="D2059" t="s">
        <v>43</v>
      </c>
      <c r="E2059" t="s">
        <v>69</v>
      </c>
      <c r="F2059" t="s">
        <v>70</v>
      </c>
      <c r="G2059" t="s">
        <v>31</v>
      </c>
      <c r="H2059" s="1">
        <v>44958</v>
      </c>
      <c r="I2059" s="2">
        <v>44959.8791666667</v>
      </c>
      <c r="J2059">
        <v>45.1</v>
      </c>
      <c r="K2059" t="s">
        <v>24</v>
      </c>
      <c r="L2059">
        <v>1</v>
      </c>
      <c r="M2059">
        <v>5</v>
      </c>
      <c r="N2059" t="s">
        <v>597</v>
      </c>
      <c r="O2059" s="3" t="str">
        <f>TEXT(Ticket_Table[[#This Row],[raised_date]],"YYYY-MM")</f>
        <v>2023-02</v>
      </c>
      <c r="P2059" s="3" t="str">
        <f>IF(Ticket_Table[[#This Row],[resolution_hrs]]&lt;=4,"Fast",IF(Ticket_Table[[#This Row],[resolution_hrs]]&lt;=24,"Normal",IF(Ticket_Table[[#This Row],[resolution_hrs]]&lt;=48,"Slow","Very Slow")))</f>
        <v>Slow</v>
      </c>
      <c r="Q2059" s="3">
        <f>YEAR(Ticket_Table[[#This Row],[raised_date]])</f>
        <v>2023</v>
      </c>
    </row>
    <row r="2060" spans="1:17">
      <c r="A2060" t="s">
        <v>2620</v>
      </c>
      <c r="B2060" t="s">
        <v>523</v>
      </c>
      <c r="C2060" t="s">
        <v>82</v>
      </c>
      <c r="D2060" t="s">
        <v>29</v>
      </c>
      <c r="E2060" t="s">
        <v>106</v>
      </c>
      <c r="F2060" t="s">
        <v>22</v>
      </c>
      <c r="G2060" t="s">
        <v>91</v>
      </c>
      <c r="H2060" s="1">
        <v>44456</v>
      </c>
      <c r="I2060" s="2">
        <v>44457.9416666667</v>
      </c>
      <c r="J2060">
        <v>46.6</v>
      </c>
      <c r="K2060" t="s">
        <v>24</v>
      </c>
      <c r="L2060">
        <v>0</v>
      </c>
      <c r="M2060">
        <v>1</v>
      </c>
      <c r="N2060" t="s">
        <v>320</v>
      </c>
      <c r="O2060" s="3" t="str">
        <f>TEXT(Ticket_Table[[#This Row],[raised_date]],"YYYY-MM")</f>
        <v>2021-09</v>
      </c>
      <c r="P2060" s="3" t="str">
        <f>IF(Ticket_Table[[#This Row],[resolution_hrs]]&lt;=4,"Fast",IF(Ticket_Table[[#This Row],[resolution_hrs]]&lt;=24,"Normal",IF(Ticket_Table[[#This Row],[resolution_hrs]]&lt;=48,"Slow","Very Slow")))</f>
        <v>Slow</v>
      </c>
      <c r="Q2060" s="3">
        <f>YEAR(Ticket_Table[[#This Row],[raised_date]])</f>
        <v>2021</v>
      </c>
    </row>
    <row r="2061" spans="1:17">
      <c r="A2061" t="s">
        <v>2621</v>
      </c>
      <c r="B2061" t="s">
        <v>530</v>
      </c>
      <c r="C2061" t="s">
        <v>140</v>
      </c>
      <c r="D2061" t="s">
        <v>90</v>
      </c>
      <c r="E2061" t="s">
        <v>56</v>
      </c>
      <c r="F2061" t="s">
        <v>70</v>
      </c>
      <c r="G2061" t="s">
        <v>23</v>
      </c>
      <c r="H2061" s="1">
        <v>44747</v>
      </c>
      <c r="I2061" s="2">
        <v>44748.425</v>
      </c>
      <c r="J2061">
        <v>34.2</v>
      </c>
      <c r="K2061" t="s">
        <v>24</v>
      </c>
      <c r="L2061">
        <v>3</v>
      </c>
      <c r="M2061">
        <v>4</v>
      </c>
      <c r="N2061" t="s">
        <v>1136</v>
      </c>
      <c r="O2061" s="3" t="str">
        <f>TEXT(Ticket_Table[[#This Row],[raised_date]],"YYYY-MM")</f>
        <v>2022-07</v>
      </c>
      <c r="P2061" s="3" t="str">
        <f>IF(Ticket_Table[[#This Row],[resolution_hrs]]&lt;=4,"Fast",IF(Ticket_Table[[#This Row],[resolution_hrs]]&lt;=24,"Normal",IF(Ticket_Table[[#This Row],[resolution_hrs]]&lt;=48,"Slow","Very Slow")))</f>
        <v>Slow</v>
      </c>
      <c r="Q2061" s="3">
        <f>YEAR(Ticket_Table[[#This Row],[raised_date]])</f>
        <v>2022</v>
      </c>
    </row>
    <row r="2062" spans="1:17">
      <c r="A2062" t="s">
        <v>2622</v>
      </c>
      <c r="B2062" t="s">
        <v>334</v>
      </c>
      <c r="C2062" t="s">
        <v>19</v>
      </c>
      <c r="D2062" t="s">
        <v>20</v>
      </c>
      <c r="E2062" t="s">
        <v>69</v>
      </c>
      <c r="F2062" t="s">
        <v>22</v>
      </c>
      <c r="G2062" t="s">
        <v>31</v>
      </c>
      <c r="H2062" s="1">
        <v>44438</v>
      </c>
      <c r="I2062" s="2">
        <v>44439.8666666667</v>
      </c>
      <c r="J2062">
        <v>44.8</v>
      </c>
      <c r="K2062" t="s">
        <v>24</v>
      </c>
      <c r="L2062">
        <v>0</v>
      </c>
      <c r="M2062">
        <v>4</v>
      </c>
      <c r="N2062" t="s">
        <v>233</v>
      </c>
      <c r="O2062" s="3" t="str">
        <f>TEXT(Ticket_Table[[#This Row],[raised_date]],"YYYY-MM")</f>
        <v>2021-08</v>
      </c>
      <c r="P2062" s="3" t="str">
        <f>IF(Ticket_Table[[#This Row],[resolution_hrs]]&lt;=4,"Fast",IF(Ticket_Table[[#This Row],[resolution_hrs]]&lt;=24,"Normal",IF(Ticket_Table[[#This Row],[resolution_hrs]]&lt;=48,"Slow","Very Slow")))</f>
        <v>Slow</v>
      </c>
      <c r="Q2062" s="3">
        <f>YEAR(Ticket_Table[[#This Row],[raised_date]])</f>
        <v>2021</v>
      </c>
    </row>
    <row r="2063" spans="1:17">
      <c r="A2063" t="s">
        <v>2623</v>
      </c>
      <c r="B2063" t="s">
        <v>546</v>
      </c>
      <c r="C2063" t="s">
        <v>133</v>
      </c>
      <c r="D2063" t="s">
        <v>43</v>
      </c>
      <c r="E2063" t="s">
        <v>21</v>
      </c>
      <c r="F2063" t="s">
        <v>38</v>
      </c>
      <c r="G2063" t="s">
        <v>23</v>
      </c>
      <c r="H2063" s="1">
        <v>44257</v>
      </c>
      <c r="I2063" s="2">
        <v>44258.2166666667</v>
      </c>
      <c r="J2063">
        <v>29.2</v>
      </c>
      <c r="K2063" t="s">
        <v>32</v>
      </c>
      <c r="L2063">
        <v>0</v>
      </c>
      <c r="M2063">
        <v>1</v>
      </c>
      <c r="N2063" t="s">
        <v>817</v>
      </c>
      <c r="O2063" s="3" t="str">
        <f>TEXT(Ticket_Table[[#This Row],[raised_date]],"YYYY-MM")</f>
        <v>2021-03</v>
      </c>
      <c r="P2063" s="3" t="str">
        <f>IF(Ticket_Table[[#This Row],[resolution_hrs]]&lt;=4,"Fast",IF(Ticket_Table[[#This Row],[resolution_hrs]]&lt;=24,"Normal",IF(Ticket_Table[[#This Row],[resolution_hrs]]&lt;=48,"Slow","Very Slow")))</f>
        <v>Slow</v>
      </c>
      <c r="Q2063" s="3">
        <f>YEAR(Ticket_Table[[#This Row],[raised_date]])</f>
        <v>2021</v>
      </c>
    </row>
    <row r="2064" spans="1:17">
      <c r="A2064" t="s">
        <v>2624</v>
      </c>
      <c r="B2064" t="s">
        <v>202</v>
      </c>
      <c r="C2064" t="s">
        <v>102</v>
      </c>
      <c r="D2064" t="s">
        <v>20</v>
      </c>
      <c r="E2064" t="s">
        <v>30</v>
      </c>
      <c r="F2064" t="s">
        <v>38</v>
      </c>
      <c r="G2064" t="s">
        <v>91</v>
      </c>
      <c r="H2064" s="1">
        <v>44883</v>
      </c>
      <c r="I2064" s="2">
        <v>44883.5041666667</v>
      </c>
      <c r="J2064">
        <v>12.1</v>
      </c>
      <c r="K2064" t="s">
        <v>24</v>
      </c>
      <c r="L2064">
        <v>0</v>
      </c>
      <c r="M2064">
        <v>4</v>
      </c>
      <c r="N2064" t="s">
        <v>521</v>
      </c>
      <c r="O2064" s="3" t="str">
        <f>TEXT(Ticket_Table[[#This Row],[raised_date]],"YYYY-MM")</f>
        <v>2022-11</v>
      </c>
      <c r="P2064" s="3" t="str">
        <f>IF(Ticket_Table[[#This Row],[resolution_hrs]]&lt;=4,"Fast",IF(Ticket_Table[[#This Row],[resolution_hrs]]&lt;=24,"Normal",IF(Ticket_Table[[#This Row],[resolution_hrs]]&lt;=48,"Slow","Very Slow")))</f>
        <v>Normal</v>
      </c>
      <c r="Q2064" s="3">
        <f>YEAR(Ticket_Table[[#This Row],[raised_date]])</f>
        <v>2022</v>
      </c>
    </row>
    <row r="2065" spans="1:17">
      <c r="A2065" t="s">
        <v>2625</v>
      </c>
      <c r="B2065" t="s">
        <v>250</v>
      </c>
      <c r="C2065" t="s">
        <v>133</v>
      </c>
      <c r="D2065" t="s">
        <v>43</v>
      </c>
      <c r="E2065" t="s">
        <v>166</v>
      </c>
      <c r="F2065" t="s">
        <v>45</v>
      </c>
      <c r="G2065" t="s">
        <v>31</v>
      </c>
      <c r="H2065" s="1">
        <v>45076</v>
      </c>
      <c r="I2065" s="2">
        <v>45076.1208333333</v>
      </c>
      <c r="J2065">
        <v>2.9</v>
      </c>
      <c r="K2065" t="s">
        <v>24</v>
      </c>
      <c r="L2065">
        <v>0</v>
      </c>
      <c r="M2065">
        <v>2</v>
      </c>
      <c r="N2065" t="s">
        <v>817</v>
      </c>
      <c r="O2065" s="3" t="str">
        <f>TEXT(Ticket_Table[[#This Row],[raised_date]],"YYYY-MM")</f>
        <v>2023-05</v>
      </c>
      <c r="P2065" s="3" t="str">
        <f>IF(Ticket_Table[[#This Row],[resolution_hrs]]&lt;=4,"Fast",IF(Ticket_Table[[#This Row],[resolution_hrs]]&lt;=24,"Normal",IF(Ticket_Table[[#This Row],[resolution_hrs]]&lt;=48,"Slow","Very Slow")))</f>
        <v>Fast</v>
      </c>
      <c r="Q2065" s="3">
        <f>YEAR(Ticket_Table[[#This Row],[raised_date]])</f>
        <v>2023</v>
      </c>
    </row>
    <row r="2066" spans="1:17">
      <c r="A2066" t="s">
        <v>2626</v>
      </c>
      <c r="B2066" t="s">
        <v>132</v>
      </c>
      <c r="C2066" t="s">
        <v>60</v>
      </c>
      <c r="D2066" t="s">
        <v>29</v>
      </c>
      <c r="E2066" t="s">
        <v>51</v>
      </c>
      <c r="F2066" t="s">
        <v>70</v>
      </c>
      <c r="G2066" t="s">
        <v>91</v>
      </c>
      <c r="H2066" s="1">
        <v>44754</v>
      </c>
      <c r="I2066" s="2">
        <v>44754.5708333333</v>
      </c>
      <c r="J2066">
        <v>13.7</v>
      </c>
      <c r="K2066" t="s">
        <v>24</v>
      </c>
      <c r="L2066">
        <v>3</v>
      </c>
      <c r="M2066">
        <v>5</v>
      </c>
      <c r="N2066" t="s">
        <v>116</v>
      </c>
      <c r="O2066" s="3" t="str">
        <f>TEXT(Ticket_Table[[#This Row],[raised_date]],"YYYY-MM")</f>
        <v>2022-07</v>
      </c>
      <c r="P2066" s="3" t="str">
        <f>IF(Ticket_Table[[#This Row],[resolution_hrs]]&lt;=4,"Fast",IF(Ticket_Table[[#This Row],[resolution_hrs]]&lt;=24,"Normal",IF(Ticket_Table[[#This Row],[resolution_hrs]]&lt;=48,"Slow","Very Slow")))</f>
        <v>Normal</v>
      </c>
      <c r="Q2066" s="3">
        <f>YEAR(Ticket_Table[[#This Row],[raised_date]])</f>
        <v>2022</v>
      </c>
    </row>
    <row r="2067" spans="1:17">
      <c r="A2067" t="s">
        <v>2627</v>
      </c>
      <c r="B2067" t="s">
        <v>549</v>
      </c>
      <c r="C2067" t="s">
        <v>95</v>
      </c>
      <c r="D2067" t="s">
        <v>20</v>
      </c>
      <c r="E2067" t="s">
        <v>56</v>
      </c>
      <c r="F2067" t="s">
        <v>70</v>
      </c>
      <c r="G2067" t="s">
        <v>91</v>
      </c>
      <c r="H2067" s="1">
        <v>45269</v>
      </c>
      <c r="I2067" s="2">
        <v>45269.7333333333</v>
      </c>
      <c r="J2067">
        <v>17.6</v>
      </c>
      <c r="K2067" t="s">
        <v>24</v>
      </c>
      <c r="L2067">
        <v>1</v>
      </c>
      <c r="M2067">
        <v>5</v>
      </c>
      <c r="N2067" t="s">
        <v>595</v>
      </c>
      <c r="O2067" s="3" t="str">
        <f>TEXT(Ticket_Table[[#This Row],[raised_date]],"YYYY-MM")</f>
        <v>2023-12</v>
      </c>
      <c r="P2067" s="3" t="str">
        <f>IF(Ticket_Table[[#This Row],[resolution_hrs]]&lt;=4,"Fast",IF(Ticket_Table[[#This Row],[resolution_hrs]]&lt;=24,"Normal",IF(Ticket_Table[[#This Row],[resolution_hrs]]&lt;=48,"Slow","Very Slow")))</f>
        <v>Normal</v>
      </c>
      <c r="Q2067" s="3">
        <f>YEAR(Ticket_Table[[#This Row],[raised_date]])</f>
        <v>2023</v>
      </c>
    </row>
    <row r="2068" spans="1:17">
      <c r="A2068" t="s">
        <v>2628</v>
      </c>
      <c r="B2068" t="s">
        <v>655</v>
      </c>
      <c r="C2068" t="s">
        <v>117</v>
      </c>
      <c r="D2068" t="s">
        <v>43</v>
      </c>
      <c r="E2068" t="s">
        <v>37</v>
      </c>
      <c r="F2068" t="s">
        <v>38</v>
      </c>
      <c r="G2068" t="s">
        <v>74</v>
      </c>
      <c r="H2068" s="1">
        <v>44327</v>
      </c>
      <c r="I2068" s="2">
        <v>44327.9833333333</v>
      </c>
      <c r="J2068">
        <v>23.6</v>
      </c>
      <c r="K2068" t="s">
        <v>24</v>
      </c>
      <c r="L2068">
        <v>0</v>
      </c>
      <c r="M2068">
        <v>1</v>
      </c>
      <c r="N2068" t="s">
        <v>466</v>
      </c>
      <c r="O2068" s="3" t="str">
        <f>TEXT(Ticket_Table[[#This Row],[raised_date]],"YYYY-MM")</f>
        <v>2021-05</v>
      </c>
      <c r="P2068" s="3" t="str">
        <f>IF(Ticket_Table[[#This Row],[resolution_hrs]]&lt;=4,"Fast",IF(Ticket_Table[[#This Row],[resolution_hrs]]&lt;=24,"Normal",IF(Ticket_Table[[#This Row],[resolution_hrs]]&lt;=48,"Slow","Very Slow")))</f>
        <v>Normal</v>
      </c>
      <c r="Q2068" s="3">
        <f>YEAR(Ticket_Table[[#This Row],[raised_date]])</f>
        <v>2021</v>
      </c>
    </row>
    <row r="2069" spans="1:17">
      <c r="A2069" t="s">
        <v>2629</v>
      </c>
      <c r="B2069" t="s">
        <v>116</v>
      </c>
      <c r="C2069" t="s">
        <v>50</v>
      </c>
      <c r="D2069" t="s">
        <v>36</v>
      </c>
      <c r="E2069" t="s">
        <v>83</v>
      </c>
      <c r="F2069" t="s">
        <v>22</v>
      </c>
      <c r="G2069" t="s">
        <v>31</v>
      </c>
      <c r="H2069" s="1">
        <v>44735</v>
      </c>
      <c r="I2069" s="2">
        <v>44736.6416666667</v>
      </c>
      <c r="J2069">
        <v>39.4</v>
      </c>
      <c r="K2069" t="s">
        <v>24</v>
      </c>
      <c r="L2069">
        <v>0</v>
      </c>
      <c r="M2069">
        <v>1</v>
      </c>
      <c r="N2069" t="s">
        <v>566</v>
      </c>
      <c r="O2069" s="3" t="str">
        <f>TEXT(Ticket_Table[[#This Row],[raised_date]],"YYYY-MM")</f>
        <v>2022-06</v>
      </c>
      <c r="P2069" s="3" t="str">
        <f>IF(Ticket_Table[[#This Row],[resolution_hrs]]&lt;=4,"Fast",IF(Ticket_Table[[#This Row],[resolution_hrs]]&lt;=24,"Normal",IF(Ticket_Table[[#This Row],[resolution_hrs]]&lt;=48,"Slow","Very Slow")))</f>
        <v>Slow</v>
      </c>
      <c r="Q2069" s="3">
        <f>YEAR(Ticket_Table[[#This Row],[raised_date]])</f>
        <v>2022</v>
      </c>
    </row>
    <row r="2070" spans="1:17">
      <c r="A2070" t="s">
        <v>2630</v>
      </c>
      <c r="B2070" t="s">
        <v>273</v>
      </c>
      <c r="C2070" t="s">
        <v>102</v>
      </c>
      <c r="D2070" t="s">
        <v>36</v>
      </c>
      <c r="E2070" t="s">
        <v>21</v>
      </c>
      <c r="F2070" t="s">
        <v>70</v>
      </c>
      <c r="G2070" t="s">
        <v>23</v>
      </c>
      <c r="H2070" s="1">
        <v>44354</v>
      </c>
      <c r="I2070" s="2">
        <v>44354.2875</v>
      </c>
      <c r="J2070">
        <v>6.9</v>
      </c>
      <c r="K2070" t="s">
        <v>24</v>
      </c>
      <c r="L2070">
        <v>1</v>
      </c>
      <c r="M2070">
        <v>4</v>
      </c>
      <c r="N2070" t="s">
        <v>1016</v>
      </c>
      <c r="O2070" s="3" t="str">
        <f>TEXT(Ticket_Table[[#This Row],[raised_date]],"YYYY-MM")</f>
        <v>2021-06</v>
      </c>
      <c r="P2070" s="3" t="str">
        <f>IF(Ticket_Table[[#This Row],[resolution_hrs]]&lt;=4,"Fast",IF(Ticket_Table[[#This Row],[resolution_hrs]]&lt;=24,"Normal",IF(Ticket_Table[[#This Row],[resolution_hrs]]&lt;=48,"Slow","Very Slow")))</f>
        <v>Normal</v>
      </c>
      <c r="Q2070" s="3">
        <f>YEAR(Ticket_Table[[#This Row],[raised_date]])</f>
        <v>2021</v>
      </c>
    </row>
    <row r="2071" spans="1:17">
      <c r="A2071" t="s">
        <v>2631</v>
      </c>
      <c r="B2071" t="s">
        <v>1833</v>
      </c>
      <c r="C2071" t="s">
        <v>201</v>
      </c>
      <c r="D2071" t="s">
        <v>43</v>
      </c>
      <c r="E2071" t="s">
        <v>21</v>
      </c>
      <c r="F2071" t="s">
        <v>70</v>
      </c>
      <c r="G2071" t="s">
        <v>31</v>
      </c>
      <c r="H2071" s="1">
        <v>45213</v>
      </c>
      <c r="I2071" s="2">
        <v>45215.5333333333</v>
      </c>
      <c r="J2071">
        <v>60.8</v>
      </c>
      <c r="K2071" t="s">
        <v>32</v>
      </c>
      <c r="L2071">
        <v>0</v>
      </c>
      <c r="M2071">
        <v>3</v>
      </c>
      <c r="N2071" t="s">
        <v>49</v>
      </c>
      <c r="O2071" s="3" t="str">
        <f>TEXT(Ticket_Table[[#This Row],[raised_date]],"YYYY-MM")</f>
        <v>2023-10</v>
      </c>
      <c r="P2071" s="3" t="str">
        <f>IF(Ticket_Table[[#This Row],[resolution_hrs]]&lt;=4,"Fast",IF(Ticket_Table[[#This Row],[resolution_hrs]]&lt;=24,"Normal",IF(Ticket_Table[[#This Row],[resolution_hrs]]&lt;=48,"Slow","Very Slow")))</f>
        <v>Very Slow</v>
      </c>
      <c r="Q2071" s="3">
        <f>YEAR(Ticket_Table[[#This Row],[raised_date]])</f>
        <v>2023</v>
      </c>
    </row>
    <row r="2072" spans="1:17">
      <c r="A2072" t="s">
        <v>2632</v>
      </c>
      <c r="B2072" t="s">
        <v>808</v>
      </c>
      <c r="C2072" t="s">
        <v>102</v>
      </c>
      <c r="D2072" t="s">
        <v>20</v>
      </c>
      <c r="E2072" t="s">
        <v>166</v>
      </c>
      <c r="F2072" t="s">
        <v>22</v>
      </c>
      <c r="G2072" t="s">
        <v>91</v>
      </c>
      <c r="H2072" s="1">
        <v>45129</v>
      </c>
      <c r="I2072" s="2">
        <v>45131.3291666667</v>
      </c>
      <c r="J2072">
        <v>55.9</v>
      </c>
      <c r="K2072" t="s">
        <v>24</v>
      </c>
      <c r="L2072">
        <v>0</v>
      </c>
      <c r="M2072">
        <v>4</v>
      </c>
      <c r="N2072" t="s">
        <v>146</v>
      </c>
      <c r="O2072" s="3" t="str">
        <f>TEXT(Ticket_Table[[#This Row],[raised_date]],"YYYY-MM")</f>
        <v>2023-07</v>
      </c>
      <c r="P2072" s="3" t="str">
        <f>IF(Ticket_Table[[#This Row],[resolution_hrs]]&lt;=4,"Fast",IF(Ticket_Table[[#This Row],[resolution_hrs]]&lt;=24,"Normal",IF(Ticket_Table[[#This Row],[resolution_hrs]]&lt;=48,"Slow","Very Slow")))</f>
        <v>Very Slow</v>
      </c>
      <c r="Q2072" s="3">
        <f>YEAR(Ticket_Table[[#This Row],[raised_date]])</f>
        <v>2023</v>
      </c>
    </row>
    <row r="2073" spans="1:17">
      <c r="A2073" t="s">
        <v>2633</v>
      </c>
      <c r="B2073" t="s">
        <v>1063</v>
      </c>
      <c r="C2073" t="s">
        <v>175</v>
      </c>
      <c r="D2073" t="s">
        <v>20</v>
      </c>
      <c r="E2073" t="s">
        <v>56</v>
      </c>
      <c r="F2073" t="s">
        <v>70</v>
      </c>
      <c r="G2073" t="s">
        <v>74</v>
      </c>
      <c r="H2073" s="1">
        <v>45243</v>
      </c>
      <c r="I2073" s="2">
        <v>45244.9458333333</v>
      </c>
      <c r="J2073">
        <v>46.7</v>
      </c>
      <c r="K2073" t="s">
        <v>24</v>
      </c>
      <c r="L2073">
        <v>0</v>
      </c>
      <c r="M2073">
        <v>3</v>
      </c>
      <c r="N2073" t="s">
        <v>959</v>
      </c>
      <c r="O2073" s="3" t="str">
        <f>TEXT(Ticket_Table[[#This Row],[raised_date]],"YYYY-MM")</f>
        <v>2023-11</v>
      </c>
      <c r="P2073" s="3" t="str">
        <f>IF(Ticket_Table[[#This Row],[resolution_hrs]]&lt;=4,"Fast",IF(Ticket_Table[[#This Row],[resolution_hrs]]&lt;=24,"Normal",IF(Ticket_Table[[#This Row],[resolution_hrs]]&lt;=48,"Slow","Very Slow")))</f>
        <v>Slow</v>
      </c>
      <c r="Q2073" s="3">
        <f>YEAR(Ticket_Table[[#This Row],[raised_date]])</f>
        <v>2023</v>
      </c>
    </row>
    <row r="2074" spans="1:17">
      <c r="A2074" t="s">
        <v>2634</v>
      </c>
      <c r="B2074" t="s">
        <v>146</v>
      </c>
      <c r="C2074" t="s">
        <v>102</v>
      </c>
      <c r="D2074" t="s">
        <v>29</v>
      </c>
      <c r="E2074" t="s">
        <v>83</v>
      </c>
      <c r="F2074" t="s">
        <v>38</v>
      </c>
      <c r="G2074" t="s">
        <v>23</v>
      </c>
      <c r="H2074" s="1">
        <v>44934</v>
      </c>
      <c r="I2074" s="2">
        <v>44935.1875</v>
      </c>
      <c r="J2074">
        <v>28.5</v>
      </c>
      <c r="K2074" t="s">
        <v>32</v>
      </c>
      <c r="L2074">
        <v>0</v>
      </c>
      <c r="M2074">
        <v>3</v>
      </c>
      <c r="N2074" t="s">
        <v>235</v>
      </c>
      <c r="O2074" s="3" t="str">
        <f>TEXT(Ticket_Table[[#This Row],[raised_date]],"YYYY-MM")</f>
        <v>2023-01</v>
      </c>
      <c r="P2074" s="3" t="str">
        <f>IF(Ticket_Table[[#This Row],[resolution_hrs]]&lt;=4,"Fast",IF(Ticket_Table[[#This Row],[resolution_hrs]]&lt;=24,"Normal",IF(Ticket_Table[[#This Row],[resolution_hrs]]&lt;=48,"Slow","Very Slow")))</f>
        <v>Slow</v>
      </c>
      <c r="Q2074" s="3">
        <f>YEAR(Ticket_Table[[#This Row],[raised_date]])</f>
        <v>2023</v>
      </c>
    </row>
    <row r="2075" spans="1:17">
      <c r="A2075" t="s">
        <v>2635</v>
      </c>
      <c r="B2075" t="s">
        <v>434</v>
      </c>
      <c r="C2075" t="s">
        <v>261</v>
      </c>
      <c r="D2075" t="s">
        <v>29</v>
      </c>
      <c r="E2075" t="s">
        <v>51</v>
      </c>
      <c r="F2075" t="s">
        <v>38</v>
      </c>
      <c r="G2075" t="s">
        <v>31</v>
      </c>
      <c r="H2075" s="1">
        <v>44310</v>
      </c>
      <c r="I2075" s="2">
        <v>44311.3916666667</v>
      </c>
      <c r="J2075">
        <v>33.4</v>
      </c>
      <c r="K2075" t="s">
        <v>32</v>
      </c>
      <c r="L2075">
        <v>1</v>
      </c>
      <c r="M2075">
        <v>3</v>
      </c>
      <c r="N2075" t="s">
        <v>454</v>
      </c>
      <c r="O2075" s="3" t="str">
        <f>TEXT(Ticket_Table[[#This Row],[raised_date]],"YYYY-MM")</f>
        <v>2021-04</v>
      </c>
      <c r="P2075" s="3" t="str">
        <f>IF(Ticket_Table[[#This Row],[resolution_hrs]]&lt;=4,"Fast",IF(Ticket_Table[[#This Row],[resolution_hrs]]&lt;=24,"Normal",IF(Ticket_Table[[#This Row],[resolution_hrs]]&lt;=48,"Slow","Very Slow")))</f>
        <v>Slow</v>
      </c>
      <c r="Q2075" s="3">
        <f>YEAR(Ticket_Table[[#This Row],[raised_date]])</f>
        <v>2021</v>
      </c>
    </row>
    <row r="2076" spans="1:17">
      <c r="A2076" t="s">
        <v>2636</v>
      </c>
      <c r="B2076" t="s">
        <v>703</v>
      </c>
      <c r="C2076" t="s">
        <v>28</v>
      </c>
      <c r="D2076" t="s">
        <v>90</v>
      </c>
      <c r="E2076" t="s">
        <v>44</v>
      </c>
      <c r="F2076" t="s">
        <v>22</v>
      </c>
      <c r="G2076" t="s">
        <v>23</v>
      </c>
      <c r="H2076" s="1">
        <v>45220</v>
      </c>
      <c r="I2076" s="2">
        <v>45220.4791666667</v>
      </c>
      <c r="J2076">
        <v>11.5</v>
      </c>
      <c r="K2076" t="s">
        <v>24</v>
      </c>
      <c r="L2076">
        <v>0</v>
      </c>
      <c r="M2076">
        <v>3</v>
      </c>
      <c r="N2076" t="s">
        <v>1080</v>
      </c>
      <c r="O2076" s="3" t="str">
        <f>TEXT(Ticket_Table[[#This Row],[raised_date]],"YYYY-MM")</f>
        <v>2023-10</v>
      </c>
      <c r="P2076" s="3" t="str">
        <f>IF(Ticket_Table[[#This Row],[resolution_hrs]]&lt;=4,"Fast",IF(Ticket_Table[[#This Row],[resolution_hrs]]&lt;=24,"Normal",IF(Ticket_Table[[#This Row],[resolution_hrs]]&lt;=48,"Slow","Very Slow")))</f>
        <v>Normal</v>
      </c>
      <c r="Q2076" s="3">
        <f>YEAR(Ticket_Table[[#This Row],[raised_date]])</f>
        <v>2023</v>
      </c>
    </row>
    <row r="2077" spans="1:17">
      <c r="A2077" t="s">
        <v>2637</v>
      </c>
      <c r="B2077" t="s">
        <v>924</v>
      </c>
      <c r="C2077" t="s">
        <v>140</v>
      </c>
      <c r="D2077" t="s">
        <v>29</v>
      </c>
      <c r="E2077" t="s">
        <v>44</v>
      </c>
      <c r="F2077" t="s">
        <v>22</v>
      </c>
      <c r="G2077" t="s">
        <v>46</v>
      </c>
      <c r="H2077" s="1">
        <v>44538</v>
      </c>
      <c r="I2077" s="2">
        <v>44538.3583333333</v>
      </c>
      <c r="J2077">
        <v>8.6</v>
      </c>
      <c r="K2077" t="s">
        <v>24</v>
      </c>
      <c r="L2077">
        <v>0</v>
      </c>
      <c r="M2077">
        <v>4</v>
      </c>
      <c r="N2077" t="s">
        <v>310</v>
      </c>
      <c r="O2077" s="3" t="str">
        <f>TEXT(Ticket_Table[[#This Row],[raised_date]],"YYYY-MM")</f>
        <v>2021-12</v>
      </c>
      <c r="P2077" s="3" t="str">
        <f>IF(Ticket_Table[[#This Row],[resolution_hrs]]&lt;=4,"Fast",IF(Ticket_Table[[#This Row],[resolution_hrs]]&lt;=24,"Normal",IF(Ticket_Table[[#This Row],[resolution_hrs]]&lt;=48,"Slow","Very Slow")))</f>
        <v>Normal</v>
      </c>
      <c r="Q2077" s="3">
        <f>YEAR(Ticket_Table[[#This Row],[raised_date]])</f>
        <v>2021</v>
      </c>
    </row>
    <row r="2078" spans="1:17">
      <c r="A2078" t="s">
        <v>2638</v>
      </c>
      <c r="B2078" t="s">
        <v>413</v>
      </c>
      <c r="C2078" t="s">
        <v>261</v>
      </c>
      <c r="D2078" t="s">
        <v>20</v>
      </c>
      <c r="E2078" t="s">
        <v>21</v>
      </c>
      <c r="F2078" t="s">
        <v>22</v>
      </c>
      <c r="G2078" t="s">
        <v>74</v>
      </c>
      <c r="H2078" s="1">
        <v>44950</v>
      </c>
      <c r="I2078" s="2">
        <v>44950.2125</v>
      </c>
      <c r="J2078">
        <v>5.1</v>
      </c>
      <c r="K2078" t="s">
        <v>24</v>
      </c>
      <c r="L2078">
        <v>1</v>
      </c>
      <c r="M2078">
        <v>4</v>
      </c>
      <c r="N2078" t="s">
        <v>389</v>
      </c>
      <c r="O2078" s="3" t="str">
        <f>TEXT(Ticket_Table[[#This Row],[raised_date]],"YYYY-MM")</f>
        <v>2023-01</v>
      </c>
      <c r="P2078" s="3" t="str">
        <f>IF(Ticket_Table[[#This Row],[resolution_hrs]]&lt;=4,"Fast",IF(Ticket_Table[[#This Row],[resolution_hrs]]&lt;=24,"Normal",IF(Ticket_Table[[#This Row],[resolution_hrs]]&lt;=48,"Slow","Very Slow")))</f>
        <v>Normal</v>
      </c>
      <c r="Q2078" s="3">
        <f>YEAR(Ticket_Table[[#This Row],[raised_date]])</f>
        <v>2023</v>
      </c>
    </row>
    <row r="2079" spans="1:17">
      <c r="A2079" t="s">
        <v>2639</v>
      </c>
      <c r="B2079" t="s">
        <v>594</v>
      </c>
      <c r="C2079" t="s">
        <v>78</v>
      </c>
      <c r="D2079" t="s">
        <v>90</v>
      </c>
      <c r="E2079" t="s">
        <v>56</v>
      </c>
      <c r="F2079" t="s">
        <v>38</v>
      </c>
      <c r="G2079" t="s">
        <v>74</v>
      </c>
      <c r="H2079" s="1">
        <v>44519</v>
      </c>
      <c r="I2079" s="2">
        <v>44519.3333333333</v>
      </c>
      <c r="J2079">
        <v>8</v>
      </c>
      <c r="K2079" t="s">
        <v>24</v>
      </c>
      <c r="L2079">
        <v>0</v>
      </c>
      <c r="M2079">
        <v>4</v>
      </c>
      <c r="N2079" t="s">
        <v>756</v>
      </c>
      <c r="O2079" s="3" t="str">
        <f>TEXT(Ticket_Table[[#This Row],[raised_date]],"YYYY-MM")</f>
        <v>2021-11</v>
      </c>
      <c r="P2079" s="3" t="str">
        <f>IF(Ticket_Table[[#This Row],[resolution_hrs]]&lt;=4,"Fast",IF(Ticket_Table[[#This Row],[resolution_hrs]]&lt;=24,"Normal",IF(Ticket_Table[[#This Row],[resolution_hrs]]&lt;=48,"Slow","Very Slow")))</f>
        <v>Normal</v>
      </c>
      <c r="Q2079" s="3">
        <f>YEAR(Ticket_Table[[#This Row],[raised_date]])</f>
        <v>2021</v>
      </c>
    </row>
    <row r="2080" spans="1:17">
      <c r="A2080" t="s">
        <v>2640</v>
      </c>
      <c r="B2080" t="s">
        <v>86</v>
      </c>
      <c r="C2080" t="s">
        <v>78</v>
      </c>
      <c r="D2080" t="s">
        <v>29</v>
      </c>
      <c r="E2080" t="s">
        <v>166</v>
      </c>
      <c r="F2080" t="s">
        <v>22</v>
      </c>
      <c r="G2080" t="s">
        <v>31</v>
      </c>
      <c r="H2080" s="1">
        <v>44719</v>
      </c>
      <c r="I2080" s="2">
        <v>44719.9166666667</v>
      </c>
      <c r="J2080">
        <v>22</v>
      </c>
      <c r="K2080" t="s">
        <v>24</v>
      </c>
      <c r="L2080">
        <v>0</v>
      </c>
      <c r="M2080">
        <v>4</v>
      </c>
      <c r="N2080" t="s">
        <v>503</v>
      </c>
      <c r="O2080" s="3" t="str">
        <f>TEXT(Ticket_Table[[#This Row],[raised_date]],"YYYY-MM")</f>
        <v>2022-06</v>
      </c>
      <c r="P2080" s="3" t="str">
        <f>IF(Ticket_Table[[#This Row],[resolution_hrs]]&lt;=4,"Fast",IF(Ticket_Table[[#This Row],[resolution_hrs]]&lt;=24,"Normal",IF(Ticket_Table[[#This Row],[resolution_hrs]]&lt;=48,"Slow","Very Slow")))</f>
        <v>Normal</v>
      </c>
      <c r="Q2080" s="3">
        <f>YEAR(Ticket_Table[[#This Row],[raised_date]])</f>
        <v>2022</v>
      </c>
    </row>
    <row r="2081" spans="1:17">
      <c r="A2081" t="s">
        <v>2641</v>
      </c>
      <c r="B2081" t="s">
        <v>1064</v>
      </c>
      <c r="C2081" t="s">
        <v>201</v>
      </c>
      <c r="D2081" t="s">
        <v>43</v>
      </c>
      <c r="E2081" t="s">
        <v>21</v>
      </c>
      <c r="F2081" t="s">
        <v>38</v>
      </c>
      <c r="G2081" t="s">
        <v>23</v>
      </c>
      <c r="H2081" s="1">
        <v>44407</v>
      </c>
      <c r="I2081" s="2">
        <v>44407.5208333333</v>
      </c>
      <c r="J2081">
        <v>12.5</v>
      </c>
      <c r="K2081" t="s">
        <v>24</v>
      </c>
      <c r="L2081">
        <v>1</v>
      </c>
      <c r="M2081">
        <v>4</v>
      </c>
      <c r="N2081" t="s">
        <v>1348</v>
      </c>
      <c r="O2081" s="3" t="str">
        <f>TEXT(Ticket_Table[[#This Row],[raised_date]],"YYYY-MM")</f>
        <v>2021-07</v>
      </c>
      <c r="P2081" s="3" t="str">
        <f>IF(Ticket_Table[[#This Row],[resolution_hrs]]&lt;=4,"Fast",IF(Ticket_Table[[#This Row],[resolution_hrs]]&lt;=24,"Normal",IF(Ticket_Table[[#This Row],[resolution_hrs]]&lt;=48,"Slow","Very Slow")))</f>
        <v>Normal</v>
      </c>
      <c r="Q2081" s="3">
        <f>YEAR(Ticket_Table[[#This Row],[raised_date]])</f>
        <v>2021</v>
      </c>
    </row>
    <row r="2082" spans="1:17">
      <c r="A2082" t="s">
        <v>2642</v>
      </c>
      <c r="B2082" t="s">
        <v>906</v>
      </c>
      <c r="C2082" t="s">
        <v>64</v>
      </c>
      <c r="D2082" t="s">
        <v>36</v>
      </c>
      <c r="E2082" t="s">
        <v>44</v>
      </c>
      <c r="F2082" t="s">
        <v>22</v>
      </c>
      <c r="G2082" t="s">
        <v>74</v>
      </c>
      <c r="H2082" s="1">
        <v>44433</v>
      </c>
      <c r="I2082" s="2">
        <v>44434.3916666667</v>
      </c>
      <c r="J2082">
        <v>33.4</v>
      </c>
      <c r="K2082" t="s">
        <v>24</v>
      </c>
      <c r="L2082">
        <v>0</v>
      </c>
      <c r="M2082">
        <v>3</v>
      </c>
      <c r="N2082" t="s">
        <v>116</v>
      </c>
      <c r="O2082" s="3" t="str">
        <f>TEXT(Ticket_Table[[#This Row],[raised_date]],"YYYY-MM")</f>
        <v>2021-08</v>
      </c>
      <c r="P2082" s="3" t="str">
        <f>IF(Ticket_Table[[#This Row],[resolution_hrs]]&lt;=4,"Fast",IF(Ticket_Table[[#This Row],[resolution_hrs]]&lt;=24,"Normal",IF(Ticket_Table[[#This Row],[resolution_hrs]]&lt;=48,"Slow","Very Slow")))</f>
        <v>Slow</v>
      </c>
      <c r="Q2082" s="3">
        <f>YEAR(Ticket_Table[[#This Row],[raised_date]])</f>
        <v>2021</v>
      </c>
    </row>
    <row r="2083" spans="1:17">
      <c r="A2083" t="s">
        <v>2643</v>
      </c>
      <c r="B2083" t="s">
        <v>744</v>
      </c>
      <c r="C2083" t="s">
        <v>78</v>
      </c>
      <c r="D2083" t="s">
        <v>29</v>
      </c>
      <c r="E2083" t="s">
        <v>21</v>
      </c>
      <c r="F2083" t="s">
        <v>70</v>
      </c>
      <c r="G2083" t="s">
        <v>91</v>
      </c>
      <c r="H2083" s="1">
        <v>44664</v>
      </c>
      <c r="I2083" s="2">
        <v>44666.4541666667</v>
      </c>
      <c r="J2083">
        <v>58.9</v>
      </c>
      <c r="K2083" t="s">
        <v>32</v>
      </c>
      <c r="L2083">
        <v>0</v>
      </c>
      <c r="M2083">
        <v>2</v>
      </c>
      <c r="N2083" t="s">
        <v>600</v>
      </c>
      <c r="O2083" s="3" t="str">
        <f>TEXT(Ticket_Table[[#This Row],[raised_date]],"YYYY-MM")</f>
        <v>2022-04</v>
      </c>
      <c r="P2083" s="3" t="str">
        <f>IF(Ticket_Table[[#This Row],[resolution_hrs]]&lt;=4,"Fast",IF(Ticket_Table[[#This Row],[resolution_hrs]]&lt;=24,"Normal",IF(Ticket_Table[[#This Row],[resolution_hrs]]&lt;=48,"Slow","Very Slow")))</f>
        <v>Very Slow</v>
      </c>
      <c r="Q2083" s="3">
        <f>YEAR(Ticket_Table[[#This Row],[raised_date]])</f>
        <v>2022</v>
      </c>
    </row>
    <row r="2084" spans="1:17">
      <c r="A2084" t="s">
        <v>2644</v>
      </c>
      <c r="B2084" t="s">
        <v>886</v>
      </c>
      <c r="C2084" t="s">
        <v>133</v>
      </c>
      <c r="D2084" t="s">
        <v>29</v>
      </c>
      <c r="E2084" t="s">
        <v>44</v>
      </c>
      <c r="F2084" t="s">
        <v>70</v>
      </c>
      <c r="G2084" t="s">
        <v>31</v>
      </c>
      <c r="H2084" s="1">
        <v>45239</v>
      </c>
      <c r="I2084" s="2">
        <v>45241.0625</v>
      </c>
      <c r="J2084">
        <v>49.5</v>
      </c>
      <c r="K2084" t="s">
        <v>32</v>
      </c>
      <c r="L2084">
        <v>0</v>
      </c>
      <c r="M2084">
        <v>3</v>
      </c>
      <c r="N2084" t="s">
        <v>127</v>
      </c>
      <c r="O2084" s="3" t="str">
        <f>TEXT(Ticket_Table[[#This Row],[raised_date]],"YYYY-MM")</f>
        <v>2023-11</v>
      </c>
      <c r="P2084" s="3" t="str">
        <f>IF(Ticket_Table[[#This Row],[resolution_hrs]]&lt;=4,"Fast",IF(Ticket_Table[[#This Row],[resolution_hrs]]&lt;=24,"Normal",IF(Ticket_Table[[#This Row],[resolution_hrs]]&lt;=48,"Slow","Very Slow")))</f>
        <v>Very Slow</v>
      </c>
      <c r="Q2084" s="3">
        <f>YEAR(Ticket_Table[[#This Row],[raised_date]])</f>
        <v>2023</v>
      </c>
    </row>
    <row r="2085" spans="1:17">
      <c r="A2085" t="s">
        <v>2645</v>
      </c>
      <c r="B2085" t="s">
        <v>595</v>
      </c>
      <c r="C2085" t="s">
        <v>68</v>
      </c>
      <c r="D2085" t="s">
        <v>43</v>
      </c>
      <c r="E2085" t="s">
        <v>56</v>
      </c>
      <c r="F2085" t="s">
        <v>38</v>
      </c>
      <c r="G2085" t="s">
        <v>23</v>
      </c>
      <c r="H2085" s="1">
        <v>44202</v>
      </c>
      <c r="I2085" s="2">
        <v>44202.4416666667</v>
      </c>
      <c r="J2085">
        <v>10.6</v>
      </c>
      <c r="K2085" t="s">
        <v>24</v>
      </c>
      <c r="L2085">
        <v>1</v>
      </c>
      <c r="M2085">
        <v>4</v>
      </c>
      <c r="N2085" t="s">
        <v>621</v>
      </c>
      <c r="O2085" s="3" t="str">
        <f>TEXT(Ticket_Table[[#This Row],[raised_date]],"YYYY-MM")</f>
        <v>2021-01</v>
      </c>
      <c r="P2085" s="3" t="str">
        <f>IF(Ticket_Table[[#This Row],[resolution_hrs]]&lt;=4,"Fast",IF(Ticket_Table[[#This Row],[resolution_hrs]]&lt;=24,"Normal",IF(Ticket_Table[[#This Row],[resolution_hrs]]&lt;=48,"Slow","Very Slow")))</f>
        <v>Normal</v>
      </c>
      <c r="Q2085" s="3">
        <f>YEAR(Ticket_Table[[#This Row],[raised_date]])</f>
        <v>2021</v>
      </c>
    </row>
    <row r="2086" spans="1:17">
      <c r="A2086" t="s">
        <v>2646</v>
      </c>
      <c r="B2086" t="s">
        <v>180</v>
      </c>
      <c r="C2086" t="s">
        <v>78</v>
      </c>
      <c r="D2086" t="s">
        <v>20</v>
      </c>
      <c r="E2086" t="s">
        <v>56</v>
      </c>
      <c r="F2086" t="s">
        <v>22</v>
      </c>
      <c r="G2086" t="s">
        <v>23</v>
      </c>
      <c r="H2086" s="1">
        <v>44287</v>
      </c>
      <c r="I2086" s="2">
        <v>44290.1875</v>
      </c>
      <c r="J2086">
        <v>76.5</v>
      </c>
      <c r="K2086" t="s">
        <v>32</v>
      </c>
      <c r="L2086">
        <v>0</v>
      </c>
      <c r="M2086">
        <v>4</v>
      </c>
      <c r="N2086" t="s">
        <v>722</v>
      </c>
      <c r="O2086" s="3" t="str">
        <f>TEXT(Ticket_Table[[#This Row],[raised_date]],"YYYY-MM")</f>
        <v>2021-04</v>
      </c>
      <c r="P2086" s="3" t="str">
        <f>IF(Ticket_Table[[#This Row],[resolution_hrs]]&lt;=4,"Fast",IF(Ticket_Table[[#This Row],[resolution_hrs]]&lt;=24,"Normal",IF(Ticket_Table[[#This Row],[resolution_hrs]]&lt;=48,"Slow","Very Slow")))</f>
        <v>Very Slow</v>
      </c>
      <c r="Q2086" s="3">
        <f>YEAR(Ticket_Table[[#This Row],[raised_date]])</f>
        <v>2021</v>
      </c>
    </row>
    <row r="2087" spans="1:17">
      <c r="A2087" t="s">
        <v>2647</v>
      </c>
      <c r="B2087" t="s">
        <v>1191</v>
      </c>
      <c r="C2087" t="s">
        <v>82</v>
      </c>
      <c r="D2087" t="s">
        <v>43</v>
      </c>
      <c r="E2087" t="s">
        <v>166</v>
      </c>
      <c r="F2087" t="s">
        <v>70</v>
      </c>
      <c r="G2087" t="s">
        <v>31</v>
      </c>
      <c r="H2087" s="1">
        <v>44222</v>
      </c>
      <c r="I2087" s="2">
        <v>44224.9958333333</v>
      </c>
      <c r="J2087">
        <v>71.9</v>
      </c>
      <c r="K2087" t="s">
        <v>32</v>
      </c>
      <c r="L2087">
        <v>0</v>
      </c>
      <c r="M2087">
        <v>4</v>
      </c>
      <c r="N2087" t="s">
        <v>935</v>
      </c>
      <c r="O2087" s="3" t="str">
        <f>TEXT(Ticket_Table[[#This Row],[raised_date]],"YYYY-MM")</f>
        <v>2021-01</v>
      </c>
      <c r="P2087" s="3" t="str">
        <f>IF(Ticket_Table[[#This Row],[resolution_hrs]]&lt;=4,"Fast",IF(Ticket_Table[[#This Row],[resolution_hrs]]&lt;=24,"Normal",IF(Ticket_Table[[#This Row],[resolution_hrs]]&lt;=48,"Slow","Very Slow")))</f>
        <v>Very Slow</v>
      </c>
      <c r="Q2087" s="3">
        <f>YEAR(Ticket_Table[[#This Row],[raised_date]])</f>
        <v>2021</v>
      </c>
    </row>
    <row r="2088" spans="1:17">
      <c r="A2088" t="s">
        <v>2648</v>
      </c>
      <c r="B2088" t="s">
        <v>708</v>
      </c>
      <c r="C2088" t="s">
        <v>95</v>
      </c>
      <c r="D2088" t="s">
        <v>29</v>
      </c>
      <c r="E2088" t="s">
        <v>37</v>
      </c>
      <c r="F2088" t="s">
        <v>22</v>
      </c>
      <c r="G2088" t="s">
        <v>23</v>
      </c>
      <c r="H2088" s="1">
        <v>44697</v>
      </c>
      <c r="I2088" s="2">
        <v>44701.4916666667</v>
      </c>
      <c r="J2088">
        <v>107.8</v>
      </c>
      <c r="K2088" t="s">
        <v>32</v>
      </c>
      <c r="L2088">
        <v>0</v>
      </c>
      <c r="M2088">
        <v>4</v>
      </c>
      <c r="N2088" t="s">
        <v>521</v>
      </c>
      <c r="O2088" s="3" t="str">
        <f>TEXT(Ticket_Table[[#This Row],[raised_date]],"YYYY-MM")</f>
        <v>2022-05</v>
      </c>
      <c r="P2088" s="3" t="str">
        <f>IF(Ticket_Table[[#This Row],[resolution_hrs]]&lt;=4,"Fast",IF(Ticket_Table[[#This Row],[resolution_hrs]]&lt;=24,"Normal",IF(Ticket_Table[[#This Row],[resolution_hrs]]&lt;=48,"Slow","Very Slow")))</f>
        <v>Very Slow</v>
      </c>
      <c r="Q2088" s="3">
        <f>YEAR(Ticket_Table[[#This Row],[raised_date]])</f>
        <v>2022</v>
      </c>
    </row>
    <row r="2089" spans="1:17">
      <c r="A2089" t="s">
        <v>2649</v>
      </c>
      <c r="B2089" t="s">
        <v>970</v>
      </c>
      <c r="C2089" t="s">
        <v>287</v>
      </c>
      <c r="D2089" t="s">
        <v>20</v>
      </c>
      <c r="E2089" t="s">
        <v>37</v>
      </c>
      <c r="F2089" t="s">
        <v>38</v>
      </c>
      <c r="G2089" t="s">
        <v>31</v>
      </c>
      <c r="H2089" s="1">
        <v>44291</v>
      </c>
      <c r="I2089" s="2">
        <v>44292.1375</v>
      </c>
      <c r="J2089">
        <v>27.3</v>
      </c>
      <c r="K2089" t="s">
        <v>32</v>
      </c>
      <c r="L2089">
        <v>1</v>
      </c>
      <c r="M2089">
        <v>3</v>
      </c>
      <c r="N2089" t="s">
        <v>415</v>
      </c>
      <c r="O2089" s="3" t="str">
        <f>TEXT(Ticket_Table[[#This Row],[raised_date]],"YYYY-MM")</f>
        <v>2021-04</v>
      </c>
      <c r="P2089" s="3" t="str">
        <f>IF(Ticket_Table[[#This Row],[resolution_hrs]]&lt;=4,"Fast",IF(Ticket_Table[[#This Row],[resolution_hrs]]&lt;=24,"Normal",IF(Ticket_Table[[#This Row],[resolution_hrs]]&lt;=48,"Slow","Very Slow")))</f>
        <v>Slow</v>
      </c>
      <c r="Q2089" s="3">
        <f>YEAR(Ticket_Table[[#This Row],[raised_date]])</f>
        <v>2021</v>
      </c>
    </row>
    <row r="2090" spans="1:17">
      <c r="A2090" t="s">
        <v>2650</v>
      </c>
      <c r="B2090" t="s">
        <v>420</v>
      </c>
      <c r="C2090" t="s">
        <v>213</v>
      </c>
      <c r="D2090" t="s">
        <v>90</v>
      </c>
      <c r="E2090" t="s">
        <v>21</v>
      </c>
      <c r="F2090" t="s">
        <v>38</v>
      </c>
      <c r="G2090" t="s">
        <v>31</v>
      </c>
      <c r="H2090" s="1">
        <v>45163</v>
      </c>
      <c r="I2090" s="2">
        <v>45164.1208333333</v>
      </c>
      <c r="J2090">
        <v>26.9</v>
      </c>
      <c r="K2090" t="s">
        <v>32</v>
      </c>
      <c r="L2090">
        <v>0</v>
      </c>
      <c r="M2090">
        <v>5</v>
      </c>
      <c r="N2090" t="s">
        <v>503</v>
      </c>
      <c r="O2090" s="3" t="str">
        <f>TEXT(Ticket_Table[[#This Row],[raised_date]],"YYYY-MM")</f>
        <v>2023-08</v>
      </c>
      <c r="P2090" s="3" t="str">
        <f>IF(Ticket_Table[[#This Row],[resolution_hrs]]&lt;=4,"Fast",IF(Ticket_Table[[#This Row],[resolution_hrs]]&lt;=24,"Normal",IF(Ticket_Table[[#This Row],[resolution_hrs]]&lt;=48,"Slow","Very Slow")))</f>
        <v>Slow</v>
      </c>
      <c r="Q2090" s="3">
        <f>YEAR(Ticket_Table[[#This Row],[raised_date]])</f>
        <v>2023</v>
      </c>
    </row>
    <row r="2091" spans="1:17">
      <c r="A2091" t="s">
        <v>2651</v>
      </c>
      <c r="B2091" t="s">
        <v>546</v>
      </c>
      <c r="C2091" t="s">
        <v>102</v>
      </c>
      <c r="D2091" t="s">
        <v>29</v>
      </c>
      <c r="E2091" t="s">
        <v>21</v>
      </c>
      <c r="F2091" t="s">
        <v>22</v>
      </c>
      <c r="G2091" t="s">
        <v>74</v>
      </c>
      <c r="H2091" s="1">
        <v>44942</v>
      </c>
      <c r="I2091" s="2">
        <v>44946.1083333333</v>
      </c>
      <c r="J2091">
        <v>98.6</v>
      </c>
      <c r="K2091" t="s">
        <v>32</v>
      </c>
      <c r="L2091">
        <v>1</v>
      </c>
      <c r="M2091">
        <v>5</v>
      </c>
      <c r="N2091" t="s">
        <v>756</v>
      </c>
      <c r="O2091" s="3" t="str">
        <f>TEXT(Ticket_Table[[#This Row],[raised_date]],"YYYY-MM")</f>
        <v>2023-01</v>
      </c>
      <c r="P2091" s="3" t="str">
        <f>IF(Ticket_Table[[#This Row],[resolution_hrs]]&lt;=4,"Fast",IF(Ticket_Table[[#This Row],[resolution_hrs]]&lt;=24,"Normal",IF(Ticket_Table[[#This Row],[resolution_hrs]]&lt;=48,"Slow","Very Slow")))</f>
        <v>Very Slow</v>
      </c>
      <c r="Q2091" s="3">
        <f>YEAR(Ticket_Table[[#This Row],[raised_date]])</f>
        <v>2023</v>
      </c>
    </row>
    <row r="2092" spans="1:17">
      <c r="A2092" t="s">
        <v>2652</v>
      </c>
      <c r="B2092" t="s">
        <v>380</v>
      </c>
      <c r="C2092" t="s">
        <v>42</v>
      </c>
      <c r="D2092" t="s">
        <v>43</v>
      </c>
      <c r="E2092" t="s">
        <v>21</v>
      </c>
      <c r="F2092" t="s">
        <v>38</v>
      </c>
      <c r="G2092" t="s">
        <v>31</v>
      </c>
      <c r="H2092" s="1">
        <v>44981</v>
      </c>
      <c r="I2092" s="2">
        <v>44981.0541666667</v>
      </c>
      <c r="J2092">
        <v>1.3</v>
      </c>
      <c r="K2092" t="s">
        <v>24</v>
      </c>
      <c r="L2092">
        <v>0</v>
      </c>
      <c r="M2092">
        <v>3</v>
      </c>
      <c r="N2092" t="s">
        <v>1006</v>
      </c>
      <c r="O2092" s="3" t="str">
        <f>TEXT(Ticket_Table[[#This Row],[raised_date]],"YYYY-MM")</f>
        <v>2023-02</v>
      </c>
      <c r="P2092" s="3" t="str">
        <f>IF(Ticket_Table[[#This Row],[resolution_hrs]]&lt;=4,"Fast",IF(Ticket_Table[[#This Row],[resolution_hrs]]&lt;=24,"Normal",IF(Ticket_Table[[#This Row],[resolution_hrs]]&lt;=48,"Slow","Very Slow")))</f>
        <v>Fast</v>
      </c>
      <c r="Q2092" s="3">
        <f>YEAR(Ticket_Table[[#This Row],[raised_date]])</f>
        <v>2023</v>
      </c>
    </row>
    <row r="2093" spans="1:17">
      <c r="A2093" t="s">
        <v>2653</v>
      </c>
      <c r="B2093" t="s">
        <v>2654</v>
      </c>
      <c r="C2093" t="s">
        <v>102</v>
      </c>
      <c r="D2093" t="s">
        <v>90</v>
      </c>
      <c r="E2093" t="s">
        <v>166</v>
      </c>
      <c r="F2093" t="s">
        <v>70</v>
      </c>
      <c r="G2093" t="s">
        <v>23</v>
      </c>
      <c r="H2093" s="1">
        <v>44504</v>
      </c>
      <c r="I2093" s="2">
        <v>44504.9291666667</v>
      </c>
      <c r="J2093">
        <v>22.3</v>
      </c>
      <c r="K2093" t="s">
        <v>24</v>
      </c>
      <c r="L2093">
        <v>0</v>
      </c>
      <c r="M2093">
        <v>4</v>
      </c>
      <c r="N2093" t="s">
        <v>942</v>
      </c>
      <c r="O2093" s="3" t="str">
        <f>TEXT(Ticket_Table[[#This Row],[raised_date]],"YYYY-MM")</f>
        <v>2021-11</v>
      </c>
      <c r="P2093" s="3" t="str">
        <f>IF(Ticket_Table[[#This Row],[resolution_hrs]]&lt;=4,"Fast",IF(Ticket_Table[[#This Row],[resolution_hrs]]&lt;=24,"Normal",IF(Ticket_Table[[#This Row],[resolution_hrs]]&lt;=48,"Slow","Very Slow")))</f>
        <v>Normal</v>
      </c>
      <c r="Q2093" s="3">
        <f>YEAR(Ticket_Table[[#This Row],[raised_date]])</f>
        <v>2021</v>
      </c>
    </row>
    <row r="2094" spans="1:17">
      <c r="A2094" t="s">
        <v>2655</v>
      </c>
      <c r="B2094" t="s">
        <v>141</v>
      </c>
      <c r="C2094" t="s">
        <v>55</v>
      </c>
      <c r="D2094" t="s">
        <v>36</v>
      </c>
      <c r="E2094" t="s">
        <v>69</v>
      </c>
      <c r="F2094" t="s">
        <v>22</v>
      </c>
      <c r="G2094" t="s">
        <v>23</v>
      </c>
      <c r="H2094" s="1">
        <v>44563</v>
      </c>
      <c r="I2094" s="2">
        <v>44566.7083333333</v>
      </c>
      <c r="J2094">
        <v>89</v>
      </c>
      <c r="K2094" t="s">
        <v>32</v>
      </c>
      <c r="L2094">
        <v>2</v>
      </c>
      <c r="M2094">
        <v>4</v>
      </c>
      <c r="N2094" t="s">
        <v>248</v>
      </c>
      <c r="O2094" s="3" t="str">
        <f>TEXT(Ticket_Table[[#This Row],[raised_date]],"YYYY-MM")</f>
        <v>2022-01</v>
      </c>
      <c r="P2094" s="3" t="str">
        <f>IF(Ticket_Table[[#This Row],[resolution_hrs]]&lt;=4,"Fast",IF(Ticket_Table[[#This Row],[resolution_hrs]]&lt;=24,"Normal",IF(Ticket_Table[[#This Row],[resolution_hrs]]&lt;=48,"Slow","Very Slow")))</f>
        <v>Very Slow</v>
      </c>
      <c r="Q2094" s="3">
        <f>YEAR(Ticket_Table[[#This Row],[raised_date]])</f>
        <v>2022</v>
      </c>
    </row>
    <row r="2095" spans="1:17">
      <c r="A2095" t="s">
        <v>2656</v>
      </c>
      <c r="B2095" t="s">
        <v>344</v>
      </c>
      <c r="C2095" t="s">
        <v>50</v>
      </c>
      <c r="D2095" t="s">
        <v>90</v>
      </c>
      <c r="E2095" t="s">
        <v>21</v>
      </c>
      <c r="F2095" t="s">
        <v>70</v>
      </c>
      <c r="G2095" t="s">
        <v>91</v>
      </c>
      <c r="H2095" s="1">
        <v>44269</v>
      </c>
      <c r="I2095" s="2">
        <v>44271.3583333333</v>
      </c>
      <c r="J2095">
        <v>56.6</v>
      </c>
      <c r="K2095" t="s">
        <v>32</v>
      </c>
      <c r="L2095">
        <v>0</v>
      </c>
      <c r="M2095">
        <v>4</v>
      </c>
      <c r="N2095" t="s">
        <v>716</v>
      </c>
      <c r="O2095" s="3" t="str">
        <f>TEXT(Ticket_Table[[#This Row],[raised_date]],"YYYY-MM")</f>
        <v>2021-03</v>
      </c>
      <c r="P2095" s="3" t="str">
        <f>IF(Ticket_Table[[#This Row],[resolution_hrs]]&lt;=4,"Fast",IF(Ticket_Table[[#This Row],[resolution_hrs]]&lt;=24,"Normal",IF(Ticket_Table[[#This Row],[resolution_hrs]]&lt;=48,"Slow","Very Slow")))</f>
        <v>Very Slow</v>
      </c>
      <c r="Q2095" s="3">
        <f>YEAR(Ticket_Table[[#This Row],[raised_date]])</f>
        <v>2021</v>
      </c>
    </row>
    <row r="2096" spans="1:17">
      <c r="A2096" t="s">
        <v>2657</v>
      </c>
      <c r="B2096" t="s">
        <v>86</v>
      </c>
      <c r="C2096" t="s">
        <v>42</v>
      </c>
      <c r="D2096" t="s">
        <v>43</v>
      </c>
      <c r="E2096" t="s">
        <v>37</v>
      </c>
      <c r="F2096" t="s">
        <v>22</v>
      </c>
      <c r="G2096" t="s">
        <v>23</v>
      </c>
      <c r="H2096" s="1">
        <v>45055</v>
      </c>
      <c r="I2096" s="2">
        <v>45056.8416666667</v>
      </c>
      <c r="J2096">
        <v>44.2</v>
      </c>
      <c r="K2096" t="s">
        <v>24</v>
      </c>
      <c r="L2096">
        <v>0</v>
      </c>
      <c r="M2096">
        <v>5</v>
      </c>
      <c r="N2096" t="s">
        <v>782</v>
      </c>
      <c r="O2096" s="3" t="str">
        <f>TEXT(Ticket_Table[[#This Row],[raised_date]],"YYYY-MM")</f>
        <v>2023-05</v>
      </c>
      <c r="P2096" s="3" t="str">
        <f>IF(Ticket_Table[[#This Row],[resolution_hrs]]&lt;=4,"Fast",IF(Ticket_Table[[#This Row],[resolution_hrs]]&lt;=24,"Normal",IF(Ticket_Table[[#This Row],[resolution_hrs]]&lt;=48,"Slow","Very Slow")))</f>
        <v>Slow</v>
      </c>
      <c r="Q2096" s="3">
        <f>YEAR(Ticket_Table[[#This Row],[raised_date]])</f>
        <v>2023</v>
      </c>
    </row>
    <row r="2097" spans="1:17">
      <c r="A2097" t="s">
        <v>2658</v>
      </c>
      <c r="B2097" t="s">
        <v>680</v>
      </c>
      <c r="C2097" t="s">
        <v>82</v>
      </c>
      <c r="D2097" t="s">
        <v>90</v>
      </c>
      <c r="E2097" t="s">
        <v>37</v>
      </c>
      <c r="F2097" t="s">
        <v>38</v>
      </c>
      <c r="G2097" t="s">
        <v>31</v>
      </c>
      <c r="H2097" s="1">
        <v>44656</v>
      </c>
      <c r="I2097" s="2">
        <v>44656.6333333333</v>
      </c>
      <c r="J2097">
        <v>15.2</v>
      </c>
      <c r="K2097" t="s">
        <v>24</v>
      </c>
      <c r="L2097">
        <v>0</v>
      </c>
      <c r="M2097">
        <v>4</v>
      </c>
      <c r="N2097" t="s">
        <v>703</v>
      </c>
      <c r="O2097" s="3" t="str">
        <f>TEXT(Ticket_Table[[#This Row],[raised_date]],"YYYY-MM")</f>
        <v>2022-04</v>
      </c>
      <c r="P2097" s="3" t="str">
        <f>IF(Ticket_Table[[#This Row],[resolution_hrs]]&lt;=4,"Fast",IF(Ticket_Table[[#This Row],[resolution_hrs]]&lt;=24,"Normal",IF(Ticket_Table[[#This Row],[resolution_hrs]]&lt;=48,"Slow","Very Slow")))</f>
        <v>Normal</v>
      </c>
      <c r="Q2097" s="3">
        <f>YEAR(Ticket_Table[[#This Row],[raised_date]])</f>
        <v>2022</v>
      </c>
    </row>
    <row r="2098" spans="1:17">
      <c r="A2098" t="s">
        <v>2659</v>
      </c>
      <c r="B2098" t="s">
        <v>256</v>
      </c>
      <c r="C2098" t="s">
        <v>55</v>
      </c>
      <c r="D2098" t="s">
        <v>43</v>
      </c>
      <c r="E2098" t="s">
        <v>83</v>
      </c>
      <c r="F2098" t="s">
        <v>38</v>
      </c>
      <c r="G2098" t="s">
        <v>31</v>
      </c>
      <c r="H2098" s="1">
        <v>44856</v>
      </c>
      <c r="I2098" s="2">
        <v>44856.8875</v>
      </c>
      <c r="J2098">
        <v>21.3</v>
      </c>
      <c r="K2098" t="s">
        <v>24</v>
      </c>
      <c r="L2098">
        <v>0</v>
      </c>
      <c r="M2098">
        <v>4</v>
      </c>
      <c r="N2098" t="s">
        <v>221</v>
      </c>
      <c r="O2098" s="3" t="str">
        <f>TEXT(Ticket_Table[[#This Row],[raised_date]],"YYYY-MM")</f>
        <v>2022-10</v>
      </c>
      <c r="P2098" s="3" t="str">
        <f>IF(Ticket_Table[[#This Row],[resolution_hrs]]&lt;=4,"Fast",IF(Ticket_Table[[#This Row],[resolution_hrs]]&lt;=24,"Normal",IF(Ticket_Table[[#This Row],[resolution_hrs]]&lt;=48,"Slow","Very Slow")))</f>
        <v>Normal</v>
      </c>
      <c r="Q2098" s="3">
        <f>YEAR(Ticket_Table[[#This Row],[raised_date]])</f>
        <v>2022</v>
      </c>
    </row>
    <row r="2099" spans="1:17">
      <c r="A2099" t="s">
        <v>2660</v>
      </c>
      <c r="B2099" t="s">
        <v>214</v>
      </c>
      <c r="C2099" t="s">
        <v>201</v>
      </c>
      <c r="D2099" t="s">
        <v>29</v>
      </c>
      <c r="E2099" t="s">
        <v>56</v>
      </c>
      <c r="F2099" t="s">
        <v>22</v>
      </c>
      <c r="G2099" t="s">
        <v>46</v>
      </c>
      <c r="H2099" s="1">
        <v>44705</v>
      </c>
      <c r="I2099" s="2">
        <v>44707.9625</v>
      </c>
      <c r="J2099">
        <v>71.1</v>
      </c>
      <c r="K2099" t="s">
        <v>24</v>
      </c>
      <c r="L2099">
        <v>0</v>
      </c>
      <c r="M2099">
        <v>4</v>
      </c>
      <c r="N2099" t="s">
        <v>206</v>
      </c>
      <c r="O2099" s="3" t="str">
        <f>TEXT(Ticket_Table[[#This Row],[raised_date]],"YYYY-MM")</f>
        <v>2022-05</v>
      </c>
      <c r="P2099" s="3" t="str">
        <f>IF(Ticket_Table[[#This Row],[resolution_hrs]]&lt;=4,"Fast",IF(Ticket_Table[[#This Row],[resolution_hrs]]&lt;=24,"Normal",IF(Ticket_Table[[#This Row],[resolution_hrs]]&lt;=48,"Slow","Very Slow")))</f>
        <v>Very Slow</v>
      </c>
      <c r="Q2099" s="3">
        <f>YEAR(Ticket_Table[[#This Row],[raised_date]])</f>
        <v>2022</v>
      </c>
    </row>
    <row r="2100" spans="1:17">
      <c r="A2100" t="s">
        <v>2661</v>
      </c>
      <c r="B2100" t="s">
        <v>310</v>
      </c>
      <c r="C2100" t="s">
        <v>82</v>
      </c>
      <c r="D2100" t="s">
        <v>20</v>
      </c>
      <c r="E2100" t="s">
        <v>69</v>
      </c>
      <c r="F2100" t="s">
        <v>70</v>
      </c>
      <c r="G2100" t="s">
        <v>91</v>
      </c>
      <c r="H2100" s="1">
        <v>45049</v>
      </c>
      <c r="I2100" s="2">
        <v>45050.4375</v>
      </c>
      <c r="J2100">
        <v>34.5</v>
      </c>
      <c r="K2100" t="s">
        <v>24</v>
      </c>
      <c r="L2100">
        <v>3</v>
      </c>
      <c r="M2100">
        <v>2</v>
      </c>
      <c r="N2100" t="s">
        <v>389</v>
      </c>
      <c r="O2100" s="3" t="str">
        <f>TEXT(Ticket_Table[[#This Row],[raised_date]],"YYYY-MM")</f>
        <v>2023-05</v>
      </c>
      <c r="P2100" s="3" t="str">
        <f>IF(Ticket_Table[[#This Row],[resolution_hrs]]&lt;=4,"Fast",IF(Ticket_Table[[#This Row],[resolution_hrs]]&lt;=24,"Normal",IF(Ticket_Table[[#This Row],[resolution_hrs]]&lt;=48,"Slow","Very Slow")))</f>
        <v>Slow</v>
      </c>
      <c r="Q2100" s="3">
        <f>YEAR(Ticket_Table[[#This Row],[raised_date]])</f>
        <v>2023</v>
      </c>
    </row>
    <row r="2101" spans="1:17">
      <c r="A2101" t="s">
        <v>2662</v>
      </c>
      <c r="B2101" t="s">
        <v>560</v>
      </c>
      <c r="C2101" t="s">
        <v>68</v>
      </c>
      <c r="D2101" t="s">
        <v>36</v>
      </c>
      <c r="E2101" t="s">
        <v>44</v>
      </c>
      <c r="F2101" t="s">
        <v>38</v>
      </c>
      <c r="G2101" t="s">
        <v>23</v>
      </c>
      <c r="H2101" s="1">
        <v>44852</v>
      </c>
      <c r="I2101" s="2">
        <v>44852.7875</v>
      </c>
      <c r="J2101">
        <v>18.9</v>
      </c>
      <c r="K2101" t="s">
        <v>24</v>
      </c>
      <c r="L2101">
        <v>1</v>
      </c>
      <c r="M2101">
        <v>2</v>
      </c>
      <c r="N2101" t="s">
        <v>380</v>
      </c>
      <c r="O2101" s="3" t="str">
        <f>TEXT(Ticket_Table[[#This Row],[raised_date]],"YYYY-MM")</f>
        <v>2022-10</v>
      </c>
      <c r="P2101" s="3" t="str">
        <f>IF(Ticket_Table[[#This Row],[resolution_hrs]]&lt;=4,"Fast",IF(Ticket_Table[[#This Row],[resolution_hrs]]&lt;=24,"Normal",IF(Ticket_Table[[#This Row],[resolution_hrs]]&lt;=48,"Slow","Very Slow")))</f>
        <v>Normal</v>
      </c>
      <c r="Q2101" s="3">
        <f>YEAR(Ticket_Table[[#This Row],[raised_date]])</f>
        <v>2022</v>
      </c>
    </row>
    <row r="2102" spans="1:17">
      <c r="A2102" t="s">
        <v>2663</v>
      </c>
      <c r="B2102" t="s">
        <v>735</v>
      </c>
      <c r="C2102" t="s">
        <v>42</v>
      </c>
      <c r="D2102" t="s">
        <v>20</v>
      </c>
      <c r="E2102" t="s">
        <v>37</v>
      </c>
      <c r="F2102" t="s">
        <v>45</v>
      </c>
      <c r="G2102" t="s">
        <v>23</v>
      </c>
      <c r="H2102" s="1">
        <v>44752</v>
      </c>
      <c r="I2102" s="2">
        <v>44752.2</v>
      </c>
      <c r="J2102">
        <v>4.8</v>
      </c>
      <c r="K2102" t="s">
        <v>32</v>
      </c>
      <c r="L2102">
        <v>0</v>
      </c>
      <c r="M2102">
        <v>3</v>
      </c>
      <c r="N2102" t="s">
        <v>1195</v>
      </c>
      <c r="O2102" s="3" t="str">
        <f>TEXT(Ticket_Table[[#This Row],[raised_date]],"YYYY-MM")</f>
        <v>2022-07</v>
      </c>
      <c r="P2102" s="3" t="str">
        <f>IF(Ticket_Table[[#This Row],[resolution_hrs]]&lt;=4,"Fast",IF(Ticket_Table[[#This Row],[resolution_hrs]]&lt;=24,"Normal",IF(Ticket_Table[[#This Row],[resolution_hrs]]&lt;=48,"Slow","Very Slow")))</f>
        <v>Normal</v>
      </c>
      <c r="Q2102" s="3">
        <f>YEAR(Ticket_Table[[#This Row],[raised_date]])</f>
        <v>2022</v>
      </c>
    </row>
    <row r="2103" spans="1:17">
      <c r="A2103" t="s">
        <v>2664</v>
      </c>
      <c r="B2103" t="s">
        <v>605</v>
      </c>
      <c r="C2103" t="s">
        <v>42</v>
      </c>
      <c r="D2103" t="s">
        <v>20</v>
      </c>
      <c r="E2103" t="s">
        <v>51</v>
      </c>
      <c r="F2103" t="s">
        <v>70</v>
      </c>
      <c r="G2103" t="s">
        <v>31</v>
      </c>
      <c r="H2103" s="1">
        <v>44356</v>
      </c>
      <c r="I2103" s="2">
        <v>44356.4833333333</v>
      </c>
      <c r="J2103">
        <v>11.6</v>
      </c>
      <c r="K2103" t="s">
        <v>24</v>
      </c>
      <c r="L2103">
        <v>1</v>
      </c>
      <c r="M2103">
        <v>3</v>
      </c>
      <c r="N2103" t="s">
        <v>685</v>
      </c>
      <c r="O2103" s="3" t="str">
        <f>TEXT(Ticket_Table[[#This Row],[raised_date]],"YYYY-MM")</f>
        <v>2021-06</v>
      </c>
      <c r="P2103" s="3" t="str">
        <f>IF(Ticket_Table[[#This Row],[resolution_hrs]]&lt;=4,"Fast",IF(Ticket_Table[[#This Row],[resolution_hrs]]&lt;=24,"Normal",IF(Ticket_Table[[#This Row],[resolution_hrs]]&lt;=48,"Slow","Very Slow")))</f>
        <v>Normal</v>
      </c>
      <c r="Q2103" s="3">
        <f>YEAR(Ticket_Table[[#This Row],[raised_date]])</f>
        <v>2021</v>
      </c>
    </row>
    <row r="2104" spans="1:17">
      <c r="A2104" t="s">
        <v>2665</v>
      </c>
      <c r="B2104" t="s">
        <v>47</v>
      </c>
      <c r="C2104" t="s">
        <v>95</v>
      </c>
      <c r="D2104" t="s">
        <v>20</v>
      </c>
      <c r="E2104" t="s">
        <v>51</v>
      </c>
      <c r="F2104" t="s">
        <v>45</v>
      </c>
      <c r="G2104" t="s">
        <v>23</v>
      </c>
      <c r="H2104" s="1">
        <v>44960</v>
      </c>
      <c r="I2104" s="2">
        <v>44960.125</v>
      </c>
      <c r="J2104">
        <v>3</v>
      </c>
      <c r="K2104" t="s">
        <v>24</v>
      </c>
      <c r="L2104">
        <v>0</v>
      </c>
      <c r="M2104">
        <v>5</v>
      </c>
      <c r="N2104" t="s">
        <v>1063</v>
      </c>
      <c r="O2104" s="3" t="str">
        <f>TEXT(Ticket_Table[[#This Row],[raised_date]],"YYYY-MM")</f>
        <v>2023-02</v>
      </c>
      <c r="P2104" s="3" t="str">
        <f>IF(Ticket_Table[[#This Row],[resolution_hrs]]&lt;=4,"Fast",IF(Ticket_Table[[#This Row],[resolution_hrs]]&lt;=24,"Normal",IF(Ticket_Table[[#This Row],[resolution_hrs]]&lt;=48,"Slow","Very Slow")))</f>
        <v>Fast</v>
      </c>
      <c r="Q2104" s="3">
        <f>YEAR(Ticket_Table[[#This Row],[raised_date]])</f>
        <v>2023</v>
      </c>
    </row>
    <row r="2105" spans="1:17">
      <c r="A2105" t="s">
        <v>2666</v>
      </c>
      <c r="B2105" t="s">
        <v>401</v>
      </c>
      <c r="C2105" t="s">
        <v>201</v>
      </c>
      <c r="D2105" t="s">
        <v>43</v>
      </c>
      <c r="E2105" t="s">
        <v>37</v>
      </c>
      <c r="F2105" t="s">
        <v>70</v>
      </c>
      <c r="G2105" t="s">
        <v>31</v>
      </c>
      <c r="H2105" s="1">
        <v>44441</v>
      </c>
      <c r="I2105" s="2">
        <v>44441.7125</v>
      </c>
      <c r="J2105">
        <v>17.1</v>
      </c>
      <c r="K2105" t="s">
        <v>24</v>
      </c>
      <c r="L2105">
        <v>0</v>
      </c>
      <c r="M2105">
        <v>4</v>
      </c>
      <c r="N2105" t="s">
        <v>157</v>
      </c>
      <c r="O2105" s="3" t="str">
        <f>TEXT(Ticket_Table[[#This Row],[raised_date]],"YYYY-MM")</f>
        <v>2021-09</v>
      </c>
      <c r="P2105" s="3" t="str">
        <f>IF(Ticket_Table[[#This Row],[resolution_hrs]]&lt;=4,"Fast",IF(Ticket_Table[[#This Row],[resolution_hrs]]&lt;=24,"Normal",IF(Ticket_Table[[#This Row],[resolution_hrs]]&lt;=48,"Slow","Very Slow")))</f>
        <v>Normal</v>
      </c>
      <c r="Q2105" s="3">
        <f>YEAR(Ticket_Table[[#This Row],[raised_date]])</f>
        <v>2021</v>
      </c>
    </row>
    <row r="2106" spans="1:17">
      <c r="A2106" t="s">
        <v>2667</v>
      </c>
      <c r="B2106" t="s">
        <v>161</v>
      </c>
      <c r="C2106" t="s">
        <v>175</v>
      </c>
      <c r="D2106" t="s">
        <v>43</v>
      </c>
      <c r="E2106" t="s">
        <v>51</v>
      </c>
      <c r="F2106" t="s">
        <v>70</v>
      </c>
      <c r="G2106" t="s">
        <v>31</v>
      </c>
      <c r="H2106" s="1">
        <v>45225</v>
      </c>
      <c r="I2106" s="2">
        <v>45227.2583333333</v>
      </c>
      <c r="J2106">
        <v>54.2</v>
      </c>
      <c r="K2106" t="s">
        <v>32</v>
      </c>
      <c r="L2106">
        <v>0</v>
      </c>
      <c r="M2106">
        <v>5</v>
      </c>
      <c r="N2106" t="s">
        <v>849</v>
      </c>
      <c r="O2106" s="3" t="str">
        <f>TEXT(Ticket_Table[[#This Row],[raised_date]],"YYYY-MM")</f>
        <v>2023-10</v>
      </c>
      <c r="P2106" s="3" t="str">
        <f>IF(Ticket_Table[[#This Row],[resolution_hrs]]&lt;=4,"Fast",IF(Ticket_Table[[#This Row],[resolution_hrs]]&lt;=24,"Normal",IF(Ticket_Table[[#This Row],[resolution_hrs]]&lt;=48,"Slow","Very Slow")))</f>
        <v>Very Slow</v>
      </c>
      <c r="Q2106" s="3">
        <f>YEAR(Ticket_Table[[#This Row],[raised_date]])</f>
        <v>2023</v>
      </c>
    </row>
    <row r="2107" spans="1:17">
      <c r="A2107" t="s">
        <v>2668</v>
      </c>
      <c r="B2107" t="s">
        <v>279</v>
      </c>
      <c r="C2107" t="s">
        <v>175</v>
      </c>
      <c r="D2107" t="s">
        <v>36</v>
      </c>
      <c r="E2107" t="s">
        <v>106</v>
      </c>
      <c r="F2107" t="s">
        <v>38</v>
      </c>
      <c r="G2107" t="s">
        <v>46</v>
      </c>
      <c r="H2107" s="1">
        <v>44304</v>
      </c>
      <c r="I2107" s="2">
        <v>44304.7333333333</v>
      </c>
      <c r="J2107">
        <v>17.6</v>
      </c>
      <c r="K2107" t="s">
        <v>24</v>
      </c>
      <c r="L2107">
        <v>0</v>
      </c>
      <c r="M2107">
        <v>5</v>
      </c>
      <c r="N2107" t="s">
        <v>305</v>
      </c>
      <c r="O2107" s="3" t="str">
        <f>TEXT(Ticket_Table[[#This Row],[raised_date]],"YYYY-MM")</f>
        <v>2021-04</v>
      </c>
      <c r="P2107" s="3" t="str">
        <f>IF(Ticket_Table[[#This Row],[resolution_hrs]]&lt;=4,"Fast",IF(Ticket_Table[[#This Row],[resolution_hrs]]&lt;=24,"Normal",IF(Ticket_Table[[#This Row],[resolution_hrs]]&lt;=48,"Slow","Very Slow")))</f>
        <v>Normal</v>
      </c>
      <c r="Q2107" s="3">
        <f>YEAR(Ticket_Table[[#This Row],[raised_date]])</f>
        <v>2021</v>
      </c>
    </row>
    <row r="2108" spans="1:17">
      <c r="A2108" t="s">
        <v>2669</v>
      </c>
      <c r="B2108" t="s">
        <v>944</v>
      </c>
      <c r="C2108" t="s">
        <v>140</v>
      </c>
      <c r="D2108" t="s">
        <v>43</v>
      </c>
      <c r="E2108" t="s">
        <v>69</v>
      </c>
      <c r="F2108" t="s">
        <v>70</v>
      </c>
      <c r="G2108" t="s">
        <v>46</v>
      </c>
      <c r="H2108" s="1">
        <v>44564</v>
      </c>
      <c r="I2108" s="2">
        <v>44565.5666666667</v>
      </c>
      <c r="J2108">
        <v>37.6</v>
      </c>
      <c r="K2108" t="s">
        <v>24</v>
      </c>
      <c r="L2108">
        <v>0</v>
      </c>
      <c r="M2108">
        <v>5</v>
      </c>
      <c r="N2108" t="s">
        <v>1291</v>
      </c>
      <c r="O2108" s="3" t="str">
        <f>TEXT(Ticket_Table[[#This Row],[raised_date]],"YYYY-MM")</f>
        <v>2022-01</v>
      </c>
      <c r="P2108" s="3" t="str">
        <f>IF(Ticket_Table[[#This Row],[resolution_hrs]]&lt;=4,"Fast",IF(Ticket_Table[[#This Row],[resolution_hrs]]&lt;=24,"Normal",IF(Ticket_Table[[#This Row],[resolution_hrs]]&lt;=48,"Slow","Very Slow")))</f>
        <v>Slow</v>
      </c>
      <c r="Q2108" s="3">
        <f>YEAR(Ticket_Table[[#This Row],[raised_date]])</f>
        <v>2022</v>
      </c>
    </row>
    <row r="2109" spans="1:17">
      <c r="A2109" t="s">
        <v>2670</v>
      </c>
      <c r="B2109" t="s">
        <v>1278</v>
      </c>
      <c r="C2109" t="s">
        <v>82</v>
      </c>
      <c r="D2109" t="s">
        <v>43</v>
      </c>
      <c r="E2109" t="s">
        <v>56</v>
      </c>
      <c r="F2109" t="s">
        <v>70</v>
      </c>
      <c r="G2109" t="s">
        <v>74</v>
      </c>
      <c r="H2109" s="1">
        <v>44654</v>
      </c>
      <c r="I2109" s="2">
        <v>44656.3666666667</v>
      </c>
      <c r="J2109">
        <v>56.8</v>
      </c>
      <c r="K2109" t="s">
        <v>32</v>
      </c>
      <c r="L2109">
        <v>1</v>
      </c>
      <c r="M2109">
        <v>3</v>
      </c>
      <c r="N2109" t="s">
        <v>858</v>
      </c>
      <c r="O2109" s="3" t="str">
        <f>TEXT(Ticket_Table[[#This Row],[raised_date]],"YYYY-MM")</f>
        <v>2022-04</v>
      </c>
      <c r="P2109" s="3" t="str">
        <f>IF(Ticket_Table[[#This Row],[resolution_hrs]]&lt;=4,"Fast",IF(Ticket_Table[[#This Row],[resolution_hrs]]&lt;=24,"Normal",IF(Ticket_Table[[#This Row],[resolution_hrs]]&lt;=48,"Slow","Very Slow")))</f>
        <v>Very Slow</v>
      </c>
      <c r="Q2109" s="3">
        <f>YEAR(Ticket_Table[[#This Row],[raised_date]])</f>
        <v>2022</v>
      </c>
    </row>
    <row r="2110" spans="1:17">
      <c r="A2110" t="s">
        <v>2671</v>
      </c>
      <c r="B2110" t="s">
        <v>442</v>
      </c>
      <c r="C2110" t="s">
        <v>28</v>
      </c>
      <c r="D2110" t="s">
        <v>43</v>
      </c>
      <c r="E2110" t="s">
        <v>37</v>
      </c>
      <c r="F2110" t="s">
        <v>70</v>
      </c>
      <c r="G2110" t="s">
        <v>31</v>
      </c>
      <c r="H2110" s="1">
        <v>45253</v>
      </c>
      <c r="I2110" s="2">
        <v>45255.2833333333</v>
      </c>
      <c r="J2110">
        <v>54.8</v>
      </c>
      <c r="K2110" t="s">
        <v>32</v>
      </c>
      <c r="L2110">
        <v>1</v>
      </c>
      <c r="M2110">
        <v>4</v>
      </c>
      <c r="N2110" t="s">
        <v>554</v>
      </c>
      <c r="O2110" s="3" t="str">
        <f>TEXT(Ticket_Table[[#This Row],[raised_date]],"YYYY-MM")</f>
        <v>2023-11</v>
      </c>
      <c r="P2110" s="3" t="str">
        <f>IF(Ticket_Table[[#This Row],[resolution_hrs]]&lt;=4,"Fast",IF(Ticket_Table[[#This Row],[resolution_hrs]]&lt;=24,"Normal",IF(Ticket_Table[[#This Row],[resolution_hrs]]&lt;=48,"Slow","Very Slow")))</f>
        <v>Very Slow</v>
      </c>
      <c r="Q2110" s="3">
        <f>YEAR(Ticket_Table[[#This Row],[raised_date]])</f>
        <v>2023</v>
      </c>
    </row>
    <row r="2111" spans="1:17">
      <c r="A2111" t="s">
        <v>2672</v>
      </c>
      <c r="B2111" t="s">
        <v>124</v>
      </c>
      <c r="C2111" t="s">
        <v>50</v>
      </c>
      <c r="D2111" t="s">
        <v>43</v>
      </c>
      <c r="E2111" t="s">
        <v>37</v>
      </c>
      <c r="F2111" t="s">
        <v>38</v>
      </c>
      <c r="G2111" t="s">
        <v>46</v>
      </c>
      <c r="H2111" s="1">
        <v>44291</v>
      </c>
      <c r="I2111" s="2">
        <v>44292.0958333333</v>
      </c>
      <c r="J2111">
        <v>26.3</v>
      </c>
      <c r="K2111" t="s">
        <v>32</v>
      </c>
      <c r="L2111">
        <v>0</v>
      </c>
      <c r="M2111">
        <v>3</v>
      </c>
      <c r="N2111" t="s">
        <v>346</v>
      </c>
      <c r="O2111" s="3" t="str">
        <f>TEXT(Ticket_Table[[#This Row],[raised_date]],"YYYY-MM")</f>
        <v>2021-04</v>
      </c>
      <c r="P2111" s="3" t="str">
        <f>IF(Ticket_Table[[#This Row],[resolution_hrs]]&lt;=4,"Fast",IF(Ticket_Table[[#This Row],[resolution_hrs]]&lt;=24,"Normal",IF(Ticket_Table[[#This Row],[resolution_hrs]]&lt;=48,"Slow","Very Slow")))</f>
        <v>Slow</v>
      </c>
      <c r="Q2111" s="3">
        <f>YEAR(Ticket_Table[[#This Row],[raised_date]])</f>
        <v>2021</v>
      </c>
    </row>
    <row r="2112" spans="1:17">
      <c r="A2112" t="s">
        <v>2673</v>
      </c>
      <c r="B2112" t="s">
        <v>87</v>
      </c>
      <c r="C2112" t="s">
        <v>28</v>
      </c>
      <c r="D2112" t="s">
        <v>29</v>
      </c>
      <c r="E2112" t="s">
        <v>44</v>
      </c>
      <c r="F2112" t="s">
        <v>38</v>
      </c>
      <c r="G2112" t="s">
        <v>23</v>
      </c>
      <c r="H2112" s="1">
        <v>45018</v>
      </c>
      <c r="I2112" s="2">
        <v>45018.7125</v>
      </c>
      <c r="J2112">
        <v>17.1</v>
      </c>
      <c r="K2112" t="s">
        <v>24</v>
      </c>
      <c r="L2112">
        <v>0</v>
      </c>
      <c r="M2112">
        <v>5</v>
      </c>
      <c r="N2112" t="s">
        <v>1039</v>
      </c>
      <c r="O2112" s="3" t="str">
        <f>TEXT(Ticket_Table[[#This Row],[raised_date]],"YYYY-MM")</f>
        <v>2023-04</v>
      </c>
      <c r="P2112" s="3" t="str">
        <f>IF(Ticket_Table[[#This Row],[resolution_hrs]]&lt;=4,"Fast",IF(Ticket_Table[[#This Row],[resolution_hrs]]&lt;=24,"Normal",IF(Ticket_Table[[#This Row],[resolution_hrs]]&lt;=48,"Slow","Very Slow")))</f>
        <v>Normal</v>
      </c>
      <c r="Q2112" s="3">
        <f>YEAR(Ticket_Table[[#This Row],[raised_date]])</f>
        <v>2023</v>
      </c>
    </row>
    <row r="2113" spans="1:17">
      <c r="A2113" t="s">
        <v>2674</v>
      </c>
      <c r="B2113" t="s">
        <v>1041</v>
      </c>
      <c r="C2113" t="s">
        <v>82</v>
      </c>
      <c r="D2113" t="s">
        <v>36</v>
      </c>
      <c r="E2113" t="s">
        <v>69</v>
      </c>
      <c r="F2113" t="s">
        <v>70</v>
      </c>
      <c r="G2113" t="s">
        <v>23</v>
      </c>
      <c r="H2113" s="1">
        <v>44338</v>
      </c>
      <c r="I2113" s="2">
        <v>44340.3833333333</v>
      </c>
      <c r="J2113">
        <v>57.2</v>
      </c>
      <c r="K2113" t="s">
        <v>32</v>
      </c>
      <c r="L2113">
        <v>0</v>
      </c>
      <c r="M2113">
        <v>5</v>
      </c>
      <c r="N2113" t="s">
        <v>873</v>
      </c>
      <c r="O2113" s="3" t="str">
        <f>TEXT(Ticket_Table[[#This Row],[raised_date]],"YYYY-MM")</f>
        <v>2021-05</v>
      </c>
      <c r="P2113" s="3" t="str">
        <f>IF(Ticket_Table[[#This Row],[resolution_hrs]]&lt;=4,"Fast",IF(Ticket_Table[[#This Row],[resolution_hrs]]&lt;=24,"Normal",IF(Ticket_Table[[#This Row],[resolution_hrs]]&lt;=48,"Slow","Very Slow")))</f>
        <v>Very Slow</v>
      </c>
      <c r="Q2113" s="3">
        <f>YEAR(Ticket_Table[[#This Row],[raised_date]])</f>
        <v>2021</v>
      </c>
    </row>
    <row r="2114" spans="1:17">
      <c r="A2114" t="s">
        <v>2675</v>
      </c>
      <c r="B2114" t="s">
        <v>183</v>
      </c>
      <c r="C2114" t="s">
        <v>213</v>
      </c>
      <c r="D2114" t="s">
        <v>43</v>
      </c>
      <c r="E2114" t="s">
        <v>21</v>
      </c>
      <c r="F2114" t="s">
        <v>70</v>
      </c>
      <c r="G2114" t="s">
        <v>23</v>
      </c>
      <c r="H2114" s="1">
        <v>45149</v>
      </c>
      <c r="I2114" s="2">
        <v>45149.9666666667</v>
      </c>
      <c r="J2114">
        <v>23.2</v>
      </c>
      <c r="K2114" t="s">
        <v>24</v>
      </c>
      <c r="L2114">
        <v>2</v>
      </c>
      <c r="M2114">
        <v>3</v>
      </c>
      <c r="N2114" t="s">
        <v>1200</v>
      </c>
      <c r="O2114" s="3" t="str">
        <f>TEXT(Ticket_Table[[#This Row],[raised_date]],"YYYY-MM")</f>
        <v>2023-08</v>
      </c>
      <c r="P2114" s="3" t="str">
        <f>IF(Ticket_Table[[#This Row],[resolution_hrs]]&lt;=4,"Fast",IF(Ticket_Table[[#This Row],[resolution_hrs]]&lt;=24,"Normal",IF(Ticket_Table[[#This Row],[resolution_hrs]]&lt;=48,"Slow","Very Slow")))</f>
        <v>Normal</v>
      </c>
      <c r="Q2114" s="3">
        <f>YEAR(Ticket_Table[[#This Row],[raised_date]])</f>
        <v>2023</v>
      </c>
    </row>
    <row r="2115" spans="1:17">
      <c r="A2115" t="s">
        <v>2676</v>
      </c>
      <c r="B2115" t="s">
        <v>397</v>
      </c>
      <c r="C2115" t="s">
        <v>50</v>
      </c>
      <c r="D2115" t="s">
        <v>36</v>
      </c>
      <c r="E2115" t="s">
        <v>21</v>
      </c>
      <c r="F2115" t="s">
        <v>70</v>
      </c>
      <c r="G2115" t="s">
        <v>31</v>
      </c>
      <c r="H2115" s="1">
        <v>44775</v>
      </c>
      <c r="I2115" s="2">
        <v>44775.5958333333</v>
      </c>
      <c r="J2115">
        <v>14.3</v>
      </c>
      <c r="K2115" t="s">
        <v>24</v>
      </c>
      <c r="L2115">
        <v>0</v>
      </c>
      <c r="M2115">
        <v>3</v>
      </c>
      <c r="N2115" t="s">
        <v>71</v>
      </c>
      <c r="O2115" s="3" t="str">
        <f>TEXT(Ticket_Table[[#This Row],[raised_date]],"YYYY-MM")</f>
        <v>2022-08</v>
      </c>
      <c r="P2115" s="3" t="str">
        <f>IF(Ticket_Table[[#This Row],[resolution_hrs]]&lt;=4,"Fast",IF(Ticket_Table[[#This Row],[resolution_hrs]]&lt;=24,"Normal",IF(Ticket_Table[[#This Row],[resolution_hrs]]&lt;=48,"Slow","Very Slow")))</f>
        <v>Normal</v>
      </c>
      <c r="Q2115" s="3">
        <f>YEAR(Ticket_Table[[#This Row],[raised_date]])</f>
        <v>2022</v>
      </c>
    </row>
    <row r="2116" spans="1:17">
      <c r="A2116" t="s">
        <v>2677</v>
      </c>
      <c r="B2116" t="s">
        <v>955</v>
      </c>
      <c r="C2116" t="s">
        <v>42</v>
      </c>
      <c r="D2116" t="s">
        <v>90</v>
      </c>
      <c r="E2116" t="s">
        <v>30</v>
      </c>
      <c r="F2116" t="s">
        <v>70</v>
      </c>
      <c r="G2116" t="s">
        <v>91</v>
      </c>
      <c r="H2116" s="1">
        <v>44833</v>
      </c>
      <c r="I2116" s="2">
        <v>44835.3208333333</v>
      </c>
      <c r="J2116">
        <v>55.7</v>
      </c>
      <c r="K2116" t="s">
        <v>32</v>
      </c>
      <c r="L2116">
        <v>0</v>
      </c>
      <c r="M2116">
        <v>4</v>
      </c>
      <c r="N2116" t="s">
        <v>1582</v>
      </c>
      <c r="O2116" s="3" t="str">
        <f>TEXT(Ticket_Table[[#This Row],[raised_date]],"YYYY-MM")</f>
        <v>2022-09</v>
      </c>
      <c r="P2116" s="3" t="str">
        <f>IF(Ticket_Table[[#This Row],[resolution_hrs]]&lt;=4,"Fast",IF(Ticket_Table[[#This Row],[resolution_hrs]]&lt;=24,"Normal",IF(Ticket_Table[[#This Row],[resolution_hrs]]&lt;=48,"Slow","Very Slow")))</f>
        <v>Very Slow</v>
      </c>
      <c r="Q2116" s="3">
        <f>YEAR(Ticket_Table[[#This Row],[raised_date]])</f>
        <v>2022</v>
      </c>
    </row>
    <row r="2117" spans="1:17">
      <c r="A2117" t="s">
        <v>2678</v>
      </c>
      <c r="B2117" t="s">
        <v>527</v>
      </c>
      <c r="C2117" t="s">
        <v>140</v>
      </c>
      <c r="D2117" t="s">
        <v>29</v>
      </c>
      <c r="E2117" t="s">
        <v>83</v>
      </c>
      <c r="F2117" t="s">
        <v>22</v>
      </c>
      <c r="G2117" t="s">
        <v>23</v>
      </c>
      <c r="H2117" s="1">
        <v>44867</v>
      </c>
      <c r="I2117" s="2">
        <v>44870.1541666667</v>
      </c>
      <c r="J2117">
        <v>75.7</v>
      </c>
      <c r="K2117" t="s">
        <v>32</v>
      </c>
      <c r="L2117">
        <v>2</v>
      </c>
      <c r="M2117">
        <v>3</v>
      </c>
      <c r="N2117" t="s">
        <v>275</v>
      </c>
      <c r="O2117" s="3" t="str">
        <f>TEXT(Ticket_Table[[#This Row],[raised_date]],"YYYY-MM")</f>
        <v>2022-11</v>
      </c>
      <c r="P2117" s="3" t="str">
        <f>IF(Ticket_Table[[#This Row],[resolution_hrs]]&lt;=4,"Fast",IF(Ticket_Table[[#This Row],[resolution_hrs]]&lt;=24,"Normal",IF(Ticket_Table[[#This Row],[resolution_hrs]]&lt;=48,"Slow","Very Slow")))</f>
        <v>Very Slow</v>
      </c>
      <c r="Q2117" s="3">
        <f>YEAR(Ticket_Table[[#This Row],[raised_date]])</f>
        <v>2022</v>
      </c>
    </row>
    <row r="2118" spans="1:17">
      <c r="A2118" t="s">
        <v>2679</v>
      </c>
      <c r="B2118" t="s">
        <v>966</v>
      </c>
      <c r="C2118" t="s">
        <v>287</v>
      </c>
      <c r="D2118" t="s">
        <v>43</v>
      </c>
      <c r="E2118" t="s">
        <v>106</v>
      </c>
      <c r="F2118" t="s">
        <v>38</v>
      </c>
      <c r="G2118" t="s">
        <v>23</v>
      </c>
      <c r="H2118" s="1">
        <v>44373</v>
      </c>
      <c r="I2118" s="2">
        <v>44373.3458333333</v>
      </c>
      <c r="J2118">
        <v>8.3</v>
      </c>
      <c r="K2118" t="s">
        <v>24</v>
      </c>
      <c r="L2118">
        <v>0</v>
      </c>
      <c r="M2118">
        <v>5</v>
      </c>
      <c r="N2118" t="s">
        <v>712</v>
      </c>
      <c r="O2118" s="3" t="str">
        <f>TEXT(Ticket_Table[[#This Row],[raised_date]],"YYYY-MM")</f>
        <v>2021-06</v>
      </c>
      <c r="P2118" s="3" t="str">
        <f>IF(Ticket_Table[[#This Row],[resolution_hrs]]&lt;=4,"Fast",IF(Ticket_Table[[#This Row],[resolution_hrs]]&lt;=24,"Normal",IF(Ticket_Table[[#This Row],[resolution_hrs]]&lt;=48,"Slow","Very Slow")))</f>
        <v>Normal</v>
      </c>
      <c r="Q2118" s="3">
        <f>YEAR(Ticket_Table[[#This Row],[raised_date]])</f>
        <v>2021</v>
      </c>
    </row>
    <row r="2119" spans="1:17">
      <c r="A2119" t="s">
        <v>2680</v>
      </c>
      <c r="B2119" t="s">
        <v>564</v>
      </c>
      <c r="C2119" t="s">
        <v>213</v>
      </c>
      <c r="D2119" t="s">
        <v>29</v>
      </c>
      <c r="E2119" t="s">
        <v>166</v>
      </c>
      <c r="F2119" t="s">
        <v>70</v>
      </c>
      <c r="G2119" t="s">
        <v>31</v>
      </c>
      <c r="H2119" s="1">
        <v>45132</v>
      </c>
      <c r="I2119" s="2">
        <v>45133.3708333333</v>
      </c>
      <c r="J2119">
        <v>32.9</v>
      </c>
      <c r="K2119" t="s">
        <v>24</v>
      </c>
      <c r="L2119">
        <v>0</v>
      </c>
      <c r="M2119">
        <v>5</v>
      </c>
      <c r="N2119" t="s">
        <v>749</v>
      </c>
      <c r="O2119" s="3" t="str">
        <f>TEXT(Ticket_Table[[#This Row],[raised_date]],"YYYY-MM")</f>
        <v>2023-07</v>
      </c>
      <c r="P2119" s="3" t="str">
        <f>IF(Ticket_Table[[#This Row],[resolution_hrs]]&lt;=4,"Fast",IF(Ticket_Table[[#This Row],[resolution_hrs]]&lt;=24,"Normal",IF(Ticket_Table[[#This Row],[resolution_hrs]]&lt;=48,"Slow","Very Slow")))</f>
        <v>Slow</v>
      </c>
      <c r="Q2119" s="3">
        <f>YEAR(Ticket_Table[[#This Row],[raised_date]])</f>
        <v>2023</v>
      </c>
    </row>
    <row r="2120" spans="1:17">
      <c r="A2120" t="s">
        <v>2681</v>
      </c>
      <c r="B2120" t="s">
        <v>176</v>
      </c>
      <c r="C2120" t="s">
        <v>287</v>
      </c>
      <c r="D2120" t="s">
        <v>29</v>
      </c>
      <c r="E2120" t="s">
        <v>166</v>
      </c>
      <c r="F2120" t="s">
        <v>70</v>
      </c>
      <c r="G2120" t="s">
        <v>23</v>
      </c>
      <c r="H2120" s="1">
        <v>44213</v>
      </c>
      <c r="I2120" s="2">
        <v>44214.6916666667</v>
      </c>
      <c r="J2120">
        <v>40.6</v>
      </c>
      <c r="K2120" t="s">
        <v>24</v>
      </c>
      <c r="L2120">
        <v>0</v>
      </c>
      <c r="M2120">
        <v>4</v>
      </c>
      <c r="N2120" t="s">
        <v>970</v>
      </c>
      <c r="O2120" s="3" t="str">
        <f>TEXT(Ticket_Table[[#This Row],[raised_date]],"YYYY-MM")</f>
        <v>2021-01</v>
      </c>
      <c r="P2120" s="3" t="str">
        <f>IF(Ticket_Table[[#This Row],[resolution_hrs]]&lt;=4,"Fast",IF(Ticket_Table[[#This Row],[resolution_hrs]]&lt;=24,"Normal",IF(Ticket_Table[[#This Row],[resolution_hrs]]&lt;=48,"Slow","Very Slow")))</f>
        <v>Slow</v>
      </c>
      <c r="Q2120" s="3">
        <f>YEAR(Ticket_Table[[#This Row],[raised_date]])</f>
        <v>2021</v>
      </c>
    </row>
    <row r="2121" spans="1:17">
      <c r="A2121" t="s">
        <v>2682</v>
      </c>
      <c r="B2121" t="s">
        <v>552</v>
      </c>
      <c r="C2121" t="s">
        <v>50</v>
      </c>
      <c r="D2121" t="s">
        <v>90</v>
      </c>
      <c r="E2121" t="s">
        <v>30</v>
      </c>
      <c r="F2121" t="s">
        <v>22</v>
      </c>
      <c r="G2121" t="s">
        <v>31</v>
      </c>
      <c r="H2121" s="1">
        <v>44952</v>
      </c>
      <c r="I2121" s="2">
        <v>44953.7125</v>
      </c>
      <c r="J2121">
        <v>41.1</v>
      </c>
      <c r="K2121" t="s">
        <v>24</v>
      </c>
      <c r="L2121">
        <v>0</v>
      </c>
      <c r="M2121">
        <v>4</v>
      </c>
      <c r="N2121" t="s">
        <v>950</v>
      </c>
      <c r="O2121" s="3" t="str">
        <f>TEXT(Ticket_Table[[#This Row],[raised_date]],"YYYY-MM")</f>
        <v>2023-01</v>
      </c>
      <c r="P2121" s="3" t="str">
        <f>IF(Ticket_Table[[#This Row],[resolution_hrs]]&lt;=4,"Fast",IF(Ticket_Table[[#This Row],[resolution_hrs]]&lt;=24,"Normal",IF(Ticket_Table[[#This Row],[resolution_hrs]]&lt;=48,"Slow","Very Slow")))</f>
        <v>Slow</v>
      </c>
      <c r="Q2121" s="3">
        <f>YEAR(Ticket_Table[[#This Row],[raised_date]])</f>
        <v>2023</v>
      </c>
    </row>
    <row r="2122" spans="1:17">
      <c r="A2122" t="s">
        <v>2683</v>
      </c>
      <c r="B2122" t="s">
        <v>1058</v>
      </c>
      <c r="C2122" t="s">
        <v>78</v>
      </c>
      <c r="D2122" t="s">
        <v>36</v>
      </c>
      <c r="E2122" t="s">
        <v>56</v>
      </c>
      <c r="F2122" t="s">
        <v>22</v>
      </c>
      <c r="G2122" t="s">
        <v>23</v>
      </c>
      <c r="H2122" s="1">
        <v>44607</v>
      </c>
      <c r="I2122" s="2">
        <v>44609.6166666667</v>
      </c>
      <c r="J2122">
        <v>62.8</v>
      </c>
      <c r="K2122" t="s">
        <v>24</v>
      </c>
      <c r="L2122">
        <v>0</v>
      </c>
      <c r="M2122">
        <v>4</v>
      </c>
      <c r="N2122" t="s">
        <v>432</v>
      </c>
      <c r="O2122" s="3" t="str">
        <f>TEXT(Ticket_Table[[#This Row],[raised_date]],"YYYY-MM")</f>
        <v>2022-02</v>
      </c>
      <c r="P2122" s="3" t="str">
        <f>IF(Ticket_Table[[#This Row],[resolution_hrs]]&lt;=4,"Fast",IF(Ticket_Table[[#This Row],[resolution_hrs]]&lt;=24,"Normal",IF(Ticket_Table[[#This Row],[resolution_hrs]]&lt;=48,"Slow","Very Slow")))</f>
        <v>Very Slow</v>
      </c>
      <c r="Q2122" s="3">
        <f>YEAR(Ticket_Table[[#This Row],[raised_date]])</f>
        <v>2022</v>
      </c>
    </row>
    <row r="2123" spans="1:17">
      <c r="A2123" t="s">
        <v>2684</v>
      </c>
      <c r="B2123" t="s">
        <v>1200</v>
      </c>
      <c r="C2123" t="s">
        <v>60</v>
      </c>
      <c r="D2123" t="s">
        <v>29</v>
      </c>
      <c r="E2123" t="s">
        <v>166</v>
      </c>
      <c r="F2123" t="s">
        <v>45</v>
      </c>
      <c r="G2123" t="s">
        <v>23</v>
      </c>
      <c r="H2123" s="1">
        <v>44794</v>
      </c>
      <c r="I2123" s="2">
        <v>44794.0666666667</v>
      </c>
      <c r="J2123">
        <v>1.6</v>
      </c>
      <c r="K2123" t="s">
        <v>24</v>
      </c>
      <c r="L2123">
        <v>0</v>
      </c>
      <c r="M2123">
        <v>3</v>
      </c>
      <c r="N2123" t="s">
        <v>450</v>
      </c>
      <c r="O2123" s="3" t="str">
        <f>TEXT(Ticket_Table[[#This Row],[raised_date]],"YYYY-MM")</f>
        <v>2022-08</v>
      </c>
      <c r="P2123" s="3" t="str">
        <f>IF(Ticket_Table[[#This Row],[resolution_hrs]]&lt;=4,"Fast",IF(Ticket_Table[[#This Row],[resolution_hrs]]&lt;=24,"Normal",IF(Ticket_Table[[#This Row],[resolution_hrs]]&lt;=48,"Slow","Very Slow")))</f>
        <v>Fast</v>
      </c>
      <c r="Q2123" s="3">
        <f>YEAR(Ticket_Table[[#This Row],[raised_date]])</f>
        <v>2022</v>
      </c>
    </row>
    <row r="2124" spans="1:17">
      <c r="A2124" t="s">
        <v>2685</v>
      </c>
      <c r="B2124" t="s">
        <v>1164</v>
      </c>
      <c r="C2124" t="s">
        <v>95</v>
      </c>
      <c r="D2124" t="s">
        <v>20</v>
      </c>
      <c r="E2124" t="s">
        <v>21</v>
      </c>
      <c r="F2124" t="s">
        <v>70</v>
      </c>
      <c r="G2124" t="s">
        <v>91</v>
      </c>
      <c r="H2124" s="1">
        <v>44819</v>
      </c>
      <c r="I2124" s="2">
        <v>44821.8333333333</v>
      </c>
      <c r="J2124">
        <v>68</v>
      </c>
      <c r="K2124" t="s">
        <v>32</v>
      </c>
      <c r="L2124">
        <v>0</v>
      </c>
      <c r="M2124">
        <v>5</v>
      </c>
      <c r="N2124" t="s">
        <v>735</v>
      </c>
      <c r="O2124" s="3" t="str">
        <f>TEXT(Ticket_Table[[#This Row],[raised_date]],"YYYY-MM")</f>
        <v>2022-09</v>
      </c>
      <c r="P2124" s="3" t="str">
        <f>IF(Ticket_Table[[#This Row],[resolution_hrs]]&lt;=4,"Fast",IF(Ticket_Table[[#This Row],[resolution_hrs]]&lt;=24,"Normal",IF(Ticket_Table[[#This Row],[resolution_hrs]]&lt;=48,"Slow","Very Slow")))</f>
        <v>Very Slow</v>
      </c>
      <c r="Q2124" s="3">
        <f>YEAR(Ticket_Table[[#This Row],[raised_date]])</f>
        <v>2022</v>
      </c>
    </row>
    <row r="2125" spans="1:17">
      <c r="A2125" t="s">
        <v>2686</v>
      </c>
      <c r="B2125" t="s">
        <v>792</v>
      </c>
      <c r="C2125" t="s">
        <v>82</v>
      </c>
      <c r="D2125" t="s">
        <v>90</v>
      </c>
      <c r="E2125" t="s">
        <v>51</v>
      </c>
      <c r="F2125" t="s">
        <v>22</v>
      </c>
      <c r="G2125" t="s">
        <v>23</v>
      </c>
      <c r="H2125" s="1">
        <v>44693</v>
      </c>
      <c r="I2125" s="2">
        <v>44693.0833333333</v>
      </c>
      <c r="J2125">
        <v>2</v>
      </c>
      <c r="K2125" t="s">
        <v>24</v>
      </c>
      <c r="L2125">
        <v>0</v>
      </c>
      <c r="M2125">
        <v>5</v>
      </c>
      <c r="N2125" t="s">
        <v>643</v>
      </c>
      <c r="O2125" s="3" t="str">
        <f>TEXT(Ticket_Table[[#This Row],[raised_date]],"YYYY-MM")</f>
        <v>2022-05</v>
      </c>
      <c r="P2125" s="3" t="str">
        <f>IF(Ticket_Table[[#This Row],[resolution_hrs]]&lt;=4,"Fast",IF(Ticket_Table[[#This Row],[resolution_hrs]]&lt;=24,"Normal",IF(Ticket_Table[[#This Row],[resolution_hrs]]&lt;=48,"Slow","Very Slow")))</f>
        <v>Fast</v>
      </c>
      <c r="Q2125" s="3">
        <f>YEAR(Ticket_Table[[#This Row],[raised_date]])</f>
        <v>2022</v>
      </c>
    </row>
    <row r="2126" spans="1:17">
      <c r="A2126" t="s">
        <v>2687</v>
      </c>
      <c r="B2126" t="s">
        <v>385</v>
      </c>
      <c r="C2126" t="s">
        <v>117</v>
      </c>
      <c r="D2126" t="s">
        <v>20</v>
      </c>
      <c r="E2126" t="s">
        <v>83</v>
      </c>
      <c r="F2126" t="s">
        <v>70</v>
      </c>
      <c r="G2126" t="s">
        <v>46</v>
      </c>
      <c r="H2126" s="1">
        <v>45147</v>
      </c>
      <c r="I2126" s="2">
        <v>45149.4375</v>
      </c>
      <c r="J2126">
        <v>58.5</v>
      </c>
      <c r="K2126" t="s">
        <v>32</v>
      </c>
      <c r="L2126">
        <v>0</v>
      </c>
      <c r="M2126">
        <v>1</v>
      </c>
      <c r="N2126" t="s">
        <v>158</v>
      </c>
      <c r="O2126" s="3" t="str">
        <f>TEXT(Ticket_Table[[#This Row],[raised_date]],"YYYY-MM")</f>
        <v>2023-08</v>
      </c>
      <c r="P2126" s="3" t="str">
        <f>IF(Ticket_Table[[#This Row],[resolution_hrs]]&lt;=4,"Fast",IF(Ticket_Table[[#This Row],[resolution_hrs]]&lt;=24,"Normal",IF(Ticket_Table[[#This Row],[resolution_hrs]]&lt;=48,"Slow","Very Slow")))</f>
        <v>Very Slow</v>
      </c>
      <c r="Q2126" s="3">
        <f>YEAR(Ticket_Table[[#This Row],[raised_date]])</f>
        <v>2023</v>
      </c>
    </row>
    <row r="2127" spans="1:17">
      <c r="A2127" t="s">
        <v>2688</v>
      </c>
      <c r="B2127" t="s">
        <v>608</v>
      </c>
      <c r="C2127" t="s">
        <v>60</v>
      </c>
      <c r="D2127" t="s">
        <v>90</v>
      </c>
      <c r="E2127" t="s">
        <v>69</v>
      </c>
      <c r="F2127" t="s">
        <v>70</v>
      </c>
      <c r="G2127" t="s">
        <v>46</v>
      </c>
      <c r="H2127" s="1">
        <v>44951</v>
      </c>
      <c r="I2127" s="2">
        <v>44953.5083333333</v>
      </c>
      <c r="J2127">
        <v>60.2</v>
      </c>
      <c r="K2127" t="s">
        <v>32</v>
      </c>
      <c r="L2127">
        <v>0</v>
      </c>
      <c r="M2127">
        <v>3</v>
      </c>
      <c r="N2127" t="s">
        <v>245</v>
      </c>
      <c r="O2127" s="3" t="str">
        <f>TEXT(Ticket_Table[[#This Row],[raised_date]],"YYYY-MM")</f>
        <v>2023-01</v>
      </c>
      <c r="P2127" s="3" t="str">
        <f>IF(Ticket_Table[[#This Row],[resolution_hrs]]&lt;=4,"Fast",IF(Ticket_Table[[#This Row],[resolution_hrs]]&lt;=24,"Normal",IF(Ticket_Table[[#This Row],[resolution_hrs]]&lt;=48,"Slow","Very Slow")))</f>
        <v>Very Slow</v>
      </c>
      <c r="Q2127" s="3">
        <f>YEAR(Ticket_Table[[#This Row],[raised_date]])</f>
        <v>2023</v>
      </c>
    </row>
    <row r="2128" spans="1:17">
      <c r="A2128" t="s">
        <v>2689</v>
      </c>
      <c r="B2128" t="s">
        <v>235</v>
      </c>
      <c r="C2128" t="s">
        <v>261</v>
      </c>
      <c r="D2128" t="s">
        <v>20</v>
      </c>
      <c r="E2128" t="s">
        <v>21</v>
      </c>
      <c r="F2128" t="s">
        <v>22</v>
      </c>
      <c r="G2128" t="s">
        <v>91</v>
      </c>
      <c r="H2128" s="1">
        <v>45207</v>
      </c>
      <c r="I2128" s="2">
        <v>45208.5583333333</v>
      </c>
      <c r="J2128">
        <v>37.4</v>
      </c>
      <c r="K2128" t="s">
        <v>24</v>
      </c>
      <c r="L2128">
        <v>0</v>
      </c>
      <c r="M2128">
        <v>1</v>
      </c>
      <c r="N2128" t="s">
        <v>484</v>
      </c>
      <c r="O2128" s="3" t="str">
        <f>TEXT(Ticket_Table[[#This Row],[raised_date]],"YYYY-MM")</f>
        <v>2023-10</v>
      </c>
      <c r="P2128" s="3" t="str">
        <f>IF(Ticket_Table[[#This Row],[resolution_hrs]]&lt;=4,"Fast",IF(Ticket_Table[[#This Row],[resolution_hrs]]&lt;=24,"Normal",IF(Ticket_Table[[#This Row],[resolution_hrs]]&lt;=48,"Slow","Very Slow")))</f>
        <v>Slow</v>
      </c>
      <c r="Q2128" s="3">
        <f>YEAR(Ticket_Table[[#This Row],[raised_date]])</f>
        <v>2023</v>
      </c>
    </row>
    <row r="2129" spans="1:17">
      <c r="A2129" t="s">
        <v>2690</v>
      </c>
      <c r="B2129" t="s">
        <v>525</v>
      </c>
      <c r="C2129" t="s">
        <v>60</v>
      </c>
      <c r="D2129" t="s">
        <v>20</v>
      </c>
      <c r="E2129" t="s">
        <v>44</v>
      </c>
      <c r="F2129" t="s">
        <v>70</v>
      </c>
      <c r="G2129" t="s">
        <v>31</v>
      </c>
      <c r="H2129" s="1">
        <v>44597</v>
      </c>
      <c r="I2129" s="2">
        <v>44598.2833333333</v>
      </c>
      <c r="J2129">
        <v>30.8</v>
      </c>
      <c r="K2129" t="s">
        <v>24</v>
      </c>
      <c r="L2129">
        <v>1</v>
      </c>
      <c r="M2129">
        <v>5</v>
      </c>
      <c r="N2129" t="s">
        <v>712</v>
      </c>
      <c r="O2129" s="3" t="str">
        <f>TEXT(Ticket_Table[[#This Row],[raised_date]],"YYYY-MM")</f>
        <v>2022-02</v>
      </c>
      <c r="P2129" s="3" t="str">
        <f>IF(Ticket_Table[[#This Row],[resolution_hrs]]&lt;=4,"Fast",IF(Ticket_Table[[#This Row],[resolution_hrs]]&lt;=24,"Normal",IF(Ticket_Table[[#This Row],[resolution_hrs]]&lt;=48,"Slow","Very Slow")))</f>
        <v>Slow</v>
      </c>
      <c r="Q2129" s="3">
        <f>YEAR(Ticket_Table[[#This Row],[raised_date]])</f>
        <v>2022</v>
      </c>
    </row>
    <row r="2130" spans="1:17">
      <c r="A2130" t="s">
        <v>2691</v>
      </c>
      <c r="B2130" t="s">
        <v>57</v>
      </c>
      <c r="C2130" t="s">
        <v>95</v>
      </c>
      <c r="D2130" t="s">
        <v>29</v>
      </c>
      <c r="E2130" t="s">
        <v>69</v>
      </c>
      <c r="F2130" t="s">
        <v>70</v>
      </c>
      <c r="G2130" t="s">
        <v>23</v>
      </c>
      <c r="H2130" s="1">
        <v>44699</v>
      </c>
      <c r="I2130" s="2">
        <v>44701.0708333333</v>
      </c>
      <c r="J2130">
        <v>49.7</v>
      </c>
      <c r="K2130" t="s">
        <v>32</v>
      </c>
      <c r="L2130">
        <v>0</v>
      </c>
      <c r="M2130">
        <v>3</v>
      </c>
      <c r="N2130" t="s">
        <v>917</v>
      </c>
      <c r="O2130" s="3" t="str">
        <f>TEXT(Ticket_Table[[#This Row],[raised_date]],"YYYY-MM")</f>
        <v>2022-05</v>
      </c>
      <c r="P2130" s="3" t="str">
        <f>IF(Ticket_Table[[#This Row],[resolution_hrs]]&lt;=4,"Fast",IF(Ticket_Table[[#This Row],[resolution_hrs]]&lt;=24,"Normal",IF(Ticket_Table[[#This Row],[resolution_hrs]]&lt;=48,"Slow","Very Slow")))</f>
        <v>Very Slow</v>
      </c>
      <c r="Q2130" s="3">
        <f>YEAR(Ticket_Table[[#This Row],[raised_date]])</f>
        <v>2022</v>
      </c>
    </row>
    <row r="2131" spans="1:17">
      <c r="A2131" t="s">
        <v>2692</v>
      </c>
      <c r="B2131" t="s">
        <v>283</v>
      </c>
      <c r="C2131" t="s">
        <v>68</v>
      </c>
      <c r="D2131" t="s">
        <v>29</v>
      </c>
      <c r="E2131" t="s">
        <v>166</v>
      </c>
      <c r="F2131" t="s">
        <v>70</v>
      </c>
      <c r="G2131" t="s">
        <v>31</v>
      </c>
      <c r="H2131" s="1">
        <v>44505</v>
      </c>
      <c r="I2131" s="2">
        <v>44506.2333333333</v>
      </c>
      <c r="J2131">
        <v>29.6</v>
      </c>
      <c r="K2131" t="s">
        <v>24</v>
      </c>
      <c r="L2131">
        <v>0</v>
      </c>
      <c r="M2131">
        <v>4</v>
      </c>
      <c r="N2131" t="s">
        <v>61</v>
      </c>
      <c r="O2131" s="3" t="str">
        <f>TEXT(Ticket_Table[[#This Row],[raised_date]],"YYYY-MM")</f>
        <v>2021-11</v>
      </c>
      <c r="P2131" s="3" t="str">
        <f>IF(Ticket_Table[[#This Row],[resolution_hrs]]&lt;=4,"Fast",IF(Ticket_Table[[#This Row],[resolution_hrs]]&lt;=24,"Normal",IF(Ticket_Table[[#This Row],[resolution_hrs]]&lt;=48,"Slow","Very Slow")))</f>
        <v>Slow</v>
      </c>
      <c r="Q2131" s="3">
        <f>YEAR(Ticket_Table[[#This Row],[raised_date]])</f>
        <v>2021</v>
      </c>
    </row>
    <row r="2132" spans="1:17">
      <c r="A2132" t="s">
        <v>2693</v>
      </c>
      <c r="B2132" t="s">
        <v>562</v>
      </c>
      <c r="C2132" t="s">
        <v>140</v>
      </c>
      <c r="D2132" t="s">
        <v>90</v>
      </c>
      <c r="E2132" t="s">
        <v>44</v>
      </c>
      <c r="F2132" t="s">
        <v>70</v>
      </c>
      <c r="G2132" t="s">
        <v>23</v>
      </c>
      <c r="H2132" s="1">
        <v>44210</v>
      </c>
      <c r="I2132" s="2">
        <v>44212.3458333333</v>
      </c>
      <c r="J2132">
        <v>56.3</v>
      </c>
      <c r="K2132" t="s">
        <v>32</v>
      </c>
      <c r="L2132">
        <v>0</v>
      </c>
      <c r="M2132">
        <v>3</v>
      </c>
      <c r="N2132" t="s">
        <v>650</v>
      </c>
      <c r="O2132" s="3" t="str">
        <f>TEXT(Ticket_Table[[#This Row],[raised_date]],"YYYY-MM")</f>
        <v>2021-01</v>
      </c>
      <c r="P2132" s="3" t="str">
        <f>IF(Ticket_Table[[#This Row],[resolution_hrs]]&lt;=4,"Fast",IF(Ticket_Table[[#This Row],[resolution_hrs]]&lt;=24,"Normal",IF(Ticket_Table[[#This Row],[resolution_hrs]]&lt;=48,"Slow","Very Slow")))</f>
        <v>Very Slow</v>
      </c>
      <c r="Q2132" s="3">
        <f>YEAR(Ticket_Table[[#This Row],[raised_date]])</f>
        <v>2021</v>
      </c>
    </row>
    <row r="2133" spans="1:17">
      <c r="A2133" t="s">
        <v>2694</v>
      </c>
      <c r="B2133" t="s">
        <v>1143</v>
      </c>
      <c r="C2133" t="s">
        <v>261</v>
      </c>
      <c r="D2133" t="s">
        <v>36</v>
      </c>
      <c r="E2133" t="s">
        <v>69</v>
      </c>
      <c r="F2133" t="s">
        <v>70</v>
      </c>
      <c r="G2133" t="s">
        <v>23</v>
      </c>
      <c r="H2133" s="1">
        <v>45036</v>
      </c>
      <c r="I2133" s="2">
        <v>45037.6333333333</v>
      </c>
      <c r="J2133">
        <v>39.2</v>
      </c>
      <c r="K2133" t="s">
        <v>24</v>
      </c>
      <c r="L2133">
        <v>0</v>
      </c>
      <c r="M2133">
        <v>5</v>
      </c>
      <c r="N2133" t="s">
        <v>778</v>
      </c>
      <c r="O2133" s="3" t="str">
        <f>TEXT(Ticket_Table[[#This Row],[raised_date]],"YYYY-MM")</f>
        <v>2023-04</v>
      </c>
      <c r="P2133" s="3" t="str">
        <f>IF(Ticket_Table[[#This Row],[resolution_hrs]]&lt;=4,"Fast",IF(Ticket_Table[[#This Row],[resolution_hrs]]&lt;=24,"Normal",IF(Ticket_Table[[#This Row],[resolution_hrs]]&lt;=48,"Slow","Very Slow")))</f>
        <v>Slow</v>
      </c>
      <c r="Q2133" s="3">
        <f>YEAR(Ticket_Table[[#This Row],[raised_date]])</f>
        <v>2023</v>
      </c>
    </row>
    <row r="2134" spans="1:17">
      <c r="A2134" t="s">
        <v>2695</v>
      </c>
      <c r="B2134" t="s">
        <v>110</v>
      </c>
      <c r="C2134" t="s">
        <v>287</v>
      </c>
      <c r="D2134" t="s">
        <v>29</v>
      </c>
      <c r="E2134" t="s">
        <v>37</v>
      </c>
      <c r="F2134" t="s">
        <v>45</v>
      </c>
      <c r="G2134" t="s">
        <v>31</v>
      </c>
      <c r="H2134" s="1">
        <v>44245</v>
      </c>
      <c r="I2134" s="2">
        <v>44245.1083333333</v>
      </c>
      <c r="J2134">
        <v>2.6</v>
      </c>
      <c r="K2134" t="s">
        <v>24</v>
      </c>
      <c r="L2134">
        <v>0</v>
      </c>
      <c r="M2134">
        <v>4</v>
      </c>
      <c r="N2134" t="s">
        <v>212</v>
      </c>
      <c r="O2134" s="3" t="str">
        <f>TEXT(Ticket_Table[[#This Row],[raised_date]],"YYYY-MM")</f>
        <v>2021-02</v>
      </c>
      <c r="P2134" s="3" t="str">
        <f>IF(Ticket_Table[[#This Row],[resolution_hrs]]&lt;=4,"Fast",IF(Ticket_Table[[#This Row],[resolution_hrs]]&lt;=24,"Normal",IF(Ticket_Table[[#This Row],[resolution_hrs]]&lt;=48,"Slow","Very Slow")))</f>
        <v>Fast</v>
      </c>
      <c r="Q2134" s="3">
        <f>YEAR(Ticket_Table[[#This Row],[raised_date]])</f>
        <v>2021</v>
      </c>
    </row>
    <row r="2135" spans="1:17">
      <c r="A2135" t="s">
        <v>2696</v>
      </c>
      <c r="B2135" t="s">
        <v>449</v>
      </c>
      <c r="C2135" t="s">
        <v>133</v>
      </c>
      <c r="D2135" t="s">
        <v>29</v>
      </c>
      <c r="E2135" t="s">
        <v>106</v>
      </c>
      <c r="F2135" t="s">
        <v>70</v>
      </c>
      <c r="G2135" t="s">
        <v>31</v>
      </c>
      <c r="H2135" s="1">
        <v>44674</v>
      </c>
      <c r="I2135" s="2">
        <v>44674.1125</v>
      </c>
      <c r="J2135">
        <v>2.7</v>
      </c>
      <c r="K2135" t="s">
        <v>24</v>
      </c>
      <c r="L2135">
        <v>2</v>
      </c>
      <c r="M2135">
        <v>3</v>
      </c>
      <c r="N2135" t="s">
        <v>707</v>
      </c>
      <c r="O2135" s="3" t="str">
        <f>TEXT(Ticket_Table[[#This Row],[raised_date]],"YYYY-MM")</f>
        <v>2022-04</v>
      </c>
      <c r="P2135" s="3" t="str">
        <f>IF(Ticket_Table[[#This Row],[resolution_hrs]]&lt;=4,"Fast",IF(Ticket_Table[[#This Row],[resolution_hrs]]&lt;=24,"Normal",IF(Ticket_Table[[#This Row],[resolution_hrs]]&lt;=48,"Slow","Very Slow")))</f>
        <v>Fast</v>
      </c>
      <c r="Q2135" s="3">
        <f>YEAR(Ticket_Table[[#This Row],[raised_date]])</f>
        <v>2022</v>
      </c>
    </row>
    <row r="2136" spans="1:17">
      <c r="A2136" t="s">
        <v>2697</v>
      </c>
      <c r="B2136" t="s">
        <v>228</v>
      </c>
      <c r="C2136" t="s">
        <v>82</v>
      </c>
      <c r="D2136" t="s">
        <v>43</v>
      </c>
      <c r="E2136" t="s">
        <v>21</v>
      </c>
      <c r="F2136" t="s">
        <v>22</v>
      </c>
      <c r="G2136" t="s">
        <v>23</v>
      </c>
      <c r="H2136" s="1">
        <v>44906</v>
      </c>
      <c r="I2136" s="2">
        <v>44909.5416666667</v>
      </c>
      <c r="J2136">
        <v>85</v>
      </c>
      <c r="K2136" t="s">
        <v>32</v>
      </c>
      <c r="L2136">
        <v>0</v>
      </c>
      <c r="M2136">
        <v>3</v>
      </c>
      <c r="N2136" t="s">
        <v>439</v>
      </c>
      <c r="O2136" s="3" t="str">
        <f>TEXT(Ticket_Table[[#This Row],[raised_date]],"YYYY-MM")</f>
        <v>2022-12</v>
      </c>
      <c r="P2136" s="3" t="str">
        <f>IF(Ticket_Table[[#This Row],[resolution_hrs]]&lt;=4,"Fast",IF(Ticket_Table[[#This Row],[resolution_hrs]]&lt;=24,"Normal",IF(Ticket_Table[[#This Row],[resolution_hrs]]&lt;=48,"Slow","Very Slow")))</f>
        <v>Very Slow</v>
      </c>
      <c r="Q2136" s="3">
        <f>YEAR(Ticket_Table[[#This Row],[raised_date]])</f>
        <v>2022</v>
      </c>
    </row>
    <row r="2137" spans="1:17">
      <c r="A2137" t="s">
        <v>2698</v>
      </c>
      <c r="B2137" t="s">
        <v>86</v>
      </c>
      <c r="C2137" t="s">
        <v>261</v>
      </c>
      <c r="D2137" t="s">
        <v>29</v>
      </c>
      <c r="E2137" t="s">
        <v>44</v>
      </c>
      <c r="F2137" t="s">
        <v>22</v>
      </c>
      <c r="G2137" t="s">
        <v>74</v>
      </c>
      <c r="H2137" s="1">
        <v>44216</v>
      </c>
      <c r="I2137" s="2">
        <v>44220.1541666667</v>
      </c>
      <c r="J2137">
        <v>99.7</v>
      </c>
      <c r="K2137" t="s">
        <v>32</v>
      </c>
      <c r="L2137">
        <v>1</v>
      </c>
      <c r="M2137">
        <v>3</v>
      </c>
      <c r="N2137" t="s">
        <v>314</v>
      </c>
      <c r="O2137" s="3" t="str">
        <f>TEXT(Ticket_Table[[#This Row],[raised_date]],"YYYY-MM")</f>
        <v>2021-01</v>
      </c>
      <c r="P2137" s="3" t="str">
        <f>IF(Ticket_Table[[#This Row],[resolution_hrs]]&lt;=4,"Fast",IF(Ticket_Table[[#This Row],[resolution_hrs]]&lt;=24,"Normal",IF(Ticket_Table[[#This Row],[resolution_hrs]]&lt;=48,"Slow","Very Slow")))</f>
        <v>Very Slow</v>
      </c>
      <c r="Q2137" s="3">
        <f>YEAR(Ticket_Table[[#This Row],[raised_date]])</f>
        <v>2021</v>
      </c>
    </row>
    <row r="2138" spans="1:17">
      <c r="A2138" t="s">
        <v>2699</v>
      </c>
      <c r="B2138" t="s">
        <v>137</v>
      </c>
      <c r="C2138" t="s">
        <v>28</v>
      </c>
      <c r="D2138" t="s">
        <v>36</v>
      </c>
      <c r="E2138" t="s">
        <v>30</v>
      </c>
      <c r="F2138" t="s">
        <v>70</v>
      </c>
      <c r="G2138" t="s">
        <v>74</v>
      </c>
      <c r="H2138" s="1">
        <v>44883</v>
      </c>
      <c r="I2138" s="2">
        <v>44883.4958333333</v>
      </c>
      <c r="J2138">
        <v>11.9</v>
      </c>
      <c r="K2138" t="s">
        <v>24</v>
      </c>
      <c r="L2138">
        <v>0</v>
      </c>
      <c r="M2138">
        <v>4</v>
      </c>
      <c r="N2138" t="s">
        <v>96</v>
      </c>
      <c r="O2138" s="3" t="str">
        <f>TEXT(Ticket_Table[[#This Row],[raised_date]],"YYYY-MM")</f>
        <v>2022-11</v>
      </c>
      <c r="P2138" s="3" t="str">
        <f>IF(Ticket_Table[[#This Row],[resolution_hrs]]&lt;=4,"Fast",IF(Ticket_Table[[#This Row],[resolution_hrs]]&lt;=24,"Normal",IF(Ticket_Table[[#This Row],[resolution_hrs]]&lt;=48,"Slow","Very Slow")))</f>
        <v>Normal</v>
      </c>
      <c r="Q2138" s="3">
        <f>YEAR(Ticket_Table[[#This Row],[raised_date]])</f>
        <v>2022</v>
      </c>
    </row>
    <row r="2139" spans="1:17">
      <c r="A2139" t="s">
        <v>2700</v>
      </c>
      <c r="B2139" t="s">
        <v>394</v>
      </c>
      <c r="C2139" t="s">
        <v>55</v>
      </c>
      <c r="D2139" t="s">
        <v>43</v>
      </c>
      <c r="E2139" t="s">
        <v>106</v>
      </c>
      <c r="F2139" t="s">
        <v>38</v>
      </c>
      <c r="G2139" t="s">
        <v>31</v>
      </c>
      <c r="H2139" s="1">
        <v>44199</v>
      </c>
      <c r="I2139" s="2">
        <v>44200.4291666667</v>
      </c>
      <c r="J2139">
        <v>34.3</v>
      </c>
      <c r="K2139" t="s">
        <v>32</v>
      </c>
      <c r="L2139">
        <v>0</v>
      </c>
      <c r="M2139">
        <v>4</v>
      </c>
      <c r="N2139" t="s">
        <v>926</v>
      </c>
      <c r="O2139" s="3" t="str">
        <f>TEXT(Ticket_Table[[#This Row],[raised_date]],"YYYY-MM")</f>
        <v>2021-01</v>
      </c>
      <c r="P2139" s="3" t="str">
        <f>IF(Ticket_Table[[#This Row],[resolution_hrs]]&lt;=4,"Fast",IF(Ticket_Table[[#This Row],[resolution_hrs]]&lt;=24,"Normal",IF(Ticket_Table[[#This Row],[resolution_hrs]]&lt;=48,"Slow","Very Slow")))</f>
        <v>Slow</v>
      </c>
      <c r="Q2139" s="3">
        <f>YEAR(Ticket_Table[[#This Row],[raised_date]])</f>
        <v>2021</v>
      </c>
    </row>
    <row r="2140" spans="1:17">
      <c r="A2140" t="s">
        <v>2701</v>
      </c>
      <c r="B2140" t="s">
        <v>389</v>
      </c>
      <c r="C2140" t="s">
        <v>60</v>
      </c>
      <c r="D2140" t="s">
        <v>20</v>
      </c>
      <c r="E2140" t="s">
        <v>69</v>
      </c>
      <c r="F2140" t="s">
        <v>22</v>
      </c>
      <c r="G2140" t="s">
        <v>31</v>
      </c>
      <c r="H2140" s="1">
        <v>44967</v>
      </c>
      <c r="I2140" s="2">
        <v>44968.5125</v>
      </c>
      <c r="J2140">
        <v>36.3</v>
      </c>
      <c r="K2140" t="s">
        <v>24</v>
      </c>
      <c r="L2140">
        <v>1</v>
      </c>
      <c r="M2140">
        <v>3</v>
      </c>
      <c r="N2140" t="s">
        <v>188</v>
      </c>
      <c r="O2140" s="3" t="str">
        <f>TEXT(Ticket_Table[[#This Row],[raised_date]],"YYYY-MM")</f>
        <v>2023-02</v>
      </c>
      <c r="P2140" s="3" t="str">
        <f>IF(Ticket_Table[[#This Row],[resolution_hrs]]&lt;=4,"Fast",IF(Ticket_Table[[#This Row],[resolution_hrs]]&lt;=24,"Normal",IF(Ticket_Table[[#This Row],[resolution_hrs]]&lt;=48,"Slow","Very Slow")))</f>
        <v>Slow</v>
      </c>
      <c r="Q2140" s="3">
        <f>YEAR(Ticket_Table[[#This Row],[raised_date]])</f>
        <v>2023</v>
      </c>
    </row>
    <row r="2141" spans="1:17">
      <c r="A2141" t="s">
        <v>2702</v>
      </c>
      <c r="B2141" t="s">
        <v>221</v>
      </c>
      <c r="C2141" t="s">
        <v>42</v>
      </c>
      <c r="D2141" t="s">
        <v>20</v>
      </c>
      <c r="E2141" t="s">
        <v>56</v>
      </c>
      <c r="F2141" t="s">
        <v>38</v>
      </c>
      <c r="G2141" t="s">
        <v>31</v>
      </c>
      <c r="H2141" s="1">
        <v>44826</v>
      </c>
      <c r="I2141" s="2">
        <v>44826.9583333333</v>
      </c>
      <c r="J2141">
        <v>23</v>
      </c>
      <c r="K2141" t="s">
        <v>24</v>
      </c>
      <c r="L2141">
        <v>0</v>
      </c>
      <c r="M2141">
        <v>4</v>
      </c>
      <c r="N2141" t="s">
        <v>442</v>
      </c>
      <c r="O2141" s="3" t="str">
        <f>TEXT(Ticket_Table[[#This Row],[raised_date]],"YYYY-MM")</f>
        <v>2022-09</v>
      </c>
      <c r="P2141" s="3" t="str">
        <f>IF(Ticket_Table[[#This Row],[resolution_hrs]]&lt;=4,"Fast",IF(Ticket_Table[[#This Row],[resolution_hrs]]&lt;=24,"Normal",IF(Ticket_Table[[#This Row],[resolution_hrs]]&lt;=48,"Slow","Very Slow")))</f>
        <v>Normal</v>
      </c>
      <c r="Q2141" s="3">
        <f>YEAR(Ticket_Table[[#This Row],[raised_date]])</f>
        <v>2022</v>
      </c>
    </row>
    <row r="2142" spans="1:17">
      <c r="A2142" t="s">
        <v>2703</v>
      </c>
      <c r="B2142" t="s">
        <v>485</v>
      </c>
      <c r="C2142" t="s">
        <v>213</v>
      </c>
      <c r="D2142" t="s">
        <v>43</v>
      </c>
      <c r="E2142" t="s">
        <v>30</v>
      </c>
      <c r="F2142" t="s">
        <v>22</v>
      </c>
      <c r="G2142" t="s">
        <v>31</v>
      </c>
      <c r="H2142" s="1">
        <v>44409</v>
      </c>
      <c r="I2142" s="2">
        <v>44411.7291666667</v>
      </c>
      <c r="J2142">
        <v>65.5</v>
      </c>
      <c r="K2142" t="s">
        <v>24</v>
      </c>
      <c r="L2142">
        <v>0</v>
      </c>
      <c r="M2142">
        <v>2</v>
      </c>
      <c r="N2142" t="s">
        <v>1164</v>
      </c>
      <c r="O2142" s="3" t="str">
        <f>TEXT(Ticket_Table[[#This Row],[raised_date]],"YYYY-MM")</f>
        <v>2021-08</v>
      </c>
      <c r="P2142" s="3" t="str">
        <f>IF(Ticket_Table[[#This Row],[resolution_hrs]]&lt;=4,"Fast",IF(Ticket_Table[[#This Row],[resolution_hrs]]&lt;=24,"Normal",IF(Ticket_Table[[#This Row],[resolution_hrs]]&lt;=48,"Slow","Very Slow")))</f>
        <v>Very Slow</v>
      </c>
      <c r="Q2142" s="3">
        <f>YEAR(Ticket_Table[[#This Row],[raised_date]])</f>
        <v>2021</v>
      </c>
    </row>
    <row r="2143" spans="1:17">
      <c r="A2143" t="s">
        <v>2704</v>
      </c>
      <c r="B2143" t="s">
        <v>794</v>
      </c>
      <c r="C2143" t="s">
        <v>64</v>
      </c>
      <c r="D2143" t="s">
        <v>43</v>
      </c>
      <c r="E2143" t="s">
        <v>21</v>
      </c>
      <c r="F2143" t="s">
        <v>70</v>
      </c>
      <c r="G2143" t="s">
        <v>31</v>
      </c>
      <c r="H2143" s="1">
        <v>44617</v>
      </c>
      <c r="I2143" s="2">
        <v>44618.8416666667</v>
      </c>
      <c r="J2143">
        <v>44.2</v>
      </c>
      <c r="K2143" t="s">
        <v>24</v>
      </c>
      <c r="L2143">
        <v>0</v>
      </c>
      <c r="M2143">
        <v>5</v>
      </c>
      <c r="N2143" t="s">
        <v>1039</v>
      </c>
      <c r="O2143" s="3" t="str">
        <f>TEXT(Ticket_Table[[#This Row],[raised_date]],"YYYY-MM")</f>
        <v>2022-02</v>
      </c>
      <c r="P2143" s="3" t="str">
        <f>IF(Ticket_Table[[#This Row],[resolution_hrs]]&lt;=4,"Fast",IF(Ticket_Table[[#This Row],[resolution_hrs]]&lt;=24,"Normal",IF(Ticket_Table[[#This Row],[resolution_hrs]]&lt;=48,"Slow","Very Slow")))</f>
        <v>Slow</v>
      </c>
      <c r="Q2143" s="3">
        <f>YEAR(Ticket_Table[[#This Row],[raised_date]])</f>
        <v>2022</v>
      </c>
    </row>
    <row r="2144" spans="1:17">
      <c r="A2144" t="s">
        <v>2705</v>
      </c>
      <c r="B2144" t="s">
        <v>485</v>
      </c>
      <c r="C2144" t="s">
        <v>102</v>
      </c>
      <c r="D2144" t="s">
        <v>43</v>
      </c>
      <c r="E2144" t="s">
        <v>37</v>
      </c>
      <c r="F2144" t="s">
        <v>38</v>
      </c>
      <c r="G2144" t="s">
        <v>31</v>
      </c>
      <c r="H2144" s="1">
        <v>45282</v>
      </c>
      <c r="I2144" s="2">
        <v>45283.3041666667</v>
      </c>
      <c r="J2144">
        <v>31.3</v>
      </c>
      <c r="K2144" t="s">
        <v>32</v>
      </c>
      <c r="L2144">
        <v>0</v>
      </c>
      <c r="M2144">
        <v>3</v>
      </c>
      <c r="N2144" t="s">
        <v>315</v>
      </c>
      <c r="O2144" s="3" t="str">
        <f>TEXT(Ticket_Table[[#This Row],[raised_date]],"YYYY-MM")</f>
        <v>2023-12</v>
      </c>
      <c r="P2144" s="3" t="str">
        <f>IF(Ticket_Table[[#This Row],[resolution_hrs]]&lt;=4,"Fast",IF(Ticket_Table[[#This Row],[resolution_hrs]]&lt;=24,"Normal",IF(Ticket_Table[[#This Row],[resolution_hrs]]&lt;=48,"Slow","Very Slow")))</f>
        <v>Slow</v>
      </c>
      <c r="Q2144" s="3">
        <f>YEAR(Ticket_Table[[#This Row],[raised_date]])</f>
        <v>2023</v>
      </c>
    </row>
    <row r="2145" spans="1:17">
      <c r="A2145" t="s">
        <v>2706</v>
      </c>
      <c r="B2145" t="s">
        <v>517</v>
      </c>
      <c r="C2145" t="s">
        <v>50</v>
      </c>
      <c r="D2145" t="s">
        <v>90</v>
      </c>
      <c r="E2145" t="s">
        <v>44</v>
      </c>
      <c r="F2145" t="s">
        <v>70</v>
      </c>
      <c r="G2145" t="s">
        <v>46</v>
      </c>
      <c r="H2145" s="1">
        <v>44684</v>
      </c>
      <c r="I2145" s="2">
        <v>44686.9416666667</v>
      </c>
      <c r="J2145">
        <v>70.6</v>
      </c>
      <c r="K2145" t="s">
        <v>32</v>
      </c>
      <c r="L2145">
        <v>0</v>
      </c>
      <c r="M2145">
        <v>5</v>
      </c>
      <c r="N2145" t="s">
        <v>325</v>
      </c>
      <c r="O2145" s="3" t="str">
        <f>TEXT(Ticket_Table[[#This Row],[raised_date]],"YYYY-MM")</f>
        <v>2022-05</v>
      </c>
      <c r="P2145" s="3" t="str">
        <f>IF(Ticket_Table[[#This Row],[resolution_hrs]]&lt;=4,"Fast",IF(Ticket_Table[[#This Row],[resolution_hrs]]&lt;=24,"Normal",IF(Ticket_Table[[#This Row],[resolution_hrs]]&lt;=48,"Slow","Very Slow")))</f>
        <v>Very Slow</v>
      </c>
      <c r="Q2145" s="3">
        <f>YEAR(Ticket_Table[[#This Row],[raised_date]])</f>
        <v>2022</v>
      </c>
    </row>
    <row r="2146" spans="1:17">
      <c r="A2146" t="s">
        <v>2707</v>
      </c>
      <c r="B2146" t="s">
        <v>75</v>
      </c>
      <c r="C2146" t="s">
        <v>60</v>
      </c>
      <c r="D2146" t="s">
        <v>36</v>
      </c>
      <c r="E2146" t="s">
        <v>51</v>
      </c>
      <c r="F2146" t="s">
        <v>70</v>
      </c>
      <c r="G2146" t="s">
        <v>23</v>
      </c>
      <c r="H2146" s="1">
        <v>45056</v>
      </c>
      <c r="I2146" s="2">
        <v>45056.6458333333</v>
      </c>
      <c r="J2146">
        <v>15.5</v>
      </c>
      <c r="K2146" t="s">
        <v>24</v>
      </c>
      <c r="L2146">
        <v>1</v>
      </c>
      <c r="M2146">
        <v>4</v>
      </c>
      <c r="N2146" t="s">
        <v>588</v>
      </c>
      <c r="O2146" s="3" t="str">
        <f>TEXT(Ticket_Table[[#This Row],[raised_date]],"YYYY-MM")</f>
        <v>2023-05</v>
      </c>
      <c r="P2146" s="3" t="str">
        <f>IF(Ticket_Table[[#This Row],[resolution_hrs]]&lt;=4,"Fast",IF(Ticket_Table[[#This Row],[resolution_hrs]]&lt;=24,"Normal",IF(Ticket_Table[[#This Row],[resolution_hrs]]&lt;=48,"Slow","Very Slow")))</f>
        <v>Normal</v>
      </c>
      <c r="Q2146" s="3">
        <f>YEAR(Ticket_Table[[#This Row],[raised_date]])</f>
        <v>2023</v>
      </c>
    </row>
    <row r="2147" spans="1:17">
      <c r="A2147" t="s">
        <v>2708</v>
      </c>
      <c r="B2147" t="s">
        <v>266</v>
      </c>
      <c r="C2147" t="s">
        <v>50</v>
      </c>
      <c r="D2147" t="s">
        <v>36</v>
      </c>
      <c r="E2147" t="s">
        <v>44</v>
      </c>
      <c r="F2147" t="s">
        <v>22</v>
      </c>
      <c r="G2147" t="s">
        <v>23</v>
      </c>
      <c r="H2147" s="1">
        <v>45204</v>
      </c>
      <c r="I2147" s="2">
        <v>45205.7833333333</v>
      </c>
      <c r="J2147">
        <v>42.8</v>
      </c>
      <c r="K2147" t="s">
        <v>24</v>
      </c>
      <c r="L2147">
        <v>0</v>
      </c>
      <c r="M2147">
        <v>4</v>
      </c>
      <c r="N2147" t="s">
        <v>428</v>
      </c>
      <c r="O2147" s="3" t="str">
        <f>TEXT(Ticket_Table[[#This Row],[raised_date]],"YYYY-MM")</f>
        <v>2023-10</v>
      </c>
      <c r="P2147" s="3" t="str">
        <f>IF(Ticket_Table[[#This Row],[resolution_hrs]]&lt;=4,"Fast",IF(Ticket_Table[[#This Row],[resolution_hrs]]&lt;=24,"Normal",IF(Ticket_Table[[#This Row],[resolution_hrs]]&lt;=48,"Slow","Very Slow")))</f>
        <v>Slow</v>
      </c>
      <c r="Q2147" s="3">
        <f>YEAR(Ticket_Table[[#This Row],[raised_date]])</f>
        <v>2023</v>
      </c>
    </row>
    <row r="2148" spans="1:17">
      <c r="A2148" t="s">
        <v>2709</v>
      </c>
      <c r="B2148" t="s">
        <v>886</v>
      </c>
      <c r="C2148" t="s">
        <v>95</v>
      </c>
      <c r="D2148" t="s">
        <v>20</v>
      </c>
      <c r="E2148" t="s">
        <v>106</v>
      </c>
      <c r="F2148" t="s">
        <v>38</v>
      </c>
      <c r="G2148" t="s">
        <v>23</v>
      </c>
      <c r="H2148" s="1">
        <v>44319</v>
      </c>
      <c r="I2148" s="2">
        <v>44319.8208333333</v>
      </c>
      <c r="J2148">
        <v>19.7</v>
      </c>
      <c r="K2148" t="s">
        <v>24</v>
      </c>
      <c r="L2148">
        <v>2</v>
      </c>
      <c r="M2148">
        <v>3</v>
      </c>
      <c r="N2148" t="s">
        <v>1067</v>
      </c>
      <c r="O2148" s="3" t="str">
        <f>TEXT(Ticket_Table[[#This Row],[raised_date]],"YYYY-MM")</f>
        <v>2021-05</v>
      </c>
      <c r="P2148" s="3" t="str">
        <f>IF(Ticket_Table[[#This Row],[resolution_hrs]]&lt;=4,"Fast",IF(Ticket_Table[[#This Row],[resolution_hrs]]&lt;=24,"Normal",IF(Ticket_Table[[#This Row],[resolution_hrs]]&lt;=48,"Slow","Very Slow")))</f>
        <v>Normal</v>
      </c>
      <c r="Q2148" s="3">
        <f>YEAR(Ticket_Table[[#This Row],[raised_date]])</f>
        <v>2021</v>
      </c>
    </row>
    <row r="2149" spans="1:17">
      <c r="A2149" t="s">
        <v>2710</v>
      </c>
      <c r="B2149" t="s">
        <v>197</v>
      </c>
      <c r="C2149" t="s">
        <v>133</v>
      </c>
      <c r="D2149" t="s">
        <v>20</v>
      </c>
      <c r="E2149" t="s">
        <v>44</v>
      </c>
      <c r="F2149" t="s">
        <v>22</v>
      </c>
      <c r="G2149" t="s">
        <v>31</v>
      </c>
      <c r="H2149" s="1">
        <v>44488</v>
      </c>
      <c r="I2149" s="2">
        <v>44488.8833333333</v>
      </c>
      <c r="J2149">
        <v>21.2</v>
      </c>
      <c r="K2149" t="s">
        <v>24</v>
      </c>
      <c r="L2149">
        <v>0</v>
      </c>
      <c r="M2149">
        <v>2</v>
      </c>
      <c r="N2149" t="s">
        <v>368</v>
      </c>
      <c r="O2149" s="3" t="str">
        <f>TEXT(Ticket_Table[[#This Row],[raised_date]],"YYYY-MM")</f>
        <v>2021-10</v>
      </c>
      <c r="P2149" s="3" t="str">
        <f>IF(Ticket_Table[[#This Row],[resolution_hrs]]&lt;=4,"Fast",IF(Ticket_Table[[#This Row],[resolution_hrs]]&lt;=24,"Normal",IF(Ticket_Table[[#This Row],[resolution_hrs]]&lt;=48,"Slow","Very Slow")))</f>
        <v>Normal</v>
      </c>
      <c r="Q2149" s="3">
        <f>YEAR(Ticket_Table[[#This Row],[raised_date]])</f>
        <v>2021</v>
      </c>
    </row>
    <row r="2150" spans="1:17">
      <c r="A2150" t="s">
        <v>2711</v>
      </c>
      <c r="B2150" t="s">
        <v>493</v>
      </c>
      <c r="C2150" t="s">
        <v>133</v>
      </c>
      <c r="D2150" t="s">
        <v>20</v>
      </c>
      <c r="E2150" t="s">
        <v>106</v>
      </c>
      <c r="F2150" t="s">
        <v>38</v>
      </c>
      <c r="G2150" t="s">
        <v>31</v>
      </c>
      <c r="H2150" s="1">
        <v>44770</v>
      </c>
      <c r="I2150" s="2">
        <v>44770.2</v>
      </c>
      <c r="J2150">
        <v>4.8</v>
      </c>
      <c r="K2150" t="s">
        <v>24</v>
      </c>
      <c r="L2150">
        <v>0</v>
      </c>
      <c r="M2150">
        <v>4</v>
      </c>
      <c r="N2150" t="s">
        <v>1129</v>
      </c>
      <c r="O2150" s="3" t="str">
        <f>TEXT(Ticket_Table[[#This Row],[raised_date]],"YYYY-MM")</f>
        <v>2022-07</v>
      </c>
      <c r="P2150" s="3" t="str">
        <f>IF(Ticket_Table[[#This Row],[resolution_hrs]]&lt;=4,"Fast",IF(Ticket_Table[[#This Row],[resolution_hrs]]&lt;=24,"Normal",IF(Ticket_Table[[#This Row],[resolution_hrs]]&lt;=48,"Slow","Very Slow")))</f>
        <v>Normal</v>
      </c>
      <c r="Q2150" s="3">
        <f>YEAR(Ticket_Table[[#This Row],[raised_date]])</f>
        <v>2022</v>
      </c>
    </row>
    <row r="2151" spans="1:17">
      <c r="A2151" t="s">
        <v>2712</v>
      </c>
      <c r="B2151" t="s">
        <v>235</v>
      </c>
      <c r="C2151" t="s">
        <v>60</v>
      </c>
      <c r="D2151" t="s">
        <v>29</v>
      </c>
      <c r="E2151" t="s">
        <v>30</v>
      </c>
      <c r="F2151" t="s">
        <v>22</v>
      </c>
      <c r="G2151" t="s">
        <v>23</v>
      </c>
      <c r="H2151" s="1">
        <v>44387</v>
      </c>
      <c r="I2151" s="2">
        <v>44389.5791666667</v>
      </c>
      <c r="J2151">
        <v>61.9</v>
      </c>
      <c r="K2151" t="s">
        <v>24</v>
      </c>
      <c r="L2151">
        <v>0</v>
      </c>
      <c r="M2151">
        <v>4</v>
      </c>
      <c r="N2151" t="s">
        <v>25</v>
      </c>
      <c r="O2151" s="3" t="str">
        <f>TEXT(Ticket_Table[[#This Row],[raised_date]],"YYYY-MM")</f>
        <v>2021-07</v>
      </c>
      <c r="P2151" s="3" t="str">
        <f>IF(Ticket_Table[[#This Row],[resolution_hrs]]&lt;=4,"Fast",IF(Ticket_Table[[#This Row],[resolution_hrs]]&lt;=24,"Normal",IF(Ticket_Table[[#This Row],[resolution_hrs]]&lt;=48,"Slow","Very Slow")))</f>
        <v>Very Slow</v>
      </c>
      <c r="Q2151" s="3">
        <f>YEAR(Ticket_Table[[#This Row],[raised_date]])</f>
        <v>2021</v>
      </c>
    </row>
    <row r="2152" spans="1:17">
      <c r="A2152" t="s">
        <v>2713</v>
      </c>
      <c r="B2152" t="s">
        <v>458</v>
      </c>
      <c r="C2152" t="s">
        <v>102</v>
      </c>
      <c r="D2152" t="s">
        <v>20</v>
      </c>
      <c r="E2152" t="s">
        <v>44</v>
      </c>
      <c r="F2152" t="s">
        <v>38</v>
      </c>
      <c r="G2152" t="s">
        <v>31</v>
      </c>
      <c r="H2152" s="1">
        <v>44286</v>
      </c>
      <c r="I2152" s="2">
        <v>44286.7</v>
      </c>
      <c r="J2152">
        <v>16.8</v>
      </c>
      <c r="K2152" t="s">
        <v>24</v>
      </c>
      <c r="L2152">
        <v>0</v>
      </c>
      <c r="M2152">
        <v>2</v>
      </c>
      <c r="N2152" t="s">
        <v>671</v>
      </c>
      <c r="O2152" s="3" t="str">
        <f>TEXT(Ticket_Table[[#This Row],[raised_date]],"YYYY-MM")</f>
        <v>2021-03</v>
      </c>
      <c r="P2152" s="3" t="str">
        <f>IF(Ticket_Table[[#This Row],[resolution_hrs]]&lt;=4,"Fast",IF(Ticket_Table[[#This Row],[resolution_hrs]]&lt;=24,"Normal",IF(Ticket_Table[[#This Row],[resolution_hrs]]&lt;=48,"Slow","Very Slow")))</f>
        <v>Normal</v>
      </c>
      <c r="Q2152" s="3">
        <f>YEAR(Ticket_Table[[#This Row],[raised_date]])</f>
        <v>2021</v>
      </c>
    </row>
    <row r="2153" spans="1:17">
      <c r="A2153" t="s">
        <v>2714</v>
      </c>
      <c r="B2153" t="s">
        <v>337</v>
      </c>
      <c r="C2153" t="s">
        <v>95</v>
      </c>
      <c r="D2153" t="s">
        <v>43</v>
      </c>
      <c r="E2153" t="s">
        <v>30</v>
      </c>
      <c r="F2153" t="s">
        <v>70</v>
      </c>
      <c r="G2153" t="s">
        <v>23</v>
      </c>
      <c r="H2153" s="1">
        <v>44671</v>
      </c>
      <c r="I2153" s="2">
        <v>44673.6875</v>
      </c>
      <c r="J2153">
        <v>64.5</v>
      </c>
      <c r="K2153" t="s">
        <v>32</v>
      </c>
      <c r="L2153">
        <v>0</v>
      </c>
      <c r="M2153">
        <v>5</v>
      </c>
      <c r="N2153" t="s">
        <v>744</v>
      </c>
      <c r="O2153" s="3" t="str">
        <f>TEXT(Ticket_Table[[#This Row],[raised_date]],"YYYY-MM")</f>
        <v>2022-04</v>
      </c>
      <c r="P2153" s="3" t="str">
        <f>IF(Ticket_Table[[#This Row],[resolution_hrs]]&lt;=4,"Fast",IF(Ticket_Table[[#This Row],[resolution_hrs]]&lt;=24,"Normal",IF(Ticket_Table[[#This Row],[resolution_hrs]]&lt;=48,"Slow","Very Slow")))</f>
        <v>Very Slow</v>
      </c>
      <c r="Q2153" s="3">
        <f>YEAR(Ticket_Table[[#This Row],[raised_date]])</f>
        <v>2022</v>
      </c>
    </row>
    <row r="2154" spans="1:17">
      <c r="A2154" t="s">
        <v>2715</v>
      </c>
      <c r="B2154" t="s">
        <v>266</v>
      </c>
      <c r="C2154" t="s">
        <v>50</v>
      </c>
      <c r="D2154" t="s">
        <v>20</v>
      </c>
      <c r="E2154" t="s">
        <v>37</v>
      </c>
      <c r="F2154" t="s">
        <v>38</v>
      </c>
      <c r="G2154" t="s">
        <v>23</v>
      </c>
      <c r="H2154" s="1">
        <v>45261</v>
      </c>
      <c r="I2154" s="2">
        <v>45261.1791666667</v>
      </c>
      <c r="J2154">
        <v>4.3</v>
      </c>
      <c r="K2154" t="s">
        <v>24</v>
      </c>
      <c r="L2154">
        <v>0</v>
      </c>
      <c r="M2154">
        <v>4</v>
      </c>
      <c r="N2154" t="s">
        <v>158</v>
      </c>
      <c r="O2154" s="3" t="str">
        <f>TEXT(Ticket_Table[[#This Row],[raised_date]],"YYYY-MM")</f>
        <v>2023-12</v>
      </c>
      <c r="P2154" s="3" t="str">
        <f>IF(Ticket_Table[[#This Row],[resolution_hrs]]&lt;=4,"Fast",IF(Ticket_Table[[#This Row],[resolution_hrs]]&lt;=24,"Normal",IF(Ticket_Table[[#This Row],[resolution_hrs]]&lt;=48,"Slow","Very Slow")))</f>
        <v>Normal</v>
      </c>
      <c r="Q2154" s="3">
        <f>YEAR(Ticket_Table[[#This Row],[raised_date]])</f>
        <v>2023</v>
      </c>
    </row>
    <row r="2155" spans="1:17">
      <c r="A2155" t="s">
        <v>2716</v>
      </c>
      <c r="B2155" t="s">
        <v>127</v>
      </c>
      <c r="C2155" t="s">
        <v>140</v>
      </c>
      <c r="D2155" t="s">
        <v>43</v>
      </c>
      <c r="E2155" t="s">
        <v>37</v>
      </c>
      <c r="F2155" t="s">
        <v>70</v>
      </c>
      <c r="G2155" t="s">
        <v>23</v>
      </c>
      <c r="H2155" s="1">
        <v>45042</v>
      </c>
      <c r="I2155" s="2">
        <v>45042.35</v>
      </c>
      <c r="J2155">
        <v>8.4</v>
      </c>
      <c r="K2155" t="s">
        <v>24</v>
      </c>
      <c r="L2155">
        <v>2</v>
      </c>
      <c r="M2155">
        <v>3</v>
      </c>
      <c r="N2155" t="s">
        <v>401</v>
      </c>
      <c r="O2155" s="3" t="str">
        <f>TEXT(Ticket_Table[[#This Row],[raised_date]],"YYYY-MM")</f>
        <v>2023-04</v>
      </c>
      <c r="P2155" s="3" t="str">
        <f>IF(Ticket_Table[[#This Row],[resolution_hrs]]&lt;=4,"Fast",IF(Ticket_Table[[#This Row],[resolution_hrs]]&lt;=24,"Normal",IF(Ticket_Table[[#This Row],[resolution_hrs]]&lt;=48,"Slow","Very Slow")))</f>
        <v>Normal</v>
      </c>
      <c r="Q2155" s="3">
        <f>YEAR(Ticket_Table[[#This Row],[raised_date]])</f>
        <v>2023</v>
      </c>
    </row>
    <row r="2156" spans="1:17">
      <c r="A2156" t="s">
        <v>2717</v>
      </c>
      <c r="B2156" t="s">
        <v>491</v>
      </c>
      <c r="C2156" t="s">
        <v>133</v>
      </c>
      <c r="D2156" t="s">
        <v>90</v>
      </c>
      <c r="E2156" t="s">
        <v>106</v>
      </c>
      <c r="F2156" t="s">
        <v>45</v>
      </c>
      <c r="G2156" t="s">
        <v>23</v>
      </c>
      <c r="H2156" s="1">
        <v>44959</v>
      </c>
      <c r="I2156" s="2">
        <v>44959.1583333333</v>
      </c>
      <c r="J2156">
        <v>3.8</v>
      </c>
      <c r="K2156" t="s">
        <v>24</v>
      </c>
      <c r="L2156">
        <v>1</v>
      </c>
      <c r="M2156">
        <v>4</v>
      </c>
      <c r="N2156" t="s">
        <v>89</v>
      </c>
      <c r="O2156" s="3" t="str">
        <f>TEXT(Ticket_Table[[#This Row],[raised_date]],"YYYY-MM")</f>
        <v>2023-02</v>
      </c>
      <c r="P2156" s="3" t="str">
        <f>IF(Ticket_Table[[#This Row],[resolution_hrs]]&lt;=4,"Fast",IF(Ticket_Table[[#This Row],[resolution_hrs]]&lt;=24,"Normal",IF(Ticket_Table[[#This Row],[resolution_hrs]]&lt;=48,"Slow","Very Slow")))</f>
        <v>Fast</v>
      </c>
      <c r="Q2156" s="3">
        <f>YEAR(Ticket_Table[[#This Row],[raised_date]])</f>
        <v>2023</v>
      </c>
    </row>
    <row r="2157" spans="1:17">
      <c r="A2157" t="s">
        <v>2718</v>
      </c>
      <c r="B2157" t="s">
        <v>116</v>
      </c>
      <c r="C2157" t="s">
        <v>19</v>
      </c>
      <c r="D2157" t="s">
        <v>29</v>
      </c>
      <c r="E2157" t="s">
        <v>69</v>
      </c>
      <c r="F2157" t="s">
        <v>22</v>
      </c>
      <c r="G2157" t="s">
        <v>23</v>
      </c>
      <c r="H2157" s="1">
        <v>45135</v>
      </c>
      <c r="I2157" s="2">
        <v>45135.1833333333</v>
      </c>
      <c r="J2157">
        <v>4.4</v>
      </c>
      <c r="K2157" t="s">
        <v>24</v>
      </c>
      <c r="L2157">
        <v>1</v>
      </c>
      <c r="M2157">
        <v>5</v>
      </c>
      <c r="N2157" t="s">
        <v>237</v>
      </c>
      <c r="O2157" s="3" t="str">
        <f>TEXT(Ticket_Table[[#This Row],[raised_date]],"YYYY-MM")</f>
        <v>2023-07</v>
      </c>
      <c r="P2157" s="3" t="str">
        <f>IF(Ticket_Table[[#This Row],[resolution_hrs]]&lt;=4,"Fast",IF(Ticket_Table[[#This Row],[resolution_hrs]]&lt;=24,"Normal",IF(Ticket_Table[[#This Row],[resolution_hrs]]&lt;=48,"Slow","Very Slow")))</f>
        <v>Normal</v>
      </c>
      <c r="Q2157" s="3">
        <f>YEAR(Ticket_Table[[#This Row],[raised_date]])</f>
        <v>2023</v>
      </c>
    </row>
    <row r="2158" spans="1:17">
      <c r="A2158" t="s">
        <v>2719</v>
      </c>
      <c r="B2158" t="s">
        <v>206</v>
      </c>
      <c r="C2158" t="s">
        <v>201</v>
      </c>
      <c r="D2158" t="s">
        <v>29</v>
      </c>
      <c r="E2158" t="s">
        <v>37</v>
      </c>
      <c r="F2158" t="s">
        <v>22</v>
      </c>
      <c r="G2158" t="s">
        <v>23</v>
      </c>
      <c r="H2158" s="1">
        <v>44370</v>
      </c>
      <c r="I2158" s="2">
        <v>44373.1125</v>
      </c>
      <c r="J2158">
        <v>74.7</v>
      </c>
      <c r="K2158" t="s">
        <v>32</v>
      </c>
      <c r="L2158">
        <v>0</v>
      </c>
      <c r="M2158">
        <v>3</v>
      </c>
      <c r="N2158" t="s">
        <v>397</v>
      </c>
      <c r="O2158" s="3" t="str">
        <f>TEXT(Ticket_Table[[#This Row],[raised_date]],"YYYY-MM")</f>
        <v>2021-06</v>
      </c>
      <c r="P2158" s="3" t="str">
        <f>IF(Ticket_Table[[#This Row],[resolution_hrs]]&lt;=4,"Fast",IF(Ticket_Table[[#This Row],[resolution_hrs]]&lt;=24,"Normal",IF(Ticket_Table[[#This Row],[resolution_hrs]]&lt;=48,"Slow","Very Slow")))</f>
        <v>Very Slow</v>
      </c>
      <c r="Q2158" s="3">
        <f>YEAR(Ticket_Table[[#This Row],[raised_date]])</f>
        <v>2021</v>
      </c>
    </row>
    <row r="2159" spans="1:17">
      <c r="A2159" t="s">
        <v>2720</v>
      </c>
      <c r="B2159" t="s">
        <v>1064</v>
      </c>
      <c r="C2159" t="s">
        <v>95</v>
      </c>
      <c r="D2159" t="s">
        <v>36</v>
      </c>
      <c r="E2159" t="s">
        <v>83</v>
      </c>
      <c r="F2159" t="s">
        <v>70</v>
      </c>
      <c r="G2159" t="s">
        <v>31</v>
      </c>
      <c r="H2159" s="1">
        <v>44392</v>
      </c>
      <c r="I2159" s="2">
        <v>44393.4875</v>
      </c>
      <c r="J2159">
        <v>35.7</v>
      </c>
      <c r="K2159" t="s">
        <v>24</v>
      </c>
      <c r="L2159">
        <v>2</v>
      </c>
      <c r="M2159">
        <v>4</v>
      </c>
      <c r="N2159" t="s">
        <v>395</v>
      </c>
      <c r="O2159" s="3" t="str">
        <f>TEXT(Ticket_Table[[#This Row],[raised_date]],"YYYY-MM")</f>
        <v>2021-07</v>
      </c>
      <c r="P2159" s="3" t="str">
        <f>IF(Ticket_Table[[#This Row],[resolution_hrs]]&lt;=4,"Fast",IF(Ticket_Table[[#This Row],[resolution_hrs]]&lt;=24,"Normal",IF(Ticket_Table[[#This Row],[resolution_hrs]]&lt;=48,"Slow","Very Slow")))</f>
        <v>Slow</v>
      </c>
      <c r="Q2159" s="3">
        <f>YEAR(Ticket_Table[[#This Row],[raised_date]])</f>
        <v>2021</v>
      </c>
    </row>
    <row r="2160" spans="1:17">
      <c r="A2160" t="s">
        <v>2721</v>
      </c>
      <c r="B2160" t="s">
        <v>1019</v>
      </c>
      <c r="C2160" t="s">
        <v>60</v>
      </c>
      <c r="D2160" t="s">
        <v>90</v>
      </c>
      <c r="E2160" t="s">
        <v>44</v>
      </c>
      <c r="F2160" t="s">
        <v>22</v>
      </c>
      <c r="G2160" t="s">
        <v>23</v>
      </c>
      <c r="H2160" s="1">
        <v>45232</v>
      </c>
      <c r="I2160" s="2">
        <v>45232.875</v>
      </c>
      <c r="J2160">
        <v>21</v>
      </c>
      <c r="K2160" t="s">
        <v>24</v>
      </c>
      <c r="L2160">
        <v>0</v>
      </c>
      <c r="M2160">
        <v>4</v>
      </c>
      <c r="N2160" t="s">
        <v>653</v>
      </c>
      <c r="O2160" s="3" t="str">
        <f>TEXT(Ticket_Table[[#This Row],[raised_date]],"YYYY-MM")</f>
        <v>2023-11</v>
      </c>
      <c r="P2160" s="3" t="str">
        <f>IF(Ticket_Table[[#This Row],[resolution_hrs]]&lt;=4,"Fast",IF(Ticket_Table[[#This Row],[resolution_hrs]]&lt;=24,"Normal",IF(Ticket_Table[[#This Row],[resolution_hrs]]&lt;=48,"Slow","Very Slow")))</f>
        <v>Normal</v>
      </c>
      <c r="Q2160" s="3">
        <f>YEAR(Ticket_Table[[#This Row],[raised_date]])</f>
        <v>2023</v>
      </c>
    </row>
    <row r="2161" spans="1:17">
      <c r="A2161" t="s">
        <v>2722</v>
      </c>
      <c r="B2161" t="s">
        <v>468</v>
      </c>
      <c r="C2161" t="s">
        <v>28</v>
      </c>
      <c r="D2161" t="s">
        <v>43</v>
      </c>
      <c r="E2161" t="s">
        <v>83</v>
      </c>
      <c r="F2161" t="s">
        <v>22</v>
      </c>
      <c r="G2161" t="s">
        <v>23</v>
      </c>
      <c r="H2161" s="1">
        <v>44470</v>
      </c>
      <c r="I2161" s="2">
        <v>44470.35</v>
      </c>
      <c r="J2161">
        <v>8.4</v>
      </c>
      <c r="K2161" t="s">
        <v>24</v>
      </c>
      <c r="L2161">
        <v>1</v>
      </c>
      <c r="M2161">
        <v>5</v>
      </c>
      <c r="N2161" t="s">
        <v>618</v>
      </c>
      <c r="O2161" s="3" t="str">
        <f>TEXT(Ticket_Table[[#This Row],[raised_date]],"YYYY-MM")</f>
        <v>2021-10</v>
      </c>
      <c r="P2161" s="3" t="str">
        <f>IF(Ticket_Table[[#This Row],[resolution_hrs]]&lt;=4,"Fast",IF(Ticket_Table[[#This Row],[resolution_hrs]]&lt;=24,"Normal",IF(Ticket_Table[[#This Row],[resolution_hrs]]&lt;=48,"Slow","Very Slow")))</f>
        <v>Normal</v>
      </c>
      <c r="Q2161" s="3">
        <f>YEAR(Ticket_Table[[#This Row],[raised_date]])</f>
        <v>2021</v>
      </c>
    </row>
    <row r="2162" spans="1:17">
      <c r="A2162" t="s">
        <v>2723</v>
      </c>
      <c r="B2162" t="s">
        <v>566</v>
      </c>
      <c r="C2162" t="s">
        <v>68</v>
      </c>
      <c r="D2162" t="s">
        <v>90</v>
      </c>
      <c r="E2162" t="s">
        <v>44</v>
      </c>
      <c r="F2162" t="s">
        <v>45</v>
      </c>
      <c r="G2162" t="s">
        <v>74</v>
      </c>
      <c r="H2162" s="1">
        <v>45004</v>
      </c>
      <c r="I2162" s="2">
        <v>45004.2416666667</v>
      </c>
      <c r="J2162">
        <v>5.8</v>
      </c>
      <c r="K2162" t="s">
        <v>32</v>
      </c>
      <c r="L2162">
        <v>0</v>
      </c>
      <c r="M2162">
        <v>3</v>
      </c>
      <c r="N2162" t="s">
        <v>266</v>
      </c>
      <c r="O2162" s="3" t="str">
        <f>TEXT(Ticket_Table[[#This Row],[raised_date]],"YYYY-MM")</f>
        <v>2023-03</v>
      </c>
      <c r="P2162" s="3" t="str">
        <f>IF(Ticket_Table[[#This Row],[resolution_hrs]]&lt;=4,"Fast",IF(Ticket_Table[[#This Row],[resolution_hrs]]&lt;=24,"Normal",IF(Ticket_Table[[#This Row],[resolution_hrs]]&lt;=48,"Slow","Very Slow")))</f>
        <v>Normal</v>
      </c>
      <c r="Q2162" s="3">
        <f>YEAR(Ticket_Table[[#This Row],[raised_date]])</f>
        <v>2023</v>
      </c>
    </row>
    <row r="2163" spans="1:17">
      <c r="A2163" t="s">
        <v>2724</v>
      </c>
      <c r="B2163" t="s">
        <v>716</v>
      </c>
      <c r="C2163" t="s">
        <v>213</v>
      </c>
      <c r="D2163" t="s">
        <v>29</v>
      </c>
      <c r="E2163" t="s">
        <v>166</v>
      </c>
      <c r="F2163" t="s">
        <v>45</v>
      </c>
      <c r="G2163" t="s">
        <v>91</v>
      </c>
      <c r="H2163" s="1">
        <v>44350</v>
      </c>
      <c r="I2163" s="2">
        <v>44350.1</v>
      </c>
      <c r="J2163">
        <v>2.4</v>
      </c>
      <c r="K2163" t="s">
        <v>24</v>
      </c>
      <c r="L2163">
        <v>0</v>
      </c>
      <c r="M2163">
        <v>5</v>
      </c>
      <c r="N2163" t="s">
        <v>985</v>
      </c>
      <c r="O2163" s="3" t="str">
        <f>TEXT(Ticket_Table[[#This Row],[raised_date]],"YYYY-MM")</f>
        <v>2021-06</v>
      </c>
      <c r="P2163" s="3" t="str">
        <f>IF(Ticket_Table[[#This Row],[resolution_hrs]]&lt;=4,"Fast",IF(Ticket_Table[[#This Row],[resolution_hrs]]&lt;=24,"Normal",IF(Ticket_Table[[#This Row],[resolution_hrs]]&lt;=48,"Slow","Very Slow")))</f>
        <v>Fast</v>
      </c>
      <c r="Q2163" s="3">
        <f>YEAR(Ticket_Table[[#This Row],[raised_date]])</f>
        <v>2021</v>
      </c>
    </row>
    <row r="2164" spans="1:17">
      <c r="A2164" t="s">
        <v>2725</v>
      </c>
      <c r="B2164" t="s">
        <v>541</v>
      </c>
      <c r="C2164" t="s">
        <v>175</v>
      </c>
      <c r="D2164" t="s">
        <v>43</v>
      </c>
      <c r="E2164" t="s">
        <v>30</v>
      </c>
      <c r="F2164" t="s">
        <v>70</v>
      </c>
      <c r="G2164" t="s">
        <v>23</v>
      </c>
      <c r="H2164" s="1">
        <v>44324</v>
      </c>
      <c r="I2164" s="2">
        <v>44324.7291666667</v>
      </c>
      <c r="J2164">
        <v>17.5</v>
      </c>
      <c r="K2164" t="s">
        <v>24</v>
      </c>
      <c r="L2164">
        <v>3</v>
      </c>
      <c r="M2164">
        <v>3</v>
      </c>
      <c r="N2164" t="s">
        <v>189</v>
      </c>
      <c r="O2164" s="3" t="str">
        <f>TEXT(Ticket_Table[[#This Row],[raised_date]],"YYYY-MM")</f>
        <v>2021-05</v>
      </c>
      <c r="P2164" s="3" t="str">
        <f>IF(Ticket_Table[[#This Row],[resolution_hrs]]&lt;=4,"Fast",IF(Ticket_Table[[#This Row],[resolution_hrs]]&lt;=24,"Normal",IF(Ticket_Table[[#This Row],[resolution_hrs]]&lt;=48,"Slow","Very Slow")))</f>
        <v>Normal</v>
      </c>
      <c r="Q2164" s="3">
        <f>YEAR(Ticket_Table[[#This Row],[raised_date]])</f>
        <v>2021</v>
      </c>
    </row>
    <row r="2165" spans="1:17">
      <c r="A2165" t="s">
        <v>2726</v>
      </c>
      <c r="B2165" t="s">
        <v>790</v>
      </c>
      <c r="C2165" t="s">
        <v>50</v>
      </c>
      <c r="D2165" t="s">
        <v>90</v>
      </c>
      <c r="E2165" t="s">
        <v>106</v>
      </c>
      <c r="F2165" t="s">
        <v>45</v>
      </c>
      <c r="G2165" t="s">
        <v>31</v>
      </c>
      <c r="H2165" s="1">
        <v>45087</v>
      </c>
      <c r="I2165" s="2">
        <v>45087.1791666667</v>
      </c>
      <c r="J2165">
        <v>4.3</v>
      </c>
      <c r="K2165" t="s">
        <v>32</v>
      </c>
      <c r="L2165">
        <v>0</v>
      </c>
      <c r="M2165">
        <v>4</v>
      </c>
      <c r="N2165" t="s">
        <v>481</v>
      </c>
      <c r="O2165" s="3" t="str">
        <f>TEXT(Ticket_Table[[#This Row],[raised_date]],"YYYY-MM")</f>
        <v>2023-06</v>
      </c>
      <c r="P2165" s="3" t="str">
        <f>IF(Ticket_Table[[#This Row],[resolution_hrs]]&lt;=4,"Fast",IF(Ticket_Table[[#This Row],[resolution_hrs]]&lt;=24,"Normal",IF(Ticket_Table[[#This Row],[resolution_hrs]]&lt;=48,"Slow","Very Slow")))</f>
        <v>Normal</v>
      </c>
      <c r="Q2165" s="3">
        <f>YEAR(Ticket_Table[[#This Row],[raised_date]])</f>
        <v>2023</v>
      </c>
    </row>
    <row r="2166" spans="1:17">
      <c r="A2166" t="s">
        <v>2727</v>
      </c>
      <c r="B2166" t="s">
        <v>200</v>
      </c>
      <c r="C2166" t="s">
        <v>60</v>
      </c>
      <c r="D2166" t="s">
        <v>29</v>
      </c>
      <c r="E2166" t="s">
        <v>21</v>
      </c>
      <c r="F2166" t="s">
        <v>70</v>
      </c>
      <c r="G2166" t="s">
        <v>23</v>
      </c>
      <c r="H2166" s="1">
        <v>44464</v>
      </c>
      <c r="I2166" s="2">
        <v>44464.25</v>
      </c>
      <c r="J2166">
        <v>6</v>
      </c>
      <c r="K2166" t="s">
        <v>24</v>
      </c>
      <c r="L2166">
        <v>1</v>
      </c>
      <c r="M2166">
        <v>3</v>
      </c>
      <c r="N2166" t="s">
        <v>504</v>
      </c>
      <c r="O2166" s="3" t="str">
        <f>TEXT(Ticket_Table[[#This Row],[raised_date]],"YYYY-MM")</f>
        <v>2021-09</v>
      </c>
      <c r="P2166" s="3" t="str">
        <f>IF(Ticket_Table[[#This Row],[resolution_hrs]]&lt;=4,"Fast",IF(Ticket_Table[[#This Row],[resolution_hrs]]&lt;=24,"Normal",IF(Ticket_Table[[#This Row],[resolution_hrs]]&lt;=48,"Slow","Very Slow")))</f>
        <v>Normal</v>
      </c>
      <c r="Q2166" s="3">
        <f>YEAR(Ticket_Table[[#This Row],[raised_date]])</f>
        <v>2021</v>
      </c>
    </row>
    <row r="2167" spans="1:17">
      <c r="A2167" t="s">
        <v>2728</v>
      </c>
      <c r="B2167" t="s">
        <v>567</v>
      </c>
      <c r="C2167" t="s">
        <v>261</v>
      </c>
      <c r="D2167" t="s">
        <v>43</v>
      </c>
      <c r="E2167" t="s">
        <v>21</v>
      </c>
      <c r="F2167" t="s">
        <v>22</v>
      </c>
      <c r="G2167" t="s">
        <v>23</v>
      </c>
      <c r="H2167" s="1">
        <v>44681</v>
      </c>
      <c r="I2167" s="2">
        <v>44681.2958333333</v>
      </c>
      <c r="J2167">
        <v>7.1</v>
      </c>
      <c r="K2167" t="s">
        <v>24</v>
      </c>
      <c r="L2167">
        <v>0</v>
      </c>
      <c r="M2167">
        <v>3</v>
      </c>
      <c r="N2167" t="s">
        <v>398</v>
      </c>
      <c r="O2167" s="3" t="str">
        <f>TEXT(Ticket_Table[[#This Row],[raised_date]],"YYYY-MM")</f>
        <v>2022-04</v>
      </c>
      <c r="P2167" s="3" t="str">
        <f>IF(Ticket_Table[[#This Row],[resolution_hrs]]&lt;=4,"Fast",IF(Ticket_Table[[#This Row],[resolution_hrs]]&lt;=24,"Normal",IF(Ticket_Table[[#This Row],[resolution_hrs]]&lt;=48,"Slow","Very Slow")))</f>
        <v>Normal</v>
      </c>
      <c r="Q2167" s="3">
        <f>YEAR(Ticket_Table[[#This Row],[raised_date]])</f>
        <v>2022</v>
      </c>
    </row>
    <row r="2168" spans="1:17">
      <c r="A2168" t="s">
        <v>2729</v>
      </c>
      <c r="B2168" t="s">
        <v>676</v>
      </c>
      <c r="C2168" t="s">
        <v>42</v>
      </c>
      <c r="D2168" t="s">
        <v>43</v>
      </c>
      <c r="E2168" t="s">
        <v>56</v>
      </c>
      <c r="F2168" t="s">
        <v>38</v>
      </c>
      <c r="G2168" t="s">
        <v>31</v>
      </c>
      <c r="H2168" s="1">
        <v>44794</v>
      </c>
      <c r="I2168" s="2">
        <v>44794.7958333333</v>
      </c>
      <c r="J2168">
        <v>19.1</v>
      </c>
      <c r="K2168" t="s">
        <v>24</v>
      </c>
      <c r="L2168">
        <v>0</v>
      </c>
      <c r="M2168">
        <v>4</v>
      </c>
      <c r="N2168" t="s">
        <v>552</v>
      </c>
      <c r="O2168" s="3" t="str">
        <f>TEXT(Ticket_Table[[#This Row],[raised_date]],"YYYY-MM")</f>
        <v>2022-08</v>
      </c>
      <c r="P2168" s="3" t="str">
        <f>IF(Ticket_Table[[#This Row],[resolution_hrs]]&lt;=4,"Fast",IF(Ticket_Table[[#This Row],[resolution_hrs]]&lt;=24,"Normal",IF(Ticket_Table[[#This Row],[resolution_hrs]]&lt;=48,"Slow","Very Slow")))</f>
        <v>Normal</v>
      </c>
      <c r="Q2168" s="3">
        <f>YEAR(Ticket_Table[[#This Row],[raised_date]])</f>
        <v>2022</v>
      </c>
    </row>
    <row r="2169" spans="1:17">
      <c r="A2169" t="s">
        <v>2730</v>
      </c>
      <c r="B2169" t="s">
        <v>772</v>
      </c>
      <c r="C2169" t="s">
        <v>60</v>
      </c>
      <c r="D2169" t="s">
        <v>29</v>
      </c>
      <c r="E2169" t="s">
        <v>69</v>
      </c>
      <c r="F2169" t="s">
        <v>38</v>
      </c>
      <c r="G2169" t="s">
        <v>23</v>
      </c>
      <c r="H2169" s="1">
        <v>44731</v>
      </c>
      <c r="I2169" s="2">
        <v>44731.2916666667</v>
      </c>
      <c r="J2169">
        <v>7</v>
      </c>
      <c r="K2169" t="s">
        <v>24</v>
      </c>
      <c r="L2169">
        <v>1</v>
      </c>
      <c r="M2169">
        <v>4</v>
      </c>
      <c r="N2169" t="s">
        <v>298</v>
      </c>
      <c r="O2169" s="3" t="str">
        <f>TEXT(Ticket_Table[[#This Row],[raised_date]],"YYYY-MM")</f>
        <v>2022-06</v>
      </c>
      <c r="P2169" s="3" t="str">
        <f>IF(Ticket_Table[[#This Row],[resolution_hrs]]&lt;=4,"Fast",IF(Ticket_Table[[#This Row],[resolution_hrs]]&lt;=24,"Normal",IF(Ticket_Table[[#This Row],[resolution_hrs]]&lt;=48,"Slow","Very Slow")))</f>
        <v>Normal</v>
      </c>
      <c r="Q2169" s="3">
        <f>YEAR(Ticket_Table[[#This Row],[raised_date]])</f>
        <v>2022</v>
      </c>
    </row>
    <row r="2170" spans="1:17">
      <c r="A2170" t="s">
        <v>2731</v>
      </c>
      <c r="B2170" t="s">
        <v>685</v>
      </c>
      <c r="C2170" t="s">
        <v>82</v>
      </c>
      <c r="D2170" t="s">
        <v>43</v>
      </c>
      <c r="E2170" t="s">
        <v>106</v>
      </c>
      <c r="F2170" t="s">
        <v>45</v>
      </c>
      <c r="G2170" t="s">
        <v>31</v>
      </c>
      <c r="H2170" s="1">
        <v>44842</v>
      </c>
      <c r="I2170" s="2">
        <v>44842.2208333333</v>
      </c>
      <c r="J2170">
        <v>5.3</v>
      </c>
      <c r="K2170" t="s">
        <v>32</v>
      </c>
      <c r="L2170">
        <v>0</v>
      </c>
      <c r="M2170">
        <v>3</v>
      </c>
      <c r="N2170" t="s">
        <v>478</v>
      </c>
      <c r="O2170" s="3" t="str">
        <f>TEXT(Ticket_Table[[#This Row],[raised_date]],"YYYY-MM")</f>
        <v>2022-10</v>
      </c>
      <c r="P2170" s="3" t="str">
        <f>IF(Ticket_Table[[#This Row],[resolution_hrs]]&lt;=4,"Fast",IF(Ticket_Table[[#This Row],[resolution_hrs]]&lt;=24,"Normal",IF(Ticket_Table[[#This Row],[resolution_hrs]]&lt;=48,"Slow","Very Slow")))</f>
        <v>Normal</v>
      </c>
      <c r="Q2170" s="3">
        <f>YEAR(Ticket_Table[[#This Row],[raised_date]])</f>
        <v>2022</v>
      </c>
    </row>
    <row r="2171" spans="1:17">
      <c r="A2171" t="s">
        <v>2732</v>
      </c>
      <c r="B2171" t="s">
        <v>658</v>
      </c>
      <c r="C2171" t="s">
        <v>117</v>
      </c>
      <c r="D2171" t="s">
        <v>29</v>
      </c>
      <c r="E2171" t="s">
        <v>37</v>
      </c>
      <c r="F2171" t="s">
        <v>22</v>
      </c>
      <c r="G2171" t="s">
        <v>23</v>
      </c>
      <c r="H2171" s="1">
        <v>45001</v>
      </c>
      <c r="I2171" s="2">
        <v>45002.875</v>
      </c>
      <c r="J2171">
        <v>45</v>
      </c>
      <c r="K2171" t="s">
        <v>24</v>
      </c>
      <c r="L2171">
        <v>1</v>
      </c>
      <c r="M2171">
        <v>2</v>
      </c>
      <c r="N2171" t="s">
        <v>556</v>
      </c>
      <c r="O2171" s="3" t="str">
        <f>TEXT(Ticket_Table[[#This Row],[raised_date]],"YYYY-MM")</f>
        <v>2023-03</v>
      </c>
      <c r="P2171" s="3" t="str">
        <f>IF(Ticket_Table[[#This Row],[resolution_hrs]]&lt;=4,"Fast",IF(Ticket_Table[[#This Row],[resolution_hrs]]&lt;=24,"Normal",IF(Ticket_Table[[#This Row],[resolution_hrs]]&lt;=48,"Slow","Very Slow")))</f>
        <v>Slow</v>
      </c>
      <c r="Q2171" s="3">
        <f>YEAR(Ticket_Table[[#This Row],[raised_date]])</f>
        <v>2023</v>
      </c>
    </row>
    <row r="2172" spans="1:17">
      <c r="A2172" t="s">
        <v>2733</v>
      </c>
      <c r="B2172" t="s">
        <v>1067</v>
      </c>
      <c r="C2172" t="s">
        <v>82</v>
      </c>
      <c r="D2172" t="s">
        <v>20</v>
      </c>
      <c r="E2172" t="s">
        <v>51</v>
      </c>
      <c r="F2172" t="s">
        <v>38</v>
      </c>
      <c r="G2172" t="s">
        <v>31</v>
      </c>
      <c r="H2172" s="1">
        <v>44865</v>
      </c>
      <c r="I2172" s="2">
        <v>44865.2708333333</v>
      </c>
      <c r="J2172">
        <v>6.5</v>
      </c>
      <c r="K2172" t="s">
        <v>24</v>
      </c>
      <c r="L2172">
        <v>0</v>
      </c>
      <c r="M2172">
        <v>3</v>
      </c>
      <c r="N2172" t="s">
        <v>947</v>
      </c>
      <c r="O2172" s="3" t="str">
        <f>TEXT(Ticket_Table[[#This Row],[raised_date]],"YYYY-MM")</f>
        <v>2022-10</v>
      </c>
      <c r="P2172" s="3" t="str">
        <f>IF(Ticket_Table[[#This Row],[resolution_hrs]]&lt;=4,"Fast",IF(Ticket_Table[[#This Row],[resolution_hrs]]&lt;=24,"Normal",IF(Ticket_Table[[#This Row],[resolution_hrs]]&lt;=48,"Slow","Very Slow")))</f>
        <v>Normal</v>
      </c>
      <c r="Q2172" s="3">
        <f>YEAR(Ticket_Table[[#This Row],[raised_date]])</f>
        <v>2022</v>
      </c>
    </row>
    <row r="2173" spans="1:17">
      <c r="A2173" t="s">
        <v>2734</v>
      </c>
      <c r="B2173" t="s">
        <v>744</v>
      </c>
      <c r="C2173" t="s">
        <v>82</v>
      </c>
      <c r="D2173" t="s">
        <v>20</v>
      </c>
      <c r="E2173" t="s">
        <v>69</v>
      </c>
      <c r="F2173" t="s">
        <v>22</v>
      </c>
      <c r="G2173" t="s">
        <v>31</v>
      </c>
      <c r="H2173" s="1">
        <v>44848</v>
      </c>
      <c r="I2173" s="2">
        <v>44848.5333333333</v>
      </c>
      <c r="J2173">
        <v>12.8</v>
      </c>
      <c r="K2173" t="s">
        <v>24</v>
      </c>
      <c r="L2173">
        <v>0</v>
      </c>
      <c r="M2173">
        <v>3</v>
      </c>
      <c r="N2173" t="s">
        <v>1022</v>
      </c>
      <c r="O2173" s="3" t="str">
        <f>TEXT(Ticket_Table[[#This Row],[raised_date]],"YYYY-MM")</f>
        <v>2022-10</v>
      </c>
      <c r="P2173" s="3" t="str">
        <f>IF(Ticket_Table[[#This Row],[resolution_hrs]]&lt;=4,"Fast",IF(Ticket_Table[[#This Row],[resolution_hrs]]&lt;=24,"Normal",IF(Ticket_Table[[#This Row],[resolution_hrs]]&lt;=48,"Slow","Very Slow")))</f>
        <v>Normal</v>
      </c>
      <c r="Q2173" s="3">
        <f>YEAR(Ticket_Table[[#This Row],[raised_date]])</f>
        <v>2022</v>
      </c>
    </row>
    <row r="2174" spans="1:17">
      <c r="A2174" t="s">
        <v>2735</v>
      </c>
      <c r="B2174" t="s">
        <v>365</v>
      </c>
      <c r="C2174" t="s">
        <v>68</v>
      </c>
      <c r="D2174" t="s">
        <v>43</v>
      </c>
      <c r="E2174" t="s">
        <v>69</v>
      </c>
      <c r="F2174" t="s">
        <v>22</v>
      </c>
      <c r="G2174" t="s">
        <v>46</v>
      </c>
      <c r="H2174" s="1">
        <v>45124</v>
      </c>
      <c r="I2174" s="2">
        <v>45126.4333333333</v>
      </c>
      <c r="J2174">
        <v>58.4</v>
      </c>
      <c r="K2174" t="s">
        <v>24</v>
      </c>
      <c r="L2174">
        <v>0</v>
      </c>
      <c r="M2174">
        <v>3</v>
      </c>
      <c r="N2174" t="s">
        <v>1019</v>
      </c>
      <c r="O2174" s="3" t="str">
        <f>TEXT(Ticket_Table[[#This Row],[raised_date]],"YYYY-MM")</f>
        <v>2023-07</v>
      </c>
      <c r="P2174" s="3" t="str">
        <f>IF(Ticket_Table[[#This Row],[resolution_hrs]]&lt;=4,"Fast",IF(Ticket_Table[[#This Row],[resolution_hrs]]&lt;=24,"Normal",IF(Ticket_Table[[#This Row],[resolution_hrs]]&lt;=48,"Slow","Very Slow")))</f>
        <v>Very Slow</v>
      </c>
      <c r="Q2174" s="3">
        <f>YEAR(Ticket_Table[[#This Row],[raised_date]])</f>
        <v>2023</v>
      </c>
    </row>
    <row r="2175" spans="1:17">
      <c r="A2175" t="s">
        <v>2736</v>
      </c>
      <c r="B2175" t="s">
        <v>521</v>
      </c>
      <c r="C2175" t="s">
        <v>140</v>
      </c>
      <c r="D2175" t="s">
        <v>43</v>
      </c>
      <c r="E2175" t="s">
        <v>51</v>
      </c>
      <c r="F2175" t="s">
        <v>22</v>
      </c>
      <c r="G2175" t="s">
        <v>23</v>
      </c>
      <c r="H2175" s="1">
        <v>44753</v>
      </c>
      <c r="I2175" s="2">
        <v>44755.175</v>
      </c>
      <c r="J2175">
        <v>52.2</v>
      </c>
      <c r="K2175" t="s">
        <v>24</v>
      </c>
      <c r="L2175">
        <v>0</v>
      </c>
      <c r="M2175">
        <v>3</v>
      </c>
      <c r="N2175" t="s">
        <v>321</v>
      </c>
      <c r="O2175" s="3" t="str">
        <f>TEXT(Ticket_Table[[#This Row],[raised_date]],"YYYY-MM")</f>
        <v>2022-07</v>
      </c>
      <c r="P2175" s="3" t="str">
        <f>IF(Ticket_Table[[#This Row],[resolution_hrs]]&lt;=4,"Fast",IF(Ticket_Table[[#This Row],[resolution_hrs]]&lt;=24,"Normal",IF(Ticket_Table[[#This Row],[resolution_hrs]]&lt;=48,"Slow","Very Slow")))</f>
        <v>Very Slow</v>
      </c>
      <c r="Q2175" s="3">
        <f>YEAR(Ticket_Table[[#This Row],[raised_date]])</f>
        <v>2022</v>
      </c>
    </row>
    <row r="2176" spans="1:17">
      <c r="A2176" t="s">
        <v>2737</v>
      </c>
      <c r="B2176" t="s">
        <v>857</v>
      </c>
      <c r="C2176" t="s">
        <v>55</v>
      </c>
      <c r="D2176" t="s">
        <v>29</v>
      </c>
      <c r="E2176" t="s">
        <v>30</v>
      </c>
      <c r="F2176" t="s">
        <v>45</v>
      </c>
      <c r="G2176" t="s">
        <v>74</v>
      </c>
      <c r="H2176" s="1">
        <v>44675</v>
      </c>
      <c r="I2176" s="2">
        <v>44675.0541666667</v>
      </c>
      <c r="J2176">
        <v>1.3</v>
      </c>
      <c r="K2176" t="s">
        <v>24</v>
      </c>
      <c r="L2176">
        <v>1</v>
      </c>
      <c r="M2176">
        <v>1</v>
      </c>
      <c r="N2176" t="s">
        <v>981</v>
      </c>
      <c r="O2176" s="3" t="str">
        <f>TEXT(Ticket_Table[[#This Row],[raised_date]],"YYYY-MM")</f>
        <v>2022-04</v>
      </c>
      <c r="P2176" s="3" t="str">
        <f>IF(Ticket_Table[[#This Row],[resolution_hrs]]&lt;=4,"Fast",IF(Ticket_Table[[#This Row],[resolution_hrs]]&lt;=24,"Normal",IF(Ticket_Table[[#This Row],[resolution_hrs]]&lt;=48,"Slow","Very Slow")))</f>
        <v>Fast</v>
      </c>
      <c r="Q2176" s="3">
        <f>YEAR(Ticket_Table[[#This Row],[raised_date]])</f>
        <v>2022</v>
      </c>
    </row>
    <row r="2177" spans="1:17">
      <c r="A2177" t="s">
        <v>2738</v>
      </c>
      <c r="B2177" t="s">
        <v>873</v>
      </c>
      <c r="C2177" t="s">
        <v>133</v>
      </c>
      <c r="D2177" t="s">
        <v>43</v>
      </c>
      <c r="E2177" t="s">
        <v>69</v>
      </c>
      <c r="F2177" t="s">
        <v>38</v>
      </c>
      <c r="G2177" t="s">
        <v>46</v>
      </c>
      <c r="H2177" s="1">
        <v>44349</v>
      </c>
      <c r="I2177" s="2">
        <v>44350.4333333333</v>
      </c>
      <c r="J2177">
        <v>34.4</v>
      </c>
      <c r="K2177" t="s">
        <v>32</v>
      </c>
      <c r="L2177">
        <v>0</v>
      </c>
      <c r="M2177">
        <v>4</v>
      </c>
      <c r="N2177" t="s">
        <v>538</v>
      </c>
      <c r="O2177" s="3" t="str">
        <f>TEXT(Ticket_Table[[#This Row],[raised_date]],"YYYY-MM")</f>
        <v>2021-06</v>
      </c>
      <c r="P2177" s="3" t="str">
        <f>IF(Ticket_Table[[#This Row],[resolution_hrs]]&lt;=4,"Fast",IF(Ticket_Table[[#This Row],[resolution_hrs]]&lt;=24,"Normal",IF(Ticket_Table[[#This Row],[resolution_hrs]]&lt;=48,"Slow","Very Slow")))</f>
        <v>Slow</v>
      </c>
      <c r="Q2177" s="3">
        <f>YEAR(Ticket_Table[[#This Row],[raised_date]])</f>
        <v>2021</v>
      </c>
    </row>
    <row r="2178" spans="1:17">
      <c r="A2178" t="s">
        <v>2739</v>
      </c>
      <c r="B2178" t="s">
        <v>1226</v>
      </c>
      <c r="C2178" t="s">
        <v>140</v>
      </c>
      <c r="D2178" t="s">
        <v>36</v>
      </c>
      <c r="E2178" t="s">
        <v>166</v>
      </c>
      <c r="F2178" t="s">
        <v>38</v>
      </c>
      <c r="G2178" t="s">
        <v>31</v>
      </c>
      <c r="H2178" s="1">
        <v>44612</v>
      </c>
      <c r="I2178" s="2">
        <v>44613.3041666667</v>
      </c>
      <c r="J2178">
        <v>31.3</v>
      </c>
      <c r="K2178" t="s">
        <v>32</v>
      </c>
      <c r="L2178">
        <v>0</v>
      </c>
      <c r="M2178">
        <v>5</v>
      </c>
      <c r="N2178" t="s">
        <v>423</v>
      </c>
      <c r="O2178" s="3" t="str">
        <f>TEXT(Ticket_Table[[#This Row],[raised_date]],"YYYY-MM")</f>
        <v>2022-02</v>
      </c>
      <c r="P2178" s="3" t="str">
        <f>IF(Ticket_Table[[#This Row],[resolution_hrs]]&lt;=4,"Fast",IF(Ticket_Table[[#This Row],[resolution_hrs]]&lt;=24,"Normal",IF(Ticket_Table[[#This Row],[resolution_hrs]]&lt;=48,"Slow","Very Slow")))</f>
        <v>Slow</v>
      </c>
      <c r="Q2178" s="3">
        <f>YEAR(Ticket_Table[[#This Row],[raised_date]])</f>
        <v>2022</v>
      </c>
    </row>
    <row r="2179" spans="1:17">
      <c r="A2179" t="s">
        <v>2740</v>
      </c>
      <c r="B2179" t="s">
        <v>200</v>
      </c>
      <c r="C2179" t="s">
        <v>201</v>
      </c>
      <c r="D2179" t="s">
        <v>20</v>
      </c>
      <c r="E2179" t="s">
        <v>69</v>
      </c>
      <c r="F2179" t="s">
        <v>70</v>
      </c>
      <c r="G2179" t="s">
        <v>74</v>
      </c>
      <c r="H2179" s="1">
        <v>44475</v>
      </c>
      <c r="I2179" s="2">
        <v>44475.425</v>
      </c>
      <c r="J2179">
        <v>10.2</v>
      </c>
      <c r="K2179" t="s">
        <v>24</v>
      </c>
      <c r="L2179">
        <v>1</v>
      </c>
      <c r="M2179">
        <v>3</v>
      </c>
      <c r="N2179" t="s">
        <v>165</v>
      </c>
      <c r="O2179" s="3" t="str">
        <f>TEXT(Ticket_Table[[#This Row],[raised_date]],"YYYY-MM")</f>
        <v>2021-10</v>
      </c>
      <c r="P2179" s="3" t="str">
        <f>IF(Ticket_Table[[#This Row],[resolution_hrs]]&lt;=4,"Fast",IF(Ticket_Table[[#This Row],[resolution_hrs]]&lt;=24,"Normal",IF(Ticket_Table[[#This Row],[resolution_hrs]]&lt;=48,"Slow","Very Slow")))</f>
        <v>Normal</v>
      </c>
      <c r="Q2179" s="3">
        <f>YEAR(Ticket_Table[[#This Row],[raised_date]])</f>
        <v>2021</v>
      </c>
    </row>
    <row r="2180" spans="1:17">
      <c r="A2180" t="s">
        <v>2741</v>
      </c>
      <c r="B2180" t="s">
        <v>81</v>
      </c>
      <c r="C2180" t="s">
        <v>82</v>
      </c>
      <c r="D2180" t="s">
        <v>43</v>
      </c>
      <c r="E2180" t="s">
        <v>56</v>
      </c>
      <c r="F2180" t="s">
        <v>70</v>
      </c>
      <c r="G2180" t="s">
        <v>23</v>
      </c>
      <c r="H2180" s="1">
        <v>44420</v>
      </c>
      <c r="I2180" s="2">
        <v>44420.65</v>
      </c>
      <c r="J2180">
        <v>15.6</v>
      </c>
      <c r="K2180" t="s">
        <v>24</v>
      </c>
      <c r="L2180">
        <v>0</v>
      </c>
      <c r="M2180">
        <v>2</v>
      </c>
      <c r="N2180" t="s">
        <v>126</v>
      </c>
      <c r="O2180" s="3" t="str">
        <f>TEXT(Ticket_Table[[#This Row],[raised_date]],"YYYY-MM")</f>
        <v>2021-08</v>
      </c>
      <c r="P2180" s="3" t="str">
        <f>IF(Ticket_Table[[#This Row],[resolution_hrs]]&lt;=4,"Fast",IF(Ticket_Table[[#This Row],[resolution_hrs]]&lt;=24,"Normal",IF(Ticket_Table[[#This Row],[resolution_hrs]]&lt;=48,"Slow","Very Slow")))</f>
        <v>Normal</v>
      </c>
      <c r="Q2180" s="3">
        <f>YEAR(Ticket_Table[[#This Row],[raised_date]])</f>
        <v>2021</v>
      </c>
    </row>
    <row r="2181" spans="1:17">
      <c r="A2181" t="s">
        <v>2742</v>
      </c>
      <c r="B2181" t="s">
        <v>853</v>
      </c>
      <c r="C2181" t="s">
        <v>82</v>
      </c>
      <c r="D2181" t="s">
        <v>43</v>
      </c>
      <c r="E2181" t="s">
        <v>83</v>
      </c>
      <c r="F2181" t="s">
        <v>22</v>
      </c>
      <c r="G2181" t="s">
        <v>46</v>
      </c>
      <c r="H2181" s="1">
        <v>44515</v>
      </c>
      <c r="I2181" s="2">
        <v>44516.9666666667</v>
      </c>
      <c r="J2181">
        <v>47.2</v>
      </c>
      <c r="K2181" t="s">
        <v>24</v>
      </c>
      <c r="L2181">
        <v>1</v>
      </c>
      <c r="M2181">
        <v>4</v>
      </c>
      <c r="N2181" t="s">
        <v>123</v>
      </c>
      <c r="O2181" s="3" t="str">
        <f>TEXT(Ticket_Table[[#This Row],[raised_date]],"YYYY-MM")</f>
        <v>2021-11</v>
      </c>
      <c r="P2181" s="3" t="str">
        <f>IF(Ticket_Table[[#This Row],[resolution_hrs]]&lt;=4,"Fast",IF(Ticket_Table[[#This Row],[resolution_hrs]]&lt;=24,"Normal",IF(Ticket_Table[[#This Row],[resolution_hrs]]&lt;=48,"Slow","Very Slow")))</f>
        <v>Slow</v>
      </c>
      <c r="Q2181" s="3">
        <f>YEAR(Ticket_Table[[#This Row],[raised_date]])</f>
        <v>2021</v>
      </c>
    </row>
    <row r="2182" spans="1:17">
      <c r="A2182" t="s">
        <v>2743</v>
      </c>
      <c r="B2182" t="s">
        <v>600</v>
      </c>
      <c r="C2182" t="s">
        <v>95</v>
      </c>
      <c r="D2182" t="s">
        <v>90</v>
      </c>
      <c r="E2182" t="s">
        <v>21</v>
      </c>
      <c r="F2182" t="s">
        <v>22</v>
      </c>
      <c r="G2182" t="s">
        <v>23</v>
      </c>
      <c r="H2182" s="1">
        <v>44413</v>
      </c>
      <c r="I2182" s="2">
        <v>44416.2041666667</v>
      </c>
      <c r="J2182">
        <v>76.9</v>
      </c>
      <c r="K2182" t="s">
        <v>32</v>
      </c>
      <c r="L2182">
        <v>2</v>
      </c>
      <c r="M2182">
        <v>3</v>
      </c>
      <c r="N2182" t="s">
        <v>442</v>
      </c>
      <c r="O2182" s="3" t="str">
        <f>TEXT(Ticket_Table[[#This Row],[raised_date]],"YYYY-MM")</f>
        <v>2021-08</v>
      </c>
      <c r="P2182" s="3" t="str">
        <f>IF(Ticket_Table[[#This Row],[resolution_hrs]]&lt;=4,"Fast",IF(Ticket_Table[[#This Row],[resolution_hrs]]&lt;=24,"Normal",IF(Ticket_Table[[#This Row],[resolution_hrs]]&lt;=48,"Slow","Very Slow")))</f>
        <v>Very Slow</v>
      </c>
      <c r="Q2182" s="3">
        <f>YEAR(Ticket_Table[[#This Row],[raised_date]])</f>
        <v>2021</v>
      </c>
    </row>
    <row r="2183" spans="1:17">
      <c r="A2183" t="s">
        <v>2744</v>
      </c>
      <c r="B2183" t="s">
        <v>824</v>
      </c>
      <c r="C2183" t="s">
        <v>42</v>
      </c>
      <c r="D2183" t="s">
        <v>43</v>
      </c>
      <c r="E2183" t="s">
        <v>30</v>
      </c>
      <c r="F2183" t="s">
        <v>70</v>
      </c>
      <c r="G2183" t="s">
        <v>46</v>
      </c>
      <c r="H2183" s="1">
        <v>44533</v>
      </c>
      <c r="I2183" s="2">
        <v>44534.4458333333</v>
      </c>
      <c r="J2183">
        <v>34.7</v>
      </c>
      <c r="K2183" t="s">
        <v>24</v>
      </c>
      <c r="L2183">
        <v>0</v>
      </c>
      <c r="M2183">
        <v>4</v>
      </c>
      <c r="N2183" t="s">
        <v>339</v>
      </c>
      <c r="O2183" s="3" t="str">
        <f>TEXT(Ticket_Table[[#This Row],[raised_date]],"YYYY-MM")</f>
        <v>2021-12</v>
      </c>
      <c r="P2183" s="3" t="str">
        <f>IF(Ticket_Table[[#This Row],[resolution_hrs]]&lt;=4,"Fast",IF(Ticket_Table[[#This Row],[resolution_hrs]]&lt;=24,"Normal",IF(Ticket_Table[[#This Row],[resolution_hrs]]&lt;=48,"Slow","Very Slow")))</f>
        <v>Slow</v>
      </c>
      <c r="Q2183" s="3">
        <f>YEAR(Ticket_Table[[#This Row],[raised_date]])</f>
        <v>2021</v>
      </c>
    </row>
    <row r="2184" spans="1:17">
      <c r="A2184" t="s">
        <v>2745</v>
      </c>
      <c r="B2184" t="s">
        <v>376</v>
      </c>
      <c r="C2184" t="s">
        <v>19</v>
      </c>
      <c r="D2184" t="s">
        <v>36</v>
      </c>
      <c r="E2184" t="s">
        <v>106</v>
      </c>
      <c r="F2184" t="s">
        <v>38</v>
      </c>
      <c r="G2184" t="s">
        <v>46</v>
      </c>
      <c r="H2184" s="1">
        <v>45117</v>
      </c>
      <c r="I2184" s="2">
        <v>45117.9208333333</v>
      </c>
      <c r="J2184">
        <v>22.1</v>
      </c>
      <c r="K2184" t="s">
        <v>24</v>
      </c>
      <c r="L2184">
        <v>0</v>
      </c>
      <c r="M2184">
        <v>5</v>
      </c>
      <c r="N2184" t="s">
        <v>495</v>
      </c>
      <c r="O2184" s="3" t="str">
        <f>TEXT(Ticket_Table[[#This Row],[raised_date]],"YYYY-MM")</f>
        <v>2023-07</v>
      </c>
      <c r="P2184" s="3" t="str">
        <f>IF(Ticket_Table[[#This Row],[resolution_hrs]]&lt;=4,"Fast",IF(Ticket_Table[[#This Row],[resolution_hrs]]&lt;=24,"Normal",IF(Ticket_Table[[#This Row],[resolution_hrs]]&lt;=48,"Slow","Very Slow")))</f>
        <v>Normal</v>
      </c>
      <c r="Q2184" s="3">
        <f>YEAR(Ticket_Table[[#This Row],[raised_date]])</f>
        <v>2023</v>
      </c>
    </row>
    <row r="2185" spans="1:17">
      <c r="A2185" t="s">
        <v>2746</v>
      </c>
      <c r="B2185" t="s">
        <v>703</v>
      </c>
      <c r="C2185" t="s">
        <v>287</v>
      </c>
      <c r="D2185" t="s">
        <v>20</v>
      </c>
      <c r="E2185" t="s">
        <v>37</v>
      </c>
      <c r="F2185" t="s">
        <v>70</v>
      </c>
      <c r="G2185" t="s">
        <v>31</v>
      </c>
      <c r="H2185" s="1">
        <v>45151</v>
      </c>
      <c r="I2185" s="2">
        <v>45153.8208333333</v>
      </c>
      <c r="J2185">
        <v>67.7</v>
      </c>
      <c r="K2185" t="s">
        <v>32</v>
      </c>
      <c r="L2185">
        <v>0</v>
      </c>
      <c r="M2185">
        <v>4</v>
      </c>
      <c r="N2185" t="s">
        <v>764</v>
      </c>
      <c r="O2185" s="3" t="str">
        <f>TEXT(Ticket_Table[[#This Row],[raised_date]],"YYYY-MM")</f>
        <v>2023-08</v>
      </c>
      <c r="P2185" s="3" t="str">
        <f>IF(Ticket_Table[[#This Row],[resolution_hrs]]&lt;=4,"Fast",IF(Ticket_Table[[#This Row],[resolution_hrs]]&lt;=24,"Normal",IF(Ticket_Table[[#This Row],[resolution_hrs]]&lt;=48,"Slow","Very Slow")))</f>
        <v>Very Slow</v>
      </c>
      <c r="Q2185" s="3">
        <f>YEAR(Ticket_Table[[#This Row],[raised_date]])</f>
        <v>2023</v>
      </c>
    </row>
    <row r="2186" spans="1:17">
      <c r="A2186" t="s">
        <v>2747</v>
      </c>
      <c r="B2186" t="s">
        <v>897</v>
      </c>
      <c r="C2186" t="s">
        <v>64</v>
      </c>
      <c r="D2186" t="s">
        <v>90</v>
      </c>
      <c r="E2186" t="s">
        <v>166</v>
      </c>
      <c r="F2186" t="s">
        <v>22</v>
      </c>
      <c r="G2186" t="s">
        <v>23</v>
      </c>
      <c r="H2186" s="1">
        <v>44840</v>
      </c>
      <c r="I2186" s="2">
        <v>44842.6625</v>
      </c>
      <c r="J2186">
        <v>63.9</v>
      </c>
      <c r="K2186" t="s">
        <v>24</v>
      </c>
      <c r="L2186">
        <v>1</v>
      </c>
      <c r="M2186">
        <v>4</v>
      </c>
      <c r="N2186" t="s">
        <v>509</v>
      </c>
      <c r="O2186" s="3" t="str">
        <f>TEXT(Ticket_Table[[#This Row],[raised_date]],"YYYY-MM")</f>
        <v>2022-10</v>
      </c>
      <c r="P2186" s="3" t="str">
        <f>IF(Ticket_Table[[#This Row],[resolution_hrs]]&lt;=4,"Fast",IF(Ticket_Table[[#This Row],[resolution_hrs]]&lt;=24,"Normal",IF(Ticket_Table[[#This Row],[resolution_hrs]]&lt;=48,"Slow","Very Slow")))</f>
        <v>Very Slow</v>
      </c>
      <c r="Q2186" s="3">
        <f>YEAR(Ticket_Table[[#This Row],[raised_date]])</f>
        <v>2022</v>
      </c>
    </row>
    <row r="2187" spans="1:17">
      <c r="A2187" t="s">
        <v>2748</v>
      </c>
      <c r="B2187" t="s">
        <v>1582</v>
      </c>
      <c r="C2187" t="s">
        <v>78</v>
      </c>
      <c r="D2187" t="s">
        <v>29</v>
      </c>
      <c r="E2187" t="s">
        <v>30</v>
      </c>
      <c r="F2187" t="s">
        <v>22</v>
      </c>
      <c r="G2187" t="s">
        <v>31</v>
      </c>
      <c r="H2187" s="1">
        <v>45029</v>
      </c>
      <c r="I2187" s="2">
        <v>45031.2833333333</v>
      </c>
      <c r="J2187">
        <v>54.8</v>
      </c>
      <c r="K2187" t="s">
        <v>24</v>
      </c>
      <c r="L2187">
        <v>0</v>
      </c>
      <c r="M2187">
        <v>4</v>
      </c>
      <c r="N2187" t="s">
        <v>501</v>
      </c>
      <c r="O2187" s="3" t="str">
        <f>TEXT(Ticket_Table[[#This Row],[raised_date]],"YYYY-MM")</f>
        <v>2023-04</v>
      </c>
      <c r="P2187" s="3" t="str">
        <f>IF(Ticket_Table[[#This Row],[resolution_hrs]]&lt;=4,"Fast",IF(Ticket_Table[[#This Row],[resolution_hrs]]&lt;=24,"Normal",IF(Ticket_Table[[#This Row],[resolution_hrs]]&lt;=48,"Slow","Very Slow")))</f>
        <v>Very Slow</v>
      </c>
      <c r="Q2187" s="3">
        <f>YEAR(Ticket_Table[[#This Row],[raised_date]])</f>
        <v>2023</v>
      </c>
    </row>
    <row r="2188" spans="1:17">
      <c r="A2188" t="s">
        <v>2749</v>
      </c>
      <c r="B2188" t="s">
        <v>383</v>
      </c>
      <c r="C2188" t="s">
        <v>102</v>
      </c>
      <c r="D2188" t="s">
        <v>29</v>
      </c>
      <c r="E2188" t="s">
        <v>83</v>
      </c>
      <c r="F2188" t="s">
        <v>22</v>
      </c>
      <c r="G2188" t="s">
        <v>74</v>
      </c>
      <c r="H2188" s="1">
        <v>44444</v>
      </c>
      <c r="I2188" s="2">
        <v>44447.0958333333</v>
      </c>
      <c r="J2188">
        <v>74.3</v>
      </c>
      <c r="K2188" t="s">
        <v>32</v>
      </c>
      <c r="L2188">
        <v>1</v>
      </c>
      <c r="M2188">
        <v>3</v>
      </c>
      <c r="N2188" t="s">
        <v>84</v>
      </c>
      <c r="O2188" s="3" t="str">
        <f>TEXT(Ticket_Table[[#This Row],[raised_date]],"YYYY-MM")</f>
        <v>2021-09</v>
      </c>
      <c r="P2188" s="3" t="str">
        <f>IF(Ticket_Table[[#This Row],[resolution_hrs]]&lt;=4,"Fast",IF(Ticket_Table[[#This Row],[resolution_hrs]]&lt;=24,"Normal",IF(Ticket_Table[[#This Row],[resolution_hrs]]&lt;=48,"Slow","Very Slow")))</f>
        <v>Very Slow</v>
      </c>
      <c r="Q2188" s="3">
        <f>YEAR(Ticket_Table[[#This Row],[raised_date]])</f>
        <v>2021</v>
      </c>
    </row>
    <row r="2189" spans="1:17">
      <c r="A2189" t="s">
        <v>2750</v>
      </c>
      <c r="B2189" t="s">
        <v>163</v>
      </c>
      <c r="C2189" t="s">
        <v>19</v>
      </c>
      <c r="D2189" t="s">
        <v>20</v>
      </c>
      <c r="E2189" t="s">
        <v>56</v>
      </c>
      <c r="F2189" t="s">
        <v>70</v>
      </c>
      <c r="G2189" t="s">
        <v>31</v>
      </c>
      <c r="H2189" s="1">
        <v>44930</v>
      </c>
      <c r="I2189" s="2">
        <v>44930.8583333333</v>
      </c>
      <c r="J2189">
        <v>20.6</v>
      </c>
      <c r="K2189" t="s">
        <v>24</v>
      </c>
      <c r="L2189">
        <v>0</v>
      </c>
      <c r="M2189">
        <v>4</v>
      </c>
      <c r="N2189" t="s">
        <v>346</v>
      </c>
      <c r="O2189" s="3" t="str">
        <f>TEXT(Ticket_Table[[#This Row],[raised_date]],"YYYY-MM")</f>
        <v>2023-01</v>
      </c>
      <c r="P2189" s="3" t="str">
        <f>IF(Ticket_Table[[#This Row],[resolution_hrs]]&lt;=4,"Fast",IF(Ticket_Table[[#This Row],[resolution_hrs]]&lt;=24,"Normal",IF(Ticket_Table[[#This Row],[resolution_hrs]]&lt;=48,"Slow","Very Slow")))</f>
        <v>Normal</v>
      </c>
      <c r="Q2189" s="3">
        <f>YEAR(Ticket_Table[[#This Row],[raised_date]])</f>
        <v>2023</v>
      </c>
    </row>
    <row r="2190" spans="1:17">
      <c r="A2190" t="s">
        <v>2751</v>
      </c>
      <c r="B2190" t="s">
        <v>327</v>
      </c>
      <c r="C2190" t="s">
        <v>102</v>
      </c>
      <c r="D2190" t="s">
        <v>29</v>
      </c>
      <c r="E2190" t="s">
        <v>83</v>
      </c>
      <c r="F2190" t="s">
        <v>45</v>
      </c>
      <c r="G2190" t="s">
        <v>31</v>
      </c>
      <c r="H2190" s="1">
        <v>44622</v>
      </c>
      <c r="I2190" s="2">
        <v>44622.0416666667</v>
      </c>
      <c r="J2190">
        <v>1</v>
      </c>
      <c r="K2190" t="s">
        <v>24</v>
      </c>
      <c r="L2190">
        <v>1</v>
      </c>
      <c r="M2190">
        <v>5</v>
      </c>
      <c r="N2190" t="s">
        <v>988</v>
      </c>
      <c r="O2190" s="3" t="str">
        <f>TEXT(Ticket_Table[[#This Row],[raised_date]],"YYYY-MM")</f>
        <v>2022-03</v>
      </c>
      <c r="P2190" s="3" t="str">
        <f>IF(Ticket_Table[[#This Row],[resolution_hrs]]&lt;=4,"Fast",IF(Ticket_Table[[#This Row],[resolution_hrs]]&lt;=24,"Normal",IF(Ticket_Table[[#This Row],[resolution_hrs]]&lt;=48,"Slow","Very Slow")))</f>
        <v>Fast</v>
      </c>
      <c r="Q2190" s="3">
        <f>YEAR(Ticket_Table[[#This Row],[raised_date]])</f>
        <v>2022</v>
      </c>
    </row>
    <row r="2191" spans="1:17">
      <c r="A2191" t="s">
        <v>2752</v>
      </c>
      <c r="B2191" t="s">
        <v>358</v>
      </c>
      <c r="C2191" t="s">
        <v>60</v>
      </c>
      <c r="D2191" t="s">
        <v>36</v>
      </c>
      <c r="E2191" t="s">
        <v>106</v>
      </c>
      <c r="F2191" t="s">
        <v>70</v>
      </c>
      <c r="G2191" t="s">
        <v>23</v>
      </c>
      <c r="H2191" s="1">
        <v>45122</v>
      </c>
      <c r="I2191" s="2">
        <v>45122.4625</v>
      </c>
      <c r="J2191">
        <v>11.1</v>
      </c>
      <c r="K2191" t="s">
        <v>24</v>
      </c>
      <c r="L2191">
        <v>1</v>
      </c>
      <c r="M2191">
        <v>5</v>
      </c>
      <c r="N2191" t="s">
        <v>756</v>
      </c>
      <c r="O2191" s="3" t="str">
        <f>TEXT(Ticket_Table[[#This Row],[raised_date]],"YYYY-MM")</f>
        <v>2023-07</v>
      </c>
      <c r="P2191" s="3" t="str">
        <f>IF(Ticket_Table[[#This Row],[resolution_hrs]]&lt;=4,"Fast",IF(Ticket_Table[[#This Row],[resolution_hrs]]&lt;=24,"Normal",IF(Ticket_Table[[#This Row],[resolution_hrs]]&lt;=48,"Slow","Very Slow")))</f>
        <v>Normal</v>
      </c>
      <c r="Q2191" s="3">
        <f>YEAR(Ticket_Table[[#This Row],[raised_date]])</f>
        <v>2023</v>
      </c>
    </row>
    <row r="2192" spans="1:17">
      <c r="A2192" t="s">
        <v>2753</v>
      </c>
      <c r="B2192" t="s">
        <v>450</v>
      </c>
      <c r="C2192" t="s">
        <v>102</v>
      </c>
      <c r="D2192" t="s">
        <v>43</v>
      </c>
      <c r="E2192" t="s">
        <v>51</v>
      </c>
      <c r="F2192" t="s">
        <v>38</v>
      </c>
      <c r="G2192" t="s">
        <v>31</v>
      </c>
      <c r="H2192" s="1">
        <v>44828</v>
      </c>
      <c r="I2192" s="2">
        <v>44828.1333333333</v>
      </c>
      <c r="J2192">
        <v>3.2</v>
      </c>
      <c r="K2192" t="s">
        <v>24</v>
      </c>
      <c r="L2192">
        <v>2</v>
      </c>
      <c r="M2192">
        <v>4</v>
      </c>
      <c r="N2192" t="s">
        <v>118</v>
      </c>
      <c r="O2192" s="3" t="str">
        <f>TEXT(Ticket_Table[[#This Row],[raised_date]],"YYYY-MM")</f>
        <v>2022-09</v>
      </c>
      <c r="P2192" s="3" t="str">
        <f>IF(Ticket_Table[[#This Row],[resolution_hrs]]&lt;=4,"Fast",IF(Ticket_Table[[#This Row],[resolution_hrs]]&lt;=24,"Normal",IF(Ticket_Table[[#This Row],[resolution_hrs]]&lt;=48,"Slow","Very Slow")))</f>
        <v>Fast</v>
      </c>
      <c r="Q2192" s="3">
        <f>YEAR(Ticket_Table[[#This Row],[raised_date]])</f>
        <v>2022</v>
      </c>
    </row>
    <row r="2193" spans="1:17">
      <c r="A2193" t="s">
        <v>2754</v>
      </c>
      <c r="B2193" t="s">
        <v>47</v>
      </c>
      <c r="C2193" t="s">
        <v>60</v>
      </c>
      <c r="D2193" t="s">
        <v>20</v>
      </c>
      <c r="E2193" t="s">
        <v>37</v>
      </c>
      <c r="F2193" t="s">
        <v>70</v>
      </c>
      <c r="G2193" t="s">
        <v>31</v>
      </c>
      <c r="H2193" s="1">
        <v>45145</v>
      </c>
      <c r="I2193" s="2">
        <v>45146.2208333333</v>
      </c>
      <c r="J2193">
        <v>29.3</v>
      </c>
      <c r="K2193" t="s">
        <v>24</v>
      </c>
      <c r="L2193">
        <v>0</v>
      </c>
      <c r="M2193">
        <v>3</v>
      </c>
      <c r="N2193" t="s">
        <v>523</v>
      </c>
      <c r="O2193" s="3" t="str">
        <f>TEXT(Ticket_Table[[#This Row],[raised_date]],"YYYY-MM")</f>
        <v>2023-08</v>
      </c>
      <c r="P2193" s="3" t="str">
        <f>IF(Ticket_Table[[#This Row],[resolution_hrs]]&lt;=4,"Fast",IF(Ticket_Table[[#This Row],[resolution_hrs]]&lt;=24,"Normal",IF(Ticket_Table[[#This Row],[resolution_hrs]]&lt;=48,"Slow","Very Slow")))</f>
        <v>Slow</v>
      </c>
      <c r="Q2193" s="3">
        <f>YEAR(Ticket_Table[[#This Row],[raised_date]])</f>
        <v>2023</v>
      </c>
    </row>
    <row r="2194" spans="1:17">
      <c r="A2194" t="s">
        <v>2755</v>
      </c>
      <c r="B2194" t="s">
        <v>132</v>
      </c>
      <c r="C2194" t="s">
        <v>140</v>
      </c>
      <c r="D2194" t="s">
        <v>90</v>
      </c>
      <c r="E2194" t="s">
        <v>51</v>
      </c>
      <c r="F2194" t="s">
        <v>70</v>
      </c>
      <c r="G2194" t="s">
        <v>23</v>
      </c>
      <c r="H2194" s="1">
        <v>44739</v>
      </c>
      <c r="I2194" s="2">
        <v>44741.4291666667</v>
      </c>
      <c r="J2194">
        <v>58.3</v>
      </c>
      <c r="K2194" t="s">
        <v>32</v>
      </c>
      <c r="L2194">
        <v>0</v>
      </c>
      <c r="M2194">
        <v>3</v>
      </c>
      <c r="N2194" t="s">
        <v>372</v>
      </c>
      <c r="O2194" s="3" t="str">
        <f>TEXT(Ticket_Table[[#This Row],[raised_date]],"YYYY-MM")</f>
        <v>2022-06</v>
      </c>
      <c r="P2194" s="3" t="str">
        <f>IF(Ticket_Table[[#This Row],[resolution_hrs]]&lt;=4,"Fast",IF(Ticket_Table[[#This Row],[resolution_hrs]]&lt;=24,"Normal",IF(Ticket_Table[[#This Row],[resolution_hrs]]&lt;=48,"Slow","Very Slow")))</f>
        <v>Very Slow</v>
      </c>
      <c r="Q2194" s="3">
        <f>YEAR(Ticket_Table[[#This Row],[raised_date]])</f>
        <v>2022</v>
      </c>
    </row>
    <row r="2195" spans="1:17">
      <c r="A2195" t="s">
        <v>2756</v>
      </c>
      <c r="B2195" t="s">
        <v>1348</v>
      </c>
      <c r="C2195" t="s">
        <v>28</v>
      </c>
      <c r="D2195" t="s">
        <v>43</v>
      </c>
      <c r="E2195" t="s">
        <v>44</v>
      </c>
      <c r="F2195" t="s">
        <v>22</v>
      </c>
      <c r="G2195" t="s">
        <v>31</v>
      </c>
      <c r="H2195" s="1">
        <v>44442</v>
      </c>
      <c r="I2195" s="2">
        <v>44444.3875</v>
      </c>
      <c r="J2195">
        <v>57.3</v>
      </c>
      <c r="K2195" t="s">
        <v>24</v>
      </c>
      <c r="L2195">
        <v>0</v>
      </c>
      <c r="M2195">
        <v>1</v>
      </c>
      <c r="N2195" t="s">
        <v>228</v>
      </c>
      <c r="O2195" s="3" t="str">
        <f>TEXT(Ticket_Table[[#This Row],[raised_date]],"YYYY-MM")</f>
        <v>2021-09</v>
      </c>
      <c r="P2195" s="3" t="str">
        <f>IF(Ticket_Table[[#This Row],[resolution_hrs]]&lt;=4,"Fast",IF(Ticket_Table[[#This Row],[resolution_hrs]]&lt;=24,"Normal",IF(Ticket_Table[[#This Row],[resolution_hrs]]&lt;=48,"Slow","Very Slow")))</f>
        <v>Very Slow</v>
      </c>
      <c r="Q2195" s="3">
        <f>YEAR(Ticket_Table[[#This Row],[raised_date]])</f>
        <v>2021</v>
      </c>
    </row>
    <row r="2196" spans="1:17">
      <c r="A2196" t="s">
        <v>2757</v>
      </c>
      <c r="B2196" t="s">
        <v>368</v>
      </c>
      <c r="C2196" t="s">
        <v>28</v>
      </c>
      <c r="D2196" t="s">
        <v>29</v>
      </c>
      <c r="E2196" t="s">
        <v>56</v>
      </c>
      <c r="F2196" t="s">
        <v>38</v>
      </c>
      <c r="G2196" t="s">
        <v>23</v>
      </c>
      <c r="H2196" s="1">
        <v>44382</v>
      </c>
      <c r="I2196" s="2">
        <v>44383.3708333333</v>
      </c>
      <c r="J2196">
        <v>32.9</v>
      </c>
      <c r="K2196" t="s">
        <v>32</v>
      </c>
      <c r="L2196">
        <v>0</v>
      </c>
      <c r="M2196">
        <v>5</v>
      </c>
      <c r="N2196" t="s">
        <v>1136</v>
      </c>
      <c r="O2196" s="3" t="str">
        <f>TEXT(Ticket_Table[[#This Row],[raised_date]],"YYYY-MM")</f>
        <v>2021-07</v>
      </c>
      <c r="P2196" s="3" t="str">
        <f>IF(Ticket_Table[[#This Row],[resolution_hrs]]&lt;=4,"Fast",IF(Ticket_Table[[#This Row],[resolution_hrs]]&lt;=24,"Normal",IF(Ticket_Table[[#This Row],[resolution_hrs]]&lt;=48,"Slow","Very Slow")))</f>
        <v>Slow</v>
      </c>
      <c r="Q2196" s="3">
        <f>YEAR(Ticket_Table[[#This Row],[raised_date]])</f>
        <v>2021</v>
      </c>
    </row>
    <row r="2197" spans="1:17">
      <c r="A2197" t="s">
        <v>2758</v>
      </c>
      <c r="B2197" t="s">
        <v>300</v>
      </c>
      <c r="C2197" t="s">
        <v>28</v>
      </c>
      <c r="D2197" t="s">
        <v>29</v>
      </c>
      <c r="E2197" t="s">
        <v>37</v>
      </c>
      <c r="F2197" t="s">
        <v>38</v>
      </c>
      <c r="G2197" t="s">
        <v>23</v>
      </c>
      <c r="H2197" s="1">
        <v>44519</v>
      </c>
      <c r="I2197" s="2">
        <v>44520.325</v>
      </c>
      <c r="J2197">
        <v>31.8</v>
      </c>
      <c r="K2197" t="s">
        <v>32</v>
      </c>
      <c r="L2197">
        <v>0</v>
      </c>
      <c r="M2197">
        <v>3</v>
      </c>
      <c r="N2197" t="s">
        <v>1091</v>
      </c>
      <c r="O2197" s="3" t="str">
        <f>TEXT(Ticket_Table[[#This Row],[raised_date]],"YYYY-MM")</f>
        <v>2021-11</v>
      </c>
      <c r="P2197" s="3" t="str">
        <f>IF(Ticket_Table[[#This Row],[resolution_hrs]]&lt;=4,"Fast",IF(Ticket_Table[[#This Row],[resolution_hrs]]&lt;=24,"Normal",IF(Ticket_Table[[#This Row],[resolution_hrs]]&lt;=48,"Slow","Very Slow")))</f>
        <v>Slow</v>
      </c>
      <c r="Q2197" s="3">
        <f>YEAR(Ticket_Table[[#This Row],[raised_date]])</f>
        <v>2021</v>
      </c>
    </row>
    <row r="2198" spans="1:17">
      <c r="A2198" t="s">
        <v>2759</v>
      </c>
      <c r="B2198" t="s">
        <v>853</v>
      </c>
      <c r="C2198" t="s">
        <v>133</v>
      </c>
      <c r="D2198" t="s">
        <v>90</v>
      </c>
      <c r="E2198" t="s">
        <v>106</v>
      </c>
      <c r="F2198" t="s">
        <v>22</v>
      </c>
      <c r="G2198" t="s">
        <v>23</v>
      </c>
      <c r="H2198" s="1">
        <v>44820</v>
      </c>
      <c r="I2198" s="2">
        <v>44822.0916666667</v>
      </c>
      <c r="J2198">
        <v>50.2</v>
      </c>
      <c r="K2198" t="s">
        <v>24</v>
      </c>
      <c r="L2198">
        <v>2</v>
      </c>
      <c r="M2198">
        <v>3</v>
      </c>
      <c r="N2198" t="s">
        <v>346</v>
      </c>
      <c r="O2198" s="3" t="str">
        <f>TEXT(Ticket_Table[[#This Row],[raised_date]],"YYYY-MM")</f>
        <v>2022-09</v>
      </c>
      <c r="P2198" s="3" t="str">
        <f>IF(Ticket_Table[[#This Row],[resolution_hrs]]&lt;=4,"Fast",IF(Ticket_Table[[#This Row],[resolution_hrs]]&lt;=24,"Normal",IF(Ticket_Table[[#This Row],[resolution_hrs]]&lt;=48,"Slow","Very Slow")))</f>
        <v>Very Slow</v>
      </c>
      <c r="Q2198" s="3">
        <f>YEAR(Ticket_Table[[#This Row],[raised_date]])</f>
        <v>2022</v>
      </c>
    </row>
    <row r="2199" spans="1:17">
      <c r="A2199" t="s">
        <v>2760</v>
      </c>
      <c r="B2199" t="s">
        <v>1112</v>
      </c>
      <c r="C2199" t="s">
        <v>28</v>
      </c>
      <c r="D2199" t="s">
        <v>36</v>
      </c>
      <c r="E2199" t="s">
        <v>30</v>
      </c>
      <c r="F2199" t="s">
        <v>70</v>
      </c>
      <c r="G2199" t="s">
        <v>31</v>
      </c>
      <c r="H2199" s="1">
        <v>44279</v>
      </c>
      <c r="I2199" s="2">
        <v>44280.7458333333</v>
      </c>
      <c r="J2199">
        <v>41.9</v>
      </c>
      <c r="K2199" t="s">
        <v>24</v>
      </c>
      <c r="L2199">
        <v>1</v>
      </c>
      <c r="M2199">
        <v>5</v>
      </c>
      <c r="N2199" t="s">
        <v>305</v>
      </c>
      <c r="O2199" s="3" t="str">
        <f>TEXT(Ticket_Table[[#This Row],[raised_date]],"YYYY-MM")</f>
        <v>2021-03</v>
      </c>
      <c r="P2199" s="3" t="str">
        <f>IF(Ticket_Table[[#This Row],[resolution_hrs]]&lt;=4,"Fast",IF(Ticket_Table[[#This Row],[resolution_hrs]]&lt;=24,"Normal",IF(Ticket_Table[[#This Row],[resolution_hrs]]&lt;=48,"Slow","Very Slow")))</f>
        <v>Slow</v>
      </c>
      <c r="Q2199" s="3">
        <f>YEAR(Ticket_Table[[#This Row],[raised_date]])</f>
        <v>2021</v>
      </c>
    </row>
    <row r="2200" spans="1:17">
      <c r="A2200" t="s">
        <v>2761</v>
      </c>
      <c r="B2200" t="s">
        <v>541</v>
      </c>
      <c r="C2200" t="s">
        <v>82</v>
      </c>
      <c r="D2200" t="s">
        <v>90</v>
      </c>
      <c r="E2200" t="s">
        <v>21</v>
      </c>
      <c r="F2200" t="s">
        <v>70</v>
      </c>
      <c r="G2200" t="s">
        <v>23</v>
      </c>
      <c r="H2200" s="1">
        <v>44637</v>
      </c>
      <c r="I2200" s="2">
        <v>44639.2208333333</v>
      </c>
      <c r="J2200">
        <v>53.3</v>
      </c>
      <c r="K2200" t="s">
        <v>32</v>
      </c>
      <c r="L2200">
        <v>0</v>
      </c>
      <c r="M2200">
        <v>2</v>
      </c>
      <c r="N2200" t="s">
        <v>221</v>
      </c>
      <c r="O2200" s="3" t="str">
        <f>TEXT(Ticket_Table[[#This Row],[raised_date]],"YYYY-MM")</f>
        <v>2022-03</v>
      </c>
      <c r="P2200" s="3" t="str">
        <f>IF(Ticket_Table[[#This Row],[resolution_hrs]]&lt;=4,"Fast",IF(Ticket_Table[[#This Row],[resolution_hrs]]&lt;=24,"Normal",IF(Ticket_Table[[#This Row],[resolution_hrs]]&lt;=48,"Slow","Very Slow")))</f>
        <v>Very Slow</v>
      </c>
      <c r="Q2200" s="3">
        <f>YEAR(Ticket_Table[[#This Row],[raised_date]])</f>
        <v>2022</v>
      </c>
    </row>
    <row r="2201" spans="1:17">
      <c r="A2201" t="s">
        <v>2762</v>
      </c>
      <c r="B2201" t="s">
        <v>790</v>
      </c>
      <c r="C2201" t="s">
        <v>42</v>
      </c>
      <c r="D2201" t="s">
        <v>20</v>
      </c>
      <c r="E2201" t="s">
        <v>37</v>
      </c>
      <c r="F2201" t="s">
        <v>70</v>
      </c>
      <c r="G2201" t="s">
        <v>23</v>
      </c>
      <c r="H2201" s="1">
        <v>44868</v>
      </c>
      <c r="I2201" s="2">
        <v>44868.8916666667</v>
      </c>
      <c r="J2201">
        <v>21.4</v>
      </c>
      <c r="K2201" t="s">
        <v>24</v>
      </c>
      <c r="L2201">
        <v>1</v>
      </c>
      <c r="M2201">
        <v>4</v>
      </c>
      <c r="N2201" t="s">
        <v>237</v>
      </c>
      <c r="O2201" s="3" t="str">
        <f>TEXT(Ticket_Table[[#This Row],[raised_date]],"YYYY-MM")</f>
        <v>2022-11</v>
      </c>
      <c r="P2201" s="3" t="str">
        <f>IF(Ticket_Table[[#This Row],[resolution_hrs]]&lt;=4,"Fast",IF(Ticket_Table[[#This Row],[resolution_hrs]]&lt;=24,"Normal",IF(Ticket_Table[[#This Row],[resolution_hrs]]&lt;=48,"Slow","Very Slow")))</f>
        <v>Normal</v>
      </c>
      <c r="Q2201" s="3">
        <f>YEAR(Ticket_Table[[#This Row],[raised_date]])</f>
        <v>2022</v>
      </c>
    </row>
    <row r="2202" spans="1:17">
      <c r="A2202" t="s">
        <v>2763</v>
      </c>
      <c r="B2202" t="s">
        <v>1022</v>
      </c>
      <c r="C2202" t="s">
        <v>117</v>
      </c>
      <c r="D2202" t="s">
        <v>90</v>
      </c>
      <c r="E2202" t="s">
        <v>30</v>
      </c>
      <c r="F2202" t="s">
        <v>45</v>
      </c>
      <c r="G2202" t="s">
        <v>23</v>
      </c>
      <c r="H2202" s="1">
        <v>44500</v>
      </c>
      <c r="I2202" s="2">
        <v>44500.225</v>
      </c>
      <c r="J2202">
        <v>5.4</v>
      </c>
      <c r="K2202" t="s">
        <v>32</v>
      </c>
      <c r="L2202">
        <v>0</v>
      </c>
      <c r="M2202">
        <v>2</v>
      </c>
      <c r="N2202" t="s">
        <v>566</v>
      </c>
      <c r="O2202" s="3" t="str">
        <f>TEXT(Ticket_Table[[#This Row],[raised_date]],"YYYY-MM")</f>
        <v>2021-10</v>
      </c>
      <c r="P2202" s="3" t="str">
        <f>IF(Ticket_Table[[#This Row],[resolution_hrs]]&lt;=4,"Fast",IF(Ticket_Table[[#This Row],[resolution_hrs]]&lt;=24,"Normal",IF(Ticket_Table[[#This Row],[resolution_hrs]]&lt;=48,"Slow","Very Slow")))</f>
        <v>Normal</v>
      </c>
      <c r="Q2202" s="3">
        <f>YEAR(Ticket_Table[[#This Row],[raised_date]])</f>
        <v>2021</v>
      </c>
    </row>
    <row r="2203" spans="1:17">
      <c r="A2203" t="s">
        <v>2764</v>
      </c>
      <c r="B2203" t="s">
        <v>942</v>
      </c>
      <c r="C2203" t="s">
        <v>19</v>
      </c>
      <c r="D2203" t="s">
        <v>29</v>
      </c>
      <c r="E2203" t="s">
        <v>30</v>
      </c>
      <c r="F2203" t="s">
        <v>70</v>
      </c>
      <c r="G2203" t="s">
        <v>31</v>
      </c>
      <c r="H2203" s="1">
        <v>44383</v>
      </c>
      <c r="I2203" s="2">
        <v>44384.3916666667</v>
      </c>
      <c r="J2203">
        <v>33.4</v>
      </c>
      <c r="K2203" t="s">
        <v>24</v>
      </c>
      <c r="L2203">
        <v>0</v>
      </c>
      <c r="M2203">
        <v>4</v>
      </c>
      <c r="N2203" t="s">
        <v>264</v>
      </c>
      <c r="O2203" s="3" t="str">
        <f>TEXT(Ticket_Table[[#This Row],[raised_date]],"YYYY-MM")</f>
        <v>2021-07</v>
      </c>
      <c r="P2203" s="3" t="str">
        <f>IF(Ticket_Table[[#This Row],[resolution_hrs]]&lt;=4,"Fast",IF(Ticket_Table[[#This Row],[resolution_hrs]]&lt;=24,"Normal",IF(Ticket_Table[[#This Row],[resolution_hrs]]&lt;=48,"Slow","Very Slow")))</f>
        <v>Slow</v>
      </c>
      <c r="Q2203" s="3">
        <f>YEAR(Ticket_Table[[#This Row],[raised_date]])</f>
        <v>2021</v>
      </c>
    </row>
    <row r="2204" spans="1:17">
      <c r="A2204" t="s">
        <v>2765</v>
      </c>
      <c r="B2204" t="s">
        <v>160</v>
      </c>
      <c r="C2204" t="s">
        <v>55</v>
      </c>
      <c r="D2204" t="s">
        <v>36</v>
      </c>
      <c r="E2204" t="s">
        <v>44</v>
      </c>
      <c r="F2204" t="s">
        <v>70</v>
      </c>
      <c r="G2204" t="s">
        <v>31</v>
      </c>
      <c r="H2204" s="1">
        <v>44705</v>
      </c>
      <c r="I2204" s="2">
        <v>44707.1125</v>
      </c>
      <c r="J2204">
        <v>50.7</v>
      </c>
      <c r="K2204" t="s">
        <v>32</v>
      </c>
      <c r="L2204">
        <v>1</v>
      </c>
      <c r="M2204">
        <v>1</v>
      </c>
      <c r="N2204" t="s">
        <v>403</v>
      </c>
      <c r="O2204" s="3" t="str">
        <f>TEXT(Ticket_Table[[#This Row],[raised_date]],"YYYY-MM")</f>
        <v>2022-05</v>
      </c>
      <c r="P2204" s="3" t="str">
        <f>IF(Ticket_Table[[#This Row],[resolution_hrs]]&lt;=4,"Fast",IF(Ticket_Table[[#This Row],[resolution_hrs]]&lt;=24,"Normal",IF(Ticket_Table[[#This Row],[resolution_hrs]]&lt;=48,"Slow","Very Slow")))</f>
        <v>Very Slow</v>
      </c>
      <c r="Q2204" s="3">
        <f>YEAR(Ticket_Table[[#This Row],[raised_date]])</f>
        <v>2022</v>
      </c>
    </row>
    <row r="2205" spans="1:17">
      <c r="A2205" t="s">
        <v>2766</v>
      </c>
      <c r="B2205" t="s">
        <v>924</v>
      </c>
      <c r="C2205" t="s">
        <v>50</v>
      </c>
      <c r="D2205" t="s">
        <v>36</v>
      </c>
      <c r="E2205" t="s">
        <v>166</v>
      </c>
      <c r="F2205" t="s">
        <v>22</v>
      </c>
      <c r="G2205" t="s">
        <v>74</v>
      </c>
      <c r="H2205" s="1">
        <v>44925</v>
      </c>
      <c r="I2205" s="2">
        <v>44928.2125</v>
      </c>
      <c r="J2205">
        <v>77.1</v>
      </c>
      <c r="K2205" t="s">
        <v>32</v>
      </c>
      <c r="L2205">
        <v>3</v>
      </c>
      <c r="M2205">
        <v>4</v>
      </c>
      <c r="N2205" t="s">
        <v>595</v>
      </c>
      <c r="O2205" s="3" t="str">
        <f>TEXT(Ticket_Table[[#This Row],[raised_date]],"YYYY-MM")</f>
        <v>2022-12</v>
      </c>
      <c r="P2205" s="3" t="str">
        <f>IF(Ticket_Table[[#This Row],[resolution_hrs]]&lt;=4,"Fast",IF(Ticket_Table[[#This Row],[resolution_hrs]]&lt;=24,"Normal",IF(Ticket_Table[[#This Row],[resolution_hrs]]&lt;=48,"Slow","Very Slow")))</f>
        <v>Very Slow</v>
      </c>
      <c r="Q2205" s="3">
        <f>YEAR(Ticket_Table[[#This Row],[raised_date]])</f>
        <v>2022</v>
      </c>
    </row>
    <row r="2206" spans="1:17">
      <c r="A2206" t="s">
        <v>2767</v>
      </c>
      <c r="B2206" t="s">
        <v>367</v>
      </c>
      <c r="C2206" t="s">
        <v>140</v>
      </c>
      <c r="D2206" t="s">
        <v>90</v>
      </c>
      <c r="E2206" t="s">
        <v>56</v>
      </c>
      <c r="F2206" t="s">
        <v>22</v>
      </c>
      <c r="G2206" t="s">
        <v>31</v>
      </c>
      <c r="H2206" s="1">
        <v>45008</v>
      </c>
      <c r="I2206" s="2">
        <v>45009.3666666667</v>
      </c>
      <c r="J2206">
        <v>32.8</v>
      </c>
      <c r="K2206" t="s">
        <v>24</v>
      </c>
      <c r="L2206">
        <v>0</v>
      </c>
      <c r="M2206">
        <v>4</v>
      </c>
      <c r="N2206" t="s">
        <v>643</v>
      </c>
      <c r="O2206" s="3" t="str">
        <f>TEXT(Ticket_Table[[#This Row],[raised_date]],"YYYY-MM")</f>
        <v>2023-03</v>
      </c>
      <c r="P2206" s="3" t="str">
        <f>IF(Ticket_Table[[#This Row],[resolution_hrs]]&lt;=4,"Fast",IF(Ticket_Table[[#This Row],[resolution_hrs]]&lt;=24,"Normal",IF(Ticket_Table[[#This Row],[resolution_hrs]]&lt;=48,"Slow","Very Slow")))</f>
        <v>Slow</v>
      </c>
      <c r="Q2206" s="3">
        <f>YEAR(Ticket_Table[[#This Row],[raised_date]])</f>
        <v>2023</v>
      </c>
    </row>
    <row r="2207" spans="1:17">
      <c r="A2207" t="s">
        <v>2768</v>
      </c>
      <c r="B2207" t="s">
        <v>148</v>
      </c>
      <c r="C2207" t="s">
        <v>287</v>
      </c>
      <c r="D2207" t="s">
        <v>20</v>
      </c>
      <c r="E2207" t="s">
        <v>56</v>
      </c>
      <c r="F2207" t="s">
        <v>22</v>
      </c>
      <c r="G2207" t="s">
        <v>23</v>
      </c>
      <c r="H2207" s="1">
        <v>45248</v>
      </c>
      <c r="I2207" s="2">
        <v>45250.775</v>
      </c>
      <c r="J2207">
        <v>66.6</v>
      </c>
      <c r="K2207" t="s">
        <v>24</v>
      </c>
      <c r="L2207">
        <v>1</v>
      </c>
      <c r="M2207">
        <v>4</v>
      </c>
      <c r="N2207" t="s">
        <v>1112</v>
      </c>
      <c r="O2207" s="3" t="str">
        <f>TEXT(Ticket_Table[[#This Row],[raised_date]],"YYYY-MM")</f>
        <v>2023-11</v>
      </c>
      <c r="P2207" s="3" t="str">
        <f>IF(Ticket_Table[[#This Row],[resolution_hrs]]&lt;=4,"Fast",IF(Ticket_Table[[#This Row],[resolution_hrs]]&lt;=24,"Normal",IF(Ticket_Table[[#This Row],[resolution_hrs]]&lt;=48,"Slow","Very Slow")))</f>
        <v>Very Slow</v>
      </c>
      <c r="Q2207" s="3">
        <f>YEAR(Ticket_Table[[#This Row],[raised_date]])</f>
        <v>2023</v>
      </c>
    </row>
    <row r="2208" spans="1:17">
      <c r="A2208" t="s">
        <v>2769</v>
      </c>
      <c r="B2208" t="s">
        <v>183</v>
      </c>
      <c r="C2208" t="s">
        <v>55</v>
      </c>
      <c r="D2208" t="s">
        <v>29</v>
      </c>
      <c r="E2208" t="s">
        <v>44</v>
      </c>
      <c r="F2208" t="s">
        <v>22</v>
      </c>
      <c r="G2208" t="s">
        <v>23</v>
      </c>
      <c r="H2208" s="1">
        <v>44297</v>
      </c>
      <c r="I2208" s="2">
        <v>44300.6541666667</v>
      </c>
      <c r="J2208">
        <v>87.7</v>
      </c>
      <c r="K2208" t="s">
        <v>32</v>
      </c>
      <c r="L2208">
        <v>1</v>
      </c>
      <c r="M2208">
        <v>4</v>
      </c>
      <c r="N2208" t="s">
        <v>308</v>
      </c>
      <c r="O2208" s="3" t="str">
        <f>TEXT(Ticket_Table[[#This Row],[raised_date]],"YYYY-MM")</f>
        <v>2021-04</v>
      </c>
      <c r="P2208" s="3" t="str">
        <f>IF(Ticket_Table[[#This Row],[resolution_hrs]]&lt;=4,"Fast",IF(Ticket_Table[[#This Row],[resolution_hrs]]&lt;=24,"Normal",IF(Ticket_Table[[#This Row],[resolution_hrs]]&lt;=48,"Slow","Very Slow")))</f>
        <v>Very Slow</v>
      </c>
      <c r="Q2208" s="3">
        <f>YEAR(Ticket_Table[[#This Row],[raised_date]])</f>
        <v>2021</v>
      </c>
    </row>
    <row r="2209" spans="1:17">
      <c r="A2209" t="s">
        <v>2770</v>
      </c>
      <c r="B2209" t="s">
        <v>595</v>
      </c>
      <c r="C2209" t="s">
        <v>213</v>
      </c>
      <c r="D2209" t="s">
        <v>43</v>
      </c>
      <c r="E2209" t="s">
        <v>51</v>
      </c>
      <c r="F2209" t="s">
        <v>38</v>
      </c>
      <c r="G2209" t="s">
        <v>23</v>
      </c>
      <c r="H2209" s="1">
        <v>44809</v>
      </c>
      <c r="I2209" s="2">
        <v>44809.2958333333</v>
      </c>
      <c r="J2209">
        <v>7.1</v>
      </c>
      <c r="K2209" t="s">
        <v>24</v>
      </c>
      <c r="L2209">
        <v>0</v>
      </c>
      <c r="M2209">
        <v>5</v>
      </c>
      <c r="N2209" t="s">
        <v>707</v>
      </c>
      <c r="O2209" s="3" t="str">
        <f>TEXT(Ticket_Table[[#This Row],[raised_date]],"YYYY-MM")</f>
        <v>2022-09</v>
      </c>
      <c r="P2209" s="3" t="str">
        <f>IF(Ticket_Table[[#This Row],[resolution_hrs]]&lt;=4,"Fast",IF(Ticket_Table[[#This Row],[resolution_hrs]]&lt;=24,"Normal",IF(Ticket_Table[[#This Row],[resolution_hrs]]&lt;=48,"Slow","Very Slow")))</f>
        <v>Normal</v>
      </c>
      <c r="Q2209" s="3">
        <f>YEAR(Ticket_Table[[#This Row],[raised_date]])</f>
        <v>2022</v>
      </c>
    </row>
    <row r="2210" spans="1:17">
      <c r="A2210" t="s">
        <v>2771</v>
      </c>
      <c r="B2210" t="s">
        <v>947</v>
      </c>
      <c r="C2210" t="s">
        <v>55</v>
      </c>
      <c r="D2210" t="s">
        <v>36</v>
      </c>
      <c r="E2210" t="s">
        <v>51</v>
      </c>
      <c r="F2210" t="s">
        <v>38</v>
      </c>
      <c r="G2210" t="s">
        <v>31</v>
      </c>
      <c r="H2210" s="1">
        <v>44729</v>
      </c>
      <c r="I2210" s="2">
        <v>44729.4041666667</v>
      </c>
      <c r="J2210">
        <v>9.7</v>
      </c>
      <c r="K2210" t="s">
        <v>24</v>
      </c>
      <c r="L2210">
        <v>0</v>
      </c>
      <c r="M2210">
        <v>3</v>
      </c>
      <c r="N2210" t="s">
        <v>485</v>
      </c>
      <c r="O2210" s="3" t="str">
        <f>TEXT(Ticket_Table[[#This Row],[raised_date]],"YYYY-MM")</f>
        <v>2022-06</v>
      </c>
      <c r="P2210" s="3" t="str">
        <f>IF(Ticket_Table[[#This Row],[resolution_hrs]]&lt;=4,"Fast",IF(Ticket_Table[[#This Row],[resolution_hrs]]&lt;=24,"Normal",IF(Ticket_Table[[#This Row],[resolution_hrs]]&lt;=48,"Slow","Very Slow")))</f>
        <v>Normal</v>
      </c>
      <c r="Q2210" s="3">
        <f>YEAR(Ticket_Table[[#This Row],[raised_date]])</f>
        <v>2022</v>
      </c>
    </row>
    <row r="2211" spans="1:17">
      <c r="A2211" t="s">
        <v>2772</v>
      </c>
      <c r="B2211" t="s">
        <v>503</v>
      </c>
      <c r="C2211" t="s">
        <v>78</v>
      </c>
      <c r="D2211" t="s">
        <v>90</v>
      </c>
      <c r="E2211" t="s">
        <v>106</v>
      </c>
      <c r="F2211" t="s">
        <v>22</v>
      </c>
      <c r="G2211" t="s">
        <v>31</v>
      </c>
      <c r="H2211" s="1">
        <v>44553</v>
      </c>
      <c r="I2211" s="2">
        <v>44557.0541666667</v>
      </c>
      <c r="J2211">
        <v>97.3</v>
      </c>
      <c r="K2211" t="s">
        <v>32</v>
      </c>
      <c r="L2211">
        <v>1</v>
      </c>
      <c r="M2211">
        <v>5</v>
      </c>
      <c r="N2211" t="s">
        <v>331</v>
      </c>
      <c r="O2211" s="3" t="str">
        <f>TEXT(Ticket_Table[[#This Row],[raised_date]],"YYYY-MM")</f>
        <v>2021-12</v>
      </c>
      <c r="P2211" s="3" t="str">
        <f>IF(Ticket_Table[[#This Row],[resolution_hrs]]&lt;=4,"Fast",IF(Ticket_Table[[#This Row],[resolution_hrs]]&lt;=24,"Normal",IF(Ticket_Table[[#This Row],[resolution_hrs]]&lt;=48,"Slow","Very Slow")))</f>
        <v>Very Slow</v>
      </c>
      <c r="Q2211" s="3">
        <f>YEAR(Ticket_Table[[#This Row],[raised_date]])</f>
        <v>2021</v>
      </c>
    </row>
    <row r="2212" spans="1:17">
      <c r="A2212" t="s">
        <v>2773</v>
      </c>
      <c r="B2212" t="s">
        <v>1265</v>
      </c>
      <c r="C2212" t="s">
        <v>64</v>
      </c>
      <c r="D2212" t="s">
        <v>20</v>
      </c>
      <c r="E2212" t="s">
        <v>166</v>
      </c>
      <c r="F2212" t="s">
        <v>38</v>
      </c>
      <c r="G2212" t="s">
        <v>23</v>
      </c>
      <c r="H2212" s="1">
        <v>44260</v>
      </c>
      <c r="I2212" s="2">
        <v>44261.1125</v>
      </c>
      <c r="J2212">
        <v>26.7</v>
      </c>
      <c r="K2212" t="s">
        <v>32</v>
      </c>
      <c r="L2212">
        <v>1</v>
      </c>
      <c r="M2212">
        <v>3</v>
      </c>
      <c r="N2212" t="s">
        <v>751</v>
      </c>
      <c r="O2212" s="3" t="str">
        <f>TEXT(Ticket_Table[[#This Row],[raised_date]],"YYYY-MM")</f>
        <v>2021-03</v>
      </c>
      <c r="P2212" s="3" t="str">
        <f>IF(Ticket_Table[[#This Row],[resolution_hrs]]&lt;=4,"Fast",IF(Ticket_Table[[#This Row],[resolution_hrs]]&lt;=24,"Normal",IF(Ticket_Table[[#This Row],[resolution_hrs]]&lt;=48,"Slow","Very Slow")))</f>
        <v>Slow</v>
      </c>
      <c r="Q2212" s="3">
        <f>YEAR(Ticket_Table[[#This Row],[raised_date]])</f>
        <v>2021</v>
      </c>
    </row>
    <row r="2213" spans="1:17">
      <c r="A2213" t="s">
        <v>2774</v>
      </c>
      <c r="B2213" t="s">
        <v>176</v>
      </c>
      <c r="C2213" t="s">
        <v>82</v>
      </c>
      <c r="D2213" t="s">
        <v>20</v>
      </c>
      <c r="E2213" t="s">
        <v>30</v>
      </c>
      <c r="F2213" t="s">
        <v>22</v>
      </c>
      <c r="G2213" t="s">
        <v>23</v>
      </c>
      <c r="H2213" s="1">
        <v>45025</v>
      </c>
      <c r="I2213" s="2">
        <v>45027.0833333333</v>
      </c>
      <c r="J2213">
        <v>50</v>
      </c>
      <c r="K2213" t="s">
        <v>24</v>
      </c>
      <c r="L2213">
        <v>0</v>
      </c>
      <c r="M2213">
        <v>3</v>
      </c>
      <c r="N2213" t="s">
        <v>966</v>
      </c>
      <c r="O2213" s="3" t="str">
        <f>TEXT(Ticket_Table[[#This Row],[raised_date]],"YYYY-MM")</f>
        <v>2023-04</v>
      </c>
      <c r="P2213" s="3" t="str">
        <f>IF(Ticket_Table[[#This Row],[resolution_hrs]]&lt;=4,"Fast",IF(Ticket_Table[[#This Row],[resolution_hrs]]&lt;=24,"Normal",IF(Ticket_Table[[#This Row],[resolution_hrs]]&lt;=48,"Slow","Very Slow")))</f>
        <v>Very Slow</v>
      </c>
      <c r="Q2213" s="3">
        <f>YEAR(Ticket_Table[[#This Row],[raised_date]])</f>
        <v>2023</v>
      </c>
    </row>
    <row r="2214" spans="1:17">
      <c r="A2214" t="s">
        <v>2775</v>
      </c>
      <c r="B2214" t="s">
        <v>216</v>
      </c>
      <c r="C2214" t="s">
        <v>64</v>
      </c>
      <c r="D2214" t="s">
        <v>29</v>
      </c>
      <c r="E2214" t="s">
        <v>69</v>
      </c>
      <c r="F2214" t="s">
        <v>70</v>
      </c>
      <c r="G2214" t="s">
        <v>23</v>
      </c>
      <c r="H2214" s="1">
        <v>45123</v>
      </c>
      <c r="I2214" s="2">
        <v>45125.7375</v>
      </c>
      <c r="J2214">
        <v>65.7</v>
      </c>
      <c r="K2214" t="s">
        <v>32</v>
      </c>
      <c r="L2214">
        <v>0</v>
      </c>
      <c r="M2214">
        <v>2</v>
      </c>
      <c r="N2214" t="s">
        <v>47</v>
      </c>
      <c r="O2214" s="3" t="str">
        <f>TEXT(Ticket_Table[[#This Row],[raised_date]],"YYYY-MM")</f>
        <v>2023-07</v>
      </c>
      <c r="P2214" s="3" t="str">
        <f>IF(Ticket_Table[[#This Row],[resolution_hrs]]&lt;=4,"Fast",IF(Ticket_Table[[#This Row],[resolution_hrs]]&lt;=24,"Normal",IF(Ticket_Table[[#This Row],[resolution_hrs]]&lt;=48,"Slow","Very Slow")))</f>
        <v>Very Slow</v>
      </c>
      <c r="Q2214" s="3">
        <f>YEAR(Ticket_Table[[#This Row],[raised_date]])</f>
        <v>2023</v>
      </c>
    </row>
    <row r="2215" spans="1:17">
      <c r="A2215" t="s">
        <v>2776</v>
      </c>
      <c r="B2215" t="s">
        <v>538</v>
      </c>
      <c r="C2215" t="s">
        <v>55</v>
      </c>
      <c r="D2215" t="s">
        <v>36</v>
      </c>
      <c r="E2215" t="s">
        <v>69</v>
      </c>
      <c r="F2215" t="s">
        <v>22</v>
      </c>
      <c r="G2215" t="s">
        <v>46</v>
      </c>
      <c r="H2215" s="1">
        <v>44708</v>
      </c>
      <c r="I2215" s="2">
        <v>44708.8583333333</v>
      </c>
      <c r="J2215">
        <v>20.6</v>
      </c>
      <c r="K2215" t="s">
        <v>24</v>
      </c>
      <c r="L2215">
        <v>0</v>
      </c>
      <c r="M2215">
        <v>2</v>
      </c>
      <c r="N2215" t="s">
        <v>1037</v>
      </c>
      <c r="O2215" s="3" t="str">
        <f>TEXT(Ticket_Table[[#This Row],[raised_date]],"YYYY-MM")</f>
        <v>2022-05</v>
      </c>
      <c r="P2215" s="3" t="str">
        <f>IF(Ticket_Table[[#This Row],[resolution_hrs]]&lt;=4,"Fast",IF(Ticket_Table[[#This Row],[resolution_hrs]]&lt;=24,"Normal",IF(Ticket_Table[[#This Row],[resolution_hrs]]&lt;=48,"Slow","Very Slow")))</f>
        <v>Normal</v>
      </c>
      <c r="Q2215" s="3">
        <f>YEAR(Ticket_Table[[#This Row],[raised_date]])</f>
        <v>2022</v>
      </c>
    </row>
    <row r="2216" spans="1:17">
      <c r="A2216" t="s">
        <v>2777</v>
      </c>
      <c r="B2216" t="s">
        <v>146</v>
      </c>
      <c r="C2216" t="s">
        <v>201</v>
      </c>
      <c r="D2216" t="s">
        <v>29</v>
      </c>
      <c r="E2216" t="s">
        <v>51</v>
      </c>
      <c r="F2216" t="s">
        <v>70</v>
      </c>
      <c r="G2216" t="s">
        <v>91</v>
      </c>
      <c r="H2216" s="1">
        <v>44390</v>
      </c>
      <c r="I2216" s="2">
        <v>44391.725</v>
      </c>
      <c r="J2216">
        <v>41.4</v>
      </c>
      <c r="K2216" t="s">
        <v>24</v>
      </c>
      <c r="L2216">
        <v>1</v>
      </c>
      <c r="M2216">
        <v>5</v>
      </c>
      <c r="N2216" t="s">
        <v>1191</v>
      </c>
      <c r="O2216" s="3" t="str">
        <f>TEXT(Ticket_Table[[#This Row],[raised_date]],"YYYY-MM")</f>
        <v>2021-07</v>
      </c>
      <c r="P2216" s="3" t="str">
        <f>IF(Ticket_Table[[#This Row],[resolution_hrs]]&lt;=4,"Fast",IF(Ticket_Table[[#This Row],[resolution_hrs]]&lt;=24,"Normal",IF(Ticket_Table[[#This Row],[resolution_hrs]]&lt;=48,"Slow","Very Slow")))</f>
        <v>Slow</v>
      </c>
      <c r="Q2216" s="3">
        <f>YEAR(Ticket_Table[[#This Row],[raised_date]])</f>
        <v>2021</v>
      </c>
    </row>
    <row r="2217" spans="1:17">
      <c r="A2217" t="s">
        <v>2778</v>
      </c>
      <c r="B2217" t="s">
        <v>597</v>
      </c>
      <c r="C2217" t="s">
        <v>102</v>
      </c>
      <c r="D2217" t="s">
        <v>43</v>
      </c>
      <c r="E2217" t="s">
        <v>44</v>
      </c>
      <c r="F2217" t="s">
        <v>22</v>
      </c>
      <c r="G2217" t="s">
        <v>23</v>
      </c>
      <c r="H2217" s="1">
        <v>45143</v>
      </c>
      <c r="I2217" s="2">
        <v>45144.7958333333</v>
      </c>
      <c r="J2217">
        <v>43.1</v>
      </c>
      <c r="K2217" t="s">
        <v>24</v>
      </c>
      <c r="L2217">
        <v>0</v>
      </c>
      <c r="M2217">
        <v>3</v>
      </c>
      <c r="N2217" t="s">
        <v>844</v>
      </c>
      <c r="O2217" s="3" t="str">
        <f>TEXT(Ticket_Table[[#This Row],[raised_date]],"YYYY-MM")</f>
        <v>2023-08</v>
      </c>
      <c r="P2217" s="3" t="str">
        <f>IF(Ticket_Table[[#This Row],[resolution_hrs]]&lt;=4,"Fast",IF(Ticket_Table[[#This Row],[resolution_hrs]]&lt;=24,"Normal",IF(Ticket_Table[[#This Row],[resolution_hrs]]&lt;=48,"Slow","Very Slow")))</f>
        <v>Slow</v>
      </c>
      <c r="Q2217" s="3">
        <f>YEAR(Ticket_Table[[#This Row],[raised_date]])</f>
        <v>2023</v>
      </c>
    </row>
    <row r="2218" spans="1:17">
      <c r="A2218" t="s">
        <v>2779</v>
      </c>
      <c r="B2218" t="s">
        <v>550</v>
      </c>
      <c r="C2218" t="s">
        <v>78</v>
      </c>
      <c r="D2218" t="s">
        <v>43</v>
      </c>
      <c r="E2218" t="s">
        <v>166</v>
      </c>
      <c r="F2218" t="s">
        <v>70</v>
      </c>
      <c r="G2218" t="s">
        <v>23</v>
      </c>
      <c r="H2218" s="1">
        <v>44405</v>
      </c>
      <c r="I2218" s="2">
        <v>44407.8375</v>
      </c>
      <c r="J2218">
        <v>68.1</v>
      </c>
      <c r="K2218" t="s">
        <v>32</v>
      </c>
      <c r="L2218">
        <v>0</v>
      </c>
      <c r="M2218">
        <v>3</v>
      </c>
      <c r="N2218" t="s">
        <v>264</v>
      </c>
      <c r="O2218" s="3" t="str">
        <f>TEXT(Ticket_Table[[#This Row],[raised_date]],"YYYY-MM")</f>
        <v>2021-07</v>
      </c>
      <c r="P2218" s="3" t="str">
        <f>IF(Ticket_Table[[#This Row],[resolution_hrs]]&lt;=4,"Fast",IF(Ticket_Table[[#This Row],[resolution_hrs]]&lt;=24,"Normal",IF(Ticket_Table[[#This Row],[resolution_hrs]]&lt;=48,"Slow","Very Slow")))</f>
        <v>Very Slow</v>
      </c>
      <c r="Q2218" s="3">
        <f>YEAR(Ticket_Table[[#This Row],[raised_date]])</f>
        <v>2021</v>
      </c>
    </row>
    <row r="2219" spans="1:17">
      <c r="A2219" t="s">
        <v>2780</v>
      </c>
      <c r="B2219" t="s">
        <v>710</v>
      </c>
      <c r="C2219" t="s">
        <v>28</v>
      </c>
      <c r="D2219" t="s">
        <v>43</v>
      </c>
      <c r="E2219" t="s">
        <v>83</v>
      </c>
      <c r="F2219" t="s">
        <v>70</v>
      </c>
      <c r="G2219" t="s">
        <v>31</v>
      </c>
      <c r="H2219" s="1">
        <v>44483</v>
      </c>
      <c r="I2219" s="2">
        <v>44483.75</v>
      </c>
      <c r="J2219">
        <v>18</v>
      </c>
      <c r="K2219" t="s">
        <v>24</v>
      </c>
      <c r="L2219">
        <v>1</v>
      </c>
      <c r="M2219">
        <v>4</v>
      </c>
      <c r="N2219" t="s">
        <v>610</v>
      </c>
      <c r="O2219" s="3" t="str">
        <f>TEXT(Ticket_Table[[#This Row],[raised_date]],"YYYY-MM")</f>
        <v>2021-10</v>
      </c>
      <c r="P2219" s="3" t="str">
        <f>IF(Ticket_Table[[#This Row],[resolution_hrs]]&lt;=4,"Fast",IF(Ticket_Table[[#This Row],[resolution_hrs]]&lt;=24,"Normal",IF(Ticket_Table[[#This Row],[resolution_hrs]]&lt;=48,"Slow","Very Slow")))</f>
        <v>Normal</v>
      </c>
      <c r="Q2219" s="3">
        <f>YEAR(Ticket_Table[[#This Row],[raised_date]])</f>
        <v>2021</v>
      </c>
    </row>
    <row r="2220" spans="1:17">
      <c r="A2220" t="s">
        <v>2781</v>
      </c>
      <c r="B2220" t="s">
        <v>435</v>
      </c>
      <c r="C2220" t="s">
        <v>140</v>
      </c>
      <c r="D2220" t="s">
        <v>20</v>
      </c>
      <c r="E2220" t="s">
        <v>21</v>
      </c>
      <c r="F2220" t="s">
        <v>45</v>
      </c>
      <c r="G2220" t="s">
        <v>74</v>
      </c>
      <c r="H2220" s="1">
        <v>44445</v>
      </c>
      <c r="I2220" s="2">
        <v>44445.225</v>
      </c>
      <c r="J2220">
        <v>5.4</v>
      </c>
      <c r="K2220" t="s">
        <v>32</v>
      </c>
      <c r="L2220">
        <v>0</v>
      </c>
      <c r="M2220">
        <v>3</v>
      </c>
      <c r="N2220" t="s">
        <v>592</v>
      </c>
      <c r="O2220" s="3" t="str">
        <f>TEXT(Ticket_Table[[#This Row],[raised_date]],"YYYY-MM")</f>
        <v>2021-09</v>
      </c>
      <c r="P2220" s="3" t="str">
        <f>IF(Ticket_Table[[#This Row],[resolution_hrs]]&lt;=4,"Fast",IF(Ticket_Table[[#This Row],[resolution_hrs]]&lt;=24,"Normal",IF(Ticket_Table[[#This Row],[resolution_hrs]]&lt;=48,"Slow","Very Slow")))</f>
        <v>Normal</v>
      </c>
      <c r="Q2220" s="3">
        <f>YEAR(Ticket_Table[[#This Row],[raised_date]])</f>
        <v>2021</v>
      </c>
    </row>
    <row r="2221" spans="1:17">
      <c r="A2221" t="s">
        <v>2782</v>
      </c>
      <c r="B2221" t="s">
        <v>124</v>
      </c>
      <c r="C2221" t="s">
        <v>117</v>
      </c>
      <c r="D2221" t="s">
        <v>36</v>
      </c>
      <c r="E2221" t="s">
        <v>166</v>
      </c>
      <c r="F2221" t="s">
        <v>22</v>
      </c>
      <c r="G2221" t="s">
        <v>31</v>
      </c>
      <c r="H2221" s="1">
        <v>44221</v>
      </c>
      <c r="I2221" s="2">
        <v>44222.2625</v>
      </c>
      <c r="J2221">
        <v>30.3</v>
      </c>
      <c r="K2221" t="s">
        <v>24</v>
      </c>
      <c r="L2221">
        <v>1</v>
      </c>
      <c r="M2221">
        <v>5</v>
      </c>
      <c r="N2221" t="s">
        <v>707</v>
      </c>
      <c r="O2221" s="3" t="str">
        <f>TEXT(Ticket_Table[[#This Row],[raised_date]],"YYYY-MM")</f>
        <v>2021-01</v>
      </c>
      <c r="P2221" s="3" t="str">
        <f>IF(Ticket_Table[[#This Row],[resolution_hrs]]&lt;=4,"Fast",IF(Ticket_Table[[#This Row],[resolution_hrs]]&lt;=24,"Normal",IF(Ticket_Table[[#This Row],[resolution_hrs]]&lt;=48,"Slow","Very Slow")))</f>
        <v>Slow</v>
      </c>
      <c r="Q2221" s="3">
        <f>YEAR(Ticket_Table[[#This Row],[raised_date]])</f>
        <v>2021</v>
      </c>
    </row>
    <row r="2222" spans="1:17">
      <c r="A2222" t="s">
        <v>2783</v>
      </c>
      <c r="B2222" t="s">
        <v>484</v>
      </c>
      <c r="C2222" t="s">
        <v>213</v>
      </c>
      <c r="D2222" t="s">
        <v>29</v>
      </c>
      <c r="E2222" t="s">
        <v>106</v>
      </c>
      <c r="F2222" t="s">
        <v>22</v>
      </c>
      <c r="G2222" t="s">
        <v>31</v>
      </c>
      <c r="H2222" s="1">
        <v>44323</v>
      </c>
      <c r="I2222" s="2">
        <v>44325.8416666667</v>
      </c>
      <c r="J2222">
        <v>68.2</v>
      </c>
      <c r="K2222" t="s">
        <v>24</v>
      </c>
      <c r="L2222">
        <v>2</v>
      </c>
      <c r="M2222">
        <v>5</v>
      </c>
      <c r="N2222" t="s">
        <v>212</v>
      </c>
      <c r="O2222" s="3" t="str">
        <f>TEXT(Ticket_Table[[#This Row],[raised_date]],"YYYY-MM")</f>
        <v>2021-05</v>
      </c>
      <c r="P2222" s="3" t="str">
        <f>IF(Ticket_Table[[#This Row],[resolution_hrs]]&lt;=4,"Fast",IF(Ticket_Table[[#This Row],[resolution_hrs]]&lt;=24,"Normal",IF(Ticket_Table[[#This Row],[resolution_hrs]]&lt;=48,"Slow","Very Slow")))</f>
        <v>Very Slow</v>
      </c>
      <c r="Q2222" s="3">
        <f>YEAR(Ticket_Table[[#This Row],[raised_date]])</f>
        <v>2021</v>
      </c>
    </row>
    <row r="2223" spans="1:17">
      <c r="A2223" t="s">
        <v>2784</v>
      </c>
      <c r="B2223" t="s">
        <v>794</v>
      </c>
      <c r="C2223" t="s">
        <v>28</v>
      </c>
      <c r="D2223" t="s">
        <v>29</v>
      </c>
      <c r="E2223" t="s">
        <v>30</v>
      </c>
      <c r="F2223" t="s">
        <v>22</v>
      </c>
      <c r="G2223" t="s">
        <v>31</v>
      </c>
      <c r="H2223" s="1">
        <v>44652</v>
      </c>
      <c r="I2223" s="2">
        <v>44653.3416666667</v>
      </c>
      <c r="J2223">
        <v>32.2</v>
      </c>
      <c r="K2223" t="s">
        <v>24</v>
      </c>
      <c r="L2223">
        <v>1</v>
      </c>
      <c r="M2223">
        <v>3</v>
      </c>
      <c r="N2223" t="s">
        <v>515</v>
      </c>
      <c r="O2223" s="3" t="str">
        <f>TEXT(Ticket_Table[[#This Row],[raised_date]],"YYYY-MM")</f>
        <v>2022-04</v>
      </c>
      <c r="P2223" s="3" t="str">
        <f>IF(Ticket_Table[[#This Row],[resolution_hrs]]&lt;=4,"Fast",IF(Ticket_Table[[#This Row],[resolution_hrs]]&lt;=24,"Normal",IF(Ticket_Table[[#This Row],[resolution_hrs]]&lt;=48,"Slow","Very Slow")))</f>
        <v>Slow</v>
      </c>
      <c r="Q2223" s="3">
        <f>YEAR(Ticket_Table[[#This Row],[raised_date]])</f>
        <v>2022</v>
      </c>
    </row>
    <row r="2224" spans="1:17">
      <c r="A2224" t="s">
        <v>2785</v>
      </c>
      <c r="B2224" t="s">
        <v>595</v>
      </c>
      <c r="C2224" t="s">
        <v>175</v>
      </c>
      <c r="D2224" t="s">
        <v>43</v>
      </c>
      <c r="E2224" t="s">
        <v>30</v>
      </c>
      <c r="F2224" t="s">
        <v>70</v>
      </c>
      <c r="G2224" t="s">
        <v>74</v>
      </c>
      <c r="H2224" s="1">
        <v>44464</v>
      </c>
      <c r="I2224" s="2">
        <v>44466.7541666667</v>
      </c>
      <c r="J2224">
        <v>66.1</v>
      </c>
      <c r="K2224" t="s">
        <v>32</v>
      </c>
      <c r="L2224">
        <v>2</v>
      </c>
      <c r="M2224">
        <v>2</v>
      </c>
      <c r="N2224" t="s">
        <v>487</v>
      </c>
      <c r="O2224" s="3" t="str">
        <f>TEXT(Ticket_Table[[#This Row],[raised_date]],"YYYY-MM")</f>
        <v>2021-09</v>
      </c>
      <c r="P2224" s="3" t="str">
        <f>IF(Ticket_Table[[#This Row],[resolution_hrs]]&lt;=4,"Fast",IF(Ticket_Table[[#This Row],[resolution_hrs]]&lt;=24,"Normal",IF(Ticket_Table[[#This Row],[resolution_hrs]]&lt;=48,"Slow","Very Slow")))</f>
        <v>Very Slow</v>
      </c>
      <c r="Q2224" s="3">
        <f>YEAR(Ticket_Table[[#This Row],[raised_date]])</f>
        <v>2021</v>
      </c>
    </row>
    <row r="2225" spans="1:17">
      <c r="A2225" t="s">
        <v>2786</v>
      </c>
      <c r="B2225" t="s">
        <v>337</v>
      </c>
      <c r="C2225" t="s">
        <v>28</v>
      </c>
      <c r="D2225" t="s">
        <v>36</v>
      </c>
      <c r="E2225" t="s">
        <v>56</v>
      </c>
      <c r="F2225" t="s">
        <v>22</v>
      </c>
      <c r="G2225" t="s">
        <v>23</v>
      </c>
      <c r="H2225" s="1">
        <v>44602</v>
      </c>
      <c r="I2225" s="2">
        <v>44605.1541666667</v>
      </c>
      <c r="J2225">
        <v>75.7</v>
      </c>
      <c r="K2225" t="s">
        <v>32</v>
      </c>
      <c r="L2225">
        <v>2</v>
      </c>
      <c r="M2225">
        <v>3</v>
      </c>
      <c r="N2225" t="s">
        <v>54</v>
      </c>
      <c r="O2225" s="3" t="str">
        <f>TEXT(Ticket_Table[[#This Row],[raised_date]],"YYYY-MM")</f>
        <v>2022-02</v>
      </c>
      <c r="P2225" s="3" t="str">
        <f>IF(Ticket_Table[[#This Row],[resolution_hrs]]&lt;=4,"Fast",IF(Ticket_Table[[#This Row],[resolution_hrs]]&lt;=24,"Normal",IF(Ticket_Table[[#This Row],[resolution_hrs]]&lt;=48,"Slow","Very Slow")))</f>
        <v>Very Slow</v>
      </c>
      <c r="Q2225" s="3">
        <f>YEAR(Ticket_Table[[#This Row],[raised_date]])</f>
        <v>2022</v>
      </c>
    </row>
    <row r="2226" spans="1:17">
      <c r="A2226" t="s">
        <v>2787</v>
      </c>
      <c r="B2226" t="s">
        <v>413</v>
      </c>
      <c r="C2226" t="s">
        <v>287</v>
      </c>
      <c r="D2226" t="s">
        <v>36</v>
      </c>
      <c r="E2226" t="s">
        <v>37</v>
      </c>
      <c r="F2226" t="s">
        <v>38</v>
      </c>
      <c r="G2226" t="s">
        <v>74</v>
      </c>
      <c r="H2226" s="1">
        <v>45017</v>
      </c>
      <c r="I2226" s="2">
        <v>45018.0958333333</v>
      </c>
      <c r="J2226">
        <v>26.3</v>
      </c>
      <c r="K2226" t="s">
        <v>32</v>
      </c>
      <c r="L2226">
        <v>0</v>
      </c>
      <c r="M2226">
        <v>4</v>
      </c>
      <c r="N2226" t="s">
        <v>63</v>
      </c>
      <c r="O2226" s="3" t="str">
        <f>TEXT(Ticket_Table[[#This Row],[raised_date]],"YYYY-MM")</f>
        <v>2023-04</v>
      </c>
      <c r="P2226" s="3" t="str">
        <f>IF(Ticket_Table[[#This Row],[resolution_hrs]]&lt;=4,"Fast",IF(Ticket_Table[[#This Row],[resolution_hrs]]&lt;=24,"Normal",IF(Ticket_Table[[#This Row],[resolution_hrs]]&lt;=48,"Slow","Very Slow")))</f>
        <v>Slow</v>
      </c>
      <c r="Q2226" s="3">
        <f>YEAR(Ticket_Table[[#This Row],[raised_date]])</f>
        <v>2023</v>
      </c>
    </row>
    <row r="2227" spans="1:17">
      <c r="A2227" t="s">
        <v>2788</v>
      </c>
      <c r="B2227" t="s">
        <v>385</v>
      </c>
      <c r="C2227" t="s">
        <v>50</v>
      </c>
      <c r="D2227" t="s">
        <v>90</v>
      </c>
      <c r="E2227" t="s">
        <v>37</v>
      </c>
      <c r="F2227" t="s">
        <v>70</v>
      </c>
      <c r="G2227" t="s">
        <v>23</v>
      </c>
      <c r="H2227" s="1">
        <v>44959</v>
      </c>
      <c r="I2227" s="2">
        <v>44959.6833333333</v>
      </c>
      <c r="J2227">
        <v>16.4</v>
      </c>
      <c r="K2227" t="s">
        <v>24</v>
      </c>
      <c r="L2227">
        <v>1</v>
      </c>
      <c r="M2227">
        <v>3</v>
      </c>
      <c r="N2227" t="s">
        <v>283</v>
      </c>
      <c r="O2227" s="3" t="str">
        <f>TEXT(Ticket_Table[[#This Row],[raised_date]],"YYYY-MM")</f>
        <v>2023-02</v>
      </c>
      <c r="P2227" s="3" t="str">
        <f>IF(Ticket_Table[[#This Row],[resolution_hrs]]&lt;=4,"Fast",IF(Ticket_Table[[#This Row],[resolution_hrs]]&lt;=24,"Normal",IF(Ticket_Table[[#This Row],[resolution_hrs]]&lt;=48,"Slow","Very Slow")))</f>
        <v>Normal</v>
      </c>
      <c r="Q2227" s="3">
        <f>YEAR(Ticket_Table[[#This Row],[raised_date]])</f>
        <v>2023</v>
      </c>
    </row>
    <row r="2228" spans="1:17">
      <c r="A2228" t="s">
        <v>2789</v>
      </c>
      <c r="B2228" t="s">
        <v>318</v>
      </c>
      <c r="C2228" t="s">
        <v>19</v>
      </c>
      <c r="D2228" t="s">
        <v>36</v>
      </c>
      <c r="E2228" t="s">
        <v>56</v>
      </c>
      <c r="F2228" t="s">
        <v>70</v>
      </c>
      <c r="G2228" t="s">
        <v>31</v>
      </c>
      <c r="H2228" s="1">
        <v>44369</v>
      </c>
      <c r="I2228" s="2">
        <v>44370.5</v>
      </c>
      <c r="J2228">
        <v>36</v>
      </c>
      <c r="K2228" t="s">
        <v>24</v>
      </c>
      <c r="L2228">
        <v>0</v>
      </c>
      <c r="M2228">
        <v>4</v>
      </c>
      <c r="N2228" t="s">
        <v>359</v>
      </c>
      <c r="O2228" s="3" t="str">
        <f>TEXT(Ticket_Table[[#This Row],[raised_date]],"YYYY-MM")</f>
        <v>2021-06</v>
      </c>
      <c r="P2228" s="3" t="str">
        <f>IF(Ticket_Table[[#This Row],[resolution_hrs]]&lt;=4,"Fast",IF(Ticket_Table[[#This Row],[resolution_hrs]]&lt;=24,"Normal",IF(Ticket_Table[[#This Row],[resolution_hrs]]&lt;=48,"Slow","Very Slow")))</f>
        <v>Slow</v>
      </c>
      <c r="Q2228" s="3">
        <f>YEAR(Ticket_Table[[#This Row],[raised_date]])</f>
        <v>2021</v>
      </c>
    </row>
    <row r="2229" spans="1:17">
      <c r="A2229" t="s">
        <v>2790</v>
      </c>
      <c r="B2229" t="s">
        <v>428</v>
      </c>
      <c r="C2229" t="s">
        <v>140</v>
      </c>
      <c r="D2229" t="s">
        <v>36</v>
      </c>
      <c r="E2229" t="s">
        <v>106</v>
      </c>
      <c r="F2229" t="s">
        <v>70</v>
      </c>
      <c r="G2229" t="s">
        <v>46</v>
      </c>
      <c r="H2229" s="1">
        <v>44727</v>
      </c>
      <c r="I2229" s="2">
        <v>44729.9791666667</v>
      </c>
      <c r="J2229">
        <v>71.5</v>
      </c>
      <c r="K2229" t="s">
        <v>32</v>
      </c>
      <c r="L2229">
        <v>0</v>
      </c>
      <c r="M2229">
        <v>4</v>
      </c>
      <c r="N2229" t="s">
        <v>415</v>
      </c>
      <c r="O2229" s="3" t="str">
        <f>TEXT(Ticket_Table[[#This Row],[raised_date]],"YYYY-MM")</f>
        <v>2022-06</v>
      </c>
      <c r="P2229" s="3" t="str">
        <f>IF(Ticket_Table[[#This Row],[resolution_hrs]]&lt;=4,"Fast",IF(Ticket_Table[[#This Row],[resolution_hrs]]&lt;=24,"Normal",IF(Ticket_Table[[#This Row],[resolution_hrs]]&lt;=48,"Slow","Very Slow")))</f>
        <v>Very Slow</v>
      </c>
      <c r="Q2229" s="3">
        <f>YEAR(Ticket_Table[[#This Row],[raised_date]])</f>
        <v>2022</v>
      </c>
    </row>
    <row r="2230" spans="1:17">
      <c r="A2230" t="s">
        <v>2791</v>
      </c>
      <c r="B2230" t="s">
        <v>974</v>
      </c>
      <c r="C2230" t="s">
        <v>102</v>
      </c>
      <c r="D2230" t="s">
        <v>29</v>
      </c>
      <c r="E2230" t="s">
        <v>30</v>
      </c>
      <c r="F2230" t="s">
        <v>22</v>
      </c>
      <c r="G2230" t="s">
        <v>31</v>
      </c>
      <c r="H2230" s="1">
        <v>44350</v>
      </c>
      <c r="I2230" s="2">
        <v>44352.5083333333</v>
      </c>
      <c r="J2230">
        <v>60.2</v>
      </c>
      <c r="K2230" t="s">
        <v>24</v>
      </c>
      <c r="L2230">
        <v>0</v>
      </c>
      <c r="M2230">
        <v>4</v>
      </c>
      <c r="N2230" t="s">
        <v>787</v>
      </c>
      <c r="O2230" s="3" t="str">
        <f>TEXT(Ticket_Table[[#This Row],[raised_date]],"YYYY-MM")</f>
        <v>2021-06</v>
      </c>
      <c r="P2230" s="3" t="str">
        <f>IF(Ticket_Table[[#This Row],[resolution_hrs]]&lt;=4,"Fast",IF(Ticket_Table[[#This Row],[resolution_hrs]]&lt;=24,"Normal",IF(Ticket_Table[[#This Row],[resolution_hrs]]&lt;=48,"Slow","Very Slow")))</f>
        <v>Very Slow</v>
      </c>
      <c r="Q2230" s="3">
        <f>YEAR(Ticket_Table[[#This Row],[raised_date]])</f>
        <v>2021</v>
      </c>
    </row>
    <row r="2231" spans="1:17">
      <c r="A2231" t="s">
        <v>2792</v>
      </c>
      <c r="B2231" t="s">
        <v>327</v>
      </c>
      <c r="C2231" t="s">
        <v>261</v>
      </c>
      <c r="D2231" t="s">
        <v>36</v>
      </c>
      <c r="E2231" t="s">
        <v>37</v>
      </c>
      <c r="F2231" t="s">
        <v>22</v>
      </c>
      <c r="G2231" t="s">
        <v>23</v>
      </c>
      <c r="H2231" s="1">
        <v>44241</v>
      </c>
      <c r="I2231" s="2">
        <v>44245.4791666667</v>
      </c>
      <c r="J2231">
        <v>107.5</v>
      </c>
      <c r="K2231" t="s">
        <v>32</v>
      </c>
      <c r="L2231">
        <v>0</v>
      </c>
      <c r="M2231">
        <v>3</v>
      </c>
      <c r="N2231" t="s">
        <v>121</v>
      </c>
      <c r="O2231" s="3" t="str">
        <f>TEXT(Ticket_Table[[#This Row],[raised_date]],"YYYY-MM")</f>
        <v>2021-02</v>
      </c>
      <c r="P2231" s="3" t="str">
        <f>IF(Ticket_Table[[#This Row],[resolution_hrs]]&lt;=4,"Fast",IF(Ticket_Table[[#This Row],[resolution_hrs]]&lt;=24,"Normal",IF(Ticket_Table[[#This Row],[resolution_hrs]]&lt;=48,"Slow","Very Slow")))</f>
        <v>Very Slow</v>
      </c>
      <c r="Q2231" s="3">
        <f>YEAR(Ticket_Table[[#This Row],[raised_date]])</f>
        <v>2021</v>
      </c>
    </row>
    <row r="2232" spans="1:17">
      <c r="A2232" t="s">
        <v>2793</v>
      </c>
      <c r="B2232" t="s">
        <v>347</v>
      </c>
      <c r="C2232" t="s">
        <v>102</v>
      </c>
      <c r="D2232" t="s">
        <v>36</v>
      </c>
      <c r="E2232" t="s">
        <v>37</v>
      </c>
      <c r="F2232" t="s">
        <v>70</v>
      </c>
      <c r="G2232" t="s">
        <v>31</v>
      </c>
      <c r="H2232" s="1">
        <v>44329</v>
      </c>
      <c r="I2232" s="2">
        <v>44329.2666666667</v>
      </c>
      <c r="J2232">
        <v>6.4</v>
      </c>
      <c r="K2232" t="s">
        <v>24</v>
      </c>
      <c r="L2232">
        <v>0</v>
      </c>
      <c r="M2232">
        <v>3</v>
      </c>
      <c r="N2232" t="s">
        <v>603</v>
      </c>
      <c r="O2232" s="3" t="str">
        <f>TEXT(Ticket_Table[[#This Row],[raised_date]],"YYYY-MM")</f>
        <v>2021-05</v>
      </c>
      <c r="P2232" s="3" t="str">
        <f>IF(Ticket_Table[[#This Row],[resolution_hrs]]&lt;=4,"Fast",IF(Ticket_Table[[#This Row],[resolution_hrs]]&lt;=24,"Normal",IF(Ticket_Table[[#This Row],[resolution_hrs]]&lt;=48,"Slow","Very Slow")))</f>
        <v>Normal</v>
      </c>
      <c r="Q2232" s="3">
        <f>YEAR(Ticket_Table[[#This Row],[raised_date]])</f>
        <v>2021</v>
      </c>
    </row>
    <row r="2233" spans="1:17">
      <c r="A2233" t="s">
        <v>2794</v>
      </c>
      <c r="B2233" t="s">
        <v>676</v>
      </c>
      <c r="C2233" t="s">
        <v>213</v>
      </c>
      <c r="D2233" t="s">
        <v>29</v>
      </c>
      <c r="E2233" t="s">
        <v>21</v>
      </c>
      <c r="F2233" t="s">
        <v>70</v>
      </c>
      <c r="G2233" t="s">
        <v>23</v>
      </c>
      <c r="H2233" s="1">
        <v>44601</v>
      </c>
      <c r="I2233" s="2">
        <v>44601.3541666667</v>
      </c>
      <c r="J2233">
        <v>8.5</v>
      </c>
      <c r="K2233" t="s">
        <v>24</v>
      </c>
      <c r="L2233">
        <v>0</v>
      </c>
      <c r="M2233">
        <v>4</v>
      </c>
      <c r="N2233" t="s">
        <v>1226</v>
      </c>
      <c r="O2233" s="3" t="str">
        <f>TEXT(Ticket_Table[[#This Row],[raised_date]],"YYYY-MM")</f>
        <v>2022-02</v>
      </c>
      <c r="P2233" s="3" t="str">
        <f>IF(Ticket_Table[[#This Row],[resolution_hrs]]&lt;=4,"Fast",IF(Ticket_Table[[#This Row],[resolution_hrs]]&lt;=24,"Normal",IF(Ticket_Table[[#This Row],[resolution_hrs]]&lt;=48,"Slow","Very Slow")))</f>
        <v>Normal</v>
      </c>
      <c r="Q2233" s="3">
        <f>YEAR(Ticket_Table[[#This Row],[raised_date]])</f>
        <v>2022</v>
      </c>
    </row>
    <row r="2234" spans="1:17">
      <c r="A2234" t="s">
        <v>2795</v>
      </c>
      <c r="B2234" t="s">
        <v>515</v>
      </c>
      <c r="C2234" t="s">
        <v>213</v>
      </c>
      <c r="D2234" t="s">
        <v>36</v>
      </c>
      <c r="E2234" t="s">
        <v>37</v>
      </c>
      <c r="F2234" t="s">
        <v>22</v>
      </c>
      <c r="G2234" t="s">
        <v>23</v>
      </c>
      <c r="H2234" s="1">
        <v>45105</v>
      </c>
      <c r="I2234" s="2">
        <v>45108.4583333333</v>
      </c>
      <c r="J2234">
        <v>83</v>
      </c>
      <c r="K2234" t="s">
        <v>32</v>
      </c>
      <c r="L2234">
        <v>0</v>
      </c>
      <c r="M2234">
        <v>4</v>
      </c>
      <c r="N2234" t="s">
        <v>359</v>
      </c>
      <c r="O2234" s="3" t="str">
        <f>TEXT(Ticket_Table[[#This Row],[raised_date]],"YYYY-MM")</f>
        <v>2023-06</v>
      </c>
      <c r="P2234" s="3" t="str">
        <f>IF(Ticket_Table[[#This Row],[resolution_hrs]]&lt;=4,"Fast",IF(Ticket_Table[[#This Row],[resolution_hrs]]&lt;=24,"Normal",IF(Ticket_Table[[#This Row],[resolution_hrs]]&lt;=48,"Slow","Very Slow")))</f>
        <v>Very Slow</v>
      </c>
      <c r="Q2234" s="3">
        <f>YEAR(Ticket_Table[[#This Row],[raised_date]])</f>
        <v>2023</v>
      </c>
    </row>
    <row r="2235" spans="1:17">
      <c r="A2235" t="s">
        <v>2796</v>
      </c>
      <c r="B2235" t="s">
        <v>2654</v>
      </c>
      <c r="C2235" t="s">
        <v>78</v>
      </c>
      <c r="D2235" t="s">
        <v>29</v>
      </c>
      <c r="E2235" t="s">
        <v>30</v>
      </c>
      <c r="F2235" t="s">
        <v>22</v>
      </c>
      <c r="G2235" t="s">
        <v>23</v>
      </c>
      <c r="H2235" s="1">
        <v>44460</v>
      </c>
      <c r="I2235" s="2">
        <v>44461.4958333333</v>
      </c>
      <c r="J2235">
        <v>35.9</v>
      </c>
      <c r="K2235" t="s">
        <v>24</v>
      </c>
      <c r="L2235">
        <v>2</v>
      </c>
      <c r="M2235">
        <v>3</v>
      </c>
      <c r="N2235" t="s">
        <v>401</v>
      </c>
      <c r="O2235" s="3" t="str">
        <f>TEXT(Ticket_Table[[#This Row],[raised_date]],"YYYY-MM")</f>
        <v>2021-09</v>
      </c>
      <c r="P2235" s="3" t="str">
        <f>IF(Ticket_Table[[#This Row],[resolution_hrs]]&lt;=4,"Fast",IF(Ticket_Table[[#This Row],[resolution_hrs]]&lt;=24,"Normal",IF(Ticket_Table[[#This Row],[resolution_hrs]]&lt;=48,"Slow","Very Slow")))</f>
        <v>Slow</v>
      </c>
      <c r="Q2235" s="3">
        <f>YEAR(Ticket_Table[[#This Row],[raised_date]])</f>
        <v>2021</v>
      </c>
    </row>
    <row r="2236" spans="1:17">
      <c r="A2236" t="s">
        <v>2797</v>
      </c>
      <c r="B2236" t="s">
        <v>550</v>
      </c>
      <c r="C2236" t="s">
        <v>82</v>
      </c>
      <c r="D2236" t="s">
        <v>90</v>
      </c>
      <c r="E2236" t="s">
        <v>106</v>
      </c>
      <c r="F2236" t="s">
        <v>45</v>
      </c>
      <c r="G2236" t="s">
        <v>31</v>
      </c>
      <c r="H2236" s="1">
        <v>44385</v>
      </c>
      <c r="I2236" s="2">
        <v>44385.1375</v>
      </c>
      <c r="J2236">
        <v>3.3</v>
      </c>
      <c r="K2236" t="s">
        <v>24</v>
      </c>
      <c r="L2236">
        <v>0</v>
      </c>
      <c r="M2236">
        <v>4</v>
      </c>
      <c r="N2236" t="s">
        <v>167</v>
      </c>
      <c r="O2236" s="3" t="str">
        <f>TEXT(Ticket_Table[[#This Row],[raised_date]],"YYYY-MM")</f>
        <v>2021-07</v>
      </c>
      <c r="P2236" s="3" t="str">
        <f>IF(Ticket_Table[[#This Row],[resolution_hrs]]&lt;=4,"Fast",IF(Ticket_Table[[#This Row],[resolution_hrs]]&lt;=24,"Normal",IF(Ticket_Table[[#This Row],[resolution_hrs]]&lt;=48,"Slow","Very Slow")))</f>
        <v>Fast</v>
      </c>
      <c r="Q2236" s="3">
        <f>YEAR(Ticket_Table[[#This Row],[raised_date]])</f>
        <v>2021</v>
      </c>
    </row>
    <row r="2237" spans="1:17">
      <c r="A2237" t="s">
        <v>2798</v>
      </c>
      <c r="B2237" t="s">
        <v>571</v>
      </c>
      <c r="C2237" t="s">
        <v>175</v>
      </c>
      <c r="D2237" t="s">
        <v>20</v>
      </c>
      <c r="E2237" t="s">
        <v>83</v>
      </c>
      <c r="F2237" t="s">
        <v>22</v>
      </c>
      <c r="G2237" t="s">
        <v>23</v>
      </c>
      <c r="H2237" s="1">
        <v>44876</v>
      </c>
      <c r="I2237" s="2">
        <v>44877.1666666667</v>
      </c>
      <c r="J2237">
        <v>28</v>
      </c>
      <c r="K2237" t="s">
        <v>24</v>
      </c>
      <c r="L2237">
        <v>0</v>
      </c>
      <c r="M2237">
        <v>4</v>
      </c>
      <c r="N2237" t="s">
        <v>449</v>
      </c>
      <c r="O2237" s="3" t="str">
        <f>TEXT(Ticket_Table[[#This Row],[raised_date]],"YYYY-MM")</f>
        <v>2022-11</v>
      </c>
      <c r="P2237" s="3" t="str">
        <f>IF(Ticket_Table[[#This Row],[resolution_hrs]]&lt;=4,"Fast",IF(Ticket_Table[[#This Row],[resolution_hrs]]&lt;=24,"Normal",IF(Ticket_Table[[#This Row],[resolution_hrs]]&lt;=48,"Slow","Very Slow")))</f>
        <v>Slow</v>
      </c>
      <c r="Q2237" s="3">
        <f>YEAR(Ticket_Table[[#This Row],[raised_date]])</f>
        <v>2022</v>
      </c>
    </row>
    <row r="2238" spans="1:17">
      <c r="A2238" t="s">
        <v>2799</v>
      </c>
      <c r="B2238" t="s">
        <v>733</v>
      </c>
      <c r="C2238" t="s">
        <v>19</v>
      </c>
      <c r="D2238" t="s">
        <v>29</v>
      </c>
      <c r="E2238" t="s">
        <v>51</v>
      </c>
      <c r="F2238" t="s">
        <v>38</v>
      </c>
      <c r="G2238" t="s">
        <v>23</v>
      </c>
      <c r="H2238" s="1">
        <v>44447</v>
      </c>
      <c r="I2238" s="2">
        <v>44447.7791666667</v>
      </c>
      <c r="J2238">
        <v>18.7</v>
      </c>
      <c r="K2238" t="s">
        <v>24</v>
      </c>
      <c r="L2238">
        <v>0</v>
      </c>
      <c r="M2238">
        <v>3</v>
      </c>
      <c r="N2238" t="s">
        <v>368</v>
      </c>
      <c r="O2238" s="3" t="str">
        <f>TEXT(Ticket_Table[[#This Row],[raised_date]],"YYYY-MM")</f>
        <v>2021-09</v>
      </c>
      <c r="P2238" s="3" t="str">
        <f>IF(Ticket_Table[[#This Row],[resolution_hrs]]&lt;=4,"Fast",IF(Ticket_Table[[#This Row],[resolution_hrs]]&lt;=24,"Normal",IF(Ticket_Table[[#This Row],[resolution_hrs]]&lt;=48,"Slow","Very Slow")))</f>
        <v>Normal</v>
      </c>
      <c r="Q2238" s="3">
        <f>YEAR(Ticket_Table[[#This Row],[raised_date]])</f>
        <v>2021</v>
      </c>
    </row>
    <row r="2239" spans="1:17">
      <c r="A2239" t="s">
        <v>2800</v>
      </c>
      <c r="B2239" t="s">
        <v>1064</v>
      </c>
      <c r="C2239" t="s">
        <v>50</v>
      </c>
      <c r="D2239" t="s">
        <v>29</v>
      </c>
      <c r="E2239" t="s">
        <v>166</v>
      </c>
      <c r="F2239" t="s">
        <v>38</v>
      </c>
      <c r="G2239" t="s">
        <v>74</v>
      </c>
      <c r="H2239" s="1">
        <v>44284</v>
      </c>
      <c r="I2239" s="2">
        <v>44284.7166666667</v>
      </c>
      <c r="J2239">
        <v>17.2</v>
      </c>
      <c r="K2239" t="s">
        <v>24</v>
      </c>
      <c r="L2239">
        <v>0</v>
      </c>
      <c r="M2239">
        <v>5</v>
      </c>
      <c r="N2239" t="s">
        <v>397</v>
      </c>
      <c r="O2239" s="3" t="str">
        <f>TEXT(Ticket_Table[[#This Row],[raised_date]],"YYYY-MM")</f>
        <v>2021-03</v>
      </c>
      <c r="P2239" s="3" t="str">
        <f>IF(Ticket_Table[[#This Row],[resolution_hrs]]&lt;=4,"Fast",IF(Ticket_Table[[#This Row],[resolution_hrs]]&lt;=24,"Normal",IF(Ticket_Table[[#This Row],[resolution_hrs]]&lt;=48,"Slow","Very Slow")))</f>
        <v>Normal</v>
      </c>
      <c r="Q2239" s="3">
        <f>YEAR(Ticket_Table[[#This Row],[raised_date]])</f>
        <v>2021</v>
      </c>
    </row>
    <row r="2240" spans="1:17">
      <c r="A2240" t="s">
        <v>2801</v>
      </c>
      <c r="B2240" t="s">
        <v>279</v>
      </c>
      <c r="C2240" t="s">
        <v>55</v>
      </c>
      <c r="D2240" t="s">
        <v>36</v>
      </c>
      <c r="E2240" t="s">
        <v>44</v>
      </c>
      <c r="F2240" t="s">
        <v>22</v>
      </c>
      <c r="G2240" t="s">
        <v>23</v>
      </c>
      <c r="H2240" s="1">
        <v>45141</v>
      </c>
      <c r="I2240" s="2">
        <v>45141.3666666667</v>
      </c>
      <c r="J2240">
        <v>8.8</v>
      </c>
      <c r="K2240" t="s">
        <v>24</v>
      </c>
      <c r="L2240">
        <v>1</v>
      </c>
      <c r="M2240">
        <v>4</v>
      </c>
      <c r="N2240" t="s">
        <v>27</v>
      </c>
      <c r="O2240" s="3" t="str">
        <f>TEXT(Ticket_Table[[#This Row],[raised_date]],"YYYY-MM")</f>
        <v>2023-08</v>
      </c>
      <c r="P2240" s="3" t="str">
        <f>IF(Ticket_Table[[#This Row],[resolution_hrs]]&lt;=4,"Fast",IF(Ticket_Table[[#This Row],[resolution_hrs]]&lt;=24,"Normal",IF(Ticket_Table[[#This Row],[resolution_hrs]]&lt;=48,"Slow","Very Slow")))</f>
        <v>Normal</v>
      </c>
      <c r="Q2240" s="3">
        <f>YEAR(Ticket_Table[[#This Row],[raised_date]])</f>
        <v>2023</v>
      </c>
    </row>
    <row r="2241" spans="1:17">
      <c r="A2241" t="s">
        <v>2802</v>
      </c>
      <c r="B2241" t="s">
        <v>35</v>
      </c>
      <c r="C2241" t="s">
        <v>64</v>
      </c>
      <c r="D2241" t="s">
        <v>29</v>
      </c>
      <c r="E2241" t="s">
        <v>69</v>
      </c>
      <c r="F2241" t="s">
        <v>22</v>
      </c>
      <c r="G2241" t="s">
        <v>31</v>
      </c>
      <c r="H2241" s="1">
        <v>44300</v>
      </c>
      <c r="I2241" s="2">
        <v>44303.1375</v>
      </c>
      <c r="J2241">
        <v>75.3</v>
      </c>
      <c r="K2241" t="s">
        <v>32</v>
      </c>
      <c r="L2241">
        <v>0</v>
      </c>
      <c r="M2241">
        <v>4</v>
      </c>
      <c r="N2241" t="s">
        <v>1064</v>
      </c>
      <c r="O2241" s="3" t="str">
        <f>TEXT(Ticket_Table[[#This Row],[raised_date]],"YYYY-MM")</f>
        <v>2021-04</v>
      </c>
      <c r="P2241" s="3" t="str">
        <f>IF(Ticket_Table[[#This Row],[resolution_hrs]]&lt;=4,"Fast",IF(Ticket_Table[[#This Row],[resolution_hrs]]&lt;=24,"Normal",IF(Ticket_Table[[#This Row],[resolution_hrs]]&lt;=48,"Slow","Very Slow")))</f>
        <v>Very Slow</v>
      </c>
      <c r="Q2241" s="3">
        <f>YEAR(Ticket_Table[[#This Row],[raised_date]])</f>
        <v>2021</v>
      </c>
    </row>
    <row r="2242" spans="1:17">
      <c r="A2242" t="s">
        <v>2803</v>
      </c>
      <c r="B2242" t="s">
        <v>1243</v>
      </c>
      <c r="C2242" t="s">
        <v>82</v>
      </c>
      <c r="D2242" t="s">
        <v>43</v>
      </c>
      <c r="E2242" t="s">
        <v>166</v>
      </c>
      <c r="F2242" t="s">
        <v>22</v>
      </c>
      <c r="G2242" t="s">
        <v>31</v>
      </c>
      <c r="H2242" s="1">
        <v>44541</v>
      </c>
      <c r="I2242" s="2">
        <v>44544.3833333333</v>
      </c>
      <c r="J2242">
        <v>81.2</v>
      </c>
      <c r="K2242" t="s">
        <v>32</v>
      </c>
      <c r="L2242">
        <v>0</v>
      </c>
      <c r="M2242">
        <v>5</v>
      </c>
      <c r="N2242" t="s">
        <v>1136</v>
      </c>
      <c r="O2242" s="3" t="str">
        <f>TEXT(Ticket_Table[[#This Row],[raised_date]],"YYYY-MM")</f>
        <v>2021-12</v>
      </c>
      <c r="P2242" s="3" t="str">
        <f>IF(Ticket_Table[[#This Row],[resolution_hrs]]&lt;=4,"Fast",IF(Ticket_Table[[#This Row],[resolution_hrs]]&lt;=24,"Normal",IF(Ticket_Table[[#This Row],[resolution_hrs]]&lt;=48,"Slow","Very Slow")))</f>
        <v>Very Slow</v>
      </c>
      <c r="Q2242" s="3">
        <f>YEAR(Ticket_Table[[#This Row],[raised_date]])</f>
        <v>2021</v>
      </c>
    </row>
    <row r="2243" spans="1:17">
      <c r="A2243" t="s">
        <v>2804</v>
      </c>
      <c r="B2243" t="s">
        <v>1013</v>
      </c>
      <c r="C2243" t="s">
        <v>261</v>
      </c>
      <c r="D2243" t="s">
        <v>43</v>
      </c>
      <c r="E2243" t="s">
        <v>21</v>
      </c>
      <c r="F2243" t="s">
        <v>38</v>
      </c>
      <c r="G2243" t="s">
        <v>46</v>
      </c>
      <c r="H2243" s="1">
        <v>45084</v>
      </c>
      <c r="I2243" s="2">
        <v>45084.5958333333</v>
      </c>
      <c r="J2243">
        <v>14.3</v>
      </c>
      <c r="K2243" t="s">
        <v>24</v>
      </c>
      <c r="L2243">
        <v>1</v>
      </c>
      <c r="M2243">
        <v>4</v>
      </c>
      <c r="N2243" t="s">
        <v>1291</v>
      </c>
      <c r="O2243" s="3" t="str">
        <f>TEXT(Ticket_Table[[#This Row],[raised_date]],"YYYY-MM")</f>
        <v>2023-06</v>
      </c>
      <c r="P2243" s="3" t="str">
        <f>IF(Ticket_Table[[#This Row],[resolution_hrs]]&lt;=4,"Fast",IF(Ticket_Table[[#This Row],[resolution_hrs]]&lt;=24,"Normal",IF(Ticket_Table[[#This Row],[resolution_hrs]]&lt;=48,"Slow","Very Slow")))</f>
        <v>Normal</v>
      </c>
      <c r="Q2243" s="3">
        <f>YEAR(Ticket_Table[[#This Row],[raised_date]])</f>
        <v>2023</v>
      </c>
    </row>
    <row r="2244" spans="1:17">
      <c r="A2244" t="s">
        <v>2805</v>
      </c>
      <c r="B2244" t="s">
        <v>595</v>
      </c>
      <c r="C2244" t="s">
        <v>201</v>
      </c>
      <c r="D2244" t="s">
        <v>90</v>
      </c>
      <c r="E2244" t="s">
        <v>37</v>
      </c>
      <c r="F2244" t="s">
        <v>70</v>
      </c>
      <c r="G2244" t="s">
        <v>23</v>
      </c>
      <c r="H2244" s="1">
        <v>45005</v>
      </c>
      <c r="I2244" s="2">
        <v>45007.25</v>
      </c>
      <c r="J2244">
        <v>54</v>
      </c>
      <c r="K2244" t="s">
        <v>32</v>
      </c>
      <c r="L2244">
        <v>0</v>
      </c>
      <c r="M2244">
        <v>4</v>
      </c>
      <c r="N2244" t="s">
        <v>817</v>
      </c>
      <c r="O2244" s="3" t="str">
        <f>TEXT(Ticket_Table[[#This Row],[raised_date]],"YYYY-MM")</f>
        <v>2023-03</v>
      </c>
      <c r="P2244" s="3" t="str">
        <f>IF(Ticket_Table[[#This Row],[resolution_hrs]]&lt;=4,"Fast",IF(Ticket_Table[[#This Row],[resolution_hrs]]&lt;=24,"Normal",IF(Ticket_Table[[#This Row],[resolution_hrs]]&lt;=48,"Slow","Very Slow")))</f>
        <v>Very Slow</v>
      </c>
      <c r="Q2244" s="3">
        <f>YEAR(Ticket_Table[[#This Row],[raised_date]])</f>
        <v>2023</v>
      </c>
    </row>
    <row r="2245" spans="1:17">
      <c r="A2245" t="s">
        <v>2806</v>
      </c>
      <c r="B2245" t="s">
        <v>538</v>
      </c>
      <c r="C2245" t="s">
        <v>82</v>
      </c>
      <c r="D2245" t="s">
        <v>29</v>
      </c>
      <c r="E2245" t="s">
        <v>106</v>
      </c>
      <c r="F2245" t="s">
        <v>38</v>
      </c>
      <c r="G2245" t="s">
        <v>46</v>
      </c>
      <c r="H2245" s="1">
        <v>45213</v>
      </c>
      <c r="I2245" s="2">
        <v>45214.2916666667</v>
      </c>
      <c r="J2245">
        <v>31</v>
      </c>
      <c r="K2245" t="s">
        <v>32</v>
      </c>
      <c r="L2245">
        <v>1</v>
      </c>
      <c r="M2245">
        <v>4</v>
      </c>
      <c r="N2245" t="s">
        <v>304</v>
      </c>
      <c r="O2245" s="3" t="str">
        <f>TEXT(Ticket_Table[[#This Row],[raised_date]],"YYYY-MM")</f>
        <v>2023-10</v>
      </c>
      <c r="P2245" s="3" t="str">
        <f>IF(Ticket_Table[[#This Row],[resolution_hrs]]&lt;=4,"Fast",IF(Ticket_Table[[#This Row],[resolution_hrs]]&lt;=24,"Normal",IF(Ticket_Table[[#This Row],[resolution_hrs]]&lt;=48,"Slow","Very Slow")))</f>
        <v>Slow</v>
      </c>
      <c r="Q2245" s="3">
        <f>YEAR(Ticket_Table[[#This Row],[raised_date]])</f>
        <v>2023</v>
      </c>
    </row>
    <row r="2246" spans="1:17">
      <c r="A2246" t="s">
        <v>2807</v>
      </c>
      <c r="B2246" t="s">
        <v>329</v>
      </c>
      <c r="C2246" t="s">
        <v>68</v>
      </c>
      <c r="D2246" t="s">
        <v>36</v>
      </c>
      <c r="E2246" t="s">
        <v>83</v>
      </c>
      <c r="F2246" t="s">
        <v>45</v>
      </c>
      <c r="G2246" t="s">
        <v>91</v>
      </c>
      <c r="H2246" s="1">
        <v>44257</v>
      </c>
      <c r="I2246" s="2">
        <v>44257.125</v>
      </c>
      <c r="J2246">
        <v>3</v>
      </c>
      <c r="K2246" t="s">
        <v>24</v>
      </c>
      <c r="L2246">
        <v>0</v>
      </c>
      <c r="M2246">
        <v>4</v>
      </c>
      <c r="N2246" t="s">
        <v>873</v>
      </c>
      <c r="O2246" s="3" t="str">
        <f>TEXT(Ticket_Table[[#This Row],[raised_date]],"YYYY-MM")</f>
        <v>2021-03</v>
      </c>
      <c r="P2246" s="3" t="str">
        <f>IF(Ticket_Table[[#This Row],[resolution_hrs]]&lt;=4,"Fast",IF(Ticket_Table[[#This Row],[resolution_hrs]]&lt;=24,"Normal",IF(Ticket_Table[[#This Row],[resolution_hrs]]&lt;=48,"Slow","Very Slow")))</f>
        <v>Fast</v>
      </c>
      <c r="Q2246" s="3">
        <f>YEAR(Ticket_Table[[#This Row],[raised_date]])</f>
        <v>2021</v>
      </c>
    </row>
    <row r="2247" spans="1:17">
      <c r="A2247" t="s">
        <v>2808</v>
      </c>
      <c r="B2247" t="s">
        <v>185</v>
      </c>
      <c r="C2247" t="s">
        <v>68</v>
      </c>
      <c r="D2247" t="s">
        <v>36</v>
      </c>
      <c r="E2247" t="s">
        <v>69</v>
      </c>
      <c r="F2247" t="s">
        <v>38</v>
      </c>
      <c r="G2247" t="s">
        <v>23</v>
      </c>
      <c r="H2247" s="1">
        <v>44980</v>
      </c>
      <c r="I2247" s="2">
        <v>44980.0583333333</v>
      </c>
      <c r="J2247">
        <v>1.4</v>
      </c>
      <c r="K2247" t="s">
        <v>24</v>
      </c>
      <c r="L2247">
        <v>0</v>
      </c>
      <c r="M2247">
        <v>1</v>
      </c>
      <c r="N2247" t="s">
        <v>420</v>
      </c>
      <c r="O2247" s="3" t="str">
        <f>TEXT(Ticket_Table[[#This Row],[raised_date]],"YYYY-MM")</f>
        <v>2023-02</v>
      </c>
      <c r="P2247" s="3" t="str">
        <f>IF(Ticket_Table[[#This Row],[resolution_hrs]]&lt;=4,"Fast",IF(Ticket_Table[[#This Row],[resolution_hrs]]&lt;=24,"Normal",IF(Ticket_Table[[#This Row],[resolution_hrs]]&lt;=48,"Slow","Very Slow")))</f>
        <v>Fast</v>
      </c>
      <c r="Q2247" s="3">
        <f>YEAR(Ticket_Table[[#This Row],[raised_date]])</f>
        <v>2023</v>
      </c>
    </row>
    <row r="2248" spans="1:17">
      <c r="A2248" t="s">
        <v>2809</v>
      </c>
      <c r="B2248" t="s">
        <v>556</v>
      </c>
      <c r="C2248" t="s">
        <v>95</v>
      </c>
      <c r="D2248" t="s">
        <v>20</v>
      </c>
      <c r="E2248" t="s">
        <v>56</v>
      </c>
      <c r="F2248" t="s">
        <v>22</v>
      </c>
      <c r="G2248" t="s">
        <v>31</v>
      </c>
      <c r="H2248" s="1">
        <v>45070</v>
      </c>
      <c r="I2248" s="2">
        <v>45070.5541666667</v>
      </c>
      <c r="J2248">
        <v>13.3</v>
      </c>
      <c r="K2248" t="s">
        <v>24</v>
      </c>
      <c r="L2248">
        <v>0</v>
      </c>
      <c r="M2248">
        <v>3</v>
      </c>
      <c r="N2248" t="s">
        <v>171</v>
      </c>
      <c r="O2248" s="3" t="str">
        <f>TEXT(Ticket_Table[[#This Row],[raised_date]],"YYYY-MM")</f>
        <v>2023-05</v>
      </c>
      <c r="P2248" s="3" t="str">
        <f>IF(Ticket_Table[[#This Row],[resolution_hrs]]&lt;=4,"Fast",IF(Ticket_Table[[#This Row],[resolution_hrs]]&lt;=24,"Normal",IF(Ticket_Table[[#This Row],[resolution_hrs]]&lt;=48,"Slow","Very Slow")))</f>
        <v>Normal</v>
      </c>
      <c r="Q2248" s="3">
        <f>YEAR(Ticket_Table[[#This Row],[raised_date]])</f>
        <v>2023</v>
      </c>
    </row>
    <row r="2249" spans="1:17">
      <c r="A2249" t="s">
        <v>2810</v>
      </c>
      <c r="B2249" t="s">
        <v>266</v>
      </c>
      <c r="C2249" t="s">
        <v>28</v>
      </c>
      <c r="D2249" t="s">
        <v>90</v>
      </c>
      <c r="E2249" t="s">
        <v>83</v>
      </c>
      <c r="F2249" t="s">
        <v>22</v>
      </c>
      <c r="G2249" t="s">
        <v>31</v>
      </c>
      <c r="H2249" s="1">
        <v>44550</v>
      </c>
      <c r="I2249" s="2">
        <v>44554.1291666667</v>
      </c>
      <c r="J2249">
        <v>99.1</v>
      </c>
      <c r="K2249" t="s">
        <v>32</v>
      </c>
      <c r="L2249">
        <v>0</v>
      </c>
      <c r="M2249">
        <v>3</v>
      </c>
      <c r="N2249" t="s">
        <v>409</v>
      </c>
      <c r="O2249" s="3" t="str">
        <f>TEXT(Ticket_Table[[#This Row],[raised_date]],"YYYY-MM")</f>
        <v>2021-12</v>
      </c>
      <c r="P2249" s="3" t="str">
        <f>IF(Ticket_Table[[#This Row],[resolution_hrs]]&lt;=4,"Fast",IF(Ticket_Table[[#This Row],[resolution_hrs]]&lt;=24,"Normal",IF(Ticket_Table[[#This Row],[resolution_hrs]]&lt;=48,"Slow","Very Slow")))</f>
        <v>Very Slow</v>
      </c>
      <c r="Q2249" s="3">
        <f>YEAR(Ticket_Table[[#This Row],[raised_date]])</f>
        <v>2021</v>
      </c>
    </row>
    <row r="2250" spans="1:17">
      <c r="A2250" t="s">
        <v>2811</v>
      </c>
      <c r="B2250" t="s">
        <v>525</v>
      </c>
      <c r="C2250" t="s">
        <v>68</v>
      </c>
      <c r="D2250" t="s">
        <v>36</v>
      </c>
      <c r="E2250" t="s">
        <v>51</v>
      </c>
      <c r="F2250" t="s">
        <v>38</v>
      </c>
      <c r="G2250" t="s">
        <v>31</v>
      </c>
      <c r="H2250" s="1">
        <v>44921</v>
      </c>
      <c r="I2250" s="2">
        <v>44921.5166666667</v>
      </c>
      <c r="J2250">
        <v>12.4</v>
      </c>
      <c r="K2250" t="s">
        <v>24</v>
      </c>
      <c r="L2250">
        <v>0</v>
      </c>
      <c r="M2250">
        <v>4</v>
      </c>
      <c r="N2250" t="s">
        <v>640</v>
      </c>
      <c r="O2250" s="3" t="str">
        <f>TEXT(Ticket_Table[[#This Row],[raised_date]],"YYYY-MM")</f>
        <v>2022-12</v>
      </c>
      <c r="P2250" s="3" t="str">
        <f>IF(Ticket_Table[[#This Row],[resolution_hrs]]&lt;=4,"Fast",IF(Ticket_Table[[#This Row],[resolution_hrs]]&lt;=24,"Normal",IF(Ticket_Table[[#This Row],[resolution_hrs]]&lt;=48,"Slow","Very Slow")))</f>
        <v>Normal</v>
      </c>
      <c r="Q2250" s="3">
        <f>YEAR(Ticket_Table[[#This Row],[raised_date]])</f>
        <v>2022</v>
      </c>
    </row>
    <row r="2251" spans="1:17">
      <c r="A2251" t="s">
        <v>2812</v>
      </c>
      <c r="B2251" t="s">
        <v>897</v>
      </c>
      <c r="C2251" t="s">
        <v>68</v>
      </c>
      <c r="D2251" t="s">
        <v>20</v>
      </c>
      <c r="E2251" t="s">
        <v>37</v>
      </c>
      <c r="F2251" t="s">
        <v>22</v>
      </c>
      <c r="G2251" t="s">
        <v>31</v>
      </c>
      <c r="H2251" s="1">
        <v>44636</v>
      </c>
      <c r="I2251" s="2">
        <v>44639.3791666667</v>
      </c>
      <c r="J2251">
        <v>81.1</v>
      </c>
      <c r="K2251" t="s">
        <v>32</v>
      </c>
      <c r="L2251">
        <v>0</v>
      </c>
      <c r="M2251">
        <v>4</v>
      </c>
      <c r="N2251" t="s">
        <v>35</v>
      </c>
      <c r="O2251" s="3" t="str">
        <f>TEXT(Ticket_Table[[#This Row],[raised_date]],"YYYY-MM")</f>
        <v>2022-03</v>
      </c>
      <c r="P2251" s="3" t="str">
        <f>IF(Ticket_Table[[#This Row],[resolution_hrs]]&lt;=4,"Fast",IF(Ticket_Table[[#This Row],[resolution_hrs]]&lt;=24,"Normal",IF(Ticket_Table[[#This Row],[resolution_hrs]]&lt;=48,"Slow","Very Slow")))</f>
        <v>Very Slow</v>
      </c>
      <c r="Q2251" s="3">
        <f>YEAR(Ticket_Table[[#This Row],[raised_date]])</f>
        <v>2022</v>
      </c>
    </row>
    <row r="2252" spans="1:17">
      <c r="A2252" t="s">
        <v>2813</v>
      </c>
      <c r="B2252" t="s">
        <v>293</v>
      </c>
      <c r="C2252" t="s">
        <v>117</v>
      </c>
      <c r="D2252" t="s">
        <v>36</v>
      </c>
      <c r="E2252" t="s">
        <v>44</v>
      </c>
      <c r="F2252" t="s">
        <v>22</v>
      </c>
      <c r="G2252" t="s">
        <v>74</v>
      </c>
      <c r="H2252" s="1">
        <v>44580</v>
      </c>
      <c r="I2252" s="2">
        <v>44582.2041666667</v>
      </c>
      <c r="J2252">
        <v>52.9</v>
      </c>
      <c r="K2252" t="s">
        <v>24</v>
      </c>
      <c r="L2252">
        <v>1</v>
      </c>
      <c r="M2252">
        <v>4</v>
      </c>
      <c r="N2252" t="s">
        <v>564</v>
      </c>
      <c r="O2252" s="3" t="str">
        <f>TEXT(Ticket_Table[[#This Row],[raised_date]],"YYYY-MM")</f>
        <v>2022-01</v>
      </c>
      <c r="P2252" s="3" t="str">
        <f>IF(Ticket_Table[[#This Row],[resolution_hrs]]&lt;=4,"Fast",IF(Ticket_Table[[#This Row],[resolution_hrs]]&lt;=24,"Normal",IF(Ticket_Table[[#This Row],[resolution_hrs]]&lt;=48,"Slow","Very Slow")))</f>
        <v>Very Slow</v>
      </c>
      <c r="Q2252" s="3">
        <f>YEAR(Ticket_Table[[#This Row],[raised_date]])</f>
        <v>2022</v>
      </c>
    </row>
    <row r="2253" spans="1:17">
      <c r="A2253" t="s">
        <v>2814</v>
      </c>
      <c r="B2253" t="s">
        <v>826</v>
      </c>
      <c r="C2253" t="s">
        <v>55</v>
      </c>
      <c r="D2253" t="s">
        <v>20</v>
      </c>
      <c r="E2253" t="s">
        <v>69</v>
      </c>
      <c r="F2253" t="s">
        <v>38</v>
      </c>
      <c r="G2253" t="s">
        <v>91</v>
      </c>
      <c r="H2253" s="1">
        <v>44760</v>
      </c>
      <c r="I2253" s="2">
        <v>44760.1416666667</v>
      </c>
      <c r="J2253">
        <v>3.4</v>
      </c>
      <c r="K2253" t="s">
        <v>24</v>
      </c>
      <c r="L2253">
        <v>1</v>
      </c>
      <c r="M2253">
        <v>4</v>
      </c>
      <c r="N2253" t="s">
        <v>105</v>
      </c>
      <c r="O2253" s="3" t="str">
        <f>TEXT(Ticket_Table[[#This Row],[raised_date]],"YYYY-MM")</f>
        <v>2022-07</v>
      </c>
      <c r="P2253" s="3" t="str">
        <f>IF(Ticket_Table[[#This Row],[resolution_hrs]]&lt;=4,"Fast",IF(Ticket_Table[[#This Row],[resolution_hrs]]&lt;=24,"Normal",IF(Ticket_Table[[#This Row],[resolution_hrs]]&lt;=48,"Slow","Very Slow")))</f>
        <v>Fast</v>
      </c>
      <c r="Q2253" s="3">
        <f>YEAR(Ticket_Table[[#This Row],[raised_date]])</f>
        <v>2022</v>
      </c>
    </row>
    <row r="2254" spans="1:17">
      <c r="A2254" t="s">
        <v>2815</v>
      </c>
      <c r="B2254" t="s">
        <v>1107</v>
      </c>
      <c r="C2254" t="s">
        <v>19</v>
      </c>
      <c r="D2254" t="s">
        <v>43</v>
      </c>
      <c r="E2254" t="s">
        <v>37</v>
      </c>
      <c r="F2254" t="s">
        <v>70</v>
      </c>
      <c r="G2254" t="s">
        <v>31</v>
      </c>
      <c r="H2254" s="1">
        <v>44770</v>
      </c>
      <c r="I2254" s="2">
        <v>44771.6625</v>
      </c>
      <c r="J2254">
        <v>39.9</v>
      </c>
      <c r="K2254" t="s">
        <v>24</v>
      </c>
      <c r="L2254">
        <v>0</v>
      </c>
      <c r="M2254">
        <v>1</v>
      </c>
      <c r="N2254" t="s">
        <v>564</v>
      </c>
      <c r="O2254" s="3" t="str">
        <f>TEXT(Ticket_Table[[#This Row],[raised_date]],"YYYY-MM")</f>
        <v>2022-07</v>
      </c>
      <c r="P2254" s="3" t="str">
        <f>IF(Ticket_Table[[#This Row],[resolution_hrs]]&lt;=4,"Fast",IF(Ticket_Table[[#This Row],[resolution_hrs]]&lt;=24,"Normal",IF(Ticket_Table[[#This Row],[resolution_hrs]]&lt;=48,"Slow","Very Slow")))</f>
        <v>Slow</v>
      </c>
      <c r="Q2254" s="3">
        <f>YEAR(Ticket_Table[[#This Row],[raised_date]])</f>
        <v>2022</v>
      </c>
    </row>
    <row r="2255" spans="1:17">
      <c r="A2255" t="s">
        <v>2816</v>
      </c>
      <c r="B2255" t="s">
        <v>138</v>
      </c>
      <c r="C2255" t="s">
        <v>261</v>
      </c>
      <c r="D2255" t="s">
        <v>43</v>
      </c>
      <c r="E2255" t="s">
        <v>69</v>
      </c>
      <c r="F2255" t="s">
        <v>45</v>
      </c>
      <c r="G2255" t="s">
        <v>23</v>
      </c>
      <c r="H2255" s="1">
        <v>45110</v>
      </c>
      <c r="I2255" s="2">
        <v>45110.0916666667</v>
      </c>
      <c r="J2255">
        <v>2.2</v>
      </c>
      <c r="K2255" t="s">
        <v>24</v>
      </c>
      <c r="L2255">
        <v>0</v>
      </c>
      <c r="M2255">
        <v>3</v>
      </c>
      <c r="N2255" t="s">
        <v>518</v>
      </c>
      <c r="O2255" s="3" t="str">
        <f>TEXT(Ticket_Table[[#This Row],[raised_date]],"YYYY-MM")</f>
        <v>2023-07</v>
      </c>
      <c r="P2255" s="3" t="str">
        <f>IF(Ticket_Table[[#This Row],[resolution_hrs]]&lt;=4,"Fast",IF(Ticket_Table[[#This Row],[resolution_hrs]]&lt;=24,"Normal",IF(Ticket_Table[[#This Row],[resolution_hrs]]&lt;=48,"Slow","Very Slow")))</f>
        <v>Fast</v>
      </c>
      <c r="Q2255" s="3">
        <f>YEAR(Ticket_Table[[#This Row],[raised_date]])</f>
        <v>2023</v>
      </c>
    </row>
    <row r="2256" spans="1:17">
      <c r="A2256" t="s">
        <v>2817</v>
      </c>
      <c r="B2256" t="s">
        <v>228</v>
      </c>
      <c r="C2256" t="s">
        <v>55</v>
      </c>
      <c r="D2256" t="s">
        <v>36</v>
      </c>
      <c r="E2256" t="s">
        <v>44</v>
      </c>
      <c r="F2256" t="s">
        <v>38</v>
      </c>
      <c r="G2256" t="s">
        <v>31</v>
      </c>
      <c r="H2256" s="1">
        <v>44501</v>
      </c>
      <c r="I2256" s="2">
        <v>44502.4291666667</v>
      </c>
      <c r="J2256">
        <v>34.3</v>
      </c>
      <c r="K2256" t="s">
        <v>32</v>
      </c>
      <c r="L2256">
        <v>2</v>
      </c>
      <c r="M2256">
        <v>3</v>
      </c>
      <c r="N2256" t="s">
        <v>703</v>
      </c>
      <c r="O2256" s="3" t="str">
        <f>TEXT(Ticket_Table[[#This Row],[raised_date]],"YYYY-MM")</f>
        <v>2021-11</v>
      </c>
      <c r="P2256" s="3" t="str">
        <f>IF(Ticket_Table[[#This Row],[resolution_hrs]]&lt;=4,"Fast",IF(Ticket_Table[[#This Row],[resolution_hrs]]&lt;=24,"Normal",IF(Ticket_Table[[#This Row],[resolution_hrs]]&lt;=48,"Slow","Very Slow")))</f>
        <v>Slow</v>
      </c>
      <c r="Q2256" s="3">
        <f>YEAR(Ticket_Table[[#This Row],[raised_date]])</f>
        <v>2021</v>
      </c>
    </row>
    <row r="2257" spans="1:17">
      <c r="A2257" t="s">
        <v>2818</v>
      </c>
      <c r="B2257" t="s">
        <v>334</v>
      </c>
      <c r="C2257" t="s">
        <v>201</v>
      </c>
      <c r="D2257" t="s">
        <v>90</v>
      </c>
      <c r="E2257" t="s">
        <v>51</v>
      </c>
      <c r="F2257" t="s">
        <v>22</v>
      </c>
      <c r="G2257" t="s">
        <v>31</v>
      </c>
      <c r="H2257" s="1">
        <v>44267</v>
      </c>
      <c r="I2257" s="2">
        <v>44267.6666666667</v>
      </c>
      <c r="J2257">
        <v>16</v>
      </c>
      <c r="K2257" t="s">
        <v>24</v>
      </c>
      <c r="L2257">
        <v>0</v>
      </c>
      <c r="M2257">
        <v>3</v>
      </c>
      <c r="N2257" t="s">
        <v>833</v>
      </c>
      <c r="O2257" s="3" t="str">
        <f>TEXT(Ticket_Table[[#This Row],[raised_date]],"YYYY-MM")</f>
        <v>2021-03</v>
      </c>
      <c r="P2257" s="3" t="str">
        <f>IF(Ticket_Table[[#This Row],[resolution_hrs]]&lt;=4,"Fast",IF(Ticket_Table[[#This Row],[resolution_hrs]]&lt;=24,"Normal",IF(Ticket_Table[[#This Row],[resolution_hrs]]&lt;=48,"Slow","Very Slow")))</f>
        <v>Normal</v>
      </c>
      <c r="Q2257" s="3">
        <f>YEAR(Ticket_Table[[#This Row],[raised_date]])</f>
        <v>2021</v>
      </c>
    </row>
    <row r="2258" spans="1:17">
      <c r="A2258" t="s">
        <v>2819</v>
      </c>
      <c r="B2258" t="s">
        <v>833</v>
      </c>
      <c r="C2258" t="s">
        <v>287</v>
      </c>
      <c r="D2258" t="s">
        <v>29</v>
      </c>
      <c r="E2258" t="s">
        <v>56</v>
      </c>
      <c r="F2258" t="s">
        <v>45</v>
      </c>
      <c r="G2258" t="s">
        <v>31</v>
      </c>
      <c r="H2258" s="1">
        <v>44700</v>
      </c>
      <c r="I2258" s="2">
        <v>44700.2125</v>
      </c>
      <c r="J2258">
        <v>5.1</v>
      </c>
      <c r="K2258" t="s">
        <v>32</v>
      </c>
      <c r="L2258">
        <v>0</v>
      </c>
      <c r="M2258">
        <v>4</v>
      </c>
      <c r="N2258" t="s">
        <v>1382</v>
      </c>
      <c r="O2258" s="3" t="str">
        <f>TEXT(Ticket_Table[[#This Row],[raised_date]],"YYYY-MM")</f>
        <v>2022-05</v>
      </c>
      <c r="P2258" s="3" t="str">
        <f>IF(Ticket_Table[[#This Row],[resolution_hrs]]&lt;=4,"Fast",IF(Ticket_Table[[#This Row],[resolution_hrs]]&lt;=24,"Normal",IF(Ticket_Table[[#This Row],[resolution_hrs]]&lt;=48,"Slow","Very Slow")))</f>
        <v>Normal</v>
      </c>
      <c r="Q2258" s="3">
        <f>YEAR(Ticket_Table[[#This Row],[raised_date]])</f>
        <v>2022</v>
      </c>
    </row>
    <row r="2259" spans="1:17">
      <c r="A2259" t="s">
        <v>2820</v>
      </c>
      <c r="B2259" t="s">
        <v>656</v>
      </c>
      <c r="C2259" t="s">
        <v>78</v>
      </c>
      <c r="D2259" t="s">
        <v>90</v>
      </c>
      <c r="E2259" t="s">
        <v>30</v>
      </c>
      <c r="F2259" t="s">
        <v>22</v>
      </c>
      <c r="G2259" t="s">
        <v>46</v>
      </c>
      <c r="H2259" s="1">
        <v>44801</v>
      </c>
      <c r="I2259" s="2">
        <v>44804.7916666667</v>
      </c>
      <c r="J2259">
        <v>91</v>
      </c>
      <c r="K2259" t="s">
        <v>32</v>
      </c>
      <c r="L2259">
        <v>0</v>
      </c>
      <c r="M2259">
        <v>4</v>
      </c>
      <c r="N2259" t="s">
        <v>206</v>
      </c>
      <c r="O2259" s="3" t="str">
        <f>TEXT(Ticket_Table[[#This Row],[raised_date]],"YYYY-MM")</f>
        <v>2022-08</v>
      </c>
      <c r="P2259" s="3" t="str">
        <f>IF(Ticket_Table[[#This Row],[resolution_hrs]]&lt;=4,"Fast",IF(Ticket_Table[[#This Row],[resolution_hrs]]&lt;=24,"Normal",IF(Ticket_Table[[#This Row],[resolution_hrs]]&lt;=48,"Slow","Very Slow")))</f>
        <v>Very Slow</v>
      </c>
      <c r="Q2259" s="3">
        <f>YEAR(Ticket_Table[[#This Row],[raised_date]])</f>
        <v>2022</v>
      </c>
    </row>
    <row r="2260" spans="1:17">
      <c r="A2260" t="s">
        <v>2821</v>
      </c>
      <c r="B2260" t="s">
        <v>468</v>
      </c>
      <c r="C2260" t="s">
        <v>82</v>
      </c>
      <c r="D2260" t="s">
        <v>90</v>
      </c>
      <c r="E2260" t="s">
        <v>106</v>
      </c>
      <c r="F2260" t="s">
        <v>70</v>
      </c>
      <c r="G2260" t="s">
        <v>23</v>
      </c>
      <c r="H2260" s="1">
        <v>45218</v>
      </c>
      <c r="I2260" s="2">
        <v>45218.5458333333</v>
      </c>
      <c r="J2260">
        <v>13.1</v>
      </c>
      <c r="K2260" t="s">
        <v>24</v>
      </c>
      <c r="L2260">
        <v>1</v>
      </c>
      <c r="M2260">
        <v>3</v>
      </c>
      <c r="N2260" t="s">
        <v>1297</v>
      </c>
      <c r="O2260" s="3" t="str">
        <f>TEXT(Ticket_Table[[#This Row],[raised_date]],"YYYY-MM")</f>
        <v>2023-10</v>
      </c>
      <c r="P2260" s="3" t="str">
        <f>IF(Ticket_Table[[#This Row],[resolution_hrs]]&lt;=4,"Fast",IF(Ticket_Table[[#This Row],[resolution_hrs]]&lt;=24,"Normal",IF(Ticket_Table[[#This Row],[resolution_hrs]]&lt;=48,"Slow","Very Slow")))</f>
        <v>Normal</v>
      </c>
      <c r="Q2260" s="3">
        <f>YEAR(Ticket_Table[[#This Row],[raised_date]])</f>
        <v>2023</v>
      </c>
    </row>
    <row r="2261" spans="1:17">
      <c r="A2261" t="s">
        <v>2822</v>
      </c>
      <c r="B2261" t="s">
        <v>792</v>
      </c>
      <c r="C2261" t="s">
        <v>68</v>
      </c>
      <c r="D2261" t="s">
        <v>29</v>
      </c>
      <c r="E2261" t="s">
        <v>83</v>
      </c>
      <c r="F2261" t="s">
        <v>70</v>
      </c>
      <c r="G2261" t="s">
        <v>74</v>
      </c>
      <c r="H2261" s="1">
        <v>45040</v>
      </c>
      <c r="I2261" s="2">
        <v>45040.0958333333</v>
      </c>
      <c r="J2261">
        <v>2.3</v>
      </c>
      <c r="K2261" t="s">
        <v>24</v>
      </c>
      <c r="L2261">
        <v>0</v>
      </c>
      <c r="M2261">
        <v>5</v>
      </c>
      <c r="N2261" t="s">
        <v>110</v>
      </c>
      <c r="O2261" s="3" t="str">
        <f>TEXT(Ticket_Table[[#This Row],[raised_date]],"YYYY-MM")</f>
        <v>2023-04</v>
      </c>
      <c r="P2261" s="3" t="str">
        <f>IF(Ticket_Table[[#This Row],[resolution_hrs]]&lt;=4,"Fast",IF(Ticket_Table[[#This Row],[resolution_hrs]]&lt;=24,"Normal",IF(Ticket_Table[[#This Row],[resolution_hrs]]&lt;=48,"Slow","Very Slow")))</f>
        <v>Fast</v>
      </c>
      <c r="Q2261" s="3">
        <f>YEAR(Ticket_Table[[#This Row],[raised_date]])</f>
        <v>2023</v>
      </c>
    </row>
    <row r="2262" spans="1:17">
      <c r="A2262" t="s">
        <v>2823</v>
      </c>
      <c r="B2262" t="s">
        <v>1093</v>
      </c>
      <c r="C2262" t="s">
        <v>140</v>
      </c>
      <c r="D2262" t="s">
        <v>43</v>
      </c>
      <c r="E2262" t="s">
        <v>166</v>
      </c>
      <c r="F2262" t="s">
        <v>22</v>
      </c>
      <c r="G2262" t="s">
        <v>31</v>
      </c>
      <c r="H2262" s="1">
        <v>45178</v>
      </c>
      <c r="I2262" s="2">
        <v>45178.4916666667</v>
      </c>
      <c r="J2262">
        <v>11.8</v>
      </c>
      <c r="K2262" t="s">
        <v>24</v>
      </c>
      <c r="L2262">
        <v>2</v>
      </c>
      <c r="M2262">
        <v>5</v>
      </c>
      <c r="N2262" t="s">
        <v>968</v>
      </c>
      <c r="O2262" s="3" t="str">
        <f>TEXT(Ticket_Table[[#This Row],[raised_date]],"YYYY-MM")</f>
        <v>2023-09</v>
      </c>
      <c r="P2262" s="3" t="str">
        <f>IF(Ticket_Table[[#This Row],[resolution_hrs]]&lt;=4,"Fast",IF(Ticket_Table[[#This Row],[resolution_hrs]]&lt;=24,"Normal",IF(Ticket_Table[[#This Row],[resolution_hrs]]&lt;=48,"Slow","Very Slow")))</f>
        <v>Normal</v>
      </c>
      <c r="Q2262" s="3">
        <f>YEAR(Ticket_Table[[#This Row],[raised_date]])</f>
        <v>2023</v>
      </c>
    </row>
    <row r="2263" spans="1:17">
      <c r="A2263" t="s">
        <v>2824</v>
      </c>
      <c r="B2263" t="s">
        <v>618</v>
      </c>
      <c r="C2263" t="s">
        <v>50</v>
      </c>
      <c r="D2263" t="s">
        <v>43</v>
      </c>
      <c r="E2263" t="s">
        <v>56</v>
      </c>
      <c r="F2263" t="s">
        <v>70</v>
      </c>
      <c r="G2263" t="s">
        <v>91</v>
      </c>
      <c r="H2263" s="1">
        <v>44321</v>
      </c>
      <c r="I2263" s="2">
        <v>44321.9125</v>
      </c>
      <c r="J2263">
        <v>21.9</v>
      </c>
      <c r="K2263" t="s">
        <v>24</v>
      </c>
      <c r="L2263">
        <v>0</v>
      </c>
      <c r="M2263">
        <v>3</v>
      </c>
      <c r="N2263" t="s">
        <v>594</v>
      </c>
      <c r="O2263" s="3" t="str">
        <f>TEXT(Ticket_Table[[#This Row],[raised_date]],"YYYY-MM")</f>
        <v>2021-05</v>
      </c>
      <c r="P2263" s="3" t="str">
        <f>IF(Ticket_Table[[#This Row],[resolution_hrs]]&lt;=4,"Fast",IF(Ticket_Table[[#This Row],[resolution_hrs]]&lt;=24,"Normal",IF(Ticket_Table[[#This Row],[resolution_hrs]]&lt;=48,"Slow","Very Slow")))</f>
        <v>Normal</v>
      </c>
      <c r="Q2263" s="3">
        <f>YEAR(Ticket_Table[[#This Row],[raised_date]])</f>
        <v>2021</v>
      </c>
    </row>
    <row r="2264" spans="1:17">
      <c r="A2264" t="s">
        <v>2825</v>
      </c>
      <c r="B2264" t="s">
        <v>182</v>
      </c>
      <c r="C2264" t="s">
        <v>19</v>
      </c>
      <c r="D2264" t="s">
        <v>29</v>
      </c>
      <c r="E2264" t="s">
        <v>56</v>
      </c>
      <c r="F2264" t="s">
        <v>22</v>
      </c>
      <c r="G2264" t="s">
        <v>31</v>
      </c>
      <c r="H2264" s="1">
        <v>44376</v>
      </c>
      <c r="I2264" s="2">
        <v>44378.425</v>
      </c>
      <c r="J2264">
        <v>58.2</v>
      </c>
      <c r="K2264" t="s">
        <v>24</v>
      </c>
      <c r="L2264">
        <v>0</v>
      </c>
      <c r="M2264">
        <v>4</v>
      </c>
      <c r="N2264" t="s">
        <v>185</v>
      </c>
      <c r="O2264" s="3" t="str">
        <f>TEXT(Ticket_Table[[#This Row],[raised_date]],"YYYY-MM")</f>
        <v>2021-06</v>
      </c>
      <c r="P2264" s="3" t="str">
        <f>IF(Ticket_Table[[#This Row],[resolution_hrs]]&lt;=4,"Fast",IF(Ticket_Table[[#This Row],[resolution_hrs]]&lt;=24,"Normal",IF(Ticket_Table[[#This Row],[resolution_hrs]]&lt;=48,"Slow","Very Slow")))</f>
        <v>Very Slow</v>
      </c>
      <c r="Q2264" s="3">
        <f>YEAR(Ticket_Table[[#This Row],[raised_date]])</f>
        <v>2021</v>
      </c>
    </row>
    <row r="2265" spans="1:17">
      <c r="A2265" t="s">
        <v>2826</v>
      </c>
      <c r="B2265" t="s">
        <v>110</v>
      </c>
      <c r="C2265" t="s">
        <v>175</v>
      </c>
      <c r="D2265" t="s">
        <v>20</v>
      </c>
      <c r="E2265" t="s">
        <v>21</v>
      </c>
      <c r="F2265" t="s">
        <v>70</v>
      </c>
      <c r="G2265" t="s">
        <v>23</v>
      </c>
      <c r="H2265" s="1">
        <v>44769</v>
      </c>
      <c r="I2265" s="2">
        <v>44770.2</v>
      </c>
      <c r="J2265">
        <v>28.8</v>
      </c>
      <c r="K2265" t="s">
        <v>24</v>
      </c>
      <c r="L2265">
        <v>0</v>
      </c>
      <c r="M2265">
        <v>2</v>
      </c>
      <c r="N2265" t="s">
        <v>521</v>
      </c>
      <c r="O2265" s="3" t="str">
        <f>TEXT(Ticket_Table[[#This Row],[raised_date]],"YYYY-MM")</f>
        <v>2022-07</v>
      </c>
      <c r="P2265" s="3" t="str">
        <f>IF(Ticket_Table[[#This Row],[resolution_hrs]]&lt;=4,"Fast",IF(Ticket_Table[[#This Row],[resolution_hrs]]&lt;=24,"Normal",IF(Ticket_Table[[#This Row],[resolution_hrs]]&lt;=48,"Slow","Very Slow")))</f>
        <v>Slow</v>
      </c>
      <c r="Q2265" s="3">
        <f>YEAR(Ticket_Table[[#This Row],[raised_date]])</f>
        <v>2022</v>
      </c>
    </row>
    <row r="2266" spans="1:17">
      <c r="A2266" t="s">
        <v>2827</v>
      </c>
      <c r="B2266" t="s">
        <v>744</v>
      </c>
      <c r="C2266" t="s">
        <v>175</v>
      </c>
      <c r="D2266" t="s">
        <v>90</v>
      </c>
      <c r="E2266" t="s">
        <v>69</v>
      </c>
      <c r="F2266" t="s">
        <v>70</v>
      </c>
      <c r="G2266" t="s">
        <v>31</v>
      </c>
      <c r="H2266" s="1">
        <v>44981</v>
      </c>
      <c r="I2266" s="2">
        <v>44981.2708333333</v>
      </c>
      <c r="J2266">
        <v>6.5</v>
      </c>
      <c r="K2266" t="s">
        <v>24</v>
      </c>
      <c r="L2266">
        <v>0</v>
      </c>
      <c r="M2266">
        <v>4</v>
      </c>
      <c r="N2266" t="s">
        <v>914</v>
      </c>
      <c r="O2266" s="3" t="str">
        <f>TEXT(Ticket_Table[[#This Row],[raised_date]],"YYYY-MM")</f>
        <v>2023-02</v>
      </c>
      <c r="P2266" s="3" t="str">
        <f>IF(Ticket_Table[[#This Row],[resolution_hrs]]&lt;=4,"Fast",IF(Ticket_Table[[#This Row],[resolution_hrs]]&lt;=24,"Normal",IF(Ticket_Table[[#This Row],[resolution_hrs]]&lt;=48,"Slow","Very Slow")))</f>
        <v>Normal</v>
      </c>
      <c r="Q2266" s="3">
        <f>YEAR(Ticket_Table[[#This Row],[raised_date]])</f>
        <v>2023</v>
      </c>
    </row>
    <row r="2267" spans="1:17">
      <c r="A2267" t="s">
        <v>2828</v>
      </c>
      <c r="B2267" t="s">
        <v>485</v>
      </c>
      <c r="C2267" t="s">
        <v>42</v>
      </c>
      <c r="D2267" t="s">
        <v>36</v>
      </c>
      <c r="E2267" t="s">
        <v>69</v>
      </c>
      <c r="F2267" t="s">
        <v>38</v>
      </c>
      <c r="G2267" t="s">
        <v>23</v>
      </c>
      <c r="H2267" s="1">
        <v>44478</v>
      </c>
      <c r="I2267" s="2">
        <v>44479.1541666667</v>
      </c>
      <c r="J2267">
        <v>27.7</v>
      </c>
      <c r="K2267" t="s">
        <v>32</v>
      </c>
      <c r="L2267">
        <v>0</v>
      </c>
      <c r="M2267">
        <v>3</v>
      </c>
      <c r="N2267" t="s">
        <v>87</v>
      </c>
      <c r="O2267" s="3" t="str">
        <f>TEXT(Ticket_Table[[#This Row],[raised_date]],"YYYY-MM")</f>
        <v>2021-10</v>
      </c>
      <c r="P2267" s="3" t="str">
        <f>IF(Ticket_Table[[#This Row],[resolution_hrs]]&lt;=4,"Fast",IF(Ticket_Table[[#This Row],[resolution_hrs]]&lt;=24,"Normal",IF(Ticket_Table[[#This Row],[resolution_hrs]]&lt;=48,"Slow","Very Slow")))</f>
        <v>Slow</v>
      </c>
      <c r="Q2267" s="3">
        <f>YEAR(Ticket_Table[[#This Row],[raised_date]])</f>
        <v>2021</v>
      </c>
    </row>
    <row r="2268" spans="1:17">
      <c r="A2268" t="s">
        <v>2829</v>
      </c>
      <c r="B2268" t="s">
        <v>730</v>
      </c>
      <c r="C2268" t="s">
        <v>60</v>
      </c>
      <c r="D2268" t="s">
        <v>43</v>
      </c>
      <c r="E2268" t="s">
        <v>21</v>
      </c>
      <c r="F2268" t="s">
        <v>38</v>
      </c>
      <c r="G2268" t="s">
        <v>23</v>
      </c>
      <c r="H2268" s="1">
        <v>45055</v>
      </c>
      <c r="I2268" s="2">
        <v>45056.0291666667</v>
      </c>
      <c r="J2268">
        <v>24.7</v>
      </c>
      <c r="K2268" t="s">
        <v>32</v>
      </c>
      <c r="L2268">
        <v>2</v>
      </c>
      <c r="M2268">
        <v>4</v>
      </c>
      <c r="N2268" t="s">
        <v>284</v>
      </c>
      <c r="O2268" s="3" t="str">
        <f>TEXT(Ticket_Table[[#This Row],[raised_date]],"YYYY-MM")</f>
        <v>2023-05</v>
      </c>
      <c r="P2268" s="3" t="str">
        <f>IF(Ticket_Table[[#This Row],[resolution_hrs]]&lt;=4,"Fast",IF(Ticket_Table[[#This Row],[resolution_hrs]]&lt;=24,"Normal",IF(Ticket_Table[[#This Row],[resolution_hrs]]&lt;=48,"Slow","Very Slow")))</f>
        <v>Slow</v>
      </c>
      <c r="Q2268" s="3">
        <f>YEAR(Ticket_Table[[#This Row],[raised_date]])</f>
        <v>2023</v>
      </c>
    </row>
    <row r="2269" spans="1:17">
      <c r="A2269" t="s">
        <v>2830</v>
      </c>
      <c r="B2269" t="s">
        <v>387</v>
      </c>
      <c r="C2269" t="s">
        <v>78</v>
      </c>
      <c r="D2269" t="s">
        <v>36</v>
      </c>
      <c r="E2269" t="s">
        <v>83</v>
      </c>
      <c r="F2269" t="s">
        <v>22</v>
      </c>
      <c r="G2269" t="s">
        <v>31</v>
      </c>
      <c r="H2269" s="1">
        <v>44605</v>
      </c>
      <c r="I2269" s="2">
        <v>44605.725</v>
      </c>
      <c r="J2269">
        <v>17.4</v>
      </c>
      <c r="K2269" t="s">
        <v>24</v>
      </c>
      <c r="L2269">
        <v>0</v>
      </c>
      <c r="M2269">
        <v>4</v>
      </c>
      <c r="N2269" t="s">
        <v>744</v>
      </c>
      <c r="O2269" s="3" t="str">
        <f>TEXT(Ticket_Table[[#This Row],[raised_date]],"YYYY-MM")</f>
        <v>2022-02</v>
      </c>
      <c r="P2269" s="3" t="str">
        <f>IF(Ticket_Table[[#This Row],[resolution_hrs]]&lt;=4,"Fast",IF(Ticket_Table[[#This Row],[resolution_hrs]]&lt;=24,"Normal",IF(Ticket_Table[[#This Row],[resolution_hrs]]&lt;=48,"Slow","Very Slow")))</f>
        <v>Normal</v>
      </c>
      <c r="Q2269" s="3">
        <f>YEAR(Ticket_Table[[#This Row],[raised_date]])</f>
        <v>2022</v>
      </c>
    </row>
    <row r="2270" spans="1:17">
      <c r="A2270" t="s">
        <v>2831</v>
      </c>
      <c r="B2270" t="s">
        <v>228</v>
      </c>
      <c r="C2270" t="s">
        <v>55</v>
      </c>
      <c r="D2270" t="s">
        <v>29</v>
      </c>
      <c r="E2270" t="s">
        <v>69</v>
      </c>
      <c r="F2270" t="s">
        <v>70</v>
      </c>
      <c r="G2270" t="s">
        <v>46</v>
      </c>
      <c r="H2270" s="1">
        <v>45273</v>
      </c>
      <c r="I2270" s="2">
        <v>45274.1</v>
      </c>
      <c r="J2270">
        <v>26.4</v>
      </c>
      <c r="K2270" t="s">
        <v>24</v>
      </c>
      <c r="L2270">
        <v>1</v>
      </c>
      <c r="M2270">
        <v>5</v>
      </c>
      <c r="N2270" t="s">
        <v>515</v>
      </c>
      <c r="O2270" s="3" t="str">
        <f>TEXT(Ticket_Table[[#This Row],[raised_date]],"YYYY-MM")</f>
        <v>2023-12</v>
      </c>
      <c r="P2270" s="3" t="str">
        <f>IF(Ticket_Table[[#This Row],[resolution_hrs]]&lt;=4,"Fast",IF(Ticket_Table[[#This Row],[resolution_hrs]]&lt;=24,"Normal",IF(Ticket_Table[[#This Row],[resolution_hrs]]&lt;=48,"Slow","Very Slow")))</f>
        <v>Slow</v>
      </c>
      <c r="Q2270" s="3">
        <f>YEAR(Ticket_Table[[#This Row],[raised_date]])</f>
        <v>2023</v>
      </c>
    </row>
    <row r="2271" spans="1:17">
      <c r="A2271" t="s">
        <v>2832</v>
      </c>
      <c r="B2271" t="s">
        <v>1291</v>
      </c>
      <c r="C2271" t="s">
        <v>261</v>
      </c>
      <c r="D2271" t="s">
        <v>36</v>
      </c>
      <c r="E2271" t="s">
        <v>30</v>
      </c>
      <c r="F2271" t="s">
        <v>70</v>
      </c>
      <c r="G2271" t="s">
        <v>46</v>
      </c>
      <c r="H2271" s="1">
        <v>44707</v>
      </c>
      <c r="I2271" s="2">
        <v>44707.6833333333</v>
      </c>
      <c r="J2271">
        <v>16.4</v>
      </c>
      <c r="K2271" t="s">
        <v>24</v>
      </c>
      <c r="L2271">
        <v>0</v>
      </c>
      <c r="M2271">
        <v>4</v>
      </c>
      <c r="N2271" t="s">
        <v>630</v>
      </c>
      <c r="O2271" s="3" t="str">
        <f>TEXT(Ticket_Table[[#This Row],[raised_date]],"YYYY-MM")</f>
        <v>2022-05</v>
      </c>
      <c r="P2271" s="3" t="str">
        <f>IF(Ticket_Table[[#This Row],[resolution_hrs]]&lt;=4,"Fast",IF(Ticket_Table[[#This Row],[resolution_hrs]]&lt;=24,"Normal",IF(Ticket_Table[[#This Row],[resolution_hrs]]&lt;=48,"Slow","Very Slow")))</f>
        <v>Normal</v>
      </c>
      <c r="Q2271" s="3">
        <f>YEAR(Ticket_Table[[#This Row],[raised_date]])</f>
        <v>2022</v>
      </c>
    </row>
    <row r="2272" spans="1:17">
      <c r="A2272" t="s">
        <v>2833</v>
      </c>
      <c r="B2272" t="s">
        <v>664</v>
      </c>
      <c r="C2272" t="s">
        <v>68</v>
      </c>
      <c r="D2272" t="s">
        <v>36</v>
      </c>
      <c r="E2272" t="s">
        <v>106</v>
      </c>
      <c r="F2272" t="s">
        <v>22</v>
      </c>
      <c r="G2272" t="s">
        <v>31</v>
      </c>
      <c r="H2272" s="1">
        <v>44236</v>
      </c>
      <c r="I2272" s="2">
        <v>44236.1958333333</v>
      </c>
      <c r="J2272">
        <v>4.7</v>
      </c>
      <c r="K2272" t="s">
        <v>24</v>
      </c>
      <c r="L2272">
        <v>0</v>
      </c>
      <c r="M2272">
        <v>1</v>
      </c>
      <c r="N2272" t="s">
        <v>1502</v>
      </c>
      <c r="O2272" s="3" t="str">
        <f>TEXT(Ticket_Table[[#This Row],[raised_date]],"YYYY-MM")</f>
        <v>2021-02</v>
      </c>
      <c r="P2272" s="3" t="str">
        <f>IF(Ticket_Table[[#This Row],[resolution_hrs]]&lt;=4,"Fast",IF(Ticket_Table[[#This Row],[resolution_hrs]]&lt;=24,"Normal",IF(Ticket_Table[[#This Row],[resolution_hrs]]&lt;=48,"Slow","Very Slow")))</f>
        <v>Normal</v>
      </c>
      <c r="Q2272" s="3">
        <f>YEAR(Ticket_Table[[#This Row],[raised_date]])</f>
        <v>2021</v>
      </c>
    </row>
    <row r="2273" spans="1:17">
      <c r="A2273" t="s">
        <v>2834</v>
      </c>
      <c r="B2273" t="s">
        <v>974</v>
      </c>
      <c r="C2273" t="s">
        <v>78</v>
      </c>
      <c r="D2273" t="s">
        <v>90</v>
      </c>
      <c r="E2273" t="s">
        <v>166</v>
      </c>
      <c r="F2273" t="s">
        <v>38</v>
      </c>
      <c r="G2273" t="s">
        <v>23</v>
      </c>
      <c r="H2273" s="1">
        <v>44980</v>
      </c>
      <c r="I2273" s="2">
        <v>44981.025</v>
      </c>
      <c r="J2273">
        <v>24.6</v>
      </c>
      <c r="K2273" t="s">
        <v>32</v>
      </c>
      <c r="L2273">
        <v>0</v>
      </c>
      <c r="M2273">
        <v>4</v>
      </c>
      <c r="N2273" t="s">
        <v>302</v>
      </c>
      <c r="O2273" s="3" t="str">
        <f>TEXT(Ticket_Table[[#This Row],[raised_date]],"YYYY-MM")</f>
        <v>2023-02</v>
      </c>
      <c r="P2273" s="3" t="str">
        <f>IF(Ticket_Table[[#This Row],[resolution_hrs]]&lt;=4,"Fast",IF(Ticket_Table[[#This Row],[resolution_hrs]]&lt;=24,"Normal",IF(Ticket_Table[[#This Row],[resolution_hrs]]&lt;=48,"Slow","Very Slow")))</f>
        <v>Slow</v>
      </c>
      <c r="Q2273" s="3">
        <f>YEAR(Ticket_Table[[#This Row],[raised_date]])</f>
        <v>2023</v>
      </c>
    </row>
    <row r="2274" spans="1:17">
      <c r="A2274" t="s">
        <v>2835</v>
      </c>
      <c r="B2274" t="s">
        <v>245</v>
      </c>
      <c r="C2274" t="s">
        <v>28</v>
      </c>
      <c r="D2274" t="s">
        <v>29</v>
      </c>
      <c r="E2274" t="s">
        <v>166</v>
      </c>
      <c r="F2274" t="s">
        <v>38</v>
      </c>
      <c r="G2274" t="s">
        <v>31</v>
      </c>
      <c r="H2274" s="1">
        <v>44932</v>
      </c>
      <c r="I2274" s="2">
        <v>44932.3583333333</v>
      </c>
      <c r="J2274">
        <v>8.6</v>
      </c>
      <c r="K2274" t="s">
        <v>24</v>
      </c>
      <c r="L2274">
        <v>0</v>
      </c>
      <c r="M2274">
        <v>4</v>
      </c>
      <c r="N2274" t="s">
        <v>468</v>
      </c>
      <c r="O2274" s="3" t="str">
        <f>TEXT(Ticket_Table[[#This Row],[raised_date]],"YYYY-MM")</f>
        <v>2023-01</v>
      </c>
      <c r="P2274" s="3" t="str">
        <f>IF(Ticket_Table[[#This Row],[resolution_hrs]]&lt;=4,"Fast",IF(Ticket_Table[[#This Row],[resolution_hrs]]&lt;=24,"Normal",IF(Ticket_Table[[#This Row],[resolution_hrs]]&lt;=48,"Slow","Very Slow")))</f>
        <v>Normal</v>
      </c>
      <c r="Q2274" s="3">
        <f>YEAR(Ticket_Table[[#This Row],[raised_date]])</f>
        <v>2023</v>
      </c>
    </row>
    <row r="2275" spans="1:17">
      <c r="A2275" t="s">
        <v>2836</v>
      </c>
      <c r="B2275" t="s">
        <v>1136</v>
      </c>
      <c r="C2275" t="s">
        <v>50</v>
      </c>
      <c r="D2275" t="s">
        <v>36</v>
      </c>
      <c r="E2275" t="s">
        <v>44</v>
      </c>
      <c r="F2275" t="s">
        <v>22</v>
      </c>
      <c r="G2275" t="s">
        <v>23</v>
      </c>
      <c r="H2275" s="1">
        <v>45179</v>
      </c>
      <c r="I2275" s="2">
        <v>45182.15</v>
      </c>
      <c r="J2275">
        <v>75.6</v>
      </c>
      <c r="K2275" t="s">
        <v>32</v>
      </c>
      <c r="L2275">
        <v>0</v>
      </c>
      <c r="M2275">
        <v>4</v>
      </c>
      <c r="N2275" t="s">
        <v>880</v>
      </c>
      <c r="O2275" s="3" t="str">
        <f>TEXT(Ticket_Table[[#This Row],[raised_date]],"YYYY-MM")</f>
        <v>2023-09</v>
      </c>
      <c r="P2275" s="3" t="str">
        <f>IF(Ticket_Table[[#This Row],[resolution_hrs]]&lt;=4,"Fast",IF(Ticket_Table[[#This Row],[resolution_hrs]]&lt;=24,"Normal",IF(Ticket_Table[[#This Row],[resolution_hrs]]&lt;=48,"Slow","Very Slow")))</f>
        <v>Very Slow</v>
      </c>
      <c r="Q2275" s="3">
        <f>YEAR(Ticket_Table[[#This Row],[raised_date]])</f>
        <v>2023</v>
      </c>
    </row>
    <row r="2276" spans="1:17">
      <c r="A2276" t="s">
        <v>2837</v>
      </c>
      <c r="B2276" t="s">
        <v>1265</v>
      </c>
      <c r="C2276" t="s">
        <v>133</v>
      </c>
      <c r="D2276" t="s">
        <v>43</v>
      </c>
      <c r="E2276" t="s">
        <v>44</v>
      </c>
      <c r="F2276" t="s">
        <v>70</v>
      </c>
      <c r="G2276" t="s">
        <v>74</v>
      </c>
      <c r="H2276" s="1">
        <v>45189</v>
      </c>
      <c r="I2276" s="2">
        <v>45191.5166666667</v>
      </c>
      <c r="J2276">
        <v>60.4</v>
      </c>
      <c r="K2276" t="s">
        <v>32</v>
      </c>
      <c r="L2276">
        <v>1</v>
      </c>
      <c r="M2276">
        <v>5</v>
      </c>
      <c r="N2276" t="s">
        <v>549</v>
      </c>
      <c r="O2276" s="3" t="str">
        <f>TEXT(Ticket_Table[[#This Row],[raised_date]],"YYYY-MM")</f>
        <v>2023-09</v>
      </c>
      <c r="P2276" s="3" t="str">
        <f>IF(Ticket_Table[[#This Row],[resolution_hrs]]&lt;=4,"Fast",IF(Ticket_Table[[#This Row],[resolution_hrs]]&lt;=24,"Normal",IF(Ticket_Table[[#This Row],[resolution_hrs]]&lt;=48,"Slow","Very Slow")))</f>
        <v>Very Slow</v>
      </c>
      <c r="Q2276" s="3">
        <f>YEAR(Ticket_Table[[#This Row],[raised_date]])</f>
        <v>2023</v>
      </c>
    </row>
    <row r="2277" spans="1:17">
      <c r="A2277" t="s">
        <v>2838</v>
      </c>
      <c r="B2277" t="s">
        <v>279</v>
      </c>
      <c r="C2277" t="s">
        <v>78</v>
      </c>
      <c r="D2277" t="s">
        <v>29</v>
      </c>
      <c r="E2277" t="s">
        <v>106</v>
      </c>
      <c r="F2277" t="s">
        <v>22</v>
      </c>
      <c r="G2277" t="s">
        <v>23</v>
      </c>
      <c r="H2277" s="1">
        <v>44901</v>
      </c>
      <c r="I2277" s="2">
        <v>44904.6583333333</v>
      </c>
      <c r="J2277">
        <v>87.8</v>
      </c>
      <c r="K2277" t="s">
        <v>32</v>
      </c>
      <c r="L2277">
        <v>0</v>
      </c>
      <c r="M2277">
        <v>5</v>
      </c>
      <c r="N2277" t="s">
        <v>523</v>
      </c>
      <c r="O2277" s="3" t="str">
        <f>TEXT(Ticket_Table[[#This Row],[raised_date]],"YYYY-MM")</f>
        <v>2022-12</v>
      </c>
      <c r="P2277" s="3" t="str">
        <f>IF(Ticket_Table[[#This Row],[resolution_hrs]]&lt;=4,"Fast",IF(Ticket_Table[[#This Row],[resolution_hrs]]&lt;=24,"Normal",IF(Ticket_Table[[#This Row],[resolution_hrs]]&lt;=48,"Slow","Very Slow")))</f>
        <v>Very Slow</v>
      </c>
      <c r="Q2277" s="3">
        <f>YEAR(Ticket_Table[[#This Row],[raised_date]])</f>
        <v>2022</v>
      </c>
    </row>
    <row r="2278" spans="1:17">
      <c r="A2278" t="s">
        <v>2839</v>
      </c>
      <c r="B2278" t="s">
        <v>1502</v>
      </c>
      <c r="C2278" t="s">
        <v>133</v>
      </c>
      <c r="D2278" t="s">
        <v>43</v>
      </c>
      <c r="E2278" t="s">
        <v>37</v>
      </c>
      <c r="F2278" t="s">
        <v>70</v>
      </c>
      <c r="G2278" t="s">
        <v>31</v>
      </c>
      <c r="H2278" s="1">
        <v>45225</v>
      </c>
      <c r="I2278" s="2">
        <v>45226.9375</v>
      </c>
      <c r="J2278">
        <v>46.5</v>
      </c>
      <c r="K2278" t="s">
        <v>24</v>
      </c>
      <c r="L2278">
        <v>0</v>
      </c>
      <c r="M2278">
        <v>4</v>
      </c>
      <c r="N2278" t="s">
        <v>171</v>
      </c>
      <c r="O2278" s="3" t="str">
        <f>TEXT(Ticket_Table[[#This Row],[raised_date]],"YYYY-MM")</f>
        <v>2023-10</v>
      </c>
      <c r="P2278" s="3" t="str">
        <f>IF(Ticket_Table[[#This Row],[resolution_hrs]]&lt;=4,"Fast",IF(Ticket_Table[[#This Row],[resolution_hrs]]&lt;=24,"Normal",IF(Ticket_Table[[#This Row],[resolution_hrs]]&lt;=48,"Slow","Very Slow")))</f>
        <v>Slow</v>
      </c>
      <c r="Q2278" s="3">
        <f>YEAR(Ticket_Table[[#This Row],[raised_date]])</f>
        <v>2023</v>
      </c>
    </row>
    <row r="2279" spans="1:17">
      <c r="A2279" t="s">
        <v>2840</v>
      </c>
      <c r="B2279" t="s">
        <v>744</v>
      </c>
      <c r="C2279" t="s">
        <v>287</v>
      </c>
      <c r="D2279" t="s">
        <v>20</v>
      </c>
      <c r="E2279" t="s">
        <v>37</v>
      </c>
      <c r="F2279" t="s">
        <v>22</v>
      </c>
      <c r="G2279" t="s">
        <v>23</v>
      </c>
      <c r="H2279" s="1">
        <v>44855</v>
      </c>
      <c r="I2279" s="2">
        <v>44858.2375</v>
      </c>
      <c r="J2279">
        <v>77.7</v>
      </c>
      <c r="K2279" t="s">
        <v>32</v>
      </c>
      <c r="L2279">
        <v>0</v>
      </c>
      <c r="M2279">
        <v>3</v>
      </c>
      <c r="N2279" t="s">
        <v>808</v>
      </c>
      <c r="O2279" s="3" t="str">
        <f>TEXT(Ticket_Table[[#This Row],[raised_date]],"YYYY-MM")</f>
        <v>2022-10</v>
      </c>
      <c r="P2279" s="3" t="str">
        <f>IF(Ticket_Table[[#This Row],[resolution_hrs]]&lt;=4,"Fast",IF(Ticket_Table[[#This Row],[resolution_hrs]]&lt;=24,"Normal",IF(Ticket_Table[[#This Row],[resolution_hrs]]&lt;=48,"Slow","Very Slow")))</f>
        <v>Very Slow</v>
      </c>
      <c r="Q2279" s="3">
        <f>YEAR(Ticket_Table[[#This Row],[raised_date]])</f>
        <v>2022</v>
      </c>
    </row>
    <row r="2280" spans="1:17">
      <c r="A2280" t="s">
        <v>2841</v>
      </c>
      <c r="B2280" t="s">
        <v>250</v>
      </c>
      <c r="C2280" t="s">
        <v>102</v>
      </c>
      <c r="D2280" t="s">
        <v>36</v>
      </c>
      <c r="E2280" t="s">
        <v>56</v>
      </c>
      <c r="F2280" t="s">
        <v>45</v>
      </c>
      <c r="G2280" t="s">
        <v>31</v>
      </c>
      <c r="H2280" s="1">
        <v>44992</v>
      </c>
      <c r="I2280" s="2">
        <v>44992.2291666667</v>
      </c>
      <c r="J2280">
        <v>5.5</v>
      </c>
      <c r="K2280" t="s">
        <v>32</v>
      </c>
      <c r="L2280">
        <v>2</v>
      </c>
      <c r="M2280">
        <v>1</v>
      </c>
      <c r="N2280" t="s">
        <v>431</v>
      </c>
      <c r="O2280" s="3" t="str">
        <f>TEXT(Ticket_Table[[#This Row],[raised_date]],"YYYY-MM")</f>
        <v>2023-03</v>
      </c>
      <c r="P2280" s="3" t="str">
        <f>IF(Ticket_Table[[#This Row],[resolution_hrs]]&lt;=4,"Fast",IF(Ticket_Table[[#This Row],[resolution_hrs]]&lt;=24,"Normal",IF(Ticket_Table[[#This Row],[resolution_hrs]]&lt;=48,"Slow","Very Slow")))</f>
        <v>Normal</v>
      </c>
      <c r="Q2280" s="3">
        <f>YEAR(Ticket_Table[[#This Row],[raised_date]])</f>
        <v>2023</v>
      </c>
    </row>
    <row r="2281" spans="1:17">
      <c r="A2281" t="s">
        <v>2842</v>
      </c>
      <c r="B2281" t="s">
        <v>286</v>
      </c>
      <c r="C2281" t="s">
        <v>213</v>
      </c>
      <c r="D2281" t="s">
        <v>29</v>
      </c>
      <c r="E2281" t="s">
        <v>56</v>
      </c>
      <c r="F2281" t="s">
        <v>38</v>
      </c>
      <c r="G2281" t="s">
        <v>23</v>
      </c>
      <c r="H2281" s="1">
        <v>44750</v>
      </c>
      <c r="I2281" s="2">
        <v>44750.6125</v>
      </c>
      <c r="J2281">
        <v>14.7</v>
      </c>
      <c r="K2281" t="s">
        <v>24</v>
      </c>
      <c r="L2281">
        <v>2</v>
      </c>
      <c r="M2281">
        <v>5</v>
      </c>
      <c r="N2281" t="s">
        <v>223</v>
      </c>
      <c r="O2281" s="3" t="str">
        <f>TEXT(Ticket_Table[[#This Row],[raised_date]],"YYYY-MM")</f>
        <v>2022-07</v>
      </c>
      <c r="P2281" s="3" t="str">
        <f>IF(Ticket_Table[[#This Row],[resolution_hrs]]&lt;=4,"Fast",IF(Ticket_Table[[#This Row],[resolution_hrs]]&lt;=24,"Normal",IF(Ticket_Table[[#This Row],[resolution_hrs]]&lt;=48,"Slow","Very Slow")))</f>
        <v>Normal</v>
      </c>
      <c r="Q2281" s="3">
        <f>YEAR(Ticket_Table[[#This Row],[raised_date]])</f>
        <v>2022</v>
      </c>
    </row>
    <row r="2282" spans="1:17">
      <c r="A2282" t="s">
        <v>2843</v>
      </c>
      <c r="B2282" t="s">
        <v>1474</v>
      </c>
      <c r="C2282" t="s">
        <v>60</v>
      </c>
      <c r="D2282" t="s">
        <v>43</v>
      </c>
      <c r="E2282" t="s">
        <v>21</v>
      </c>
      <c r="F2282" t="s">
        <v>70</v>
      </c>
      <c r="G2282" t="s">
        <v>31</v>
      </c>
      <c r="H2282" s="1">
        <v>44565</v>
      </c>
      <c r="I2282" s="2">
        <v>44565.9541666667</v>
      </c>
      <c r="J2282">
        <v>22.9</v>
      </c>
      <c r="K2282" t="s">
        <v>24</v>
      </c>
      <c r="L2282">
        <v>0</v>
      </c>
      <c r="M2282">
        <v>5</v>
      </c>
      <c r="N2282" t="s">
        <v>1080</v>
      </c>
      <c r="O2282" s="3" t="str">
        <f>TEXT(Ticket_Table[[#This Row],[raised_date]],"YYYY-MM")</f>
        <v>2022-01</v>
      </c>
      <c r="P2282" s="3" t="str">
        <f>IF(Ticket_Table[[#This Row],[resolution_hrs]]&lt;=4,"Fast",IF(Ticket_Table[[#This Row],[resolution_hrs]]&lt;=24,"Normal",IF(Ticket_Table[[#This Row],[resolution_hrs]]&lt;=48,"Slow","Very Slow")))</f>
        <v>Normal</v>
      </c>
      <c r="Q2282" s="3">
        <f>YEAR(Ticket_Table[[#This Row],[raised_date]])</f>
        <v>2022</v>
      </c>
    </row>
    <row r="2283" spans="1:17">
      <c r="A2283" t="s">
        <v>2844</v>
      </c>
      <c r="B2283" t="s">
        <v>182</v>
      </c>
      <c r="C2283" t="s">
        <v>78</v>
      </c>
      <c r="D2283" t="s">
        <v>36</v>
      </c>
      <c r="E2283" t="s">
        <v>51</v>
      </c>
      <c r="F2283" t="s">
        <v>70</v>
      </c>
      <c r="G2283" t="s">
        <v>74</v>
      </c>
      <c r="H2283" s="1">
        <v>44250</v>
      </c>
      <c r="I2283" s="2">
        <v>44250.1958333333</v>
      </c>
      <c r="J2283">
        <v>4.7</v>
      </c>
      <c r="K2283" t="s">
        <v>24</v>
      </c>
      <c r="L2283">
        <v>0</v>
      </c>
      <c r="M2283">
        <v>3</v>
      </c>
      <c r="N2283" t="s">
        <v>1226</v>
      </c>
      <c r="O2283" s="3" t="str">
        <f>TEXT(Ticket_Table[[#This Row],[raised_date]],"YYYY-MM")</f>
        <v>2021-02</v>
      </c>
      <c r="P2283" s="3" t="str">
        <f>IF(Ticket_Table[[#This Row],[resolution_hrs]]&lt;=4,"Fast",IF(Ticket_Table[[#This Row],[resolution_hrs]]&lt;=24,"Normal",IF(Ticket_Table[[#This Row],[resolution_hrs]]&lt;=48,"Slow","Very Slow")))</f>
        <v>Normal</v>
      </c>
      <c r="Q2283" s="3">
        <f>YEAR(Ticket_Table[[#This Row],[raised_date]])</f>
        <v>2021</v>
      </c>
    </row>
    <row r="2284" spans="1:17">
      <c r="A2284" t="s">
        <v>2845</v>
      </c>
      <c r="B2284" t="s">
        <v>304</v>
      </c>
      <c r="C2284" t="s">
        <v>213</v>
      </c>
      <c r="D2284" t="s">
        <v>90</v>
      </c>
      <c r="E2284" t="s">
        <v>44</v>
      </c>
      <c r="F2284" t="s">
        <v>45</v>
      </c>
      <c r="G2284" t="s">
        <v>23</v>
      </c>
      <c r="H2284" s="1">
        <v>44850</v>
      </c>
      <c r="I2284" s="2">
        <v>44850.0416666667</v>
      </c>
      <c r="J2284">
        <v>1</v>
      </c>
      <c r="K2284" t="s">
        <v>24</v>
      </c>
      <c r="L2284">
        <v>1</v>
      </c>
      <c r="M2284">
        <v>4</v>
      </c>
      <c r="N2284" t="s">
        <v>1063</v>
      </c>
      <c r="O2284" s="3" t="str">
        <f>TEXT(Ticket_Table[[#This Row],[raised_date]],"YYYY-MM")</f>
        <v>2022-10</v>
      </c>
      <c r="P2284" s="3" t="str">
        <f>IF(Ticket_Table[[#This Row],[resolution_hrs]]&lt;=4,"Fast",IF(Ticket_Table[[#This Row],[resolution_hrs]]&lt;=24,"Normal",IF(Ticket_Table[[#This Row],[resolution_hrs]]&lt;=48,"Slow","Very Slow")))</f>
        <v>Fast</v>
      </c>
      <c r="Q2284" s="3">
        <f>YEAR(Ticket_Table[[#This Row],[raised_date]])</f>
        <v>2022</v>
      </c>
    </row>
    <row r="2285" spans="1:17">
      <c r="A2285" t="s">
        <v>2846</v>
      </c>
      <c r="B2285" t="s">
        <v>464</v>
      </c>
      <c r="C2285" t="s">
        <v>55</v>
      </c>
      <c r="D2285" t="s">
        <v>43</v>
      </c>
      <c r="E2285" t="s">
        <v>51</v>
      </c>
      <c r="F2285" t="s">
        <v>70</v>
      </c>
      <c r="G2285" t="s">
        <v>46</v>
      </c>
      <c r="H2285" s="1">
        <v>44645</v>
      </c>
      <c r="I2285" s="2">
        <v>44647.325</v>
      </c>
      <c r="J2285">
        <v>55.8</v>
      </c>
      <c r="K2285" t="s">
        <v>32</v>
      </c>
      <c r="L2285">
        <v>1</v>
      </c>
      <c r="M2285">
        <v>4</v>
      </c>
      <c r="N2285" t="s">
        <v>202</v>
      </c>
      <c r="O2285" s="3" t="str">
        <f>TEXT(Ticket_Table[[#This Row],[raised_date]],"YYYY-MM")</f>
        <v>2022-03</v>
      </c>
      <c r="P2285" s="3" t="str">
        <f>IF(Ticket_Table[[#This Row],[resolution_hrs]]&lt;=4,"Fast",IF(Ticket_Table[[#This Row],[resolution_hrs]]&lt;=24,"Normal",IF(Ticket_Table[[#This Row],[resolution_hrs]]&lt;=48,"Slow","Very Slow")))</f>
        <v>Very Slow</v>
      </c>
      <c r="Q2285" s="3">
        <f>YEAR(Ticket_Table[[#This Row],[raised_date]])</f>
        <v>2022</v>
      </c>
    </row>
    <row r="2286" spans="1:17">
      <c r="A2286" t="s">
        <v>2847</v>
      </c>
      <c r="B2286" t="s">
        <v>974</v>
      </c>
      <c r="C2286" t="s">
        <v>82</v>
      </c>
      <c r="D2286" t="s">
        <v>43</v>
      </c>
      <c r="E2286" t="s">
        <v>69</v>
      </c>
      <c r="F2286" t="s">
        <v>22</v>
      </c>
      <c r="G2286" t="s">
        <v>74</v>
      </c>
      <c r="H2286" s="1">
        <v>44257</v>
      </c>
      <c r="I2286" s="2">
        <v>44260.4625</v>
      </c>
      <c r="J2286">
        <v>83.1</v>
      </c>
      <c r="K2286" t="s">
        <v>32</v>
      </c>
      <c r="L2286">
        <v>0</v>
      </c>
      <c r="M2286">
        <v>4</v>
      </c>
      <c r="N2286" t="s">
        <v>929</v>
      </c>
      <c r="O2286" s="3" t="str">
        <f>TEXT(Ticket_Table[[#This Row],[raised_date]],"YYYY-MM")</f>
        <v>2021-03</v>
      </c>
      <c r="P2286" s="3" t="str">
        <f>IF(Ticket_Table[[#This Row],[resolution_hrs]]&lt;=4,"Fast",IF(Ticket_Table[[#This Row],[resolution_hrs]]&lt;=24,"Normal",IF(Ticket_Table[[#This Row],[resolution_hrs]]&lt;=48,"Slow","Very Slow")))</f>
        <v>Very Slow</v>
      </c>
      <c r="Q2286" s="3">
        <f>YEAR(Ticket_Table[[#This Row],[raised_date]])</f>
        <v>2021</v>
      </c>
    </row>
    <row r="2287" spans="1:17">
      <c r="A2287" t="s">
        <v>2848</v>
      </c>
      <c r="B2287" t="s">
        <v>808</v>
      </c>
      <c r="C2287" t="s">
        <v>117</v>
      </c>
      <c r="D2287" t="s">
        <v>20</v>
      </c>
      <c r="E2287" t="s">
        <v>166</v>
      </c>
      <c r="F2287" t="s">
        <v>70</v>
      </c>
      <c r="G2287" t="s">
        <v>46</v>
      </c>
      <c r="H2287" s="1">
        <v>44772</v>
      </c>
      <c r="I2287" s="2">
        <v>44774.7875</v>
      </c>
      <c r="J2287">
        <v>66.9</v>
      </c>
      <c r="K2287" t="s">
        <v>32</v>
      </c>
      <c r="L2287">
        <v>0</v>
      </c>
      <c r="M2287">
        <v>5</v>
      </c>
      <c r="N2287" t="s">
        <v>708</v>
      </c>
      <c r="O2287" s="3" t="str">
        <f>TEXT(Ticket_Table[[#This Row],[raised_date]],"YYYY-MM")</f>
        <v>2022-07</v>
      </c>
      <c r="P2287" s="3" t="str">
        <f>IF(Ticket_Table[[#This Row],[resolution_hrs]]&lt;=4,"Fast",IF(Ticket_Table[[#This Row],[resolution_hrs]]&lt;=24,"Normal",IF(Ticket_Table[[#This Row],[resolution_hrs]]&lt;=48,"Slow","Very Slow")))</f>
        <v>Very Slow</v>
      </c>
      <c r="Q2287" s="3">
        <f>YEAR(Ticket_Table[[#This Row],[raised_date]])</f>
        <v>2022</v>
      </c>
    </row>
    <row r="2288" spans="1:17">
      <c r="A2288" t="s">
        <v>2849</v>
      </c>
      <c r="B2288" t="s">
        <v>512</v>
      </c>
      <c r="C2288" t="s">
        <v>60</v>
      </c>
      <c r="D2288" t="s">
        <v>90</v>
      </c>
      <c r="E2288" t="s">
        <v>56</v>
      </c>
      <c r="F2288" t="s">
        <v>38</v>
      </c>
      <c r="G2288" t="s">
        <v>46</v>
      </c>
      <c r="H2288" s="1">
        <v>44316</v>
      </c>
      <c r="I2288" s="2">
        <v>44316.5875</v>
      </c>
      <c r="J2288">
        <v>14.1</v>
      </c>
      <c r="K2288" t="s">
        <v>24</v>
      </c>
      <c r="L2288">
        <v>1</v>
      </c>
      <c r="M2288">
        <v>2</v>
      </c>
      <c r="N2288" t="s">
        <v>145</v>
      </c>
      <c r="O2288" s="3" t="str">
        <f>TEXT(Ticket_Table[[#This Row],[raised_date]],"YYYY-MM")</f>
        <v>2021-04</v>
      </c>
      <c r="P2288" s="3" t="str">
        <f>IF(Ticket_Table[[#This Row],[resolution_hrs]]&lt;=4,"Fast",IF(Ticket_Table[[#This Row],[resolution_hrs]]&lt;=24,"Normal",IF(Ticket_Table[[#This Row],[resolution_hrs]]&lt;=48,"Slow","Very Slow")))</f>
        <v>Normal</v>
      </c>
      <c r="Q2288" s="3">
        <f>YEAR(Ticket_Table[[#This Row],[raised_date]])</f>
        <v>2021</v>
      </c>
    </row>
    <row r="2289" spans="1:17">
      <c r="A2289" t="s">
        <v>2850</v>
      </c>
      <c r="B2289" t="s">
        <v>895</v>
      </c>
      <c r="C2289" t="s">
        <v>55</v>
      </c>
      <c r="D2289" t="s">
        <v>20</v>
      </c>
      <c r="E2289" t="s">
        <v>37</v>
      </c>
      <c r="F2289" t="s">
        <v>70</v>
      </c>
      <c r="G2289" t="s">
        <v>91</v>
      </c>
      <c r="H2289" s="1">
        <v>45163</v>
      </c>
      <c r="I2289" s="2">
        <v>45163.7458333333</v>
      </c>
      <c r="J2289">
        <v>17.9</v>
      </c>
      <c r="K2289" t="s">
        <v>24</v>
      </c>
      <c r="L2289">
        <v>0</v>
      </c>
      <c r="M2289">
        <v>5</v>
      </c>
      <c r="N2289" t="s">
        <v>349</v>
      </c>
      <c r="O2289" s="3" t="str">
        <f>TEXT(Ticket_Table[[#This Row],[raised_date]],"YYYY-MM")</f>
        <v>2023-08</v>
      </c>
      <c r="P2289" s="3" t="str">
        <f>IF(Ticket_Table[[#This Row],[resolution_hrs]]&lt;=4,"Fast",IF(Ticket_Table[[#This Row],[resolution_hrs]]&lt;=24,"Normal",IF(Ticket_Table[[#This Row],[resolution_hrs]]&lt;=48,"Slow","Very Slow")))</f>
        <v>Normal</v>
      </c>
      <c r="Q2289" s="3">
        <f>YEAR(Ticket_Table[[#This Row],[raised_date]])</f>
        <v>2023</v>
      </c>
    </row>
    <row r="2290" spans="1:17">
      <c r="A2290" t="s">
        <v>2851</v>
      </c>
      <c r="B2290" t="s">
        <v>353</v>
      </c>
      <c r="C2290" t="s">
        <v>201</v>
      </c>
      <c r="D2290" t="s">
        <v>90</v>
      </c>
      <c r="E2290" t="s">
        <v>106</v>
      </c>
      <c r="F2290" t="s">
        <v>38</v>
      </c>
      <c r="G2290" t="s">
        <v>23</v>
      </c>
      <c r="H2290" s="1">
        <v>45281</v>
      </c>
      <c r="I2290" s="2">
        <v>45281.175</v>
      </c>
      <c r="J2290">
        <v>4.2</v>
      </c>
      <c r="K2290" t="s">
        <v>24</v>
      </c>
      <c r="L2290">
        <v>0</v>
      </c>
      <c r="M2290">
        <v>3</v>
      </c>
      <c r="N2290" t="s">
        <v>726</v>
      </c>
      <c r="O2290" s="3" t="str">
        <f>TEXT(Ticket_Table[[#This Row],[raised_date]],"YYYY-MM")</f>
        <v>2023-12</v>
      </c>
      <c r="P2290" s="3" t="str">
        <f>IF(Ticket_Table[[#This Row],[resolution_hrs]]&lt;=4,"Fast",IF(Ticket_Table[[#This Row],[resolution_hrs]]&lt;=24,"Normal",IF(Ticket_Table[[#This Row],[resolution_hrs]]&lt;=48,"Slow","Very Slow")))</f>
        <v>Normal</v>
      </c>
      <c r="Q2290" s="3">
        <f>YEAR(Ticket_Table[[#This Row],[raised_date]])</f>
        <v>2023</v>
      </c>
    </row>
    <row r="2291" spans="1:17">
      <c r="A2291" t="s">
        <v>2852</v>
      </c>
      <c r="B2291" t="s">
        <v>1278</v>
      </c>
      <c r="C2291" t="s">
        <v>60</v>
      </c>
      <c r="D2291" t="s">
        <v>43</v>
      </c>
      <c r="E2291" t="s">
        <v>44</v>
      </c>
      <c r="F2291" t="s">
        <v>38</v>
      </c>
      <c r="G2291" t="s">
        <v>46</v>
      </c>
      <c r="H2291" s="1">
        <v>44929</v>
      </c>
      <c r="I2291" s="2">
        <v>44929.6583333333</v>
      </c>
      <c r="J2291">
        <v>15.8</v>
      </c>
      <c r="K2291" t="s">
        <v>24</v>
      </c>
      <c r="L2291">
        <v>0</v>
      </c>
      <c r="M2291">
        <v>4</v>
      </c>
      <c r="N2291" t="s">
        <v>780</v>
      </c>
      <c r="O2291" s="3" t="str">
        <f>TEXT(Ticket_Table[[#This Row],[raised_date]],"YYYY-MM")</f>
        <v>2023-01</v>
      </c>
      <c r="P2291" s="3" t="str">
        <f>IF(Ticket_Table[[#This Row],[resolution_hrs]]&lt;=4,"Fast",IF(Ticket_Table[[#This Row],[resolution_hrs]]&lt;=24,"Normal",IF(Ticket_Table[[#This Row],[resolution_hrs]]&lt;=48,"Slow","Very Slow")))</f>
        <v>Normal</v>
      </c>
      <c r="Q2291" s="3">
        <f>YEAR(Ticket_Table[[#This Row],[raised_date]])</f>
        <v>2023</v>
      </c>
    </row>
    <row r="2292" spans="1:17">
      <c r="A2292" t="s">
        <v>2853</v>
      </c>
      <c r="B2292" t="s">
        <v>202</v>
      </c>
      <c r="C2292" t="s">
        <v>140</v>
      </c>
      <c r="D2292" t="s">
        <v>20</v>
      </c>
      <c r="E2292" t="s">
        <v>166</v>
      </c>
      <c r="F2292" t="s">
        <v>38</v>
      </c>
      <c r="G2292" t="s">
        <v>31</v>
      </c>
      <c r="H2292" s="1">
        <v>44673</v>
      </c>
      <c r="I2292" s="2">
        <v>44674.4833333333</v>
      </c>
      <c r="J2292">
        <v>35.6</v>
      </c>
      <c r="K2292" t="s">
        <v>32</v>
      </c>
      <c r="L2292">
        <v>0</v>
      </c>
      <c r="M2292">
        <v>4</v>
      </c>
      <c r="N2292" t="s">
        <v>707</v>
      </c>
      <c r="O2292" s="3" t="str">
        <f>TEXT(Ticket_Table[[#This Row],[raised_date]],"YYYY-MM")</f>
        <v>2022-04</v>
      </c>
      <c r="P2292" s="3" t="str">
        <f>IF(Ticket_Table[[#This Row],[resolution_hrs]]&lt;=4,"Fast",IF(Ticket_Table[[#This Row],[resolution_hrs]]&lt;=24,"Normal",IF(Ticket_Table[[#This Row],[resolution_hrs]]&lt;=48,"Slow","Very Slow")))</f>
        <v>Slow</v>
      </c>
      <c r="Q2292" s="3">
        <f>YEAR(Ticket_Table[[#This Row],[raised_date]])</f>
        <v>2022</v>
      </c>
    </row>
    <row r="2293" spans="1:17">
      <c r="A2293" t="s">
        <v>2854</v>
      </c>
      <c r="B2293" t="s">
        <v>340</v>
      </c>
      <c r="C2293" t="s">
        <v>140</v>
      </c>
      <c r="D2293" t="s">
        <v>36</v>
      </c>
      <c r="E2293" t="s">
        <v>83</v>
      </c>
      <c r="F2293" t="s">
        <v>45</v>
      </c>
      <c r="G2293" t="s">
        <v>23</v>
      </c>
      <c r="H2293" s="1">
        <v>44523</v>
      </c>
      <c r="I2293" s="2">
        <v>44523.1125</v>
      </c>
      <c r="J2293">
        <v>2.7</v>
      </c>
      <c r="K2293" t="s">
        <v>24</v>
      </c>
      <c r="L2293">
        <v>2</v>
      </c>
      <c r="M2293">
        <v>4</v>
      </c>
      <c r="N2293" t="s">
        <v>296</v>
      </c>
      <c r="O2293" s="3" t="str">
        <f>TEXT(Ticket_Table[[#This Row],[raised_date]],"YYYY-MM")</f>
        <v>2021-11</v>
      </c>
      <c r="P2293" s="3" t="str">
        <f>IF(Ticket_Table[[#This Row],[resolution_hrs]]&lt;=4,"Fast",IF(Ticket_Table[[#This Row],[resolution_hrs]]&lt;=24,"Normal",IF(Ticket_Table[[#This Row],[resolution_hrs]]&lt;=48,"Slow","Very Slow")))</f>
        <v>Fast</v>
      </c>
      <c r="Q2293" s="3">
        <f>YEAR(Ticket_Table[[#This Row],[raised_date]])</f>
        <v>2021</v>
      </c>
    </row>
    <row r="2294" spans="1:17">
      <c r="A2294" t="s">
        <v>2855</v>
      </c>
      <c r="B2294" t="s">
        <v>308</v>
      </c>
      <c r="C2294" t="s">
        <v>50</v>
      </c>
      <c r="D2294" t="s">
        <v>90</v>
      </c>
      <c r="E2294" t="s">
        <v>106</v>
      </c>
      <c r="F2294" t="s">
        <v>22</v>
      </c>
      <c r="G2294" t="s">
        <v>23</v>
      </c>
      <c r="H2294" s="1">
        <v>44402</v>
      </c>
      <c r="I2294" s="2">
        <v>44402.9</v>
      </c>
      <c r="J2294">
        <v>21.6</v>
      </c>
      <c r="K2294" t="s">
        <v>24</v>
      </c>
      <c r="L2294">
        <v>0</v>
      </c>
      <c r="M2294">
        <v>4</v>
      </c>
      <c r="N2294" t="s">
        <v>525</v>
      </c>
      <c r="O2294" s="3" t="str">
        <f>TEXT(Ticket_Table[[#This Row],[raised_date]],"YYYY-MM")</f>
        <v>2021-07</v>
      </c>
      <c r="P2294" s="3" t="str">
        <f>IF(Ticket_Table[[#This Row],[resolution_hrs]]&lt;=4,"Fast",IF(Ticket_Table[[#This Row],[resolution_hrs]]&lt;=24,"Normal",IF(Ticket_Table[[#This Row],[resolution_hrs]]&lt;=48,"Slow","Very Slow")))</f>
        <v>Normal</v>
      </c>
      <c r="Q2294" s="3">
        <f>YEAR(Ticket_Table[[#This Row],[raised_date]])</f>
        <v>2021</v>
      </c>
    </row>
    <row r="2295" spans="1:17">
      <c r="A2295" t="s">
        <v>2856</v>
      </c>
      <c r="B2295" t="s">
        <v>204</v>
      </c>
      <c r="C2295" t="s">
        <v>82</v>
      </c>
      <c r="D2295" t="s">
        <v>43</v>
      </c>
      <c r="E2295" t="s">
        <v>51</v>
      </c>
      <c r="F2295" t="s">
        <v>70</v>
      </c>
      <c r="G2295" t="s">
        <v>23</v>
      </c>
      <c r="H2295" s="1">
        <v>44704</v>
      </c>
      <c r="I2295" s="2">
        <v>44706.0208333333</v>
      </c>
      <c r="J2295">
        <v>48.5</v>
      </c>
      <c r="K2295" t="s">
        <v>32</v>
      </c>
      <c r="L2295">
        <v>1</v>
      </c>
      <c r="M2295">
        <v>4</v>
      </c>
      <c r="N2295" t="s">
        <v>387</v>
      </c>
      <c r="O2295" s="3" t="str">
        <f>TEXT(Ticket_Table[[#This Row],[raised_date]],"YYYY-MM")</f>
        <v>2022-05</v>
      </c>
      <c r="P2295" s="3" t="str">
        <f>IF(Ticket_Table[[#This Row],[resolution_hrs]]&lt;=4,"Fast",IF(Ticket_Table[[#This Row],[resolution_hrs]]&lt;=24,"Normal",IF(Ticket_Table[[#This Row],[resolution_hrs]]&lt;=48,"Slow","Very Slow")))</f>
        <v>Very Slow</v>
      </c>
      <c r="Q2295" s="3">
        <f>YEAR(Ticket_Table[[#This Row],[raised_date]])</f>
        <v>2022</v>
      </c>
    </row>
    <row r="2296" spans="1:17">
      <c r="A2296" t="s">
        <v>2857</v>
      </c>
      <c r="B2296" t="s">
        <v>924</v>
      </c>
      <c r="C2296" t="s">
        <v>175</v>
      </c>
      <c r="D2296" t="s">
        <v>29</v>
      </c>
      <c r="E2296" t="s">
        <v>30</v>
      </c>
      <c r="F2296" t="s">
        <v>38</v>
      </c>
      <c r="G2296" t="s">
        <v>23</v>
      </c>
      <c r="H2296" s="1">
        <v>44690</v>
      </c>
      <c r="I2296" s="2">
        <v>44690.3625</v>
      </c>
      <c r="J2296">
        <v>8.7</v>
      </c>
      <c r="K2296" t="s">
        <v>24</v>
      </c>
      <c r="L2296">
        <v>0</v>
      </c>
      <c r="M2296">
        <v>4</v>
      </c>
      <c r="N2296" t="s">
        <v>195</v>
      </c>
      <c r="O2296" s="3" t="str">
        <f>TEXT(Ticket_Table[[#This Row],[raised_date]],"YYYY-MM")</f>
        <v>2022-05</v>
      </c>
      <c r="P2296" s="3" t="str">
        <f>IF(Ticket_Table[[#This Row],[resolution_hrs]]&lt;=4,"Fast",IF(Ticket_Table[[#This Row],[resolution_hrs]]&lt;=24,"Normal",IF(Ticket_Table[[#This Row],[resolution_hrs]]&lt;=48,"Slow","Very Slow")))</f>
        <v>Normal</v>
      </c>
      <c r="Q2296" s="3">
        <f>YEAR(Ticket_Table[[#This Row],[raised_date]])</f>
        <v>2022</v>
      </c>
    </row>
    <row r="2297" spans="1:17">
      <c r="A2297" t="s">
        <v>2858</v>
      </c>
      <c r="B2297" t="s">
        <v>485</v>
      </c>
      <c r="C2297" t="s">
        <v>19</v>
      </c>
      <c r="D2297" t="s">
        <v>90</v>
      </c>
      <c r="E2297" t="s">
        <v>51</v>
      </c>
      <c r="F2297" t="s">
        <v>38</v>
      </c>
      <c r="G2297" t="s">
        <v>23</v>
      </c>
      <c r="H2297" s="1">
        <v>44742</v>
      </c>
      <c r="I2297" s="2">
        <v>44743.3291666667</v>
      </c>
      <c r="J2297">
        <v>31.9</v>
      </c>
      <c r="K2297" t="s">
        <v>32</v>
      </c>
      <c r="L2297">
        <v>1</v>
      </c>
      <c r="M2297">
        <v>4</v>
      </c>
      <c r="N2297" t="s">
        <v>474</v>
      </c>
      <c r="O2297" s="3" t="str">
        <f>TEXT(Ticket_Table[[#This Row],[raised_date]],"YYYY-MM")</f>
        <v>2022-06</v>
      </c>
      <c r="P2297" s="3" t="str">
        <f>IF(Ticket_Table[[#This Row],[resolution_hrs]]&lt;=4,"Fast",IF(Ticket_Table[[#This Row],[resolution_hrs]]&lt;=24,"Normal",IF(Ticket_Table[[#This Row],[resolution_hrs]]&lt;=48,"Slow","Very Slow")))</f>
        <v>Slow</v>
      </c>
      <c r="Q2297" s="3">
        <f>YEAR(Ticket_Table[[#This Row],[raised_date]])</f>
        <v>2022</v>
      </c>
    </row>
    <row r="2298" spans="1:17">
      <c r="A2298" t="s">
        <v>2859</v>
      </c>
      <c r="B2298" t="s">
        <v>1348</v>
      </c>
      <c r="C2298" t="s">
        <v>68</v>
      </c>
      <c r="D2298" t="s">
        <v>90</v>
      </c>
      <c r="E2298" t="s">
        <v>44</v>
      </c>
      <c r="F2298" t="s">
        <v>70</v>
      </c>
      <c r="G2298" t="s">
        <v>23</v>
      </c>
      <c r="H2298" s="1">
        <v>45289</v>
      </c>
      <c r="I2298" s="2">
        <v>45291.4</v>
      </c>
      <c r="J2298">
        <v>57.6</v>
      </c>
      <c r="K2298" t="s">
        <v>32</v>
      </c>
      <c r="L2298">
        <v>0</v>
      </c>
      <c r="M2298">
        <v>3</v>
      </c>
      <c r="N2298" t="s">
        <v>109</v>
      </c>
      <c r="O2298" s="3" t="str">
        <f>TEXT(Ticket_Table[[#This Row],[raised_date]],"YYYY-MM")</f>
        <v>2023-12</v>
      </c>
      <c r="P2298" s="3" t="str">
        <f>IF(Ticket_Table[[#This Row],[resolution_hrs]]&lt;=4,"Fast",IF(Ticket_Table[[#This Row],[resolution_hrs]]&lt;=24,"Normal",IF(Ticket_Table[[#This Row],[resolution_hrs]]&lt;=48,"Slow","Very Slow")))</f>
        <v>Very Slow</v>
      </c>
      <c r="Q2298" s="3">
        <f>YEAR(Ticket_Table[[#This Row],[raised_date]])</f>
        <v>2023</v>
      </c>
    </row>
    <row r="2299" spans="1:17">
      <c r="A2299" t="s">
        <v>2860</v>
      </c>
      <c r="B2299" t="s">
        <v>420</v>
      </c>
      <c r="C2299" t="s">
        <v>117</v>
      </c>
      <c r="D2299" t="s">
        <v>36</v>
      </c>
      <c r="E2299" t="s">
        <v>106</v>
      </c>
      <c r="F2299" t="s">
        <v>22</v>
      </c>
      <c r="G2299" t="s">
        <v>31</v>
      </c>
      <c r="H2299" s="1">
        <v>44311</v>
      </c>
      <c r="I2299" s="2">
        <v>44314.7458333333</v>
      </c>
      <c r="J2299">
        <v>89.9</v>
      </c>
      <c r="K2299" t="s">
        <v>32</v>
      </c>
      <c r="L2299">
        <v>0</v>
      </c>
      <c r="M2299">
        <v>5</v>
      </c>
      <c r="N2299" t="s">
        <v>304</v>
      </c>
      <c r="O2299" s="3" t="str">
        <f>TEXT(Ticket_Table[[#This Row],[raised_date]],"YYYY-MM")</f>
        <v>2021-04</v>
      </c>
      <c r="P2299" s="3" t="str">
        <f>IF(Ticket_Table[[#This Row],[resolution_hrs]]&lt;=4,"Fast",IF(Ticket_Table[[#This Row],[resolution_hrs]]&lt;=24,"Normal",IF(Ticket_Table[[#This Row],[resolution_hrs]]&lt;=48,"Slow","Very Slow")))</f>
        <v>Very Slow</v>
      </c>
      <c r="Q2299" s="3">
        <f>YEAR(Ticket_Table[[#This Row],[raised_date]])</f>
        <v>2021</v>
      </c>
    </row>
    <row r="2300" spans="1:17">
      <c r="A2300" t="s">
        <v>2861</v>
      </c>
      <c r="B2300" t="s">
        <v>620</v>
      </c>
      <c r="C2300" t="s">
        <v>287</v>
      </c>
      <c r="D2300" t="s">
        <v>90</v>
      </c>
      <c r="E2300" t="s">
        <v>30</v>
      </c>
      <c r="F2300" t="s">
        <v>38</v>
      </c>
      <c r="G2300" t="s">
        <v>46</v>
      </c>
      <c r="H2300" s="1">
        <v>44646</v>
      </c>
      <c r="I2300" s="2">
        <v>44646.2875</v>
      </c>
      <c r="J2300">
        <v>6.9</v>
      </c>
      <c r="K2300" t="s">
        <v>24</v>
      </c>
      <c r="L2300">
        <v>1</v>
      </c>
      <c r="M2300">
        <v>2</v>
      </c>
      <c r="N2300" t="s">
        <v>589</v>
      </c>
      <c r="O2300" s="3" t="str">
        <f>TEXT(Ticket_Table[[#This Row],[raised_date]],"YYYY-MM")</f>
        <v>2022-03</v>
      </c>
      <c r="P2300" s="3" t="str">
        <f>IF(Ticket_Table[[#This Row],[resolution_hrs]]&lt;=4,"Fast",IF(Ticket_Table[[#This Row],[resolution_hrs]]&lt;=24,"Normal",IF(Ticket_Table[[#This Row],[resolution_hrs]]&lt;=48,"Slow","Very Slow")))</f>
        <v>Normal</v>
      </c>
      <c r="Q2300" s="3">
        <f>YEAR(Ticket_Table[[#This Row],[raised_date]])</f>
        <v>2022</v>
      </c>
    </row>
    <row r="2301" spans="1:17">
      <c r="A2301" t="s">
        <v>2862</v>
      </c>
      <c r="B2301" t="s">
        <v>926</v>
      </c>
      <c r="C2301" t="s">
        <v>261</v>
      </c>
      <c r="D2301" t="s">
        <v>90</v>
      </c>
      <c r="E2301" t="s">
        <v>69</v>
      </c>
      <c r="F2301" t="s">
        <v>38</v>
      </c>
      <c r="G2301" t="s">
        <v>46</v>
      </c>
      <c r="H2301" s="1">
        <v>44992</v>
      </c>
      <c r="I2301" s="2">
        <v>44992.2833333333</v>
      </c>
      <c r="J2301">
        <v>6.8</v>
      </c>
      <c r="K2301" t="s">
        <v>24</v>
      </c>
      <c r="L2301">
        <v>0</v>
      </c>
      <c r="M2301">
        <v>4</v>
      </c>
      <c r="N2301" t="s">
        <v>272</v>
      </c>
      <c r="O2301" s="3" t="str">
        <f>TEXT(Ticket_Table[[#This Row],[raised_date]],"YYYY-MM")</f>
        <v>2023-03</v>
      </c>
      <c r="P2301" s="3" t="str">
        <f>IF(Ticket_Table[[#This Row],[resolution_hrs]]&lt;=4,"Fast",IF(Ticket_Table[[#This Row],[resolution_hrs]]&lt;=24,"Normal",IF(Ticket_Table[[#This Row],[resolution_hrs]]&lt;=48,"Slow","Very Slow")))</f>
        <v>Normal</v>
      </c>
      <c r="Q2301" s="3">
        <f>YEAR(Ticket_Table[[#This Row],[raised_date]])</f>
        <v>2023</v>
      </c>
    </row>
    <row r="2302" spans="1:17">
      <c r="A2302" t="s">
        <v>2863</v>
      </c>
      <c r="B2302" t="s">
        <v>209</v>
      </c>
      <c r="C2302" t="s">
        <v>28</v>
      </c>
      <c r="D2302" t="s">
        <v>36</v>
      </c>
      <c r="E2302" t="s">
        <v>83</v>
      </c>
      <c r="F2302" t="s">
        <v>22</v>
      </c>
      <c r="G2302" t="s">
        <v>23</v>
      </c>
      <c r="H2302" s="1">
        <v>44923</v>
      </c>
      <c r="I2302" s="2">
        <v>44924.8958333333</v>
      </c>
      <c r="J2302">
        <v>45.5</v>
      </c>
      <c r="K2302" t="s">
        <v>24</v>
      </c>
      <c r="L2302">
        <v>0</v>
      </c>
      <c r="M2302">
        <v>2</v>
      </c>
      <c r="N2302" t="s">
        <v>355</v>
      </c>
      <c r="O2302" s="3" t="str">
        <f>TEXT(Ticket_Table[[#This Row],[raised_date]],"YYYY-MM")</f>
        <v>2022-12</v>
      </c>
      <c r="P2302" s="3" t="str">
        <f>IF(Ticket_Table[[#This Row],[resolution_hrs]]&lt;=4,"Fast",IF(Ticket_Table[[#This Row],[resolution_hrs]]&lt;=24,"Normal",IF(Ticket_Table[[#This Row],[resolution_hrs]]&lt;=48,"Slow","Very Slow")))</f>
        <v>Slow</v>
      </c>
      <c r="Q2302" s="3">
        <f>YEAR(Ticket_Table[[#This Row],[raised_date]])</f>
        <v>2022</v>
      </c>
    </row>
    <row r="2303" spans="1:17">
      <c r="A2303" t="s">
        <v>2864</v>
      </c>
      <c r="B2303" t="s">
        <v>985</v>
      </c>
      <c r="C2303" t="s">
        <v>95</v>
      </c>
      <c r="D2303" t="s">
        <v>36</v>
      </c>
      <c r="E2303" t="s">
        <v>51</v>
      </c>
      <c r="F2303" t="s">
        <v>70</v>
      </c>
      <c r="G2303" t="s">
        <v>23</v>
      </c>
      <c r="H2303" s="1">
        <v>44552</v>
      </c>
      <c r="I2303" s="2">
        <v>44552.3583333333</v>
      </c>
      <c r="J2303">
        <v>8.6</v>
      </c>
      <c r="K2303" t="s">
        <v>24</v>
      </c>
      <c r="L2303">
        <v>0</v>
      </c>
      <c r="M2303">
        <v>4</v>
      </c>
      <c r="N2303" t="s">
        <v>370</v>
      </c>
      <c r="O2303" s="3" t="str">
        <f>TEXT(Ticket_Table[[#This Row],[raised_date]],"YYYY-MM")</f>
        <v>2021-12</v>
      </c>
      <c r="P2303" s="3" t="str">
        <f>IF(Ticket_Table[[#This Row],[resolution_hrs]]&lt;=4,"Fast",IF(Ticket_Table[[#This Row],[resolution_hrs]]&lt;=24,"Normal",IF(Ticket_Table[[#This Row],[resolution_hrs]]&lt;=48,"Slow","Very Slow")))</f>
        <v>Normal</v>
      </c>
      <c r="Q2303" s="3">
        <f>YEAR(Ticket_Table[[#This Row],[raised_date]])</f>
        <v>2021</v>
      </c>
    </row>
    <row r="2304" spans="1:17">
      <c r="A2304" t="s">
        <v>2865</v>
      </c>
      <c r="B2304" t="s">
        <v>337</v>
      </c>
      <c r="C2304" t="s">
        <v>95</v>
      </c>
      <c r="D2304" t="s">
        <v>20</v>
      </c>
      <c r="E2304" t="s">
        <v>83</v>
      </c>
      <c r="F2304" t="s">
        <v>22</v>
      </c>
      <c r="G2304" t="s">
        <v>23</v>
      </c>
      <c r="H2304" s="1">
        <v>44557</v>
      </c>
      <c r="I2304" s="2">
        <v>44558.5</v>
      </c>
      <c r="J2304">
        <v>36</v>
      </c>
      <c r="K2304" t="s">
        <v>24</v>
      </c>
      <c r="L2304">
        <v>0</v>
      </c>
      <c r="M2304">
        <v>3</v>
      </c>
      <c r="N2304" t="s">
        <v>146</v>
      </c>
      <c r="O2304" s="3" t="str">
        <f>TEXT(Ticket_Table[[#This Row],[raised_date]],"YYYY-MM")</f>
        <v>2021-12</v>
      </c>
      <c r="P2304" s="3" t="str">
        <f>IF(Ticket_Table[[#This Row],[resolution_hrs]]&lt;=4,"Fast",IF(Ticket_Table[[#This Row],[resolution_hrs]]&lt;=24,"Normal",IF(Ticket_Table[[#This Row],[resolution_hrs]]&lt;=48,"Slow","Very Slow")))</f>
        <v>Slow</v>
      </c>
      <c r="Q2304" s="3">
        <f>YEAR(Ticket_Table[[#This Row],[raised_date]])</f>
        <v>2021</v>
      </c>
    </row>
    <row r="2305" spans="1:17">
      <c r="A2305" t="s">
        <v>2866</v>
      </c>
      <c r="B2305" t="s">
        <v>1243</v>
      </c>
      <c r="C2305" t="s">
        <v>28</v>
      </c>
      <c r="D2305" t="s">
        <v>43</v>
      </c>
      <c r="E2305" t="s">
        <v>106</v>
      </c>
      <c r="F2305" t="s">
        <v>70</v>
      </c>
      <c r="G2305" t="s">
        <v>31</v>
      </c>
      <c r="H2305" s="1">
        <v>44681</v>
      </c>
      <c r="I2305" s="2">
        <v>44682.7041666667</v>
      </c>
      <c r="J2305">
        <v>40.9</v>
      </c>
      <c r="K2305" t="s">
        <v>24</v>
      </c>
      <c r="L2305">
        <v>0</v>
      </c>
      <c r="M2305">
        <v>5</v>
      </c>
      <c r="N2305" t="s">
        <v>84</v>
      </c>
      <c r="O2305" s="3" t="str">
        <f>TEXT(Ticket_Table[[#This Row],[raised_date]],"YYYY-MM")</f>
        <v>2022-04</v>
      </c>
      <c r="P2305" s="3" t="str">
        <f>IF(Ticket_Table[[#This Row],[resolution_hrs]]&lt;=4,"Fast",IF(Ticket_Table[[#This Row],[resolution_hrs]]&lt;=24,"Normal",IF(Ticket_Table[[#This Row],[resolution_hrs]]&lt;=48,"Slow","Very Slow")))</f>
        <v>Slow</v>
      </c>
      <c r="Q2305" s="3">
        <f>YEAR(Ticket_Table[[#This Row],[raised_date]])</f>
        <v>2022</v>
      </c>
    </row>
    <row r="2306" spans="1:17">
      <c r="A2306" t="s">
        <v>2867</v>
      </c>
      <c r="B2306" t="s">
        <v>321</v>
      </c>
      <c r="C2306" t="s">
        <v>78</v>
      </c>
      <c r="D2306" t="s">
        <v>43</v>
      </c>
      <c r="E2306" t="s">
        <v>166</v>
      </c>
      <c r="F2306" t="s">
        <v>22</v>
      </c>
      <c r="G2306" t="s">
        <v>31</v>
      </c>
      <c r="H2306" s="1">
        <v>44848</v>
      </c>
      <c r="I2306" s="2">
        <v>44848.8875</v>
      </c>
      <c r="J2306">
        <v>21.3</v>
      </c>
      <c r="K2306" t="s">
        <v>24</v>
      </c>
      <c r="L2306">
        <v>1</v>
      </c>
      <c r="M2306">
        <v>1</v>
      </c>
      <c r="N2306" t="s">
        <v>956</v>
      </c>
      <c r="O2306" s="3" t="str">
        <f>TEXT(Ticket_Table[[#This Row],[raised_date]],"YYYY-MM")</f>
        <v>2022-10</v>
      </c>
      <c r="P2306" s="3" t="str">
        <f>IF(Ticket_Table[[#This Row],[resolution_hrs]]&lt;=4,"Fast",IF(Ticket_Table[[#This Row],[resolution_hrs]]&lt;=24,"Normal",IF(Ticket_Table[[#This Row],[resolution_hrs]]&lt;=48,"Slow","Very Slow")))</f>
        <v>Normal</v>
      </c>
      <c r="Q2306" s="3">
        <f>YEAR(Ticket_Table[[#This Row],[raised_date]])</f>
        <v>2022</v>
      </c>
    </row>
    <row r="2307" spans="1:17">
      <c r="A2307" t="s">
        <v>2868</v>
      </c>
      <c r="B2307" t="s">
        <v>103</v>
      </c>
      <c r="C2307" t="s">
        <v>78</v>
      </c>
      <c r="D2307" t="s">
        <v>20</v>
      </c>
      <c r="E2307" t="s">
        <v>106</v>
      </c>
      <c r="F2307" t="s">
        <v>70</v>
      </c>
      <c r="G2307" t="s">
        <v>31</v>
      </c>
      <c r="H2307" s="1">
        <v>44931</v>
      </c>
      <c r="I2307" s="2">
        <v>44931.6541666667</v>
      </c>
      <c r="J2307">
        <v>15.7</v>
      </c>
      <c r="K2307" t="s">
        <v>24</v>
      </c>
      <c r="L2307">
        <v>0</v>
      </c>
      <c r="M2307">
        <v>3</v>
      </c>
      <c r="N2307" t="s">
        <v>323</v>
      </c>
      <c r="O2307" s="3" t="str">
        <f>TEXT(Ticket_Table[[#This Row],[raised_date]],"YYYY-MM")</f>
        <v>2023-01</v>
      </c>
      <c r="P2307" s="3" t="str">
        <f>IF(Ticket_Table[[#This Row],[resolution_hrs]]&lt;=4,"Fast",IF(Ticket_Table[[#This Row],[resolution_hrs]]&lt;=24,"Normal",IF(Ticket_Table[[#This Row],[resolution_hrs]]&lt;=48,"Slow","Very Slow")))</f>
        <v>Normal</v>
      </c>
      <c r="Q2307" s="3">
        <f>YEAR(Ticket_Table[[#This Row],[raised_date]])</f>
        <v>2023</v>
      </c>
    </row>
    <row r="2308" spans="1:17">
      <c r="A2308" t="s">
        <v>2869</v>
      </c>
      <c r="B2308" t="s">
        <v>1025</v>
      </c>
      <c r="C2308" t="s">
        <v>82</v>
      </c>
      <c r="D2308" t="s">
        <v>43</v>
      </c>
      <c r="E2308" t="s">
        <v>37</v>
      </c>
      <c r="F2308" t="s">
        <v>70</v>
      </c>
      <c r="G2308" t="s">
        <v>46</v>
      </c>
      <c r="H2308" s="1">
        <v>44254</v>
      </c>
      <c r="I2308" s="2">
        <v>44255.6458333333</v>
      </c>
      <c r="J2308">
        <v>39.5</v>
      </c>
      <c r="K2308" t="s">
        <v>24</v>
      </c>
      <c r="L2308">
        <v>0</v>
      </c>
      <c r="M2308">
        <v>4</v>
      </c>
      <c r="N2308" t="s">
        <v>334</v>
      </c>
      <c r="O2308" s="3" t="str">
        <f>TEXT(Ticket_Table[[#This Row],[raised_date]],"YYYY-MM")</f>
        <v>2021-02</v>
      </c>
      <c r="P2308" s="3" t="str">
        <f>IF(Ticket_Table[[#This Row],[resolution_hrs]]&lt;=4,"Fast",IF(Ticket_Table[[#This Row],[resolution_hrs]]&lt;=24,"Normal",IF(Ticket_Table[[#This Row],[resolution_hrs]]&lt;=48,"Slow","Very Slow")))</f>
        <v>Slow</v>
      </c>
      <c r="Q2308" s="3">
        <f>YEAR(Ticket_Table[[#This Row],[raised_date]])</f>
        <v>2021</v>
      </c>
    </row>
    <row r="2309" spans="1:17">
      <c r="A2309" t="s">
        <v>2870</v>
      </c>
      <c r="B2309" t="s">
        <v>886</v>
      </c>
      <c r="C2309" t="s">
        <v>287</v>
      </c>
      <c r="D2309" t="s">
        <v>90</v>
      </c>
      <c r="E2309" t="s">
        <v>30</v>
      </c>
      <c r="F2309" t="s">
        <v>70</v>
      </c>
      <c r="G2309" t="s">
        <v>91</v>
      </c>
      <c r="H2309" s="1">
        <v>44917</v>
      </c>
      <c r="I2309" s="2">
        <v>44919.8208333333</v>
      </c>
      <c r="J2309">
        <v>67.7</v>
      </c>
      <c r="K2309" t="s">
        <v>32</v>
      </c>
      <c r="L2309">
        <v>0</v>
      </c>
      <c r="M2309">
        <v>3</v>
      </c>
      <c r="N2309" t="s">
        <v>25</v>
      </c>
      <c r="O2309" s="3" t="str">
        <f>TEXT(Ticket_Table[[#This Row],[raised_date]],"YYYY-MM")</f>
        <v>2022-12</v>
      </c>
      <c r="P2309" s="3" t="str">
        <f>IF(Ticket_Table[[#This Row],[resolution_hrs]]&lt;=4,"Fast",IF(Ticket_Table[[#This Row],[resolution_hrs]]&lt;=24,"Normal",IF(Ticket_Table[[#This Row],[resolution_hrs]]&lt;=48,"Slow","Very Slow")))</f>
        <v>Very Slow</v>
      </c>
      <c r="Q2309" s="3">
        <f>YEAR(Ticket_Table[[#This Row],[raised_date]])</f>
        <v>2022</v>
      </c>
    </row>
    <row r="2310" spans="1:17">
      <c r="A2310" t="s">
        <v>2871</v>
      </c>
      <c r="B2310" t="s">
        <v>567</v>
      </c>
      <c r="C2310" t="s">
        <v>213</v>
      </c>
      <c r="D2310" t="s">
        <v>20</v>
      </c>
      <c r="E2310" t="s">
        <v>166</v>
      </c>
      <c r="F2310" t="s">
        <v>38</v>
      </c>
      <c r="G2310" t="s">
        <v>23</v>
      </c>
      <c r="H2310" s="1">
        <v>44488</v>
      </c>
      <c r="I2310" s="2">
        <v>44488.2166666667</v>
      </c>
      <c r="J2310">
        <v>5.2</v>
      </c>
      <c r="K2310" t="s">
        <v>24</v>
      </c>
      <c r="L2310">
        <v>0</v>
      </c>
      <c r="M2310">
        <v>5</v>
      </c>
      <c r="N2310" t="s">
        <v>833</v>
      </c>
      <c r="O2310" s="3" t="str">
        <f>TEXT(Ticket_Table[[#This Row],[raised_date]],"YYYY-MM")</f>
        <v>2021-10</v>
      </c>
      <c r="P2310" s="3" t="str">
        <f>IF(Ticket_Table[[#This Row],[resolution_hrs]]&lt;=4,"Fast",IF(Ticket_Table[[#This Row],[resolution_hrs]]&lt;=24,"Normal",IF(Ticket_Table[[#This Row],[resolution_hrs]]&lt;=48,"Slow","Very Slow")))</f>
        <v>Normal</v>
      </c>
      <c r="Q2310" s="3">
        <f>YEAR(Ticket_Table[[#This Row],[raised_date]])</f>
        <v>2021</v>
      </c>
    </row>
    <row r="2311" spans="1:17">
      <c r="A2311" t="s">
        <v>2872</v>
      </c>
      <c r="B2311" t="s">
        <v>919</v>
      </c>
      <c r="C2311" t="s">
        <v>140</v>
      </c>
      <c r="D2311" t="s">
        <v>20</v>
      </c>
      <c r="E2311" t="s">
        <v>51</v>
      </c>
      <c r="F2311" t="s">
        <v>38</v>
      </c>
      <c r="G2311" t="s">
        <v>46</v>
      </c>
      <c r="H2311" s="1">
        <v>44582</v>
      </c>
      <c r="I2311" s="2">
        <v>44582.3541666667</v>
      </c>
      <c r="J2311">
        <v>8.5</v>
      </c>
      <c r="K2311" t="s">
        <v>24</v>
      </c>
      <c r="L2311">
        <v>1</v>
      </c>
      <c r="M2311">
        <v>5</v>
      </c>
      <c r="N2311" t="s">
        <v>350</v>
      </c>
      <c r="O2311" s="3" t="str">
        <f>TEXT(Ticket_Table[[#This Row],[raised_date]],"YYYY-MM")</f>
        <v>2022-01</v>
      </c>
      <c r="P2311" s="3" t="str">
        <f>IF(Ticket_Table[[#This Row],[resolution_hrs]]&lt;=4,"Fast",IF(Ticket_Table[[#This Row],[resolution_hrs]]&lt;=24,"Normal",IF(Ticket_Table[[#This Row],[resolution_hrs]]&lt;=48,"Slow","Very Slow")))</f>
        <v>Normal</v>
      </c>
      <c r="Q2311" s="3">
        <f>YEAR(Ticket_Table[[#This Row],[raised_date]])</f>
        <v>2022</v>
      </c>
    </row>
    <row r="2312" spans="1:17">
      <c r="A2312" t="s">
        <v>2873</v>
      </c>
      <c r="B2312" t="s">
        <v>974</v>
      </c>
      <c r="C2312" t="s">
        <v>64</v>
      </c>
      <c r="D2312" t="s">
        <v>43</v>
      </c>
      <c r="E2312" t="s">
        <v>69</v>
      </c>
      <c r="F2312" t="s">
        <v>22</v>
      </c>
      <c r="G2312" t="s">
        <v>23</v>
      </c>
      <c r="H2312" s="1">
        <v>45205</v>
      </c>
      <c r="I2312" s="2">
        <v>45206.6333333333</v>
      </c>
      <c r="J2312">
        <v>39.2</v>
      </c>
      <c r="K2312" t="s">
        <v>24</v>
      </c>
      <c r="L2312">
        <v>1</v>
      </c>
      <c r="M2312">
        <v>4</v>
      </c>
      <c r="N2312" t="s">
        <v>65</v>
      </c>
      <c r="O2312" s="3" t="str">
        <f>TEXT(Ticket_Table[[#This Row],[raised_date]],"YYYY-MM")</f>
        <v>2023-10</v>
      </c>
      <c r="P2312" s="3" t="str">
        <f>IF(Ticket_Table[[#This Row],[resolution_hrs]]&lt;=4,"Fast",IF(Ticket_Table[[#This Row],[resolution_hrs]]&lt;=24,"Normal",IF(Ticket_Table[[#This Row],[resolution_hrs]]&lt;=48,"Slow","Very Slow")))</f>
        <v>Slow</v>
      </c>
      <c r="Q2312" s="3">
        <f>YEAR(Ticket_Table[[#This Row],[raised_date]])</f>
        <v>2023</v>
      </c>
    </row>
    <row r="2313" spans="1:17">
      <c r="A2313" t="s">
        <v>2874</v>
      </c>
      <c r="B2313" t="s">
        <v>858</v>
      </c>
      <c r="C2313" t="s">
        <v>42</v>
      </c>
      <c r="D2313" t="s">
        <v>29</v>
      </c>
      <c r="E2313" t="s">
        <v>83</v>
      </c>
      <c r="F2313" t="s">
        <v>22</v>
      </c>
      <c r="G2313" t="s">
        <v>31</v>
      </c>
      <c r="H2313" s="1">
        <v>44829</v>
      </c>
      <c r="I2313" s="2">
        <v>44829.8166666667</v>
      </c>
      <c r="J2313">
        <v>19.6</v>
      </c>
      <c r="K2313" t="s">
        <v>24</v>
      </c>
      <c r="L2313">
        <v>0</v>
      </c>
      <c r="M2313">
        <v>3</v>
      </c>
      <c r="N2313" t="s">
        <v>33</v>
      </c>
      <c r="O2313" s="3" t="str">
        <f>TEXT(Ticket_Table[[#This Row],[raised_date]],"YYYY-MM")</f>
        <v>2022-09</v>
      </c>
      <c r="P2313" s="3" t="str">
        <f>IF(Ticket_Table[[#This Row],[resolution_hrs]]&lt;=4,"Fast",IF(Ticket_Table[[#This Row],[resolution_hrs]]&lt;=24,"Normal",IF(Ticket_Table[[#This Row],[resolution_hrs]]&lt;=48,"Slow","Very Slow")))</f>
        <v>Normal</v>
      </c>
      <c r="Q2313" s="3">
        <f>YEAR(Ticket_Table[[#This Row],[raised_date]])</f>
        <v>2022</v>
      </c>
    </row>
    <row r="2314" spans="1:17">
      <c r="A2314" t="s">
        <v>2875</v>
      </c>
      <c r="B2314" t="s">
        <v>610</v>
      </c>
      <c r="C2314" t="s">
        <v>19</v>
      </c>
      <c r="D2314" t="s">
        <v>43</v>
      </c>
      <c r="E2314" t="s">
        <v>106</v>
      </c>
      <c r="F2314" t="s">
        <v>38</v>
      </c>
      <c r="G2314" t="s">
        <v>74</v>
      </c>
      <c r="H2314" s="1">
        <v>44556</v>
      </c>
      <c r="I2314" s="2">
        <v>44556.6291666667</v>
      </c>
      <c r="J2314">
        <v>15.1</v>
      </c>
      <c r="K2314" t="s">
        <v>24</v>
      </c>
      <c r="L2314">
        <v>0</v>
      </c>
      <c r="M2314">
        <v>3</v>
      </c>
      <c r="N2314" t="s">
        <v>334</v>
      </c>
      <c r="O2314" s="3" t="str">
        <f>TEXT(Ticket_Table[[#This Row],[raised_date]],"YYYY-MM")</f>
        <v>2021-12</v>
      </c>
      <c r="P2314" s="3" t="str">
        <f>IF(Ticket_Table[[#This Row],[resolution_hrs]]&lt;=4,"Fast",IF(Ticket_Table[[#This Row],[resolution_hrs]]&lt;=24,"Normal",IF(Ticket_Table[[#This Row],[resolution_hrs]]&lt;=48,"Slow","Very Slow")))</f>
        <v>Normal</v>
      </c>
      <c r="Q2314" s="3">
        <f>YEAR(Ticket_Table[[#This Row],[raised_date]])</f>
        <v>2021</v>
      </c>
    </row>
    <row r="2315" spans="1:17">
      <c r="A2315" t="s">
        <v>2876</v>
      </c>
      <c r="B2315" t="s">
        <v>1180</v>
      </c>
      <c r="C2315" t="s">
        <v>19</v>
      </c>
      <c r="D2315" t="s">
        <v>29</v>
      </c>
      <c r="E2315" t="s">
        <v>21</v>
      </c>
      <c r="F2315" t="s">
        <v>22</v>
      </c>
      <c r="G2315" t="s">
        <v>23</v>
      </c>
      <c r="H2315" s="1">
        <v>45201</v>
      </c>
      <c r="I2315" s="2">
        <v>45202.45</v>
      </c>
      <c r="J2315">
        <v>34.8</v>
      </c>
      <c r="K2315" t="s">
        <v>24</v>
      </c>
      <c r="L2315">
        <v>0</v>
      </c>
      <c r="M2315">
        <v>3</v>
      </c>
      <c r="N2315" t="s">
        <v>794</v>
      </c>
      <c r="O2315" s="3" t="str">
        <f>TEXT(Ticket_Table[[#This Row],[raised_date]],"YYYY-MM")</f>
        <v>2023-10</v>
      </c>
      <c r="P2315" s="3" t="str">
        <f>IF(Ticket_Table[[#This Row],[resolution_hrs]]&lt;=4,"Fast",IF(Ticket_Table[[#This Row],[resolution_hrs]]&lt;=24,"Normal",IF(Ticket_Table[[#This Row],[resolution_hrs]]&lt;=48,"Slow","Very Slow")))</f>
        <v>Slow</v>
      </c>
      <c r="Q2315" s="3">
        <f>YEAR(Ticket_Table[[#This Row],[raised_date]])</f>
        <v>2023</v>
      </c>
    </row>
    <row r="2316" spans="1:17">
      <c r="A2316" t="s">
        <v>2877</v>
      </c>
      <c r="B2316" t="s">
        <v>110</v>
      </c>
      <c r="C2316" t="s">
        <v>261</v>
      </c>
      <c r="D2316" t="s">
        <v>20</v>
      </c>
      <c r="E2316" t="s">
        <v>44</v>
      </c>
      <c r="F2316" t="s">
        <v>45</v>
      </c>
      <c r="G2316" t="s">
        <v>31</v>
      </c>
      <c r="H2316" s="1">
        <v>44274</v>
      </c>
      <c r="I2316" s="2">
        <v>44274.1208333333</v>
      </c>
      <c r="J2316">
        <v>2.9</v>
      </c>
      <c r="K2316" t="s">
        <v>24</v>
      </c>
      <c r="L2316">
        <v>0</v>
      </c>
      <c r="M2316">
        <v>3</v>
      </c>
      <c r="N2316" t="s">
        <v>365</v>
      </c>
      <c r="O2316" s="3" t="str">
        <f>TEXT(Ticket_Table[[#This Row],[raised_date]],"YYYY-MM")</f>
        <v>2021-03</v>
      </c>
      <c r="P2316" s="3" t="str">
        <f>IF(Ticket_Table[[#This Row],[resolution_hrs]]&lt;=4,"Fast",IF(Ticket_Table[[#This Row],[resolution_hrs]]&lt;=24,"Normal",IF(Ticket_Table[[#This Row],[resolution_hrs]]&lt;=48,"Slow","Very Slow")))</f>
        <v>Fast</v>
      </c>
      <c r="Q2316" s="3">
        <f>YEAR(Ticket_Table[[#This Row],[raised_date]])</f>
        <v>2021</v>
      </c>
    </row>
    <row r="2317" spans="1:17">
      <c r="A2317" t="s">
        <v>2878</v>
      </c>
      <c r="B2317" t="s">
        <v>273</v>
      </c>
      <c r="C2317" t="s">
        <v>213</v>
      </c>
      <c r="D2317" t="s">
        <v>29</v>
      </c>
      <c r="E2317" t="s">
        <v>51</v>
      </c>
      <c r="F2317" t="s">
        <v>38</v>
      </c>
      <c r="G2317" t="s">
        <v>23</v>
      </c>
      <c r="H2317" s="1">
        <v>44381</v>
      </c>
      <c r="I2317" s="2">
        <v>44381.7125</v>
      </c>
      <c r="J2317">
        <v>17.1</v>
      </c>
      <c r="K2317" t="s">
        <v>24</v>
      </c>
      <c r="L2317">
        <v>0</v>
      </c>
      <c r="M2317">
        <v>1</v>
      </c>
      <c r="N2317" t="s">
        <v>1107</v>
      </c>
      <c r="O2317" s="3" t="str">
        <f>TEXT(Ticket_Table[[#This Row],[raised_date]],"YYYY-MM")</f>
        <v>2021-07</v>
      </c>
      <c r="P2317" s="3" t="str">
        <f>IF(Ticket_Table[[#This Row],[resolution_hrs]]&lt;=4,"Fast",IF(Ticket_Table[[#This Row],[resolution_hrs]]&lt;=24,"Normal",IF(Ticket_Table[[#This Row],[resolution_hrs]]&lt;=48,"Slow","Very Slow")))</f>
        <v>Normal</v>
      </c>
      <c r="Q2317" s="3">
        <f>YEAR(Ticket_Table[[#This Row],[raised_date]])</f>
        <v>2021</v>
      </c>
    </row>
    <row r="2318" spans="1:17">
      <c r="A2318" t="s">
        <v>2879</v>
      </c>
      <c r="B2318" t="s">
        <v>922</v>
      </c>
      <c r="C2318" t="s">
        <v>213</v>
      </c>
      <c r="D2318" t="s">
        <v>90</v>
      </c>
      <c r="E2318" t="s">
        <v>44</v>
      </c>
      <c r="F2318" t="s">
        <v>70</v>
      </c>
      <c r="G2318" t="s">
        <v>31</v>
      </c>
      <c r="H2318" s="1">
        <v>44312</v>
      </c>
      <c r="I2318" s="2">
        <v>44312.2375</v>
      </c>
      <c r="J2318">
        <v>5.7</v>
      </c>
      <c r="K2318" t="s">
        <v>24</v>
      </c>
      <c r="L2318">
        <v>0</v>
      </c>
      <c r="M2318">
        <v>5</v>
      </c>
      <c r="N2318" t="s">
        <v>432</v>
      </c>
      <c r="O2318" s="3" t="str">
        <f>TEXT(Ticket_Table[[#This Row],[raised_date]],"YYYY-MM")</f>
        <v>2021-04</v>
      </c>
      <c r="P2318" s="3" t="str">
        <f>IF(Ticket_Table[[#This Row],[resolution_hrs]]&lt;=4,"Fast",IF(Ticket_Table[[#This Row],[resolution_hrs]]&lt;=24,"Normal",IF(Ticket_Table[[#This Row],[resolution_hrs]]&lt;=48,"Slow","Very Slow")))</f>
        <v>Normal</v>
      </c>
      <c r="Q2318" s="3">
        <f>YEAR(Ticket_Table[[#This Row],[raised_date]])</f>
        <v>2021</v>
      </c>
    </row>
    <row r="2319" spans="1:17">
      <c r="A2319" t="s">
        <v>2880</v>
      </c>
      <c r="B2319" t="s">
        <v>192</v>
      </c>
      <c r="C2319" t="s">
        <v>42</v>
      </c>
      <c r="D2319" t="s">
        <v>36</v>
      </c>
      <c r="E2319" t="s">
        <v>166</v>
      </c>
      <c r="F2319" t="s">
        <v>45</v>
      </c>
      <c r="G2319" t="s">
        <v>23</v>
      </c>
      <c r="H2319" s="1">
        <v>44673</v>
      </c>
      <c r="I2319" s="2">
        <v>44673.2125</v>
      </c>
      <c r="J2319">
        <v>5.1</v>
      </c>
      <c r="K2319" t="s">
        <v>32</v>
      </c>
      <c r="L2319">
        <v>0</v>
      </c>
      <c r="M2319">
        <v>4</v>
      </c>
      <c r="N2319" t="s">
        <v>956</v>
      </c>
      <c r="O2319" s="3" t="str">
        <f>TEXT(Ticket_Table[[#This Row],[raised_date]],"YYYY-MM")</f>
        <v>2022-04</v>
      </c>
      <c r="P2319" s="3" t="str">
        <f>IF(Ticket_Table[[#This Row],[resolution_hrs]]&lt;=4,"Fast",IF(Ticket_Table[[#This Row],[resolution_hrs]]&lt;=24,"Normal",IF(Ticket_Table[[#This Row],[resolution_hrs]]&lt;=48,"Slow","Very Slow")))</f>
        <v>Normal</v>
      </c>
      <c r="Q2319" s="3">
        <f>YEAR(Ticket_Table[[#This Row],[raised_date]])</f>
        <v>2022</v>
      </c>
    </row>
    <row r="2320" spans="1:17">
      <c r="A2320" t="s">
        <v>2881</v>
      </c>
      <c r="B2320" t="s">
        <v>950</v>
      </c>
      <c r="C2320" t="s">
        <v>102</v>
      </c>
      <c r="D2320" t="s">
        <v>29</v>
      </c>
      <c r="E2320" t="s">
        <v>37</v>
      </c>
      <c r="F2320" t="s">
        <v>22</v>
      </c>
      <c r="G2320" t="s">
        <v>23</v>
      </c>
      <c r="H2320" s="1">
        <v>44645</v>
      </c>
      <c r="I2320" s="2">
        <v>44647.9375</v>
      </c>
      <c r="J2320">
        <v>70.5</v>
      </c>
      <c r="K2320" t="s">
        <v>24</v>
      </c>
      <c r="L2320">
        <v>0</v>
      </c>
      <c r="M2320">
        <v>3</v>
      </c>
      <c r="N2320" t="s">
        <v>258</v>
      </c>
      <c r="O2320" s="3" t="str">
        <f>TEXT(Ticket_Table[[#This Row],[raised_date]],"YYYY-MM")</f>
        <v>2022-03</v>
      </c>
      <c r="P23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320" s="3">
        <f>YEAR(Ticket_Table[[#This Row],[raised_date]])</f>
        <v>2022</v>
      </c>
    </row>
    <row r="2321" spans="1:17">
      <c r="A2321" t="s">
        <v>2882</v>
      </c>
      <c r="B2321" t="s">
        <v>653</v>
      </c>
      <c r="C2321" t="s">
        <v>60</v>
      </c>
      <c r="D2321" t="s">
        <v>36</v>
      </c>
      <c r="E2321" t="s">
        <v>51</v>
      </c>
      <c r="F2321" t="s">
        <v>70</v>
      </c>
      <c r="G2321" t="s">
        <v>23</v>
      </c>
      <c r="H2321" s="1">
        <v>44237</v>
      </c>
      <c r="I2321" s="2">
        <v>44238.1333333333</v>
      </c>
      <c r="J2321">
        <v>27.2</v>
      </c>
      <c r="K2321" t="s">
        <v>24</v>
      </c>
      <c r="L2321">
        <v>0</v>
      </c>
      <c r="M2321">
        <v>3</v>
      </c>
      <c r="N2321" t="s">
        <v>599</v>
      </c>
      <c r="O2321" s="3" t="str">
        <f>TEXT(Ticket_Table[[#This Row],[raised_date]],"YYYY-MM")</f>
        <v>2021-02</v>
      </c>
      <c r="P2321" s="3" t="str">
        <f>IF(Ticket_Table[[#This Row],[resolution_hrs]]&lt;=4,"Fast",IF(Ticket_Table[[#This Row],[resolution_hrs]]&lt;=24,"Normal",IF(Ticket_Table[[#This Row],[resolution_hrs]]&lt;=48,"Slow","Very Slow")))</f>
        <v>Slow</v>
      </c>
      <c r="Q2321" s="3">
        <f>YEAR(Ticket_Table[[#This Row],[raised_date]])</f>
        <v>2021</v>
      </c>
    </row>
    <row r="2322" spans="1:17">
      <c r="A2322" t="s">
        <v>2883</v>
      </c>
      <c r="B2322" t="s">
        <v>200</v>
      </c>
      <c r="C2322" t="s">
        <v>287</v>
      </c>
      <c r="D2322" t="s">
        <v>90</v>
      </c>
      <c r="E2322" t="s">
        <v>37</v>
      </c>
      <c r="F2322" t="s">
        <v>70</v>
      </c>
      <c r="G2322" t="s">
        <v>23</v>
      </c>
      <c r="H2322" s="1">
        <v>45275</v>
      </c>
      <c r="I2322" s="2">
        <v>45275.2416666667</v>
      </c>
      <c r="J2322">
        <v>5.8</v>
      </c>
      <c r="K2322" t="s">
        <v>24</v>
      </c>
      <c r="L2322">
        <v>0</v>
      </c>
      <c r="M2322">
        <v>4</v>
      </c>
      <c r="N2322" t="s">
        <v>1833</v>
      </c>
      <c r="O2322" s="3" t="str">
        <f>TEXT(Ticket_Table[[#This Row],[raised_date]],"YYYY-MM")</f>
        <v>2023-12</v>
      </c>
      <c r="P2322" s="3" t="str">
        <f>IF(Ticket_Table[[#This Row],[resolution_hrs]]&lt;=4,"Fast",IF(Ticket_Table[[#This Row],[resolution_hrs]]&lt;=24,"Normal",IF(Ticket_Table[[#This Row],[resolution_hrs]]&lt;=48,"Slow","Very Slow")))</f>
        <v>Normal</v>
      </c>
      <c r="Q2322" s="3">
        <f>YEAR(Ticket_Table[[#This Row],[raised_date]])</f>
        <v>2023</v>
      </c>
    </row>
    <row r="2323" spans="1:17">
      <c r="A2323" t="s">
        <v>2884</v>
      </c>
      <c r="B2323" t="s">
        <v>158</v>
      </c>
      <c r="C2323" t="s">
        <v>82</v>
      </c>
      <c r="D2323" t="s">
        <v>36</v>
      </c>
      <c r="E2323" t="s">
        <v>37</v>
      </c>
      <c r="F2323" t="s">
        <v>70</v>
      </c>
      <c r="G2323" t="s">
        <v>23</v>
      </c>
      <c r="H2323" s="1">
        <v>45175</v>
      </c>
      <c r="I2323" s="2">
        <v>45175.6875</v>
      </c>
      <c r="J2323">
        <v>16.5</v>
      </c>
      <c r="K2323" t="s">
        <v>24</v>
      </c>
      <c r="L2323">
        <v>3</v>
      </c>
      <c r="M2323">
        <v>3</v>
      </c>
      <c r="N2323" t="s">
        <v>895</v>
      </c>
      <c r="O2323" s="3" t="str">
        <f>TEXT(Ticket_Table[[#This Row],[raised_date]],"YYYY-MM")</f>
        <v>2023-09</v>
      </c>
      <c r="P2323" s="3" t="str">
        <f>IF(Ticket_Table[[#This Row],[resolution_hrs]]&lt;=4,"Fast",IF(Ticket_Table[[#This Row],[resolution_hrs]]&lt;=24,"Normal",IF(Ticket_Table[[#This Row],[resolution_hrs]]&lt;=48,"Slow","Very Slow")))</f>
        <v>Normal</v>
      </c>
      <c r="Q2323" s="3">
        <f>YEAR(Ticket_Table[[#This Row],[raised_date]])</f>
        <v>2023</v>
      </c>
    </row>
    <row r="2324" spans="1:17">
      <c r="A2324" t="s">
        <v>2885</v>
      </c>
      <c r="B2324" t="s">
        <v>277</v>
      </c>
      <c r="C2324" t="s">
        <v>201</v>
      </c>
      <c r="D2324" t="s">
        <v>90</v>
      </c>
      <c r="E2324" t="s">
        <v>69</v>
      </c>
      <c r="F2324" t="s">
        <v>45</v>
      </c>
      <c r="G2324" t="s">
        <v>31</v>
      </c>
      <c r="H2324" s="1">
        <v>44198</v>
      </c>
      <c r="I2324" s="2">
        <v>44198.1041666667</v>
      </c>
      <c r="J2324">
        <v>2.5</v>
      </c>
      <c r="K2324" t="s">
        <v>24</v>
      </c>
      <c r="L2324">
        <v>0</v>
      </c>
      <c r="M2324">
        <v>5</v>
      </c>
      <c r="N2324" t="s">
        <v>406</v>
      </c>
      <c r="O2324" s="3" t="str">
        <f>TEXT(Ticket_Table[[#This Row],[raised_date]],"YYYY-MM")</f>
        <v>2021-01</v>
      </c>
      <c r="P2324" s="3" t="str">
        <f>IF(Ticket_Table[[#This Row],[resolution_hrs]]&lt;=4,"Fast",IF(Ticket_Table[[#This Row],[resolution_hrs]]&lt;=24,"Normal",IF(Ticket_Table[[#This Row],[resolution_hrs]]&lt;=48,"Slow","Very Slow")))</f>
        <v>Fast</v>
      </c>
      <c r="Q2324" s="3">
        <f>YEAR(Ticket_Table[[#This Row],[raised_date]])</f>
        <v>2021</v>
      </c>
    </row>
    <row r="2325" spans="1:17">
      <c r="A2325" t="s">
        <v>2886</v>
      </c>
      <c r="B2325" t="s">
        <v>255</v>
      </c>
      <c r="C2325" t="s">
        <v>261</v>
      </c>
      <c r="D2325" t="s">
        <v>36</v>
      </c>
      <c r="E2325" t="s">
        <v>166</v>
      </c>
      <c r="F2325" t="s">
        <v>22</v>
      </c>
      <c r="G2325" t="s">
        <v>91</v>
      </c>
      <c r="H2325" s="1">
        <v>44876</v>
      </c>
      <c r="I2325" s="2">
        <v>44878.7125</v>
      </c>
      <c r="J2325">
        <v>65.1</v>
      </c>
      <c r="K2325" t="s">
        <v>24</v>
      </c>
      <c r="L2325">
        <v>0</v>
      </c>
      <c r="M2325">
        <v>3</v>
      </c>
      <c r="N2325" t="s">
        <v>489</v>
      </c>
      <c r="O2325" s="3" t="str">
        <f>TEXT(Ticket_Table[[#This Row],[raised_date]],"YYYY-MM")</f>
        <v>2022-11</v>
      </c>
      <c r="P2325" s="3" t="str">
        <f>IF(Ticket_Table[[#This Row],[resolution_hrs]]&lt;=4,"Fast",IF(Ticket_Table[[#This Row],[resolution_hrs]]&lt;=24,"Normal",IF(Ticket_Table[[#This Row],[resolution_hrs]]&lt;=48,"Slow","Very Slow")))</f>
        <v>Very Slow</v>
      </c>
      <c r="Q2325" s="3">
        <f>YEAR(Ticket_Table[[#This Row],[raised_date]])</f>
        <v>2022</v>
      </c>
    </row>
    <row r="2326" spans="1:17">
      <c r="A2326" t="s">
        <v>2887</v>
      </c>
      <c r="B2326" t="s">
        <v>650</v>
      </c>
      <c r="C2326" t="s">
        <v>102</v>
      </c>
      <c r="D2326" t="s">
        <v>36</v>
      </c>
      <c r="E2326" t="s">
        <v>106</v>
      </c>
      <c r="F2326" t="s">
        <v>70</v>
      </c>
      <c r="G2326" t="s">
        <v>31</v>
      </c>
      <c r="H2326" s="1">
        <v>44609</v>
      </c>
      <c r="I2326" s="2">
        <v>44611.95</v>
      </c>
      <c r="J2326">
        <v>70.8</v>
      </c>
      <c r="K2326" t="s">
        <v>32</v>
      </c>
      <c r="L2326">
        <v>0</v>
      </c>
      <c r="M2326">
        <v>5</v>
      </c>
      <c r="N2326" t="s">
        <v>1291</v>
      </c>
      <c r="O2326" s="3" t="str">
        <f>TEXT(Ticket_Table[[#This Row],[raised_date]],"YYYY-MM")</f>
        <v>2022-02</v>
      </c>
      <c r="P2326" s="3" t="str">
        <f>IF(Ticket_Table[[#This Row],[resolution_hrs]]&lt;=4,"Fast",IF(Ticket_Table[[#This Row],[resolution_hrs]]&lt;=24,"Normal",IF(Ticket_Table[[#This Row],[resolution_hrs]]&lt;=48,"Slow","Very Slow")))</f>
        <v>Very Slow</v>
      </c>
      <c r="Q2326" s="3">
        <f>YEAR(Ticket_Table[[#This Row],[raised_date]])</f>
        <v>2022</v>
      </c>
    </row>
    <row r="2327" spans="1:17">
      <c r="A2327" t="s">
        <v>2888</v>
      </c>
      <c r="B2327" t="s">
        <v>552</v>
      </c>
      <c r="C2327" t="s">
        <v>133</v>
      </c>
      <c r="D2327" t="s">
        <v>43</v>
      </c>
      <c r="E2327" t="s">
        <v>21</v>
      </c>
      <c r="F2327" t="s">
        <v>70</v>
      </c>
      <c r="G2327" t="s">
        <v>46</v>
      </c>
      <c r="H2327" s="1">
        <v>44464</v>
      </c>
      <c r="I2327" s="2">
        <v>44464.3416666667</v>
      </c>
      <c r="J2327">
        <v>8.2</v>
      </c>
      <c r="K2327" t="s">
        <v>24</v>
      </c>
      <c r="L2327">
        <v>1</v>
      </c>
      <c r="M2327">
        <v>4</v>
      </c>
      <c r="N2327" t="s">
        <v>129</v>
      </c>
      <c r="O2327" s="3" t="str">
        <f>TEXT(Ticket_Table[[#This Row],[raised_date]],"YYYY-MM")</f>
        <v>2021-09</v>
      </c>
      <c r="P2327" s="3" t="str">
        <f>IF(Ticket_Table[[#This Row],[resolution_hrs]]&lt;=4,"Fast",IF(Ticket_Table[[#This Row],[resolution_hrs]]&lt;=24,"Normal",IF(Ticket_Table[[#This Row],[resolution_hrs]]&lt;=48,"Slow","Very Slow")))</f>
        <v>Normal</v>
      </c>
      <c r="Q2327" s="3">
        <f>YEAR(Ticket_Table[[#This Row],[raised_date]])</f>
        <v>2021</v>
      </c>
    </row>
    <row r="2328" spans="1:17">
      <c r="A2328" t="s">
        <v>2889</v>
      </c>
      <c r="B2328" t="s">
        <v>1578</v>
      </c>
      <c r="C2328" t="s">
        <v>68</v>
      </c>
      <c r="D2328" t="s">
        <v>29</v>
      </c>
      <c r="E2328" t="s">
        <v>30</v>
      </c>
      <c r="F2328" t="s">
        <v>38</v>
      </c>
      <c r="G2328" t="s">
        <v>74</v>
      </c>
      <c r="H2328" s="1">
        <v>44894</v>
      </c>
      <c r="I2328" s="2">
        <v>44894.825</v>
      </c>
      <c r="J2328">
        <v>19.8</v>
      </c>
      <c r="K2328" t="s">
        <v>24</v>
      </c>
      <c r="L2328">
        <v>0</v>
      </c>
      <c r="M2328">
        <v>5</v>
      </c>
      <c r="N2328" t="s">
        <v>924</v>
      </c>
      <c r="O2328" s="3" t="str">
        <f>TEXT(Ticket_Table[[#This Row],[raised_date]],"YYYY-MM")</f>
        <v>2022-11</v>
      </c>
      <c r="P2328" s="3" t="str">
        <f>IF(Ticket_Table[[#This Row],[resolution_hrs]]&lt;=4,"Fast",IF(Ticket_Table[[#This Row],[resolution_hrs]]&lt;=24,"Normal",IF(Ticket_Table[[#This Row],[resolution_hrs]]&lt;=48,"Slow","Very Slow")))</f>
        <v>Normal</v>
      </c>
      <c r="Q2328" s="3">
        <f>YEAR(Ticket_Table[[#This Row],[raised_date]])</f>
        <v>2022</v>
      </c>
    </row>
    <row r="2329" spans="1:17">
      <c r="A2329" t="s">
        <v>2890</v>
      </c>
      <c r="B2329" t="s">
        <v>588</v>
      </c>
      <c r="C2329" t="s">
        <v>19</v>
      </c>
      <c r="D2329" t="s">
        <v>36</v>
      </c>
      <c r="E2329" t="s">
        <v>37</v>
      </c>
      <c r="F2329" t="s">
        <v>22</v>
      </c>
      <c r="G2329" t="s">
        <v>23</v>
      </c>
      <c r="H2329" s="1">
        <v>44560</v>
      </c>
      <c r="I2329" s="2">
        <v>44564.4583333333</v>
      </c>
      <c r="J2329">
        <v>107</v>
      </c>
      <c r="K2329" t="s">
        <v>32</v>
      </c>
      <c r="L2329">
        <v>0</v>
      </c>
      <c r="M2329">
        <v>1</v>
      </c>
      <c r="N2329" t="s">
        <v>347</v>
      </c>
      <c r="O2329" s="3" t="str">
        <f>TEXT(Ticket_Table[[#This Row],[raised_date]],"YYYY-MM")</f>
        <v>2021-12</v>
      </c>
      <c r="P2329" s="3" t="str">
        <f>IF(Ticket_Table[[#This Row],[resolution_hrs]]&lt;=4,"Fast",IF(Ticket_Table[[#This Row],[resolution_hrs]]&lt;=24,"Normal",IF(Ticket_Table[[#This Row],[resolution_hrs]]&lt;=48,"Slow","Very Slow")))</f>
        <v>Very Slow</v>
      </c>
      <c r="Q2329" s="3">
        <f>YEAR(Ticket_Table[[#This Row],[raised_date]])</f>
        <v>2021</v>
      </c>
    </row>
    <row r="2330" spans="1:17">
      <c r="A2330" t="s">
        <v>2891</v>
      </c>
      <c r="B2330" t="s">
        <v>876</v>
      </c>
      <c r="C2330" t="s">
        <v>140</v>
      </c>
      <c r="D2330" t="s">
        <v>20</v>
      </c>
      <c r="E2330" t="s">
        <v>166</v>
      </c>
      <c r="F2330" t="s">
        <v>70</v>
      </c>
      <c r="G2330" t="s">
        <v>31</v>
      </c>
      <c r="H2330" s="1">
        <v>44859</v>
      </c>
      <c r="I2330" s="2">
        <v>44861.5583333333</v>
      </c>
      <c r="J2330">
        <v>61.4</v>
      </c>
      <c r="K2330" t="s">
        <v>32</v>
      </c>
      <c r="L2330">
        <v>0</v>
      </c>
      <c r="M2330">
        <v>2</v>
      </c>
      <c r="N2330" t="s">
        <v>805</v>
      </c>
      <c r="O2330" s="3" t="str">
        <f>TEXT(Ticket_Table[[#This Row],[raised_date]],"YYYY-MM")</f>
        <v>2022-10</v>
      </c>
      <c r="P2330" s="3" t="str">
        <f>IF(Ticket_Table[[#This Row],[resolution_hrs]]&lt;=4,"Fast",IF(Ticket_Table[[#This Row],[resolution_hrs]]&lt;=24,"Normal",IF(Ticket_Table[[#This Row],[resolution_hrs]]&lt;=48,"Slow","Very Slow")))</f>
        <v>Very Slow</v>
      </c>
      <c r="Q2330" s="3">
        <f>YEAR(Ticket_Table[[#This Row],[raised_date]])</f>
        <v>2022</v>
      </c>
    </row>
    <row r="2331" spans="1:17">
      <c r="A2331" t="s">
        <v>2892</v>
      </c>
      <c r="B2331" t="s">
        <v>1011</v>
      </c>
      <c r="C2331" t="s">
        <v>175</v>
      </c>
      <c r="D2331" t="s">
        <v>43</v>
      </c>
      <c r="E2331" t="s">
        <v>69</v>
      </c>
      <c r="F2331" t="s">
        <v>38</v>
      </c>
      <c r="G2331" t="s">
        <v>91</v>
      </c>
      <c r="H2331" s="1">
        <v>44318</v>
      </c>
      <c r="I2331" s="2">
        <v>44318.2916666667</v>
      </c>
      <c r="J2331">
        <v>7</v>
      </c>
      <c r="K2331" t="s">
        <v>24</v>
      </c>
      <c r="L2331">
        <v>1</v>
      </c>
      <c r="M2331">
        <v>4</v>
      </c>
      <c r="N2331" t="s">
        <v>352</v>
      </c>
      <c r="O2331" s="3" t="str">
        <f>TEXT(Ticket_Table[[#This Row],[raised_date]],"YYYY-MM")</f>
        <v>2021-05</v>
      </c>
      <c r="P2331" s="3" t="str">
        <f>IF(Ticket_Table[[#This Row],[resolution_hrs]]&lt;=4,"Fast",IF(Ticket_Table[[#This Row],[resolution_hrs]]&lt;=24,"Normal",IF(Ticket_Table[[#This Row],[resolution_hrs]]&lt;=48,"Slow","Very Slow")))</f>
        <v>Normal</v>
      </c>
      <c r="Q2331" s="3">
        <f>YEAR(Ticket_Table[[#This Row],[raised_date]])</f>
        <v>2021</v>
      </c>
    </row>
    <row r="2332" spans="1:17">
      <c r="A2332" t="s">
        <v>2893</v>
      </c>
      <c r="B2332" t="s">
        <v>405</v>
      </c>
      <c r="C2332" t="s">
        <v>50</v>
      </c>
      <c r="D2332" t="s">
        <v>29</v>
      </c>
      <c r="E2332" t="s">
        <v>51</v>
      </c>
      <c r="F2332" t="s">
        <v>22</v>
      </c>
      <c r="G2332" t="s">
        <v>31</v>
      </c>
      <c r="H2332" s="1">
        <v>44241</v>
      </c>
      <c r="I2332" s="2">
        <v>44245.3166666667</v>
      </c>
      <c r="J2332">
        <v>103.6</v>
      </c>
      <c r="K2332" t="s">
        <v>32</v>
      </c>
      <c r="L2332">
        <v>1</v>
      </c>
      <c r="M2332">
        <v>5</v>
      </c>
      <c r="N2332" t="s">
        <v>1013</v>
      </c>
      <c r="O2332" s="3" t="str">
        <f>TEXT(Ticket_Table[[#This Row],[raised_date]],"YYYY-MM")</f>
        <v>2021-02</v>
      </c>
      <c r="P2332" s="3" t="str">
        <f>IF(Ticket_Table[[#This Row],[resolution_hrs]]&lt;=4,"Fast",IF(Ticket_Table[[#This Row],[resolution_hrs]]&lt;=24,"Normal",IF(Ticket_Table[[#This Row],[resolution_hrs]]&lt;=48,"Slow","Very Slow")))</f>
        <v>Very Slow</v>
      </c>
      <c r="Q2332" s="3">
        <f>YEAR(Ticket_Table[[#This Row],[raised_date]])</f>
        <v>2021</v>
      </c>
    </row>
    <row r="2333" spans="1:17">
      <c r="A2333" t="s">
        <v>2894</v>
      </c>
      <c r="B2333" t="s">
        <v>439</v>
      </c>
      <c r="C2333" t="s">
        <v>261</v>
      </c>
      <c r="D2333" t="s">
        <v>43</v>
      </c>
      <c r="E2333" t="s">
        <v>56</v>
      </c>
      <c r="F2333" t="s">
        <v>38</v>
      </c>
      <c r="G2333" t="s">
        <v>23</v>
      </c>
      <c r="H2333" s="1">
        <v>44499</v>
      </c>
      <c r="I2333" s="2">
        <v>44499.9166666667</v>
      </c>
      <c r="J2333">
        <v>22</v>
      </c>
      <c r="K2333" t="s">
        <v>24</v>
      </c>
      <c r="L2333">
        <v>0</v>
      </c>
      <c r="M2333">
        <v>4</v>
      </c>
      <c r="N2333" t="s">
        <v>286</v>
      </c>
      <c r="O2333" s="3" t="str">
        <f>TEXT(Ticket_Table[[#This Row],[raised_date]],"YYYY-MM")</f>
        <v>2021-10</v>
      </c>
      <c r="P2333" s="3" t="str">
        <f>IF(Ticket_Table[[#This Row],[resolution_hrs]]&lt;=4,"Fast",IF(Ticket_Table[[#This Row],[resolution_hrs]]&lt;=24,"Normal",IF(Ticket_Table[[#This Row],[resolution_hrs]]&lt;=48,"Slow","Very Slow")))</f>
        <v>Normal</v>
      </c>
      <c r="Q2333" s="3">
        <f>YEAR(Ticket_Table[[#This Row],[raised_date]])</f>
        <v>2021</v>
      </c>
    </row>
    <row r="2334" spans="1:17">
      <c r="A2334" t="s">
        <v>2895</v>
      </c>
      <c r="B2334" t="s">
        <v>279</v>
      </c>
      <c r="C2334" t="s">
        <v>261</v>
      </c>
      <c r="D2334" t="s">
        <v>29</v>
      </c>
      <c r="E2334" t="s">
        <v>56</v>
      </c>
      <c r="F2334" t="s">
        <v>70</v>
      </c>
      <c r="G2334" t="s">
        <v>74</v>
      </c>
      <c r="H2334" s="1">
        <v>44487</v>
      </c>
      <c r="I2334" s="2">
        <v>44489.9458333333</v>
      </c>
      <c r="J2334">
        <v>70.7</v>
      </c>
      <c r="K2334" t="s">
        <v>32</v>
      </c>
      <c r="L2334">
        <v>1</v>
      </c>
      <c r="M2334">
        <v>4</v>
      </c>
      <c r="N2334" t="s">
        <v>1080</v>
      </c>
      <c r="O2334" s="3" t="str">
        <f>TEXT(Ticket_Table[[#This Row],[raised_date]],"YYYY-MM")</f>
        <v>2021-10</v>
      </c>
      <c r="P2334" s="3" t="str">
        <f>IF(Ticket_Table[[#This Row],[resolution_hrs]]&lt;=4,"Fast",IF(Ticket_Table[[#This Row],[resolution_hrs]]&lt;=24,"Normal",IF(Ticket_Table[[#This Row],[resolution_hrs]]&lt;=48,"Slow","Very Slow")))</f>
        <v>Very Slow</v>
      </c>
      <c r="Q2334" s="3">
        <f>YEAR(Ticket_Table[[#This Row],[raised_date]])</f>
        <v>2021</v>
      </c>
    </row>
    <row r="2335" spans="1:17">
      <c r="A2335" t="s">
        <v>2896</v>
      </c>
      <c r="B2335" t="s">
        <v>135</v>
      </c>
      <c r="C2335" t="s">
        <v>102</v>
      </c>
      <c r="D2335" t="s">
        <v>90</v>
      </c>
      <c r="E2335" t="s">
        <v>21</v>
      </c>
      <c r="F2335" t="s">
        <v>38</v>
      </c>
      <c r="G2335" t="s">
        <v>31</v>
      </c>
      <c r="H2335" s="1">
        <v>44424</v>
      </c>
      <c r="I2335" s="2">
        <v>44425.0583333333</v>
      </c>
      <c r="J2335">
        <v>25.4</v>
      </c>
      <c r="K2335" t="s">
        <v>32</v>
      </c>
      <c r="L2335">
        <v>1</v>
      </c>
      <c r="M2335">
        <v>1</v>
      </c>
      <c r="N2335" t="s">
        <v>707</v>
      </c>
      <c r="O2335" s="3" t="str">
        <f>TEXT(Ticket_Table[[#This Row],[raised_date]],"YYYY-MM")</f>
        <v>2021-08</v>
      </c>
      <c r="P2335" s="3" t="str">
        <f>IF(Ticket_Table[[#This Row],[resolution_hrs]]&lt;=4,"Fast",IF(Ticket_Table[[#This Row],[resolution_hrs]]&lt;=24,"Normal",IF(Ticket_Table[[#This Row],[resolution_hrs]]&lt;=48,"Slow","Very Slow")))</f>
        <v>Slow</v>
      </c>
      <c r="Q2335" s="3">
        <f>YEAR(Ticket_Table[[#This Row],[raised_date]])</f>
        <v>2021</v>
      </c>
    </row>
    <row r="2336" spans="1:17">
      <c r="A2336" t="s">
        <v>2897</v>
      </c>
      <c r="B2336" t="s">
        <v>302</v>
      </c>
      <c r="C2336" t="s">
        <v>82</v>
      </c>
      <c r="D2336" t="s">
        <v>36</v>
      </c>
      <c r="E2336" t="s">
        <v>69</v>
      </c>
      <c r="F2336" t="s">
        <v>38</v>
      </c>
      <c r="G2336" t="s">
        <v>46</v>
      </c>
      <c r="H2336" s="1">
        <v>45274</v>
      </c>
      <c r="I2336" s="2">
        <v>45275.0291666667</v>
      </c>
      <c r="J2336">
        <v>24.7</v>
      </c>
      <c r="K2336" t="s">
        <v>32</v>
      </c>
      <c r="L2336">
        <v>3</v>
      </c>
      <c r="M2336">
        <v>3</v>
      </c>
      <c r="N2336" t="s">
        <v>470</v>
      </c>
      <c r="O2336" s="3" t="str">
        <f>TEXT(Ticket_Table[[#This Row],[raised_date]],"YYYY-MM")</f>
        <v>2023-12</v>
      </c>
      <c r="P2336" s="3" t="str">
        <f>IF(Ticket_Table[[#This Row],[resolution_hrs]]&lt;=4,"Fast",IF(Ticket_Table[[#This Row],[resolution_hrs]]&lt;=24,"Normal",IF(Ticket_Table[[#This Row],[resolution_hrs]]&lt;=48,"Slow","Very Slow")))</f>
        <v>Slow</v>
      </c>
      <c r="Q2336" s="3">
        <f>YEAR(Ticket_Table[[#This Row],[raised_date]])</f>
        <v>2023</v>
      </c>
    </row>
    <row r="2337" spans="1:17">
      <c r="A2337" t="s">
        <v>2898</v>
      </c>
      <c r="B2337" t="s">
        <v>350</v>
      </c>
      <c r="C2337" t="s">
        <v>55</v>
      </c>
      <c r="D2337" t="s">
        <v>20</v>
      </c>
      <c r="E2337" t="s">
        <v>166</v>
      </c>
      <c r="F2337" t="s">
        <v>22</v>
      </c>
      <c r="G2337" t="s">
        <v>74</v>
      </c>
      <c r="H2337" s="1">
        <v>44944</v>
      </c>
      <c r="I2337" s="2">
        <v>44948.375</v>
      </c>
      <c r="J2337">
        <v>105</v>
      </c>
      <c r="K2337" t="s">
        <v>32</v>
      </c>
      <c r="L2337">
        <v>2</v>
      </c>
      <c r="M2337">
        <v>3</v>
      </c>
      <c r="N2337" t="s">
        <v>212</v>
      </c>
      <c r="O2337" s="3" t="str">
        <f>TEXT(Ticket_Table[[#This Row],[raised_date]],"YYYY-MM")</f>
        <v>2023-01</v>
      </c>
      <c r="P2337" s="3" t="str">
        <f>IF(Ticket_Table[[#This Row],[resolution_hrs]]&lt;=4,"Fast",IF(Ticket_Table[[#This Row],[resolution_hrs]]&lt;=24,"Normal",IF(Ticket_Table[[#This Row],[resolution_hrs]]&lt;=48,"Slow","Very Slow")))</f>
        <v>Very Slow</v>
      </c>
      <c r="Q2337" s="3">
        <f>YEAR(Ticket_Table[[#This Row],[raised_date]])</f>
        <v>2023</v>
      </c>
    </row>
    <row r="2338" spans="1:17">
      <c r="A2338" t="s">
        <v>2899</v>
      </c>
      <c r="B2338" t="s">
        <v>579</v>
      </c>
      <c r="C2338" t="s">
        <v>55</v>
      </c>
      <c r="D2338" t="s">
        <v>43</v>
      </c>
      <c r="E2338" t="s">
        <v>69</v>
      </c>
      <c r="F2338" t="s">
        <v>70</v>
      </c>
      <c r="G2338" t="s">
        <v>31</v>
      </c>
      <c r="H2338" s="1">
        <v>44345</v>
      </c>
      <c r="I2338" s="2">
        <v>44347.0958333333</v>
      </c>
      <c r="J2338">
        <v>50.3</v>
      </c>
      <c r="K2338" t="s">
        <v>32</v>
      </c>
      <c r="L2338">
        <v>0</v>
      </c>
      <c r="M2338">
        <v>4</v>
      </c>
      <c r="N2338" t="s">
        <v>495</v>
      </c>
      <c r="O2338" s="3" t="str">
        <f>TEXT(Ticket_Table[[#This Row],[raised_date]],"YYYY-MM")</f>
        <v>2021-05</v>
      </c>
      <c r="P2338" s="3" t="str">
        <f>IF(Ticket_Table[[#This Row],[resolution_hrs]]&lt;=4,"Fast",IF(Ticket_Table[[#This Row],[resolution_hrs]]&lt;=24,"Normal",IF(Ticket_Table[[#This Row],[resolution_hrs]]&lt;=48,"Slow","Very Slow")))</f>
        <v>Very Slow</v>
      </c>
      <c r="Q2338" s="3">
        <f>YEAR(Ticket_Table[[#This Row],[raised_date]])</f>
        <v>2021</v>
      </c>
    </row>
    <row r="2339" spans="1:17">
      <c r="A2339" t="s">
        <v>2900</v>
      </c>
      <c r="B2339" t="s">
        <v>424</v>
      </c>
      <c r="C2339" t="s">
        <v>287</v>
      </c>
      <c r="D2339" t="s">
        <v>43</v>
      </c>
      <c r="E2339" t="s">
        <v>30</v>
      </c>
      <c r="F2339" t="s">
        <v>38</v>
      </c>
      <c r="G2339" t="s">
        <v>23</v>
      </c>
      <c r="H2339" s="1">
        <v>44962</v>
      </c>
      <c r="I2339" s="2">
        <v>44962.525</v>
      </c>
      <c r="J2339">
        <v>12.6</v>
      </c>
      <c r="K2339" t="s">
        <v>24</v>
      </c>
      <c r="L2339">
        <v>1</v>
      </c>
      <c r="M2339">
        <v>3</v>
      </c>
      <c r="N2339" t="s">
        <v>687</v>
      </c>
      <c r="O2339" s="3" t="str">
        <f>TEXT(Ticket_Table[[#This Row],[raised_date]],"YYYY-MM")</f>
        <v>2023-02</v>
      </c>
      <c r="P2339" s="3" t="str">
        <f>IF(Ticket_Table[[#This Row],[resolution_hrs]]&lt;=4,"Fast",IF(Ticket_Table[[#This Row],[resolution_hrs]]&lt;=24,"Normal",IF(Ticket_Table[[#This Row],[resolution_hrs]]&lt;=48,"Slow","Very Slow")))</f>
        <v>Normal</v>
      </c>
      <c r="Q2339" s="3">
        <f>YEAR(Ticket_Table[[#This Row],[raised_date]])</f>
        <v>2023</v>
      </c>
    </row>
    <row r="2340" spans="1:17">
      <c r="A2340" t="s">
        <v>2901</v>
      </c>
      <c r="B2340" t="s">
        <v>337</v>
      </c>
      <c r="C2340" t="s">
        <v>261</v>
      </c>
      <c r="D2340" t="s">
        <v>43</v>
      </c>
      <c r="E2340" t="s">
        <v>30</v>
      </c>
      <c r="F2340" t="s">
        <v>70</v>
      </c>
      <c r="G2340" t="s">
        <v>46</v>
      </c>
      <c r="H2340" s="1">
        <v>45007</v>
      </c>
      <c r="I2340" s="2">
        <v>45008.9208333333</v>
      </c>
      <c r="J2340">
        <v>46.1</v>
      </c>
      <c r="K2340" t="s">
        <v>24</v>
      </c>
      <c r="L2340">
        <v>0</v>
      </c>
      <c r="M2340">
        <v>3</v>
      </c>
      <c r="N2340" t="s">
        <v>174</v>
      </c>
      <c r="O2340" s="3" t="str">
        <f>TEXT(Ticket_Table[[#This Row],[raised_date]],"YYYY-MM")</f>
        <v>2023-03</v>
      </c>
      <c r="P2340" s="3" t="str">
        <f>IF(Ticket_Table[[#This Row],[resolution_hrs]]&lt;=4,"Fast",IF(Ticket_Table[[#This Row],[resolution_hrs]]&lt;=24,"Normal",IF(Ticket_Table[[#This Row],[resolution_hrs]]&lt;=48,"Slow","Very Slow")))</f>
        <v>Slow</v>
      </c>
      <c r="Q2340" s="3">
        <f>YEAR(Ticket_Table[[#This Row],[raised_date]])</f>
        <v>2023</v>
      </c>
    </row>
    <row r="2341" spans="1:17">
      <c r="A2341" t="s">
        <v>2902</v>
      </c>
      <c r="B2341" t="s">
        <v>772</v>
      </c>
      <c r="C2341" t="s">
        <v>68</v>
      </c>
      <c r="D2341" t="s">
        <v>43</v>
      </c>
      <c r="E2341" t="s">
        <v>106</v>
      </c>
      <c r="F2341" t="s">
        <v>45</v>
      </c>
      <c r="G2341" t="s">
        <v>23</v>
      </c>
      <c r="H2341" s="1">
        <v>44403</v>
      </c>
      <c r="I2341" s="2">
        <v>44403.225</v>
      </c>
      <c r="J2341">
        <v>5.4</v>
      </c>
      <c r="K2341" t="s">
        <v>32</v>
      </c>
      <c r="L2341">
        <v>0</v>
      </c>
      <c r="M2341">
        <v>4</v>
      </c>
      <c r="N2341" t="s">
        <v>376</v>
      </c>
      <c r="O2341" s="3" t="str">
        <f>TEXT(Ticket_Table[[#This Row],[raised_date]],"YYYY-MM")</f>
        <v>2021-07</v>
      </c>
      <c r="P2341" s="3" t="str">
        <f>IF(Ticket_Table[[#This Row],[resolution_hrs]]&lt;=4,"Fast",IF(Ticket_Table[[#This Row],[resolution_hrs]]&lt;=24,"Normal",IF(Ticket_Table[[#This Row],[resolution_hrs]]&lt;=48,"Slow","Very Slow")))</f>
        <v>Normal</v>
      </c>
      <c r="Q2341" s="3">
        <f>YEAR(Ticket_Table[[#This Row],[raised_date]])</f>
        <v>2021</v>
      </c>
    </row>
    <row r="2342" spans="1:17">
      <c r="A2342" t="s">
        <v>2903</v>
      </c>
      <c r="B2342" t="s">
        <v>1337</v>
      </c>
      <c r="C2342" t="s">
        <v>102</v>
      </c>
      <c r="D2342" t="s">
        <v>36</v>
      </c>
      <c r="E2342" t="s">
        <v>56</v>
      </c>
      <c r="F2342" t="s">
        <v>70</v>
      </c>
      <c r="G2342" t="s">
        <v>74</v>
      </c>
      <c r="H2342" s="1">
        <v>44886</v>
      </c>
      <c r="I2342" s="2">
        <v>44886.9833333333</v>
      </c>
      <c r="J2342">
        <v>23.6</v>
      </c>
      <c r="K2342" t="s">
        <v>24</v>
      </c>
      <c r="L2342">
        <v>0</v>
      </c>
      <c r="M2342">
        <v>5</v>
      </c>
      <c r="N2342" t="s">
        <v>618</v>
      </c>
      <c r="O2342" s="3" t="str">
        <f>TEXT(Ticket_Table[[#This Row],[raised_date]],"YYYY-MM")</f>
        <v>2022-11</v>
      </c>
      <c r="P2342" s="3" t="str">
        <f>IF(Ticket_Table[[#This Row],[resolution_hrs]]&lt;=4,"Fast",IF(Ticket_Table[[#This Row],[resolution_hrs]]&lt;=24,"Normal",IF(Ticket_Table[[#This Row],[resolution_hrs]]&lt;=48,"Slow","Very Slow")))</f>
        <v>Normal</v>
      </c>
      <c r="Q2342" s="3">
        <f>YEAR(Ticket_Table[[#This Row],[raised_date]])</f>
        <v>2022</v>
      </c>
    </row>
    <row r="2343" spans="1:17">
      <c r="A2343" t="s">
        <v>2904</v>
      </c>
      <c r="B2343" t="s">
        <v>860</v>
      </c>
      <c r="C2343" t="s">
        <v>28</v>
      </c>
      <c r="D2343" t="s">
        <v>29</v>
      </c>
      <c r="E2343" t="s">
        <v>56</v>
      </c>
      <c r="F2343" t="s">
        <v>22</v>
      </c>
      <c r="G2343" t="s">
        <v>23</v>
      </c>
      <c r="H2343" s="1">
        <v>44815</v>
      </c>
      <c r="I2343" s="2">
        <v>44818.8375</v>
      </c>
      <c r="J2343">
        <v>92.1</v>
      </c>
      <c r="K2343" t="s">
        <v>32</v>
      </c>
      <c r="L2343">
        <v>0</v>
      </c>
      <c r="M2343">
        <v>4</v>
      </c>
      <c r="N2343" t="s">
        <v>749</v>
      </c>
      <c r="O2343" s="3" t="str">
        <f>TEXT(Ticket_Table[[#This Row],[raised_date]],"YYYY-MM")</f>
        <v>2022-09</v>
      </c>
      <c r="P2343" s="3" t="str">
        <f>IF(Ticket_Table[[#This Row],[resolution_hrs]]&lt;=4,"Fast",IF(Ticket_Table[[#This Row],[resolution_hrs]]&lt;=24,"Normal",IF(Ticket_Table[[#This Row],[resolution_hrs]]&lt;=48,"Slow","Very Slow")))</f>
        <v>Very Slow</v>
      </c>
      <c r="Q2343" s="3">
        <f>YEAR(Ticket_Table[[#This Row],[raised_date]])</f>
        <v>2022</v>
      </c>
    </row>
    <row r="2344" spans="1:17">
      <c r="A2344" t="s">
        <v>2905</v>
      </c>
      <c r="B2344" t="s">
        <v>374</v>
      </c>
      <c r="C2344" t="s">
        <v>102</v>
      </c>
      <c r="D2344" t="s">
        <v>36</v>
      </c>
      <c r="E2344" t="s">
        <v>30</v>
      </c>
      <c r="F2344" t="s">
        <v>70</v>
      </c>
      <c r="G2344" t="s">
        <v>23</v>
      </c>
      <c r="H2344" s="1">
        <v>44857</v>
      </c>
      <c r="I2344" s="2">
        <v>44858.4666666667</v>
      </c>
      <c r="J2344">
        <v>35.2</v>
      </c>
      <c r="K2344" t="s">
        <v>24</v>
      </c>
      <c r="L2344">
        <v>0</v>
      </c>
      <c r="M2344">
        <v>4</v>
      </c>
      <c r="N2344" t="s">
        <v>599</v>
      </c>
      <c r="O2344" s="3" t="str">
        <f>TEXT(Ticket_Table[[#This Row],[raised_date]],"YYYY-MM")</f>
        <v>2022-10</v>
      </c>
      <c r="P2344" s="3" t="str">
        <f>IF(Ticket_Table[[#This Row],[resolution_hrs]]&lt;=4,"Fast",IF(Ticket_Table[[#This Row],[resolution_hrs]]&lt;=24,"Normal",IF(Ticket_Table[[#This Row],[resolution_hrs]]&lt;=48,"Slow","Very Slow")))</f>
        <v>Slow</v>
      </c>
      <c r="Q2344" s="3">
        <f>YEAR(Ticket_Table[[#This Row],[raised_date]])</f>
        <v>2022</v>
      </c>
    </row>
    <row r="2345" spans="1:17">
      <c r="A2345" t="s">
        <v>2906</v>
      </c>
      <c r="B2345" t="s">
        <v>805</v>
      </c>
      <c r="C2345" t="s">
        <v>82</v>
      </c>
      <c r="D2345" t="s">
        <v>90</v>
      </c>
      <c r="E2345" t="s">
        <v>69</v>
      </c>
      <c r="F2345" t="s">
        <v>45</v>
      </c>
      <c r="G2345" t="s">
        <v>31</v>
      </c>
      <c r="H2345" s="1">
        <v>44476</v>
      </c>
      <c r="I2345" s="2">
        <v>44476.1125</v>
      </c>
      <c r="J2345">
        <v>2.7</v>
      </c>
      <c r="K2345" t="s">
        <v>24</v>
      </c>
      <c r="L2345">
        <v>2</v>
      </c>
      <c r="M2345">
        <v>5</v>
      </c>
      <c r="N2345" t="s">
        <v>675</v>
      </c>
      <c r="O2345" s="3" t="str">
        <f>TEXT(Ticket_Table[[#This Row],[raised_date]],"YYYY-MM")</f>
        <v>2021-10</v>
      </c>
      <c r="P2345" s="3" t="str">
        <f>IF(Ticket_Table[[#This Row],[resolution_hrs]]&lt;=4,"Fast",IF(Ticket_Table[[#This Row],[resolution_hrs]]&lt;=24,"Normal",IF(Ticket_Table[[#This Row],[resolution_hrs]]&lt;=48,"Slow","Very Slow")))</f>
        <v>Fast</v>
      </c>
      <c r="Q2345" s="3">
        <f>YEAR(Ticket_Table[[#This Row],[raised_date]])</f>
        <v>2021</v>
      </c>
    </row>
    <row r="2346" spans="1:17">
      <c r="A2346" t="s">
        <v>2907</v>
      </c>
      <c r="B2346" t="s">
        <v>655</v>
      </c>
      <c r="C2346" t="s">
        <v>28</v>
      </c>
      <c r="D2346" t="s">
        <v>36</v>
      </c>
      <c r="E2346" t="s">
        <v>21</v>
      </c>
      <c r="F2346" t="s">
        <v>70</v>
      </c>
      <c r="G2346" t="s">
        <v>23</v>
      </c>
      <c r="H2346" s="1">
        <v>44519</v>
      </c>
      <c r="I2346" s="2">
        <v>44520.8416666667</v>
      </c>
      <c r="J2346">
        <v>44.2</v>
      </c>
      <c r="K2346" t="s">
        <v>24</v>
      </c>
      <c r="L2346">
        <v>0</v>
      </c>
      <c r="M2346">
        <v>3</v>
      </c>
      <c r="N2346" t="s">
        <v>114</v>
      </c>
      <c r="O2346" s="3" t="str">
        <f>TEXT(Ticket_Table[[#This Row],[raised_date]],"YYYY-MM")</f>
        <v>2021-11</v>
      </c>
      <c r="P2346" s="3" t="str">
        <f>IF(Ticket_Table[[#This Row],[resolution_hrs]]&lt;=4,"Fast",IF(Ticket_Table[[#This Row],[resolution_hrs]]&lt;=24,"Normal",IF(Ticket_Table[[#This Row],[resolution_hrs]]&lt;=48,"Slow","Very Slow")))</f>
        <v>Slow</v>
      </c>
      <c r="Q2346" s="3">
        <f>YEAR(Ticket_Table[[#This Row],[raised_date]])</f>
        <v>2021</v>
      </c>
    </row>
    <row r="2347" spans="1:17">
      <c r="A2347" t="s">
        <v>2908</v>
      </c>
      <c r="B2347" t="s">
        <v>549</v>
      </c>
      <c r="C2347" t="s">
        <v>133</v>
      </c>
      <c r="D2347" t="s">
        <v>36</v>
      </c>
      <c r="E2347" t="s">
        <v>21</v>
      </c>
      <c r="F2347" t="s">
        <v>38</v>
      </c>
      <c r="G2347" t="s">
        <v>23</v>
      </c>
      <c r="H2347" s="1">
        <v>45091</v>
      </c>
      <c r="I2347" s="2">
        <v>45091.8958333333</v>
      </c>
      <c r="J2347">
        <v>21.5</v>
      </c>
      <c r="K2347" t="s">
        <v>24</v>
      </c>
      <c r="L2347">
        <v>0</v>
      </c>
      <c r="M2347">
        <v>1</v>
      </c>
      <c r="N2347" t="s">
        <v>504</v>
      </c>
      <c r="O2347" s="3" t="str">
        <f>TEXT(Ticket_Table[[#This Row],[raised_date]],"YYYY-MM")</f>
        <v>2023-06</v>
      </c>
      <c r="P2347" s="3" t="str">
        <f>IF(Ticket_Table[[#This Row],[resolution_hrs]]&lt;=4,"Fast",IF(Ticket_Table[[#This Row],[resolution_hrs]]&lt;=24,"Normal",IF(Ticket_Table[[#This Row],[resolution_hrs]]&lt;=48,"Slow","Very Slow")))</f>
        <v>Normal</v>
      </c>
      <c r="Q2347" s="3">
        <f>YEAR(Ticket_Table[[#This Row],[raised_date]])</f>
        <v>2023</v>
      </c>
    </row>
    <row r="2348" spans="1:17">
      <c r="A2348" t="s">
        <v>2909</v>
      </c>
      <c r="B2348" t="s">
        <v>1100</v>
      </c>
      <c r="C2348" t="s">
        <v>50</v>
      </c>
      <c r="D2348" t="s">
        <v>90</v>
      </c>
      <c r="E2348" t="s">
        <v>37</v>
      </c>
      <c r="F2348" t="s">
        <v>38</v>
      </c>
      <c r="G2348" t="s">
        <v>74</v>
      </c>
      <c r="H2348" s="1">
        <v>45194</v>
      </c>
      <c r="I2348" s="2">
        <v>45194.6</v>
      </c>
      <c r="J2348">
        <v>14.4</v>
      </c>
      <c r="K2348" t="s">
        <v>24</v>
      </c>
      <c r="L2348">
        <v>0</v>
      </c>
      <c r="M2348">
        <v>4</v>
      </c>
      <c r="N2348" t="s">
        <v>558</v>
      </c>
      <c r="O2348" s="3" t="str">
        <f>TEXT(Ticket_Table[[#This Row],[raised_date]],"YYYY-MM")</f>
        <v>2023-09</v>
      </c>
      <c r="P2348" s="3" t="str">
        <f>IF(Ticket_Table[[#This Row],[resolution_hrs]]&lt;=4,"Fast",IF(Ticket_Table[[#This Row],[resolution_hrs]]&lt;=24,"Normal",IF(Ticket_Table[[#This Row],[resolution_hrs]]&lt;=48,"Slow","Very Slow")))</f>
        <v>Normal</v>
      </c>
      <c r="Q2348" s="3">
        <f>YEAR(Ticket_Table[[#This Row],[raised_date]])</f>
        <v>2023</v>
      </c>
    </row>
    <row r="2349" spans="1:17">
      <c r="A2349" t="s">
        <v>2910</v>
      </c>
      <c r="B2349" t="s">
        <v>817</v>
      </c>
      <c r="C2349" t="s">
        <v>50</v>
      </c>
      <c r="D2349" t="s">
        <v>36</v>
      </c>
      <c r="E2349" t="s">
        <v>51</v>
      </c>
      <c r="F2349" t="s">
        <v>70</v>
      </c>
      <c r="G2349" t="s">
        <v>23</v>
      </c>
      <c r="H2349" s="1">
        <v>44846</v>
      </c>
      <c r="I2349" s="2">
        <v>44847.9375</v>
      </c>
      <c r="J2349">
        <v>46.5</v>
      </c>
      <c r="K2349" t="s">
        <v>24</v>
      </c>
      <c r="L2349">
        <v>0</v>
      </c>
      <c r="M2349">
        <v>4</v>
      </c>
      <c r="N2349" t="s">
        <v>1013</v>
      </c>
      <c r="O2349" s="3" t="str">
        <f>TEXT(Ticket_Table[[#This Row],[raised_date]],"YYYY-MM")</f>
        <v>2022-10</v>
      </c>
      <c r="P2349" s="3" t="str">
        <f>IF(Ticket_Table[[#This Row],[resolution_hrs]]&lt;=4,"Fast",IF(Ticket_Table[[#This Row],[resolution_hrs]]&lt;=24,"Normal",IF(Ticket_Table[[#This Row],[resolution_hrs]]&lt;=48,"Slow","Very Slow")))</f>
        <v>Slow</v>
      </c>
      <c r="Q2349" s="3">
        <f>YEAR(Ticket_Table[[#This Row],[raised_date]])</f>
        <v>2022</v>
      </c>
    </row>
    <row r="2350" spans="1:17">
      <c r="A2350" t="s">
        <v>2911</v>
      </c>
      <c r="B2350" t="s">
        <v>98</v>
      </c>
      <c r="C2350" t="s">
        <v>78</v>
      </c>
      <c r="D2350" t="s">
        <v>29</v>
      </c>
      <c r="E2350" t="s">
        <v>56</v>
      </c>
      <c r="F2350" t="s">
        <v>22</v>
      </c>
      <c r="G2350" t="s">
        <v>31</v>
      </c>
      <c r="H2350" s="1">
        <v>44553</v>
      </c>
      <c r="I2350" s="2">
        <v>44554.0791666667</v>
      </c>
      <c r="J2350">
        <v>25.9</v>
      </c>
      <c r="K2350" t="s">
        <v>24</v>
      </c>
      <c r="L2350">
        <v>2</v>
      </c>
      <c r="M2350">
        <v>4</v>
      </c>
      <c r="N2350" t="s">
        <v>382</v>
      </c>
      <c r="O2350" s="3" t="str">
        <f>TEXT(Ticket_Table[[#This Row],[raised_date]],"YYYY-MM")</f>
        <v>2021-12</v>
      </c>
      <c r="P2350" s="3" t="str">
        <f>IF(Ticket_Table[[#This Row],[resolution_hrs]]&lt;=4,"Fast",IF(Ticket_Table[[#This Row],[resolution_hrs]]&lt;=24,"Normal",IF(Ticket_Table[[#This Row],[resolution_hrs]]&lt;=48,"Slow","Very Slow")))</f>
        <v>Slow</v>
      </c>
      <c r="Q2350" s="3">
        <f>YEAR(Ticket_Table[[#This Row],[raised_date]])</f>
        <v>2021</v>
      </c>
    </row>
    <row r="2351" spans="1:17">
      <c r="A2351" t="s">
        <v>2912</v>
      </c>
      <c r="B2351" t="s">
        <v>474</v>
      </c>
      <c r="C2351" t="s">
        <v>213</v>
      </c>
      <c r="D2351" t="s">
        <v>20</v>
      </c>
      <c r="E2351" t="s">
        <v>30</v>
      </c>
      <c r="F2351" t="s">
        <v>38</v>
      </c>
      <c r="G2351" t="s">
        <v>31</v>
      </c>
      <c r="H2351" s="1">
        <v>44927</v>
      </c>
      <c r="I2351" s="2">
        <v>44927.9</v>
      </c>
      <c r="J2351">
        <v>21.6</v>
      </c>
      <c r="K2351" t="s">
        <v>24</v>
      </c>
      <c r="L2351">
        <v>0</v>
      </c>
      <c r="M2351">
        <v>3</v>
      </c>
      <c r="N2351" t="s">
        <v>130</v>
      </c>
      <c r="O2351" s="3" t="str">
        <f>TEXT(Ticket_Table[[#This Row],[raised_date]],"YYYY-MM")</f>
        <v>2023-01</v>
      </c>
      <c r="P2351" s="3" t="str">
        <f>IF(Ticket_Table[[#This Row],[resolution_hrs]]&lt;=4,"Fast",IF(Ticket_Table[[#This Row],[resolution_hrs]]&lt;=24,"Normal",IF(Ticket_Table[[#This Row],[resolution_hrs]]&lt;=48,"Slow","Very Slow")))</f>
        <v>Normal</v>
      </c>
      <c r="Q2351" s="3">
        <f>YEAR(Ticket_Table[[#This Row],[raised_date]])</f>
        <v>2023</v>
      </c>
    </row>
    <row r="2352" spans="1:17">
      <c r="A2352" t="s">
        <v>2913</v>
      </c>
      <c r="B2352" t="s">
        <v>687</v>
      </c>
      <c r="C2352" t="s">
        <v>68</v>
      </c>
      <c r="D2352" t="s">
        <v>90</v>
      </c>
      <c r="E2352" t="s">
        <v>69</v>
      </c>
      <c r="F2352" t="s">
        <v>70</v>
      </c>
      <c r="G2352" t="s">
        <v>46</v>
      </c>
      <c r="H2352" s="1">
        <v>44654</v>
      </c>
      <c r="I2352" s="2">
        <v>44656.9666666667</v>
      </c>
      <c r="J2352">
        <v>71.2</v>
      </c>
      <c r="K2352" t="s">
        <v>32</v>
      </c>
      <c r="L2352">
        <v>0</v>
      </c>
      <c r="M2352">
        <v>4</v>
      </c>
      <c r="N2352" t="s">
        <v>152</v>
      </c>
      <c r="O2352" s="3" t="str">
        <f>TEXT(Ticket_Table[[#This Row],[raised_date]],"YYYY-MM")</f>
        <v>2022-04</v>
      </c>
      <c r="P2352" s="3" t="str">
        <f>IF(Ticket_Table[[#This Row],[resolution_hrs]]&lt;=4,"Fast",IF(Ticket_Table[[#This Row],[resolution_hrs]]&lt;=24,"Normal",IF(Ticket_Table[[#This Row],[resolution_hrs]]&lt;=48,"Slow","Very Slow")))</f>
        <v>Very Slow</v>
      </c>
      <c r="Q2352" s="3">
        <f>YEAR(Ticket_Table[[#This Row],[raised_date]])</f>
        <v>2022</v>
      </c>
    </row>
    <row r="2353" spans="1:17">
      <c r="A2353" t="s">
        <v>2914</v>
      </c>
      <c r="B2353" t="s">
        <v>849</v>
      </c>
      <c r="C2353" t="s">
        <v>50</v>
      </c>
      <c r="D2353" t="s">
        <v>43</v>
      </c>
      <c r="E2353" t="s">
        <v>166</v>
      </c>
      <c r="F2353" t="s">
        <v>38</v>
      </c>
      <c r="G2353" t="s">
        <v>23</v>
      </c>
      <c r="H2353" s="1">
        <v>44556</v>
      </c>
      <c r="I2353" s="2">
        <v>44556.3791666667</v>
      </c>
      <c r="J2353">
        <v>9.1</v>
      </c>
      <c r="K2353" t="s">
        <v>24</v>
      </c>
      <c r="L2353">
        <v>2</v>
      </c>
      <c r="M2353">
        <v>4</v>
      </c>
      <c r="N2353" t="s">
        <v>950</v>
      </c>
      <c r="O2353" s="3" t="str">
        <f>TEXT(Ticket_Table[[#This Row],[raised_date]],"YYYY-MM")</f>
        <v>2021-12</v>
      </c>
      <c r="P2353" s="3" t="str">
        <f>IF(Ticket_Table[[#This Row],[resolution_hrs]]&lt;=4,"Fast",IF(Ticket_Table[[#This Row],[resolution_hrs]]&lt;=24,"Normal",IF(Ticket_Table[[#This Row],[resolution_hrs]]&lt;=48,"Slow","Very Slow")))</f>
        <v>Normal</v>
      </c>
      <c r="Q2353" s="3">
        <f>YEAR(Ticket_Table[[#This Row],[raised_date]])</f>
        <v>2021</v>
      </c>
    </row>
    <row r="2354" spans="1:17">
      <c r="A2354" t="s">
        <v>2915</v>
      </c>
      <c r="B2354" t="s">
        <v>509</v>
      </c>
      <c r="C2354" t="s">
        <v>287</v>
      </c>
      <c r="D2354" t="s">
        <v>29</v>
      </c>
      <c r="E2354" t="s">
        <v>51</v>
      </c>
      <c r="F2354" t="s">
        <v>70</v>
      </c>
      <c r="G2354" t="s">
        <v>31</v>
      </c>
      <c r="H2354" s="1">
        <v>44971</v>
      </c>
      <c r="I2354" s="2">
        <v>44972.8666666667</v>
      </c>
      <c r="J2354">
        <v>44.8</v>
      </c>
      <c r="K2354" t="s">
        <v>24</v>
      </c>
      <c r="L2354">
        <v>0</v>
      </c>
      <c r="M2354">
        <v>3</v>
      </c>
      <c r="N2354" t="s">
        <v>597</v>
      </c>
      <c r="O2354" s="3" t="str">
        <f>TEXT(Ticket_Table[[#This Row],[raised_date]],"YYYY-MM")</f>
        <v>2023-02</v>
      </c>
      <c r="P2354" s="3" t="str">
        <f>IF(Ticket_Table[[#This Row],[resolution_hrs]]&lt;=4,"Fast",IF(Ticket_Table[[#This Row],[resolution_hrs]]&lt;=24,"Normal",IF(Ticket_Table[[#This Row],[resolution_hrs]]&lt;=48,"Slow","Very Slow")))</f>
        <v>Slow</v>
      </c>
      <c r="Q2354" s="3">
        <f>YEAR(Ticket_Table[[#This Row],[raised_date]])</f>
        <v>2023</v>
      </c>
    </row>
    <row r="2355" spans="1:17">
      <c r="A2355" t="s">
        <v>2916</v>
      </c>
      <c r="B2355" t="s">
        <v>280</v>
      </c>
      <c r="C2355" t="s">
        <v>64</v>
      </c>
      <c r="D2355" t="s">
        <v>20</v>
      </c>
      <c r="E2355" t="s">
        <v>21</v>
      </c>
      <c r="F2355" t="s">
        <v>70</v>
      </c>
      <c r="G2355" t="s">
        <v>23</v>
      </c>
      <c r="H2355" s="1">
        <v>44825</v>
      </c>
      <c r="I2355" s="2">
        <v>44827.6958333333</v>
      </c>
      <c r="J2355">
        <v>64.7</v>
      </c>
      <c r="K2355" t="s">
        <v>32</v>
      </c>
      <c r="L2355">
        <v>3</v>
      </c>
      <c r="M2355">
        <v>4</v>
      </c>
      <c r="N2355" t="s">
        <v>73</v>
      </c>
      <c r="O2355" s="3" t="str">
        <f>TEXT(Ticket_Table[[#This Row],[raised_date]],"YYYY-MM")</f>
        <v>2022-09</v>
      </c>
      <c r="P2355" s="3" t="str">
        <f>IF(Ticket_Table[[#This Row],[resolution_hrs]]&lt;=4,"Fast",IF(Ticket_Table[[#This Row],[resolution_hrs]]&lt;=24,"Normal",IF(Ticket_Table[[#This Row],[resolution_hrs]]&lt;=48,"Slow","Very Slow")))</f>
        <v>Very Slow</v>
      </c>
      <c r="Q2355" s="3">
        <f>YEAR(Ticket_Table[[#This Row],[raised_date]])</f>
        <v>2022</v>
      </c>
    </row>
    <row r="2356" spans="1:17">
      <c r="A2356" t="s">
        <v>2917</v>
      </c>
      <c r="B2356" t="s">
        <v>200</v>
      </c>
      <c r="C2356" t="s">
        <v>213</v>
      </c>
      <c r="D2356" t="s">
        <v>29</v>
      </c>
      <c r="E2356" t="s">
        <v>44</v>
      </c>
      <c r="F2356" t="s">
        <v>38</v>
      </c>
      <c r="G2356" t="s">
        <v>46</v>
      </c>
      <c r="H2356" s="1">
        <v>44800</v>
      </c>
      <c r="I2356" s="2">
        <v>44800.4916666667</v>
      </c>
      <c r="J2356">
        <v>11.8</v>
      </c>
      <c r="K2356" t="s">
        <v>24</v>
      </c>
      <c r="L2356">
        <v>0</v>
      </c>
      <c r="M2356">
        <v>3</v>
      </c>
      <c r="N2356" t="s">
        <v>720</v>
      </c>
      <c r="O2356" s="3" t="str">
        <f>TEXT(Ticket_Table[[#This Row],[raised_date]],"YYYY-MM")</f>
        <v>2022-08</v>
      </c>
      <c r="P2356" s="3" t="str">
        <f>IF(Ticket_Table[[#This Row],[resolution_hrs]]&lt;=4,"Fast",IF(Ticket_Table[[#This Row],[resolution_hrs]]&lt;=24,"Normal",IF(Ticket_Table[[#This Row],[resolution_hrs]]&lt;=48,"Slow","Very Slow")))</f>
        <v>Normal</v>
      </c>
      <c r="Q2356" s="3">
        <f>YEAR(Ticket_Table[[#This Row],[raised_date]])</f>
        <v>2022</v>
      </c>
    </row>
    <row r="2357" spans="1:17">
      <c r="A2357" t="s">
        <v>2918</v>
      </c>
      <c r="B2357" t="s">
        <v>610</v>
      </c>
      <c r="C2357" t="s">
        <v>19</v>
      </c>
      <c r="D2357" t="s">
        <v>29</v>
      </c>
      <c r="E2357" t="s">
        <v>44</v>
      </c>
      <c r="F2357" t="s">
        <v>70</v>
      </c>
      <c r="G2357" t="s">
        <v>23</v>
      </c>
      <c r="H2357" s="1">
        <v>44457</v>
      </c>
      <c r="I2357" s="2">
        <v>44459.225</v>
      </c>
      <c r="J2357">
        <v>53.4</v>
      </c>
      <c r="K2357" t="s">
        <v>32</v>
      </c>
      <c r="L2357">
        <v>1</v>
      </c>
      <c r="M2357">
        <v>5</v>
      </c>
      <c r="N2357" t="s">
        <v>487</v>
      </c>
      <c r="O2357" s="3" t="str">
        <f>TEXT(Ticket_Table[[#This Row],[raised_date]],"YYYY-MM")</f>
        <v>2021-09</v>
      </c>
      <c r="P2357" s="3" t="str">
        <f>IF(Ticket_Table[[#This Row],[resolution_hrs]]&lt;=4,"Fast",IF(Ticket_Table[[#This Row],[resolution_hrs]]&lt;=24,"Normal",IF(Ticket_Table[[#This Row],[resolution_hrs]]&lt;=48,"Slow","Very Slow")))</f>
        <v>Very Slow</v>
      </c>
      <c r="Q2357" s="3">
        <f>YEAR(Ticket_Table[[#This Row],[raised_date]])</f>
        <v>2021</v>
      </c>
    </row>
    <row r="2358" spans="1:17">
      <c r="A2358" t="s">
        <v>2919</v>
      </c>
      <c r="B2358" t="s">
        <v>1578</v>
      </c>
      <c r="C2358" t="s">
        <v>28</v>
      </c>
      <c r="D2358" t="s">
        <v>43</v>
      </c>
      <c r="E2358" t="s">
        <v>69</v>
      </c>
      <c r="F2358" t="s">
        <v>70</v>
      </c>
      <c r="G2358" t="s">
        <v>23</v>
      </c>
      <c r="H2358" s="1">
        <v>44560</v>
      </c>
      <c r="I2358" s="2">
        <v>44562.2833333333</v>
      </c>
      <c r="J2358">
        <v>54.8</v>
      </c>
      <c r="K2358" t="s">
        <v>32</v>
      </c>
      <c r="L2358">
        <v>0</v>
      </c>
      <c r="M2358">
        <v>5</v>
      </c>
      <c r="N2358" t="s">
        <v>227</v>
      </c>
      <c r="O2358" s="3" t="str">
        <f>TEXT(Ticket_Table[[#This Row],[raised_date]],"YYYY-MM")</f>
        <v>2021-12</v>
      </c>
      <c r="P2358" s="3" t="str">
        <f>IF(Ticket_Table[[#This Row],[resolution_hrs]]&lt;=4,"Fast",IF(Ticket_Table[[#This Row],[resolution_hrs]]&lt;=24,"Normal",IF(Ticket_Table[[#This Row],[resolution_hrs]]&lt;=48,"Slow","Very Slow")))</f>
        <v>Very Slow</v>
      </c>
      <c r="Q2358" s="3">
        <f>YEAR(Ticket_Table[[#This Row],[raised_date]])</f>
        <v>2021</v>
      </c>
    </row>
    <row r="2359" spans="1:17">
      <c r="A2359" t="s">
        <v>2920</v>
      </c>
      <c r="B2359" t="s">
        <v>811</v>
      </c>
      <c r="C2359" t="s">
        <v>55</v>
      </c>
      <c r="D2359" t="s">
        <v>20</v>
      </c>
      <c r="E2359" t="s">
        <v>83</v>
      </c>
      <c r="F2359" t="s">
        <v>70</v>
      </c>
      <c r="G2359" t="s">
        <v>74</v>
      </c>
      <c r="H2359" s="1">
        <v>44200</v>
      </c>
      <c r="I2359" s="2">
        <v>44201.875</v>
      </c>
      <c r="J2359">
        <v>45</v>
      </c>
      <c r="K2359" t="s">
        <v>24</v>
      </c>
      <c r="L2359">
        <v>2</v>
      </c>
      <c r="M2359">
        <v>5</v>
      </c>
      <c r="N2359" t="s">
        <v>350</v>
      </c>
      <c r="O2359" s="3" t="str">
        <f>TEXT(Ticket_Table[[#This Row],[raised_date]],"YYYY-MM")</f>
        <v>2021-01</v>
      </c>
      <c r="P2359" s="3" t="str">
        <f>IF(Ticket_Table[[#This Row],[resolution_hrs]]&lt;=4,"Fast",IF(Ticket_Table[[#This Row],[resolution_hrs]]&lt;=24,"Normal",IF(Ticket_Table[[#This Row],[resolution_hrs]]&lt;=48,"Slow","Very Slow")))</f>
        <v>Slow</v>
      </c>
      <c r="Q2359" s="3">
        <f>YEAR(Ticket_Table[[#This Row],[raised_date]])</f>
        <v>2021</v>
      </c>
    </row>
    <row r="2360" spans="1:17">
      <c r="A2360" t="s">
        <v>2921</v>
      </c>
      <c r="B2360" t="s">
        <v>1080</v>
      </c>
      <c r="C2360" t="s">
        <v>95</v>
      </c>
      <c r="D2360" t="s">
        <v>29</v>
      </c>
      <c r="E2360" t="s">
        <v>83</v>
      </c>
      <c r="F2360" t="s">
        <v>70</v>
      </c>
      <c r="G2360" t="s">
        <v>23</v>
      </c>
      <c r="H2360" s="1">
        <v>44998</v>
      </c>
      <c r="I2360" s="2">
        <v>44998.2208333333</v>
      </c>
      <c r="J2360">
        <v>5.3</v>
      </c>
      <c r="K2360" t="s">
        <v>24</v>
      </c>
      <c r="L2360">
        <v>0</v>
      </c>
      <c r="M2360">
        <v>5</v>
      </c>
      <c r="N2360" t="s">
        <v>71</v>
      </c>
      <c r="O2360" s="3" t="str">
        <f>TEXT(Ticket_Table[[#This Row],[raised_date]],"YYYY-MM")</f>
        <v>2023-03</v>
      </c>
      <c r="P2360" s="3" t="str">
        <f>IF(Ticket_Table[[#This Row],[resolution_hrs]]&lt;=4,"Fast",IF(Ticket_Table[[#This Row],[resolution_hrs]]&lt;=24,"Normal",IF(Ticket_Table[[#This Row],[resolution_hrs]]&lt;=48,"Slow","Very Slow")))</f>
        <v>Normal</v>
      </c>
      <c r="Q2360" s="3">
        <f>YEAR(Ticket_Table[[#This Row],[raised_date]])</f>
        <v>2023</v>
      </c>
    </row>
    <row r="2361" spans="1:17">
      <c r="A2361" t="s">
        <v>2922</v>
      </c>
      <c r="B2361" t="s">
        <v>372</v>
      </c>
      <c r="C2361" t="s">
        <v>28</v>
      </c>
      <c r="D2361" t="s">
        <v>43</v>
      </c>
      <c r="E2361" t="s">
        <v>56</v>
      </c>
      <c r="F2361" t="s">
        <v>70</v>
      </c>
      <c r="G2361" t="s">
        <v>23</v>
      </c>
      <c r="H2361" s="1">
        <v>44263</v>
      </c>
      <c r="I2361" s="2">
        <v>44264.15</v>
      </c>
      <c r="J2361">
        <v>27.6</v>
      </c>
      <c r="K2361" t="s">
        <v>24</v>
      </c>
      <c r="L2361">
        <v>0</v>
      </c>
      <c r="M2361">
        <v>3</v>
      </c>
      <c r="N2361" t="s">
        <v>646</v>
      </c>
      <c r="O2361" s="3" t="str">
        <f>TEXT(Ticket_Table[[#This Row],[raised_date]],"YYYY-MM")</f>
        <v>2021-03</v>
      </c>
      <c r="P2361" s="3" t="str">
        <f>IF(Ticket_Table[[#This Row],[resolution_hrs]]&lt;=4,"Fast",IF(Ticket_Table[[#This Row],[resolution_hrs]]&lt;=24,"Normal",IF(Ticket_Table[[#This Row],[resolution_hrs]]&lt;=48,"Slow","Very Slow")))</f>
        <v>Slow</v>
      </c>
      <c r="Q2361" s="3">
        <f>YEAR(Ticket_Table[[#This Row],[raised_date]])</f>
        <v>2021</v>
      </c>
    </row>
    <row r="2362" spans="1:17">
      <c r="A2362" t="s">
        <v>2923</v>
      </c>
      <c r="B2362" t="s">
        <v>1011</v>
      </c>
      <c r="C2362" t="s">
        <v>42</v>
      </c>
      <c r="D2362" t="s">
        <v>90</v>
      </c>
      <c r="E2362" t="s">
        <v>166</v>
      </c>
      <c r="F2362" t="s">
        <v>38</v>
      </c>
      <c r="G2362" t="s">
        <v>91</v>
      </c>
      <c r="H2362" s="1">
        <v>44569</v>
      </c>
      <c r="I2362" s="2">
        <v>44569.475</v>
      </c>
      <c r="J2362">
        <v>11.4</v>
      </c>
      <c r="K2362" t="s">
        <v>24</v>
      </c>
      <c r="L2362">
        <v>1</v>
      </c>
      <c r="M2362">
        <v>5</v>
      </c>
      <c r="N2362" t="s">
        <v>603</v>
      </c>
      <c r="O2362" s="3" t="str">
        <f>TEXT(Ticket_Table[[#This Row],[raised_date]],"YYYY-MM")</f>
        <v>2022-01</v>
      </c>
      <c r="P2362" s="3" t="str">
        <f>IF(Ticket_Table[[#This Row],[resolution_hrs]]&lt;=4,"Fast",IF(Ticket_Table[[#This Row],[resolution_hrs]]&lt;=24,"Normal",IF(Ticket_Table[[#This Row],[resolution_hrs]]&lt;=48,"Slow","Very Slow")))</f>
        <v>Normal</v>
      </c>
      <c r="Q2362" s="3">
        <f>YEAR(Ticket_Table[[#This Row],[raised_date]])</f>
        <v>2022</v>
      </c>
    </row>
    <row r="2363" spans="1:17">
      <c r="A2363" t="s">
        <v>2924</v>
      </c>
      <c r="B2363" t="s">
        <v>970</v>
      </c>
      <c r="C2363" t="s">
        <v>19</v>
      </c>
      <c r="D2363" t="s">
        <v>43</v>
      </c>
      <c r="E2363" t="s">
        <v>37</v>
      </c>
      <c r="F2363" t="s">
        <v>70</v>
      </c>
      <c r="G2363" t="s">
        <v>23</v>
      </c>
      <c r="H2363" s="1">
        <v>44848</v>
      </c>
      <c r="I2363" s="2">
        <v>44848.4916666667</v>
      </c>
      <c r="J2363">
        <v>11.8</v>
      </c>
      <c r="K2363" t="s">
        <v>24</v>
      </c>
      <c r="L2363">
        <v>0</v>
      </c>
      <c r="M2363">
        <v>4</v>
      </c>
      <c r="N2363" t="s">
        <v>220</v>
      </c>
      <c r="O2363" s="3" t="str">
        <f>TEXT(Ticket_Table[[#This Row],[raised_date]],"YYYY-MM")</f>
        <v>2022-10</v>
      </c>
      <c r="P2363" s="3" t="str">
        <f>IF(Ticket_Table[[#This Row],[resolution_hrs]]&lt;=4,"Fast",IF(Ticket_Table[[#This Row],[resolution_hrs]]&lt;=24,"Normal",IF(Ticket_Table[[#This Row],[resolution_hrs]]&lt;=48,"Slow","Very Slow")))</f>
        <v>Normal</v>
      </c>
      <c r="Q2363" s="3">
        <f>YEAR(Ticket_Table[[#This Row],[raised_date]])</f>
        <v>2022</v>
      </c>
    </row>
    <row r="2364" spans="1:17">
      <c r="A2364" t="s">
        <v>2925</v>
      </c>
      <c r="B2364" t="s">
        <v>452</v>
      </c>
      <c r="C2364" t="s">
        <v>133</v>
      </c>
      <c r="D2364" t="s">
        <v>36</v>
      </c>
      <c r="E2364" t="s">
        <v>69</v>
      </c>
      <c r="F2364" t="s">
        <v>70</v>
      </c>
      <c r="G2364" t="s">
        <v>46</v>
      </c>
      <c r="H2364" s="1">
        <v>44649</v>
      </c>
      <c r="I2364" s="2">
        <v>44649.6458333333</v>
      </c>
      <c r="J2364">
        <v>15.5</v>
      </c>
      <c r="K2364" t="s">
        <v>24</v>
      </c>
      <c r="L2364">
        <v>1</v>
      </c>
      <c r="M2364">
        <v>4</v>
      </c>
      <c r="N2364" t="s">
        <v>300</v>
      </c>
      <c r="O2364" s="3" t="str">
        <f>TEXT(Ticket_Table[[#This Row],[raised_date]],"YYYY-MM")</f>
        <v>2022-03</v>
      </c>
      <c r="P2364" s="3" t="str">
        <f>IF(Ticket_Table[[#This Row],[resolution_hrs]]&lt;=4,"Fast",IF(Ticket_Table[[#This Row],[resolution_hrs]]&lt;=24,"Normal",IF(Ticket_Table[[#This Row],[resolution_hrs]]&lt;=48,"Slow","Very Slow")))</f>
        <v>Normal</v>
      </c>
      <c r="Q2364" s="3">
        <f>YEAR(Ticket_Table[[#This Row],[raised_date]])</f>
        <v>2022</v>
      </c>
    </row>
    <row r="2365" spans="1:17">
      <c r="A2365" t="s">
        <v>2926</v>
      </c>
      <c r="B2365" t="s">
        <v>698</v>
      </c>
      <c r="C2365" t="s">
        <v>102</v>
      </c>
      <c r="D2365" t="s">
        <v>43</v>
      </c>
      <c r="E2365" t="s">
        <v>44</v>
      </c>
      <c r="F2365" t="s">
        <v>38</v>
      </c>
      <c r="G2365" t="s">
        <v>23</v>
      </c>
      <c r="H2365" s="1">
        <v>44410</v>
      </c>
      <c r="I2365" s="2">
        <v>44410.0958333333</v>
      </c>
      <c r="J2365">
        <v>2.3</v>
      </c>
      <c r="K2365" t="s">
        <v>24</v>
      </c>
      <c r="L2365">
        <v>1</v>
      </c>
      <c r="M2365">
        <v>3</v>
      </c>
      <c r="N2365" t="s">
        <v>1143</v>
      </c>
      <c r="O2365" s="3" t="str">
        <f>TEXT(Ticket_Table[[#This Row],[raised_date]],"YYYY-MM")</f>
        <v>2021-08</v>
      </c>
      <c r="P2365" s="3" t="str">
        <f>IF(Ticket_Table[[#This Row],[resolution_hrs]]&lt;=4,"Fast",IF(Ticket_Table[[#This Row],[resolution_hrs]]&lt;=24,"Normal",IF(Ticket_Table[[#This Row],[resolution_hrs]]&lt;=48,"Slow","Very Slow")))</f>
        <v>Fast</v>
      </c>
      <c r="Q2365" s="3">
        <f>YEAR(Ticket_Table[[#This Row],[raised_date]])</f>
        <v>2021</v>
      </c>
    </row>
    <row r="2366" spans="1:17">
      <c r="A2366" t="s">
        <v>2927</v>
      </c>
      <c r="B2366" t="s">
        <v>286</v>
      </c>
      <c r="C2366" t="s">
        <v>261</v>
      </c>
      <c r="D2366" t="s">
        <v>43</v>
      </c>
      <c r="E2366" t="s">
        <v>44</v>
      </c>
      <c r="F2366" t="s">
        <v>22</v>
      </c>
      <c r="G2366" t="s">
        <v>23</v>
      </c>
      <c r="H2366" s="1">
        <v>45213</v>
      </c>
      <c r="I2366" s="2">
        <v>45217.1583333333</v>
      </c>
      <c r="J2366">
        <v>99.8</v>
      </c>
      <c r="K2366" t="s">
        <v>32</v>
      </c>
      <c r="L2366">
        <v>0</v>
      </c>
      <c r="M2366">
        <v>5</v>
      </c>
      <c r="N2366" t="s">
        <v>169</v>
      </c>
      <c r="O2366" s="3" t="str">
        <f>TEXT(Ticket_Table[[#This Row],[raised_date]],"YYYY-MM")</f>
        <v>2023-10</v>
      </c>
      <c r="P2366" s="3" t="str">
        <f>IF(Ticket_Table[[#This Row],[resolution_hrs]]&lt;=4,"Fast",IF(Ticket_Table[[#This Row],[resolution_hrs]]&lt;=24,"Normal",IF(Ticket_Table[[#This Row],[resolution_hrs]]&lt;=48,"Slow","Very Slow")))</f>
        <v>Very Slow</v>
      </c>
      <c r="Q2366" s="3">
        <f>YEAR(Ticket_Table[[#This Row],[raised_date]])</f>
        <v>2023</v>
      </c>
    </row>
    <row r="2367" spans="1:17">
      <c r="A2367" t="s">
        <v>2928</v>
      </c>
      <c r="B2367" t="s">
        <v>564</v>
      </c>
      <c r="C2367" t="s">
        <v>82</v>
      </c>
      <c r="D2367" t="s">
        <v>43</v>
      </c>
      <c r="E2367" t="s">
        <v>166</v>
      </c>
      <c r="F2367" t="s">
        <v>22</v>
      </c>
      <c r="G2367" t="s">
        <v>46</v>
      </c>
      <c r="H2367" s="1">
        <v>44485</v>
      </c>
      <c r="I2367" s="2">
        <v>44487.7083333333</v>
      </c>
      <c r="J2367">
        <v>65</v>
      </c>
      <c r="K2367" t="s">
        <v>24</v>
      </c>
      <c r="L2367">
        <v>0</v>
      </c>
      <c r="M2367">
        <v>2</v>
      </c>
      <c r="N2367" t="s">
        <v>103</v>
      </c>
      <c r="O2367" s="3" t="str">
        <f>TEXT(Ticket_Table[[#This Row],[raised_date]],"YYYY-MM")</f>
        <v>2021-10</v>
      </c>
      <c r="P2367" s="3" t="str">
        <f>IF(Ticket_Table[[#This Row],[resolution_hrs]]&lt;=4,"Fast",IF(Ticket_Table[[#This Row],[resolution_hrs]]&lt;=24,"Normal",IF(Ticket_Table[[#This Row],[resolution_hrs]]&lt;=48,"Slow","Very Slow")))</f>
        <v>Very Slow</v>
      </c>
      <c r="Q2367" s="3">
        <f>YEAR(Ticket_Table[[#This Row],[raised_date]])</f>
        <v>2021</v>
      </c>
    </row>
    <row r="2368" spans="1:17">
      <c r="A2368" t="s">
        <v>2929</v>
      </c>
      <c r="B2368" t="s">
        <v>1578</v>
      </c>
      <c r="C2368" t="s">
        <v>201</v>
      </c>
      <c r="D2368" t="s">
        <v>29</v>
      </c>
      <c r="E2368" t="s">
        <v>56</v>
      </c>
      <c r="F2368" t="s">
        <v>45</v>
      </c>
      <c r="G2368" t="s">
        <v>23</v>
      </c>
      <c r="H2368" s="1">
        <v>44875</v>
      </c>
      <c r="I2368" s="2">
        <v>44875.2375</v>
      </c>
      <c r="J2368">
        <v>5.7</v>
      </c>
      <c r="K2368" t="s">
        <v>32</v>
      </c>
      <c r="L2368">
        <v>2</v>
      </c>
      <c r="M2368">
        <v>3</v>
      </c>
      <c r="N2368" t="s">
        <v>931</v>
      </c>
      <c r="O2368" s="3" t="str">
        <f>TEXT(Ticket_Table[[#This Row],[raised_date]],"YYYY-MM")</f>
        <v>2022-11</v>
      </c>
      <c r="P2368" s="3" t="str">
        <f>IF(Ticket_Table[[#This Row],[resolution_hrs]]&lt;=4,"Fast",IF(Ticket_Table[[#This Row],[resolution_hrs]]&lt;=24,"Normal",IF(Ticket_Table[[#This Row],[resolution_hrs]]&lt;=48,"Slow","Very Slow")))</f>
        <v>Normal</v>
      </c>
      <c r="Q2368" s="3">
        <f>YEAR(Ticket_Table[[#This Row],[raised_date]])</f>
        <v>2022</v>
      </c>
    </row>
    <row r="2369" spans="1:17">
      <c r="A2369" t="s">
        <v>2930</v>
      </c>
      <c r="B2369" t="s">
        <v>499</v>
      </c>
      <c r="C2369" t="s">
        <v>95</v>
      </c>
      <c r="D2369" t="s">
        <v>20</v>
      </c>
      <c r="E2369" t="s">
        <v>83</v>
      </c>
      <c r="F2369" t="s">
        <v>38</v>
      </c>
      <c r="G2369" t="s">
        <v>31</v>
      </c>
      <c r="H2369" s="1">
        <v>44356</v>
      </c>
      <c r="I2369" s="2">
        <v>44357.1208333333</v>
      </c>
      <c r="J2369">
        <v>26.9</v>
      </c>
      <c r="K2369" t="s">
        <v>32</v>
      </c>
      <c r="L2369">
        <v>1</v>
      </c>
      <c r="M2369">
        <v>5</v>
      </c>
      <c r="N2369" t="s">
        <v>266</v>
      </c>
      <c r="O2369" s="3" t="str">
        <f>TEXT(Ticket_Table[[#This Row],[raised_date]],"YYYY-MM")</f>
        <v>2021-06</v>
      </c>
      <c r="P2369" s="3" t="str">
        <f>IF(Ticket_Table[[#This Row],[resolution_hrs]]&lt;=4,"Fast",IF(Ticket_Table[[#This Row],[resolution_hrs]]&lt;=24,"Normal",IF(Ticket_Table[[#This Row],[resolution_hrs]]&lt;=48,"Slow","Very Slow")))</f>
        <v>Slow</v>
      </c>
      <c r="Q2369" s="3">
        <f>YEAR(Ticket_Table[[#This Row],[raised_date]])</f>
        <v>2021</v>
      </c>
    </row>
    <row r="2370" spans="1:17">
      <c r="A2370" t="s">
        <v>2931</v>
      </c>
      <c r="B2370" t="s">
        <v>922</v>
      </c>
      <c r="C2370" t="s">
        <v>261</v>
      </c>
      <c r="D2370" t="s">
        <v>43</v>
      </c>
      <c r="E2370" t="s">
        <v>106</v>
      </c>
      <c r="F2370" t="s">
        <v>70</v>
      </c>
      <c r="G2370" t="s">
        <v>31</v>
      </c>
      <c r="H2370" s="1">
        <v>44684</v>
      </c>
      <c r="I2370" s="2">
        <v>44685.0125</v>
      </c>
      <c r="J2370">
        <v>24.3</v>
      </c>
      <c r="K2370" t="s">
        <v>24</v>
      </c>
      <c r="L2370">
        <v>0</v>
      </c>
      <c r="M2370">
        <v>4</v>
      </c>
      <c r="N2370" t="s">
        <v>671</v>
      </c>
      <c r="O2370" s="3" t="str">
        <f>TEXT(Ticket_Table[[#This Row],[raised_date]],"YYYY-MM")</f>
        <v>2022-05</v>
      </c>
      <c r="P2370" s="3" t="str">
        <f>IF(Ticket_Table[[#This Row],[resolution_hrs]]&lt;=4,"Fast",IF(Ticket_Table[[#This Row],[resolution_hrs]]&lt;=24,"Normal",IF(Ticket_Table[[#This Row],[resolution_hrs]]&lt;=48,"Slow","Very Slow")))</f>
        <v>Slow</v>
      </c>
      <c r="Q2370" s="3">
        <f>YEAR(Ticket_Table[[#This Row],[raised_date]])</f>
        <v>2022</v>
      </c>
    </row>
    <row r="2371" spans="1:17">
      <c r="A2371" t="s">
        <v>2932</v>
      </c>
      <c r="B2371" t="s">
        <v>501</v>
      </c>
      <c r="C2371" t="s">
        <v>117</v>
      </c>
      <c r="D2371" t="s">
        <v>43</v>
      </c>
      <c r="E2371" t="s">
        <v>56</v>
      </c>
      <c r="F2371" t="s">
        <v>70</v>
      </c>
      <c r="G2371" t="s">
        <v>46</v>
      </c>
      <c r="H2371" s="1">
        <v>44907</v>
      </c>
      <c r="I2371" s="2">
        <v>44907.8625</v>
      </c>
      <c r="J2371">
        <v>20.7</v>
      </c>
      <c r="K2371" t="s">
        <v>24</v>
      </c>
      <c r="L2371">
        <v>0</v>
      </c>
      <c r="M2371">
        <v>4</v>
      </c>
      <c r="N2371" t="s">
        <v>510</v>
      </c>
      <c r="O2371" s="3" t="str">
        <f>TEXT(Ticket_Table[[#This Row],[raised_date]],"YYYY-MM")</f>
        <v>2022-12</v>
      </c>
      <c r="P2371" s="3" t="str">
        <f>IF(Ticket_Table[[#This Row],[resolution_hrs]]&lt;=4,"Fast",IF(Ticket_Table[[#This Row],[resolution_hrs]]&lt;=24,"Normal",IF(Ticket_Table[[#This Row],[resolution_hrs]]&lt;=48,"Slow","Very Slow")))</f>
        <v>Normal</v>
      </c>
      <c r="Q2371" s="3">
        <f>YEAR(Ticket_Table[[#This Row],[raised_date]])</f>
        <v>2022</v>
      </c>
    </row>
    <row r="2372" spans="1:17">
      <c r="A2372" t="s">
        <v>2933</v>
      </c>
      <c r="B2372" t="s">
        <v>1091</v>
      </c>
      <c r="C2372" t="s">
        <v>55</v>
      </c>
      <c r="D2372" t="s">
        <v>36</v>
      </c>
      <c r="E2372" t="s">
        <v>56</v>
      </c>
      <c r="F2372" t="s">
        <v>22</v>
      </c>
      <c r="G2372" t="s">
        <v>31</v>
      </c>
      <c r="H2372" s="1">
        <v>44851</v>
      </c>
      <c r="I2372" s="2">
        <v>44853.9125</v>
      </c>
      <c r="J2372">
        <v>69.9</v>
      </c>
      <c r="K2372" t="s">
        <v>24</v>
      </c>
      <c r="L2372">
        <v>0</v>
      </c>
      <c r="M2372">
        <v>4</v>
      </c>
      <c r="N2372" t="s">
        <v>332</v>
      </c>
      <c r="O2372" s="3" t="str">
        <f>TEXT(Ticket_Table[[#This Row],[raised_date]],"YYYY-MM")</f>
        <v>2022-10</v>
      </c>
      <c r="P2372" s="3" t="str">
        <f>IF(Ticket_Table[[#This Row],[resolution_hrs]]&lt;=4,"Fast",IF(Ticket_Table[[#This Row],[resolution_hrs]]&lt;=24,"Normal",IF(Ticket_Table[[#This Row],[resolution_hrs]]&lt;=48,"Slow","Very Slow")))</f>
        <v>Very Slow</v>
      </c>
      <c r="Q2372" s="3">
        <f>YEAR(Ticket_Table[[#This Row],[raised_date]])</f>
        <v>2022</v>
      </c>
    </row>
    <row r="2373" spans="1:17">
      <c r="A2373" t="s">
        <v>2934</v>
      </c>
      <c r="B2373" t="s">
        <v>744</v>
      </c>
      <c r="C2373" t="s">
        <v>175</v>
      </c>
      <c r="D2373" t="s">
        <v>36</v>
      </c>
      <c r="E2373" t="s">
        <v>21</v>
      </c>
      <c r="F2373" t="s">
        <v>70</v>
      </c>
      <c r="G2373" t="s">
        <v>46</v>
      </c>
      <c r="H2373" s="1">
        <v>44540</v>
      </c>
      <c r="I2373" s="2">
        <v>44542.2916666667</v>
      </c>
      <c r="J2373">
        <v>55</v>
      </c>
      <c r="K2373" t="s">
        <v>32</v>
      </c>
      <c r="L2373">
        <v>0</v>
      </c>
      <c r="M2373">
        <v>3</v>
      </c>
      <c r="N2373" t="s">
        <v>485</v>
      </c>
      <c r="O2373" s="3" t="str">
        <f>TEXT(Ticket_Table[[#This Row],[raised_date]],"YYYY-MM")</f>
        <v>2021-12</v>
      </c>
      <c r="P2373" s="3" t="str">
        <f>IF(Ticket_Table[[#This Row],[resolution_hrs]]&lt;=4,"Fast",IF(Ticket_Table[[#This Row],[resolution_hrs]]&lt;=24,"Normal",IF(Ticket_Table[[#This Row],[resolution_hrs]]&lt;=48,"Slow","Very Slow")))</f>
        <v>Very Slow</v>
      </c>
      <c r="Q2373" s="3">
        <f>YEAR(Ticket_Table[[#This Row],[raised_date]])</f>
        <v>2021</v>
      </c>
    </row>
    <row r="2374" spans="1:17">
      <c r="A2374" t="s">
        <v>2935</v>
      </c>
      <c r="B2374" t="s">
        <v>655</v>
      </c>
      <c r="C2374" t="s">
        <v>175</v>
      </c>
      <c r="D2374" t="s">
        <v>90</v>
      </c>
      <c r="E2374" t="s">
        <v>37</v>
      </c>
      <c r="F2374" t="s">
        <v>70</v>
      </c>
      <c r="G2374" t="s">
        <v>23</v>
      </c>
      <c r="H2374" s="1">
        <v>44378</v>
      </c>
      <c r="I2374" s="2">
        <v>44379.5833333333</v>
      </c>
      <c r="J2374">
        <v>38</v>
      </c>
      <c r="K2374" t="s">
        <v>24</v>
      </c>
      <c r="L2374">
        <v>0</v>
      </c>
      <c r="M2374">
        <v>4</v>
      </c>
      <c r="N2374" t="s">
        <v>560</v>
      </c>
      <c r="O2374" s="3" t="str">
        <f>TEXT(Ticket_Table[[#This Row],[raised_date]],"YYYY-MM")</f>
        <v>2021-07</v>
      </c>
      <c r="P2374" s="3" t="str">
        <f>IF(Ticket_Table[[#This Row],[resolution_hrs]]&lt;=4,"Fast",IF(Ticket_Table[[#This Row],[resolution_hrs]]&lt;=24,"Normal",IF(Ticket_Table[[#This Row],[resolution_hrs]]&lt;=48,"Slow","Very Slow")))</f>
        <v>Slow</v>
      </c>
      <c r="Q2374" s="3">
        <f>YEAR(Ticket_Table[[#This Row],[raised_date]])</f>
        <v>2021</v>
      </c>
    </row>
    <row r="2375" spans="1:17">
      <c r="A2375" t="s">
        <v>2936</v>
      </c>
      <c r="B2375" t="s">
        <v>317</v>
      </c>
      <c r="C2375" t="s">
        <v>261</v>
      </c>
      <c r="D2375" t="s">
        <v>90</v>
      </c>
      <c r="E2375" t="s">
        <v>37</v>
      </c>
      <c r="F2375" t="s">
        <v>70</v>
      </c>
      <c r="G2375" t="s">
        <v>31</v>
      </c>
      <c r="H2375" s="1">
        <v>44884</v>
      </c>
      <c r="I2375" s="2">
        <v>44886.9333333333</v>
      </c>
      <c r="J2375">
        <v>70.4</v>
      </c>
      <c r="K2375" t="s">
        <v>32</v>
      </c>
      <c r="L2375">
        <v>1</v>
      </c>
      <c r="M2375">
        <v>1</v>
      </c>
      <c r="N2375" t="s">
        <v>378</v>
      </c>
      <c r="O2375" s="3" t="str">
        <f>TEXT(Ticket_Table[[#This Row],[raised_date]],"YYYY-MM")</f>
        <v>2022-11</v>
      </c>
      <c r="P2375" s="3" t="str">
        <f>IF(Ticket_Table[[#This Row],[resolution_hrs]]&lt;=4,"Fast",IF(Ticket_Table[[#This Row],[resolution_hrs]]&lt;=24,"Normal",IF(Ticket_Table[[#This Row],[resolution_hrs]]&lt;=48,"Slow","Very Slow")))</f>
        <v>Very Slow</v>
      </c>
      <c r="Q2375" s="3">
        <f>YEAR(Ticket_Table[[#This Row],[raised_date]])</f>
        <v>2022</v>
      </c>
    </row>
    <row r="2376" spans="1:17">
      <c r="A2376" t="s">
        <v>2937</v>
      </c>
      <c r="B2376" t="s">
        <v>346</v>
      </c>
      <c r="C2376" t="s">
        <v>201</v>
      </c>
      <c r="D2376" t="s">
        <v>36</v>
      </c>
      <c r="E2376" t="s">
        <v>44</v>
      </c>
      <c r="F2376" t="s">
        <v>70</v>
      </c>
      <c r="G2376" t="s">
        <v>31</v>
      </c>
      <c r="H2376" s="1">
        <v>45111</v>
      </c>
      <c r="I2376" s="2">
        <v>45112.9583333333</v>
      </c>
      <c r="J2376">
        <v>47</v>
      </c>
      <c r="K2376" t="s">
        <v>24</v>
      </c>
      <c r="L2376">
        <v>1</v>
      </c>
      <c r="M2376">
        <v>5</v>
      </c>
      <c r="N2376" t="s">
        <v>101</v>
      </c>
      <c r="O2376" s="3" t="str">
        <f>TEXT(Ticket_Table[[#This Row],[raised_date]],"YYYY-MM")</f>
        <v>2023-07</v>
      </c>
      <c r="P2376" s="3" t="str">
        <f>IF(Ticket_Table[[#This Row],[resolution_hrs]]&lt;=4,"Fast",IF(Ticket_Table[[#This Row],[resolution_hrs]]&lt;=24,"Normal",IF(Ticket_Table[[#This Row],[resolution_hrs]]&lt;=48,"Slow","Very Slow")))</f>
        <v>Slow</v>
      </c>
      <c r="Q2376" s="3">
        <f>YEAR(Ticket_Table[[#This Row],[raised_date]])</f>
        <v>2023</v>
      </c>
    </row>
    <row r="2377" spans="1:17">
      <c r="A2377" t="s">
        <v>2938</v>
      </c>
      <c r="B2377" t="s">
        <v>81</v>
      </c>
      <c r="C2377" t="s">
        <v>287</v>
      </c>
      <c r="D2377" t="s">
        <v>20</v>
      </c>
      <c r="E2377" t="s">
        <v>37</v>
      </c>
      <c r="F2377" t="s">
        <v>22</v>
      </c>
      <c r="G2377" t="s">
        <v>46</v>
      </c>
      <c r="H2377" s="1">
        <v>44220</v>
      </c>
      <c r="I2377" s="2">
        <v>44221.3291666667</v>
      </c>
      <c r="J2377">
        <v>31.9</v>
      </c>
      <c r="K2377" t="s">
        <v>24</v>
      </c>
      <c r="L2377">
        <v>1</v>
      </c>
      <c r="M2377">
        <v>4</v>
      </c>
      <c r="N2377" t="s">
        <v>65</v>
      </c>
      <c r="O2377" s="3" t="str">
        <f>TEXT(Ticket_Table[[#This Row],[raised_date]],"YYYY-MM")</f>
        <v>2021-01</v>
      </c>
      <c r="P2377" s="3" t="str">
        <f>IF(Ticket_Table[[#This Row],[resolution_hrs]]&lt;=4,"Fast",IF(Ticket_Table[[#This Row],[resolution_hrs]]&lt;=24,"Normal",IF(Ticket_Table[[#This Row],[resolution_hrs]]&lt;=48,"Slow","Very Slow")))</f>
        <v>Slow</v>
      </c>
      <c r="Q2377" s="3">
        <f>YEAR(Ticket_Table[[#This Row],[raised_date]])</f>
        <v>2021</v>
      </c>
    </row>
    <row r="2378" spans="1:17">
      <c r="A2378" t="s">
        <v>2939</v>
      </c>
      <c r="B2378" t="s">
        <v>235</v>
      </c>
      <c r="C2378" t="s">
        <v>78</v>
      </c>
      <c r="D2378" t="s">
        <v>90</v>
      </c>
      <c r="E2378" t="s">
        <v>44</v>
      </c>
      <c r="F2378" t="s">
        <v>22</v>
      </c>
      <c r="G2378" t="s">
        <v>74</v>
      </c>
      <c r="H2378" s="1">
        <v>44740</v>
      </c>
      <c r="I2378" s="2">
        <v>44740.1458333333</v>
      </c>
      <c r="J2378">
        <v>3.5</v>
      </c>
      <c r="K2378" t="s">
        <v>24</v>
      </c>
      <c r="L2378">
        <v>0</v>
      </c>
      <c r="M2378">
        <v>5</v>
      </c>
      <c r="N2378" t="s">
        <v>204</v>
      </c>
      <c r="O2378" s="3" t="str">
        <f>TEXT(Ticket_Table[[#This Row],[raised_date]],"YYYY-MM")</f>
        <v>2022-06</v>
      </c>
      <c r="P2378" s="3" t="str">
        <f>IF(Ticket_Table[[#This Row],[resolution_hrs]]&lt;=4,"Fast",IF(Ticket_Table[[#This Row],[resolution_hrs]]&lt;=24,"Normal",IF(Ticket_Table[[#This Row],[resolution_hrs]]&lt;=48,"Slow","Very Slow")))</f>
        <v>Fast</v>
      </c>
      <c r="Q2378" s="3">
        <f>YEAR(Ticket_Table[[#This Row],[raised_date]])</f>
        <v>2022</v>
      </c>
    </row>
    <row r="2379" spans="1:17">
      <c r="A2379" t="s">
        <v>2940</v>
      </c>
      <c r="B2379" t="s">
        <v>227</v>
      </c>
      <c r="C2379" t="s">
        <v>28</v>
      </c>
      <c r="D2379" t="s">
        <v>20</v>
      </c>
      <c r="E2379" t="s">
        <v>56</v>
      </c>
      <c r="F2379" t="s">
        <v>45</v>
      </c>
      <c r="G2379" t="s">
        <v>23</v>
      </c>
      <c r="H2379" s="1">
        <v>44626</v>
      </c>
      <c r="I2379" s="2">
        <v>44626.2166666667</v>
      </c>
      <c r="J2379">
        <v>5.2</v>
      </c>
      <c r="K2379" t="s">
        <v>32</v>
      </c>
      <c r="L2379">
        <v>0</v>
      </c>
      <c r="M2379">
        <v>4</v>
      </c>
      <c r="N2379" t="s">
        <v>858</v>
      </c>
      <c r="O2379" s="3" t="str">
        <f>TEXT(Ticket_Table[[#This Row],[raised_date]],"YYYY-MM")</f>
        <v>2022-03</v>
      </c>
      <c r="P2379" s="3" t="str">
        <f>IF(Ticket_Table[[#This Row],[resolution_hrs]]&lt;=4,"Fast",IF(Ticket_Table[[#This Row],[resolution_hrs]]&lt;=24,"Normal",IF(Ticket_Table[[#This Row],[resolution_hrs]]&lt;=48,"Slow","Very Slow")))</f>
        <v>Normal</v>
      </c>
      <c r="Q2379" s="3">
        <f>YEAR(Ticket_Table[[#This Row],[raised_date]])</f>
        <v>2022</v>
      </c>
    </row>
    <row r="2380" spans="1:17">
      <c r="A2380" t="s">
        <v>2941</v>
      </c>
      <c r="B2380" t="s">
        <v>358</v>
      </c>
      <c r="C2380" t="s">
        <v>82</v>
      </c>
      <c r="D2380" t="s">
        <v>36</v>
      </c>
      <c r="E2380" t="s">
        <v>166</v>
      </c>
      <c r="F2380" t="s">
        <v>70</v>
      </c>
      <c r="G2380" t="s">
        <v>23</v>
      </c>
      <c r="H2380" s="1">
        <v>44708</v>
      </c>
      <c r="I2380" s="2">
        <v>44709.0208333333</v>
      </c>
      <c r="J2380">
        <v>24.5</v>
      </c>
      <c r="K2380" t="s">
        <v>24</v>
      </c>
      <c r="L2380">
        <v>1</v>
      </c>
      <c r="M2380">
        <v>4</v>
      </c>
      <c r="N2380" t="s">
        <v>151</v>
      </c>
      <c r="O2380" s="3" t="str">
        <f>TEXT(Ticket_Table[[#This Row],[raised_date]],"YYYY-MM")</f>
        <v>2022-05</v>
      </c>
      <c r="P2380" s="3" t="str">
        <f>IF(Ticket_Table[[#This Row],[resolution_hrs]]&lt;=4,"Fast",IF(Ticket_Table[[#This Row],[resolution_hrs]]&lt;=24,"Normal",IF(Ticket_Table[[#This Row],[resolution_hrs]]&lt;=48,"Slow","Very Slow")))</f>
        <v>Slow</v>
      </c>
      <c r="Q2380" s="3">
        <f>YEAR(Ticket_Table[[#This Row],[raised_date]])</f>
        <v>2022</v>
      </c>
    </row>
    <row r="2381" spans="1:17">
      <c r="A2381" t="s">
        <v>2942</v>
      </c>
      <c r="B2381" t="s">
        <v>277</v>
      </c>
      <c r="C2381" t="s">
        <v>42</v>
      </c>
      <c r="D2381" t="s">
        <v>90</v>
      </c>
      <c r="E2381" t="s">
        <v>106</v>
      </c>
      <c r="F2381" t="s">
        <v>70</v>
      </c>
      <c r="G2381" t="s">
        <v>31</v>
      </c>
      <c r="H2381" s="1">
        <v>44335</v>
      </c>
      <c r="I2381" s="2">
        <v>44335.7583333333</v>
      </c>
      <c r="J2381">
        <v>18.2</v>
      </c>
      <c r="K2381" t="s">
        <v>24</v>
      </c>
      <c r="L2381">
        <v>1</v>
      </c>
      <c r="M2381">
        <v>4</v>
      </c>
      <c r="N2381" t="s">
        <v>579</v>
      </c>
      <c r="O2381" s="3" t="str">
        <f>TEXT(Ticket_Table[[#This Row],[raised_date]],"YYYY-MM")</f>
        <v>2021-05</v>
      </c>
      <c r="P2381" s="3" t="str">
        <f>IF(Ticket_Table[[#This Row],[resolution_hrs]]&lt;=4,"Fast",IF(Ticket_Table[[#This Row],[resolution_hrs]]&lt;=24,"Normal",IF(Ticket_Table[[#This Row],[resolution_hrs]]&lt;=48,"Slow","Very Slow")))</f>
        <v>Normal</v>
      </c>
      <c r="Q2381" s="3">
        <f>YEAR(Ticket_Table[[#This Row],[raised_date]])</f>
        <v>2021</v>
      </c>
    </row>
    <row r="2382" spans="1:17">
      <c r="A2382" t="s">
        <v>2943</v>
      </c>
      <c r="B2382" t="s">
        <v>567</v>
      </c>
      <c r="C2382" t="s">
        <v>60</v>
      </c>
      <c r="D2382" t="s">
        <v>43</v>
      </c>
      <c r="E2382" t="s">
        <v>166</v>
      </c>
      <c r="F2382" t="s">
        <v>22</v>
      </c>
      <c r="G2382" t="s">
        <v>46</v>
      </c>
      <c r="H2382" s="1">
        <v>44914</v>
      </c>
      <c r="I2382" s="2">
        <v>44916.4458333333</v>
      </c>
      <c r="J2382">
        <v>58.7</v>
      </c>
      <c r="K2382" t="s">
        <v>24</v>
      </c>
      <c r="L2382">
        <v>0</v>
      </c>
      <c r="M2382">
        <v>3</v>
      </c>
      <c r="N2382" t="s">
        <v>860</v>
      </c>
      <c r="O2382" s="3" t="str">
        <f>TEXT(Ticket_Table[[#This Row],[raised_date]],"YYYY-MM")</f>
        <v>2022-12</v>
      </c>
      <c r="P2382" s="3" t="str">
        <f>IF(Ticket_Table[[#This Row],[resolution_hrs]]&lt;=4,"Fast",IF(Ticket_Table[[#This Row],[resolution_hrs]]&lt;=24,"Normal",IF(Ticket_Table[[#This Row],[resolution_hrs]]&lt;=48,"Slow","Very Slow")))</f>
        <v>Very Slow</v>
      </c>
      <c r="Q2382" s="3">
        <f>YEAR(Ticket_Table[[#This Row],[raised_date]])</f>
        <v>2022</v>
      </c>
    </row>
    <row r="2383" spans="1:17">
      <c r="A2383" t="s">
        <v>2944</v>
      </c>
      <c r="B2383" t="s">
        <v>317</v>
      </c>
      <c r="C2383" t="s">
        <v>102</v>
      </c>
      <c r="D2383" t="s">
        <v>36</v>
      </c>
      <c r="E2383" t="s">
        <v>56</v>
      </c>
      <c r="F2383" t="s">
        <v>22</v>
      </c>
      <c r="G2383" t="s">
        <v>23</v>
      </c>
      <c r="H2383" s="1">
        <v>44722</v>
      </c>
      <c r="I2383" s="2">
        <v>44726.0833333333</v>
      </c>
      <c r="J2383">
        <v>98</v>
      </c>
      <c r="K2383" t="s">
        <v>32</v>
      </c>
      <c r="L2383">
        <v>0</v>
      </c>
      <c r="M2383">
        <v>3</v>
      </c>
      <c r="N2383" t="s">
        <v>985</v>
      </c>
      <c r="O2383" s="3" t="str">
        <f>TEXT(Ticket_Table[[#This Row],[raised_date]],"YYYY-MM")</f>
        <v>2022-06</v>
      </c>
      <c r="P2383" s="3" t="str">
        <f>IF(Ticket_Table[[#This Row],[resolution_hrs]]&lt;=4,"Fast",IF(Ticket_Table[[#This Row],[resolution_hrs]]&lt;=24,"Normal",IF(Ticket_Table[[#This Row],[resolution_hrs]]&lt;=48,"Slow","Very Slow")))</f>
        <v>Very Slow</v>
      </c>
      <c r="Q2383" s="3">
        <f>YEAR(Ticket_Table[[#This Row],[raised_date]])</f>
        <v>2022</v>
      </c>
    </row>
    <row r="2384" spans="1:17">
      <c r="A2384" t="s">
        <v>2945</v>
      </c>
      <c r="B2384" t="s">
        <v>1297</v>
      </c>
      <c r="C2384" t="s">
        <v>55</v>
      </c>
      <c r="D2384" t="s">
        <v>90</v>
      </c>
      <c r="E2384" t="s">
        <v>30</v>
      </c>
      <c r="F2384" t="s">
        <v>38</v>
      </c>
      <c r="G2384" t="s">
        <v>23</v>
      </c>
      <c r="H2384" s="1">
        <v>44418</v>
      </c>
      <c r="I2384" s="2">
        <v>44419.0125</v>
      </c>
      <c r="J2384">
        <v>24.3</v>
      </c>
      <c r="K2384" t="s">
        <v>32</v>
      </c>
      <c r="L2384">
        <v>0</v>
      </c>
      <c r="M2384">
        <v>5</v>
      </c>
      <c r="N2384" t="s">
        <v>160</v>
      </c>
      <c r="O2384" s="3" t="str">
        <f>TEXT(Ticket_Table[[#This Row],[raised_date]],"YYYY-MM")</f>
        <v>2021-08</v>
      </c>
      <c r="P2384" s="3" t="str">
        <f>IF(Ticket_Table[[#This Row],[resolution_hrs]]&lt;=4,"Fast",IF(Ticket_Table[[#This Row],[resolution_hrs]]&lt;=24,"Normal",IF(Ticket_Table[[#This Row],[resolution_hrs]]&lt;=48,"Slow","Very Slow")))</f>
        <v>Slow</v>
      </c>
      <c r="Q2384" s="3">
        <f>YEAR(Ticket_Table[[#This Row],[raised_date]])</f>
        <v>2021</v>
      </c>
    </row>
    <row r="2385" spans="1:17">
      <c r="A2385" t="s">
        <v>2946</v>
      </c>
      <c r="B2385" t="s">
        <v>1252</v>
      </c>
      <c r="C2385" t="s">
        <v>140</v>
      </c>
      <c r="D2385" t="s">
        <v>20</v>
      </c>
      <c r="E2385" t="s">
        <v>69</v>
      </c>
      <c r="F2385" t="s">
        <v>70</v>
      </c>
      <c r="G2385" t="s">
        <v>74</v>
      </c>
      <c r="H2385" s="1">
        <v>44199</v>
      </c>
      <c r="I2385" s="2">
        <v>44199.775</v>
      </c>
      <c r="J2385">
        <v>18.6</v>
      </c>
      <c r="K2385" t="s">
        <v>24</v>
      </c>
      <c r="L2385">
        <v>0</v>
      </c>
      <c r="M2385">
        <v>3</v>
      </c>
      <c r="N2385" t="s">
        <v>280</v>
      </c>
      <c r="O2385" s="3" t="str">
        <f>TEXT(Ticket_Table[[#This Row],[raised_date]],"YYYY-MM")</f>
        <v>2021-01</v>
      </c>
      <c r="P2385" s="3" t="str">
        <f>IF(Ticket_Table[[#This Row],[resolution_hrs]]&lt;=4,"Fast",IF(Ticket_Table[[#This Row],[resolution_hrs]]&lt;=24,"Normal",IF(Ticket_Table[[#This Row],[resolution_hrs]]&lt;=48,"Slow","Very Slow")))</f>
        <v>Normal</v>
      </c>
      <c r="Q2385" s="3">
        <f>YEAR(Ticket_Table[[#This Row],[raised_date]])</f>
        <v>2021</v>
      </c>
    </row>
    <row r="2386" spans="1:17">
      <c r="A2386" t="s">
        <v>2947</v>
      </c>
      <c r="B2386" t="s">
        <v>452</v>
      </c>
      <c r="C2386" t="s">
        <v>60</v>
      </c>
      <c r="D2386" t="s">
        <v>20</v>
      </c>
      <c r="E2386" t="s">
        <v>83</v>
      </c>
      <c r="F2386" t="s">
        <v>70</v>
      </c>
      <c r="G2386" t="s">
        <v>31</v>
      </c>
      <c r="H2386" s="1">
        <v>44295</v>
      </c>
      <c r="I2386" s="2">
        <v>44297.075</v>
      </c>
      <c r="J2386">
        <v>49.8</v>
      </c>
      <c r="K2386" t="s">
        <v>32</v>
      </c>
      <c r="L2386">
        <v>0</v>
      </c>
      <c r="M2386">
        <v>4</v>
      </c>
      <c r="N2386" t="s">
        <v>423</v>
      </c>
      <c r="O2386" s="3" t="str">
        <f>TEXT(Ticket_Table[[#This Row],[raised_date]],"YYYY-MM")</f>
        <v>2021-04</v>
      </c>
      <c r="P2386" s="3" t="str">
        <f>IF(Ticket_Table[[#This Row],[resolution_hrs]]&lt;=4,"Fast",IF(Ticket_Table[[#This Row],[resolution_hrs]]&lt;=24,"Normal",IF(Ticket_Table[[#This Row],[resolution_hrs]]&lt;=48,"Slow","Very Slow")))</f>
        <v>Very Slow</v>
      </c>
      <c r="Q2386" s="3">
        <f>YEAR(Ticket_Table[[#This Row],[raised_date]])</f>
        <v>2021</v>
      </c>
    </row>
    <row r="2387" spans="1:17">
      <c r="A2387" t="s">
        <v>2948</v>
      </c>
      <c r="B2387" t="s">
        <v>571</v>
      </c>
      <c r="C2387" t="s">
        <v>201</v>
      </c>
      <c r="D2387" t="s">
        <v>90</v>
      </c>
      <c r="E2387" t="s">
        <v>69</v>
      </c>
      <c r="F2387" t="s">
        <v>22</v>
      </c>
      <c r="G2387" t="s">
        <v>31</v>
      </c>
      <c r="H2387" s="1">
        <v>44987</v>
      </c>
      <c r="I2387" s="2">
        <v>44990.25</v>
      </c>
      <c r="J2387">
        <v>78</v>
      </c>
      <c r="K2387" t="s">
        <v>32</v>
      </c>
      <c r="L2387">
        <v>0</v>
      </c>
      <c r="M2387">
        <v>1</v>
      </c>
      <c r="N2387" t="s">
        <v>485</v>
      </c>
      <c r="O2387" s="3" t="str">
        <f>TEXT(Ticket_Table[[#This Row],[raised_date]],"YYYY-MM")</f>
        <v>2023-03</v>
      </c>
      <c r="P2387" s="3" t="str">
        <f>IF(Ticket_Table[[#This Row],[resolution_hrs]]&lt;=4,"Fast",IF(Ticket_Table[[#This Row],[resolution_hrs]]&lt;=24,"Normal",IF(Ticket_Table[[#This Row],[resolution_hrs]]&lt;=48,"Slow","Very Slow")))</f>
        <v>Very Slow</v>
      </c>
      <c r="Q2387" s="3">
        <f>YEAR(Ticket_Table[[#This Row],[raised_date]])</f>
        <v>2023</v>
      </c>
    </row>
    <row r="2388" spans="1:17">
      <c r="A2388" t="s">
        <v>2949</v>
      </c>
      <c r="B2388" t="s">
        <v>77</v>
      </c>
      <c r="C2388" t="s">
        <v>68</v>
      </c>
      <c r="D2388" t="s">
        <v>20</v>
      </c>
      <c r="E2388" t="s">
        <v>106</v>
      </c>
      <c r="F2388" t="s">
        <v>38</v>
      </c>
      <c r="G2388" t="s">
        <v>46</v>
      </c>
      <c r="H2388" s="1">
        <v>45094</v>
      </c>
      <c r="I2388" s="2">
        <v>45094.9291666667</v>
      </c>
      <c r="J2388">
        <v>22.3</v>
      </c>
      <c r="K2388" t="s">
        <v>24</v>
      </c>
      <c r="L2388">
        <v>0</v>
      </c>
      <c r="M2388">
        <v>2</v>
      </c>
      <c r="N2388" t="s">
        <v>1297</v>
      </c>
      <c r="O2388" s="3" t="str">
        <f>TEXT(Ticket_Table[[#This Row],[raised_date]],"YYYY-MM")</f>
        <v>2023-06</v>
      </c>
      <c r="P2388" s="3" t="str">
        <f>IF(Ticket_Table[[#This Row],[resolution_hrs]]&lt;=4,"Fast",IF(Ticket_Table[[#This Row],[resolution_hrs]]&lt;=24,"Normal",IF(Ticket_Table[[#This Row],[resolution_hrs]]&lt;=48,"Slow","Very Slow")))</f>
        <v>Normal</v>
      </c>
      <c r="Q2388" s="3">
        <f>YEAR(Ticket_Table[[#This Row],[raised_date]])</f>
        <v>2023</v>
      </c>
    </row>
    <row r="2389" spans="1:17">
      <c r="A2389" t="s">
        <v>2950</v>
      </c>
      <c r="B2389" t="s">
        <v>121</v>
      </c>
      <c r="C2389" t="s">
        <v>82</v>
      </c>
      <c r="D2389" t="s">
        <v>90</v>
      </c>
      <c r="E2389" t="s">
        <v>37</v>
      </c>
      <c r="F2389" t="s">
        <v>22</v>
      </c>
      <c r="G2389" t="s">
        <v>46</v>
      </c>
      <c r="H2389" s="1">
        <v>45056</v>
      </c>
      <c r="I2389" s="2">
        <v>45057.7416666667</v>
      </c>
      <c r="J2389">
        <v>41.8</v>
      </c>
      <c r="K2389" t="s">
        <v>24</v>
      </c>
      <c r="L2389">
        <v>2</v>
      </c>
      <c r="M2389">
        <v>4</v>
      </c>
      <c r="N2389" t="s">
        <v>212</v>
      </c>
      <c r="O2389" s="3" t="str">
        <f>TEXT(Ticket_Table[[#This Row],[raised_date]],"YYYY-MM")</f>
        <v>2023-05</v>
      </c>
      <c r="P2389" s="3" t="str">
        <f>IF(Ticket_Table[[#This Row],[resolution_hrs]]&lt;=4,"Fast",IF(Ticket_Table[[#This Row],[resolution_hrs]]&lt;=24,"Normal",IF(Ticket_Table[[#This Row],[resolution_hrs]]&lt;=48,"Slow","Very Slow")))</f>
        <v>Slow</v>
      </c>
      <c r="Q2389" s="3">
        <f>YEAR(Ticket_Table[[#This Row],[raised_date]])</f>
        <v>2023</v>
      </c>
    </row>
    <row r="2390" spans="1:17">
      <c r="A2390" t="s">
        <v>2951</v>
      </c>
      <c r="B2390" t="s">
        <v>25</v>
      </c>
      <c r="C2390" t="s">
        <v>64</v>
      </c>
      <c r="D2390" t="s">
        <v>90</v>
      </c>
      <c r="E2390" t="s">
        <v>69</v>
      </c>
      <c r="F2390" t="s">
        <v>22</v>
      </c>
      <c r="G2390" t="s">
        <v>46</v>
      </c>
      <c r="H2390" s="1">
        <v>44537</v>
      </c>
      <c r="I2390" s="2">
        <v>44538.475</v>
      </c>
      <c r="J2390">
        <v>35.4</v>
      </c>
      <c r="K2390" t="s">
        <v>24</v>
      </c>
      <c r="L2390">
        <v>0</v>
      </c>
      <c r="M2390">
        <v>5</v>
      </c>
      <c r="N2390" t="s">
        <v>1337</v>
      </c>
      <c r="O2390" s="3" t="str">
        <f>TEXT(Ticket_Table[[#This Row],[raised_date]],"YYYY-MM")</f>
        <v>2021-12</v>
      </c>
      <c r="P2390" s="3" t="str">
        <f>IF(Ticket_Table[[#This Row],[resolution_hrs]]&lt;=4,"Fast",IF(Ticket_Table[[#This Row],[resolution_hrs]]&lt;=24,"Normal",IF(Ticket_Table[[#This Row],[resolution_hrs]]&lt;=48,"Slow","Very Slow")))</f>
        <v>Slow</v>
      </c>
      <c r="Q2390" s="3">
        <f>YEAR(Ticket_Table[[#This Row],[raised_date]])</f>
        <v>2021</v>
      </c>
    </row>
    <row r="2391" spans="1:17">
      <c r="A2391" t="s">
        <v>2952</v>
      </c>
      <c r="B2391" t="s">
        <v>216</v>
      </c>
      <c r="C2391" t="s">
        <v>28</v>
      </c>
      <c r="D2391" t="s">
        <v>20</v>
      </c>
      <c r="E2391" t="s">
        <v>37</v>
      </c>
      <c r="F2391" t="s">
        <v>70</v>
      </c>
      <c r="G2391" t="s">
        <v>23</v>
      </c>
      <c r="H2391" s="1">
        <v>45044</v>
      </c>
      <c r="I2391" s="2">
        <v>45045.35</v>
      </c>
      <c r="J2391">
        <v>32.4</v>
      </c>
      <c r="K2391" t="s">
        <v>24</v>
      </c>
      <c r="L2391">
        <v>0</v>
      </c>
      <c r="M2391">
        <v>4</v>
      </c>
      <c r="N2391" t="s">
        <v>760</v>
      </c>
      <c r="O2391" s="3" t="str">
        <f>TEXT(Ticket_Table[[#This Row],[raised_date]],"YYYY-MM")</f>
        <v>2023-04</v>
      </c>
      <c r="P2391" s="3" t="str">
        <f>IF(Ticket_Table[[#This Row],[resolution_hrs]]&lt;=4,"Fast",IF(Ticket_Table[[#This Row],[resolution_hrs]]&lt;=24,"Normal",IF(Ticket_Table[[#This Row],[resolution_hrs]]&lt;=48,"Slow","Very Slow")))</f>
        <v>Slow</v>
      </c>
      <c r="Q2391" s="3">
        <f>YEAR(Ticket_Table[[#This Row],[raised_date]])</f>
        <v>2023</v>
      </c>
    </row>
    <row r="2392" spans="1:17">
      <c r="A2392" t="s">
        <v>2953</v>
      </c>
      <c r="B2392" t="s">
        <v>1356</v>
      </c>
      <c r="C2392" t="s">
        <v>19</v>
      </c>
      <c r="D2392" t="s">
        <v>29</v>
      </c>
      <c r="E2392" t="s">
        <v>56</v>
      </c>
      <c r="F2392" t="s">
        <v>22</v>
      </c>
      <c r="G2392" t="s">
        <v>46</v>
      </c>
      <c r="H2392" s="1">
        <v>45206</v>
      </c>
      <c r="I2392" s="2">
        <v>45206.0666666667</v>
      </c>
      <c r="J2392">
        <v>1.6</v>
      </c>
      <c r="K2392" t="s">
        <v>24</v>
      </c>
      <c r="L2392">
        <v>1</v>
      </c>
      <c r="M2392">
        <v>3</v>
      </c>
      <c r="N2392" t="s">
        <v>1025</v>
      </c>
      <c r="O2392" s="3" t="str">
        <f>TEXT(Ticket_Table[[#This Row],[raised_date]],"YYYY-MM")</f>
        <v>2023-10</v>
      </c>
      <c r="P2392" s="3" t="str">
        <f>IF(Ticket_Table[[#This Row],[resolution_hrs]]&lt;=4,"Fast",IF(Ticket_Table[[#This Row],[resolution_hrs]]&lt;=24,"Normal",IF(Ticket_Table[[#This Row],[resolution_hrs]]&lt;=48,"Slow","Very Slow")))</f>
        <v>Fast</v>
      </c>
      <c r="Q2392" s="3">
        <f>YEAR(Ticket_Table[[#This Row],[raised_date]])</f>
        <v>2023</v>
      </c>
    </row>
    <row r="2393" spans="1:17">
      <c r="A2393" t="s">
        <v>2954</v>
      </c>
      <c r="B2393" t="s">
        <v>680</v>
      </c>
      <c r="C2393" t="s">
        <v>60</v>
      </c>
      <c r="D2393" t="s">
        <v>43</v>
      </c>
      <c r="E2393" t="s">
        <v>106</v>
      </c>
      <c r="F2393" t="s">
        <v>22</v>
      </c>
      <c r="G2393" t="s">
        <v>23</v>
      </c>
      <c r="H2393" s="1">
        <v>44972</v>
      </c>
      <c r="I2393" s="2">
        <v>44975.9208333333</v>
      </c>
      <c r="J2393">
        <v>94.1</v>
      </c>
      <c r="K2393" t="s">
        <v>32</v>
      </c>
      <c r="L2393">
        <v>0</v>
      </c>
      <c r="M2393">
        <v>2</v>
      </c>
      <c r="N2393" t="s">
        <v>658</v>
      </c>
      <c r="O2393" s="3" t="str">
        <f>TEXT(Ticket_Table[[#This Row],[raised_date]],"YYYY-MM")</f>
        <v>2023-02</v>
      </c>
      <c r="P2393" s="3" t="str">
        <f>IF(Ticket_Table[[#This Row],[resolution_hrs]]&lt;=4,"Fast",IF(Ticket_Table[[#This Row],[resolution_hrs]]&lt;=24,"Normal",IF(Ticket_Table[[#This Row],[resolution_hrs]]&lt;=48,"Slow","Very Slow")))</f>
        <v>Very Slow</v>
      </c>
      <c r="Q2393" s="3">
        <f>YEAR(Ticket_Table[[#This Row],[raised_date]])</f>
        <v>2023</v>
      </c>
    </row>
    <row r="2394" spans="1:17">
      <c r="A2394" t="s">
        <v>2955</v>
      </c>
      <c r="B2394" t="s">
        <v>746</v>
      </c>
      <c r="C2394" t="s">
        <v>140</v>
      </c>
      <c r="D2394" t="s">
        <v>36</v>
      </c>
      <c r="E2394" t="s">
        <v>21</v>
      </c>
      <c r="F2394" t="s">
        <v>70</v>
      </c>
      <c r="G2394" t="s">
        <v>23</v>
      </c>
      <c r="H2394" s="1">
        <v>44916</v>
      </c>
      <c r="I2394" s="2">
        <v>44916.25</v>
      </c>
      <c r="J2394">
        <v>6</v>
      </c>
      <c r="K2394" t="s">
        <v>24</v>
      </c>
      <c r="L2394">
        <v>1</v>
      </c>
      <c r="M2394">
        <v>5</v>
      </c>
      <c r="N2394" t="s">
        <v>296</v>
      </c>
      <c r="O2394" s="3" t="str">
        <f>TEXT(Ticket_Table[[#This Row],[raised_date]],"YYYY-MM")</f>
        <v>2022-12</v>
      </c>
      <c r="P2394" s="3" t="str">
        <f>IF(Ticket_Table[[#This Row],[resolution_hrs]]&lt;=4,"Fast",IF(Ticket_Table[[#This Row],[resolution_hrs]]&lt;=24,"Normal",IF(Ticket_Table[[#This Row],[resolution_hrs]]&lt;=48,"Slow","Very Slow")))</f>
        <v>Normal</v>
      </c>
      <c r="Q2394" s="3">
        <f>YEAR(Ticket_Table[[#This Row],[raised_date]])</f>
        <v>2022</v>
      </c>
    </row>
    <row r="2395" spans="1:17">
      <c r="A2395" t="s">
        <v>2956</v>
      </c>
      <c r="B2395" t="s">
        <v>767</v>
      </c>
      <c r="C2395" t="s">
        <v>175</v>
      </c>
      <c r="D2395" t="s">
        <v>43</v>
      </c>
      <c r="E2395" t="s">
        <v>83</v>
      </c>
      <c r="F2395" t="s">
        <v>38</v>
      </c>
      <c r="G2395" t="s">
        <v>46</v>
      </c>
      <c r="H2395" s="1">
        <v>44965</v>
      </c>
      <c r="I2395" s="2">
        <v>44965.3208333333</v>
      </c>
      <c r="J2395">
        <v>7.7</v>
      </c>
      <c r="K2395" t="s">
        <v>24</v>
      </c>
      <c r="L2395">
        <v>1</v>
      </c>
      <c r="M2395">
        <v>4</v>
      </c>
      <c r="N2395" t="s">
        <v>464</v>
      </c>
      <c r="O2395" s="3" t="str">
        <f>TEXT(Ticket_Table[[#This Row],[raised_date]],"YYYY-MM")</f>
        <v>2023-02</v>
      </c>
      <c r="P2395" s="3" t="str">
        <f>IF(Ticket_Table[[#This Row],[resolution_hrs]]&lt;=4,"Fast",IF(Ticket_Table[[#This Row],[resolution_hrs]]&lt;=24,"Normal",IF(Ticket_Table[[#This Row],[resolution_hrs]]&lt;=48,"Slow","Very Slow")))</f>
        <v>Normal</v>
      </c>
      <c r="Q2395" s="3">
        <f>YEAR(Ticket_Table[[#This Row],[raised_date]])</f>
        <v>2023</v>
      </c>
    </row>
    <row r="2396" spans="1:17">
      <c r="A2396" t="s">
        <v>2957</v>
      </c>
      <c r="B2396" t="s">
        <v>817</v>
      </c>
      <c r="C2396" t="s">
        <v>201</v>
      </c>
      <c r="D2396" t="s">
        <v>36</v>
      </c>
      <c r="E2396" t="s">
        <v>83</v>
      </c>
      <c r="F2396" t="s">
        <v>38</v>
      </c>
      <c r="G2396" t="s">
        <v>31</v>
      </c>
      <c r="H2396" s="1">
        <v>44404</v>
      </c>
      <c r="I2396" s="2">
        <v>44404.9666666667</v>
      </c>
      <c r="J2396">
        <v>23.2</v>
      </c>
      <c r="K2396" t="s">
        <v>24</v>
      </c>
      <c r="L2396">
        <v>2</v>
      </c>
      <c r="M2396">
        <v>5</v>
      </c>
      <c r="N2396" t="s">
        <v>687</v>
      </c>
      <c r="O2396" s="3" t="str">
        <f>TEXT(Ticket_Table[[#This Row],[raised_date]],"YYYY-MM")</f>
        <v>2021-07</v>
      </c>
      <c r="P2396" s="3" t="str">
        <f>IF(Ticket_Table[[#This Row],[resolution_hrs]]&lt;=4,"Fast",IF(Ticket_Table[[#This Row],[resolution_hrs]]&lt;=24,"Normal",IF(Ticket_Table[[#This Row],[resolution_hrs]]&lt;=48,"Slow","Very Slow")))</f>
        <v>Normal</v>
      </c>
      <c r="Q2396" s="3">
        <f>YEAR(Ticket_Table[[#This Row],[raised_date]])</f>
        <v>2021</v>
      </c>
    </row>
    <row r="2397" spans="1:17">
      <c r="A2397" t="s">
        <v>2958</v>
      </c>
      <c r="B2397" t="s">
        <v>760</v>
      </c>
      <c r="C2397" t="s">
        <v>82</v>
      </c>
      <c r="D2397" t="s">
        <v>36</v>
      </c>
      <c r="E2397" t="s">
        <v>30</v>
      </c>
      <c r="F2397" t="s">
        <v>70</v>
      </c>
      <c r="G2397" t="s">
        <v>46</v>
      </c>
      <c r="H2397" s="1">
        <v>45178</v>
      </c>
      <c r="I2397" s="2">
        <v>45178.4583333333</v>
      </c>
      <c r="J2397">
        <v>11</v>
      </c>
      <c r="K2397" t="s">
        <v>24</v>
      </c>
      <c r="L2397">
        <v>0</v>
      </c>
      <c r="M2397">
        <v>2</v>
      </c>
      <c r="N2397" t="s">
        <v>710</v>
      </c>
      <c r="O2397" s="3" t="str">
        <f>TEXT(Ticket_Table[[#This Row],[raised_date]],"YYYY-MM")</f>
        <v>2023-09</v>
      </c>
      <c r="P2397" s="3" t="str">
        <f>IF(Ticket_Table[[#This Row],[resolution_hrs]]&lt;=4,"Fast",IF(Ticket_Table[[#This Row],[resolution_hrs]]&lt;=24,"Normal",IF(Ticket_Table[[#This Row],[resolution_hrs]]&lt;=48,"Slow","Very Slow")))</f>
        <v>Normal</v>
      </c>
      <c r="Q2397" s="3">
        <f>YEAR(Ticket_Table[[#This Row],[raised_date]])</f>
        <v>2023</v>
      </c>
    </row>
    <row r="2398" spans="1:17">
      <c r="A2398" t="s">
        <v>2959</v>
      </c>
      <c r="B2398" t="s">
        <v>352</v>
      </c>
      <c r="C2398" t="s">
        <v>287</v>
      </c>
      <c r="D2398" t="s">
        <v>43</v>
      </c>
      <c r="E2398" t="s">
        <v>21</v>
      </c>
      <c r="F2398" t="s">
        <v>22</v>
      </c>
      <c r="G2398" t="s">
        <v>31</v>
      </c>
      <c r="H2398" s="1">
        <v>44658</v>
      </c>
      <c r="I2398" s="2">
        <v>44658.9541666667</v>
      </c>
      <c r="J2398">
        <v>22.9</v>
      </c>
      <c r="K2398" t="s">
        <v>24</v>
      </c>
      <c r="L2398">
        <v>0</v>
      </c>
      <c r="M2398">
        <v>5</v>
      </c>
      <c r="N2398" t="s">
        <v>458</v>
      </c>
      <c r="O2398" s="3" t="str">
        <f>TEXT(Ticket_Table[[#This Row],[raised_date]],"YYYY-MM")</f>
        <v>2022-04</v>
      </c>
      <c r="P2398" s="3" t="str">
        <f>IF(Ticket_Table[[#This Row],[resolution_hrs]]&lt;=4,"Fast",IF(Ticket_Table[[#This Row],[resolution_hrs]]&lt;=24,"Normal",IF(Ticket_Table[[#This Row],[resolution_hrs]]&lt;=48,"Slow","Very Slow")))</f>
        <v>Normal</v>
      </c>
      <c r="Q2398" s="3">
        <f>YEAR(Ticket_Table[[#This Row],[raised_date]])</f>
        <v>2022</v>
      </c>
    </row>
    <row r="2399" spans="1:17">
      <c r="A2399" t="s">
        <v>2960</v>
      </c>
      <c r="B2399" t="s">
        <v>1022</v>
      </c>
      <c r="C2399" t="s">
        <v>261</v>
      </c>
      <c r="D2399" t="s">
        <v>90</v>
      </c>
      <c r="E2399" t="s">
        <v>44</v>
      </c>
      <c r="F2399" t="s">
        <v>22</v>
      </c>
      <c r="G2399" t="s">
        <v>23</v>
      </c>
      <c r="H2399" s="1">
        <v>44530</v>
      </c>
      <c r="I2399" s="2">
        <v>44530.45</v>
      </c>
      <c r="J2399">
        <v>10.8</v>
      </c>
      <c r="K2399" t="s">
        <v>24</v>
      </c>
      <c r="L2399">
        <v>0</v>
      </c>
      <c r="M2399">
        <v>5</v>
      </c>
      <c r="N2399" t="s">
        <v>109</v>
      </c>
      <c r="O2399" s="3" t="str">
        <f>TEXT(Ticket_Table[[#This Row],[raised_date]],"YYYY-MM")</f>
        <v>2021-11</v>
      </c>
      <c r="P2399" s="3" t="str">
        <f>IF(Ticket_Table[[#This Row],[resolution_hrs]]&lt;=4,"Fast",IF(Ticket_Table[[#This Row],[resolution_hrs]]&lt;=24,"Normal",IF(Ticket_Table[[#This Row],[resolution_hrs]]&lt;=48,"Slow","Very Slow")))</f>
        <v>Normal</v>
      </c>
      <c r="Q2399" s="3">
        <f>YEAR(Ticket_Table[[#This Row],[raised_date]])</f>
        <v>2021</v>
      </c>
    </row>
    <row r="2400" spans="1:17">
      <c r="A2400" t="s">
        <v>2961</v>
      </c>
      <c r="B2400" t="s">
        <v>189</v>
      </c>
      <c r="C2400" t="s">
        <v>102</v>
      </c>
      <c r="D2400" t="s">
        <v>20</v>
      </c>
      <c r="E2400" t="s">
        <v>83</v>
      </c>
      <c r="F2400" t="s">
        <v>45</v>
      </c>
      <c r="G2400" t="s">
        <v>31</v>
      </c>
      <c r="H2400" s="1">
        <v>45121</v>
      </c>
      <c r="I2400" s="2">
        <v>45121.1666666667</v>
      </c>
      <c r="J2400">
        <v>4</v>
      </c>
      <c r="K2400" t="s">
        <v>24</v>
      </c>
      <c r="L2400">
        <v>1</v>
      </c>
      <c r="M2400">
        <v>5</v>
      </c>
      <c r="N2400" t="s">
        <v>988</v>
      </c>
      <c r="O2400" s="3" t="str">
        <f>TEXT(Ticket_Table[[#This Row],[raised_date]],"YYYY-MM")</f>
        <v>2023-07</v>
      </c>
      <c r="P2400" s="3" t="str">
        <f>IF(Ticket_Table[[#This Row],[resolution_hrs]]&lt;=4,"Fast",IF(Ticket_Table[[#This Row],[resolution_hrs]]&lt;=24,"Normal",IF(Ticket_Table[[#This Row],[resolution_hrs]]&lt;=48,"Slow","Very Slow")))</f>
        <v>Fast</v>
      </c>
      <c r="Q2400" s="3">
        <f>YEAR(Ticket_Table[[#This Row],[raised_date]])</f>
        <v>2023</v>
      </c>
    </row>
    <row r="2401" spans="1:17">
      <c r="A2401" t="s">
        <v>2962</v>
      </c>
      <c r="B2401" t="s">
        <v>154</v>
      </c>
      <c r="C2401" t="s">
        <v>28</v>
      </c>
      <c r="D2401" t="s">
        <v>29</v>
      </c>
      <c r="E2401" t="s">
        <v>51</v>
      </c>
      <c r="F2401" t="s">
        <v>70</v>
      </c>
      <c r="G2401" t="s">
        <v>74</v>
      </c>
      <c r="H2401" s="1">
        <v>44347</v>
      </c>
      <c r="I2401" s="2">
        <v>44349.5</v>
      </c>
      <c r="J2401">
        <v>60</v>
      </c>
      <c r="K2401" t="s">
        <v>32</v>
      </c>
      <c r="L2401">
        <v>0</v>
      </c>
      <c r="M2401">
        <v>1</v>
      </c>
      <c r="N2401" t="s">
        <v>810</v>
      </c>
      <c r="O2401" s="3" t="str">
        <f>TEXT(Ticket_Table[[#This Row],[raised_date]],"YYYY-MM")</f>
        <v>2021-05</v>
      </c>
      <c r="P2401" s="3" t="str">
        <f>IF(Ticket_Table[[#This Row],[resolution_hrs]]&lt;=4,"Fast",IF(Ticket_Table[[#This Row],[resolution_hrs]]&lt;=24,"Normal",IF(Ticket_Table[[#This Row],[resolution_hrs]]&lt;=48,"Slow","Very Slow")))</f>
        <v>Very Slow</v>
      </c>
      <c r="Q2401" s="3">
        <f>YEAR(Ticket_Table[[#This Row],[raised_date]])</f>
        <v>2021</v>
      </c>
    </row>
    <row r="2402" spans="1:17">
      <c r="A2402" t="s">
        <v>2963</v>
      </c>
      <c r="B2402" t="s">
        <v>470</v>
      </c>
      <c r="C2402" t="s">
        <v>140</v>
      </c>
      <c r="D2402" t="s">
        <v>29</v>
      </c>
      <c r="E2402" t="s">
        <v>44</v>
      </c>
      <c r="F2402" t="s">
        <v>38</v>
      </c>
      <c r="G2402" t="s">
        <v>31</v>
      </c>
      <c r="H2402" s="1">
        <v>44265</v>
      </c>
      <c r="I2402" s="2">
        <v>44266.4</v>
      </c>
      <c r="J2402">
        <v>33.6</v>
      </c>
      <c r="K2402" t="s">
        <v>32</v>
      </c>
      <c r="L2402">
        <v>0</v>
      </c>
      <c r="M2402">
        <v>4</v>
      </c>
      <c r="N2402" t="s">
        <v>1382</v>
      </c>
      <c r="O2402" s="3" t="str">
        <f>TEXT(Ticket_Table[[#This Row],[raised_date]],"YYYY-MM")</f>
        <v>2021-03</v>
      </c>
      <c r="P2402" s="3" t="str">
        <f>IF(Ticket_Table[[#This Row],[resolution_hrs]]&lt;=4,"Fast",IF(Ticket_Table[[#This Row],[resolution_hrs]]&lt;=24,"Normal",IF(Ticket_Table[[#This Row],[resolution_hrs]]&lt;=48,"Slow","Very Slow")))</f>
        <v>Slow</v>
      </c>
      <c r="Q2402" s="3">
        <f>YEAR(Ticket_Table[[#This Row],[raised_date]])</f>
        <v>2021</v>
      </c>
    </row>
    <row r="2403" spans="1:17">
      <c r="A2403" t="s">
        <v>2964</v>
      </c>
      <c r="B2403" t="s">
        <v>300</v>
      </c>
      <c r="C2403" t="s">
        <v>133</v>
      </c>
      <c r="D2403" t="s">
        <v>29</v>
      </c>
      <c r="E2403" t="s">
        <v>83</v>
      </c>
      <c r="F2403" t="s">
        <v>22</v>
      </c>
      <c r="G2403" t="s">
        <v>74</v>
      </c>
      <c r="H2403" s="1">
        <v>44800</v>
      </c>
      <c r="I2403" s="2">
        <v>44801.0958333333</v>
      </c>
      <c r="J2403">
        <v>26.3</v>
      </c>
      <c r="K2403" t="s">
        <v>24</v>
      </c>
      <c r="L2403">
        <v>0</v>
      </c>
      <c r="M2403">
        <v>4</v>
      </c>
      <c r="N2403" t="s">
        <v>950</v>
      </c>
      <c r="O2403" s="3" t="str">
        <f>TEXT(Ticket_Table[[#This Row],[raised_date]],"YYYY-MM")</f>
        <v>2022-08</v>
      </c>
      <c r="P2403" s="3" t="str">
        <f>IF(Ticket_Table[[#This Row],[resolution_hrs]]&lt;=4,"Fast",IF(Ticket_Table[[#This Row],[resolution_hrs]]&lt;=24,"Normal",IF(Ticket_Table[[#This Row],[resolution_hrs]]&lt;=48,"Slow","Very Slow")))</f>
        <v>Slow</v>
      </c>
      <c r="Q2403" s="3">
        <f>YEAR(Ticket_Table[[#This Row],[raised_date]])</f>
        <v>2022</v>
      </c>
    </row>
    <row r="2404" spans="1:17">
      <c r="A2404" t="s">
        <v>2965</v>
      </c>
      <c r="B2404" t="s">
        <v>130</v>
      </c>
      <c r="C2404" t="s">
        <v>78</v>
      </c>
      <c r="D2404" t="s">
        <v>43</v>
      </c>
      <c r="E2404" t="s">
        <v>56</v>
      </c>
      <c r="F2404" t="s">
        <v>70</v>
      </c>
      <c r="G2404" t="s">
        <v>91</v>
      </c>
      <c r="H2404" s="1">
        <v>44238</v>
      </c>
      <c r="I2404" s="2">
        <v>44238.2708333333</v>
      </c>
      <c r="J2404">
        <v>6.5</v>
      </c>
      <c r="K2404" t="s">
        <v>24</v>
      </c>
      <c r="L2404">
        <v>0</v>
      </c>
      <c r="M2404">
        <v>4</v>
      </c>
      <c r="N2404" t="s">
        <v>968</v>
      </c>
      <c r="O2404" s="3" t="str">
        <f>TEXT(Ticket_Table[[#This Row],[raised_date]],"YYYY-MM")</f>
        <v>2021-02</v>
      </c>
      <c r="P2404" s="3" t="str">
        <f>IF(Ticket_Table[[#This Row],[resolution_hrs]]&lt;=4,"Fast",IF(Ticket_Table[[#This Row],[resolution_hrs]]&lt;=24,"Normal",IF(Ticket_Table[[#This Row],[resolution_hrs]]&lt;=48,"Slow","Very Slow")))</f>
        <v>Normal</v>
      </c>
      <c r="Q2404" s="3">
        <f>YEAR(Ticket_Table[[#This Row],[raised_date]])</f>
        <v>2021</v>
      </c>
    </row>
    <row r="2405" spans="1:17">
      <c r="A2405" t="s">
        <v>2966</v>
      </c>
      <c r="B2405" t="s">
        <v>449</v>
      </c>
      <c r="C2405" t="s">
        <v>55</v>
      </c>
      <c r="D2405" t="s">
        <v>43</v>
      </c>
      <c r="E2405" t="s">
        <v>106</v>
      </c>
      <c r="F2405" t="s">
        <v>22</v>
      </c>
      <c r="G2405" t="s">
        <v>31</v>
      </c>
      <c r="H2405" s="1">
        <v>44849</v>
      </c>
      <c r="I2405" s="2">
        <v>44852.275</v>
      </c>
      <c r="J2405">
        <v>78.6</v>
      </c>
      <c r="K2405" t="s">
        <v>32</v>
      </c>
      <c r="L2405">
        <v>1</v>
      </c>
      <c r="M2405">
        <v>4</v>
      </c>
      <c r="N2405" t="s">
        <v>191</v>
      </c>
      <c r="O2405" s="3" t="str">
        <f>TEXT(Ticket_Table[[#This Row],[raised_date]],"YYYY-MM")</f>
        <v>2022-10</v>
      </c>
      <c r="P2405" s="3" t="str">
        <f>IF(Ticket_Table[[#This Row],[resolution_hrs]]&lt;=4,"Fast",IF(Ticket_Table[[#This Row],[resolution_hrs]]&lt;=24,"Normal",IF(Ticket_Table[[#This Row],[resolution_hrs]]&lt;=48,"Slow","Very Slow")))</f>
        <v>Very Slow</v>
      </c>
      <c r="Q2405" s="3">
        <f>YEAR(Ticket_Table[[#This Row],[raised_date]])</f>
        <v>2022</v>
      </c>
    </row>
    <row r="2406" spans="1:17">
      <c r="A2406" t="s">
        <v>2967</v>
      </c>
      <c r="B2406" t="s">
        <v>212</v>
      </c>
      <c r="C2406" t="s">
        <v>102</v>
      </c>
      <c r="D2406" t="s">
        <v>90</v>
      </c>
      <c r="E2406" t="s">
        <v>106</v>
      </c>
      <c r="F2406" t="s">
        <v>70</v>
      </c>
      <c r="G2406" t="s">
        <v>23</v>
      </c>
      <c r="H2406" s="1">
        <v>44731</v>
      </c>
      <c r="I2406" s="2">
        <v>44731.9625</v>
      </c>
      <c r="J2406">
        <v>23.1</v>
      </c>
      <c r="K2406" t="s">
        <v>24</v>
      </c>
      <c r="L2406">
        <v>0</v>
      </c>
      <c r="M2406">
        <v>4</v>
      </c>
      <c r="N2406" t="s">
        <v>787</v>
      </c>
      <c r="O2406" s="3" t="str">
        <f>TEXT(Ticket_Table[[#This Row],[raised_date]],"YYYY-MM")</f>
        <v>2022-06</v>
      </c>
      <c r="P2406" s="3" t="str">
        <f>IF(Ticket_Table[[#This Row],[resolution_hrs]]&lt;=4,"Fast",IF(Ticket_Table[[#This Row],[resolution_hrs]]&lt;=24,"Normal",IF(Ticket_Table[[#This Row],[resolution_hrs]]&lt;=48,"Slow","Very Slow")))</f>
        <v>Normal</v>
      </c>
      <c r="Q2406" s="3">
        <f>YEAR(Ticket_Table[[#This Row],[raised_date]])</f>
        <v>2022</v>
      </c>
    </row>
    <row r="2407" spans="1:17">
      <c r="A2407" t="s">
        <v>2968</v>
      </c>
      <c r="B2407" t="s">
        <v>495</v>
      </c>
      <c r="C2407" t="s">
        <v>55</v>
      </c>
      <c r="D2407" t="s">
        <v>29</v>
      </c>
      <c r="E2407" t="s">
        <v>51</v>
      </c>
      <c r="F2407" t="s">
        <v>45</v>
      </c>
      <c r="G2407" t="s">
        <v>23</v>
      </c>
      <c r="H2407" s="1">
        <v>44411</v>
      </c>
      <c r="I2407" s="2">
        <v>44411.1916666667</v>
      </c>
      <c r="J2407">
        <v>4.6</v>
      </c>
      <c r="K2407" t="s">
        <v>32</v>
      </c>
      <c r="L2407">
        <v>0</v>
      </c>
      <c r="M2407">
        <v>5</v>
      </c>
      <c r="N2407" t="s">
        <v>1533</v>
      </c>
      <c r="O2407" s="3" t="str">
        <f>TEXT(Ticket_Table[[#This Row],[raised_date]],"YYYY-MM")</f>
        <v>2021-08</v>
      </c>
      <c r="P2407" s="3" t="str">
        <f>IF(Ticket_Table[[#This Row],[resolution_hrs]]&lt;=4,"Fast",IF(Ticket_Table[[#This Row],[resolution_hrs]]&lt;=24,"Normal",IF(Ticket_Table[[#This Row],[resolution_hrs]]&lt;=48,"Slow","Very Slow")))</f>
        <v>Normal</v>
      </c>
      <c r="Q2407" s="3">
        <f>YEAR(Ticket_Table[[#This Row],[raised_date]])</f>
        <v>2021</v>
      </c>
    </row>
    <row r="2408" spans="1:17">
      <c r="A2408" t="s">
        <v>2969</v>
      </c>
      <c r="B2408" t="s">
        <v>1107</v>
      </c>
      <c r="C2408" t="s">
        <v>133</v>
      </c>
      <c r="D2408" t="s">
        <v>90</v>
      </c>
      <c r="E2408" t="s">
        <v>56</v>
      </c>
      <c r="F2408" t="s">
        <v>45</v>
      </c>
      <c r="G2408" t="s">
        <v>31</v>
      </c>
      <c r="H2408" s="1">
        <v>44348</v>
      </c>
      <c r="I2408" s="2">
        <v>44348.0916666667</v>
      </c>
      <c r="J2408">
        <v>2.2</v>
      </c>
      <c r="K2408" t="s">
        <v>24</v>
      </c>
      <c r="L2408">
        <v>0</v>
      </c>
      <c r="M2408">
        <v>4</v>
      </c>
      <c r="N2408" t="s">
        <v>1195</v>
      </c>
      <c r="O2408" s="3" t="str">
        <f>TEXT(Ticket_Table[[#This Row],[raised_date]],"YYYY-MM")</f>
        <v>2021-06</v>
      </c>
      <c r="P2408" s="3" t="str">
        <f>IF(Ticket_Table[[#This Row],[resolution_hrs]]&lt;=4,"Fast",IF(Ticket_Table[[#This Row],[resolution_hrs]]&lt;=24,"Normal",IF(Ticket_Table[[#This Row],[resolution_hrs]]&lt;=48,"Slow","Very Slow")))</f>
        <v>Fast</v>
      </c>
      <c r="Q2408" s="3">
        <f>YEAR(Ticket_Table[[#This Row],[raised_date]])</f>
        <v>2021</v>
      </c>
    </row>
    <row r="2409" spans="1:17">
      <c r="A2409" t="s">
        <v>2970</v>
      </c>
      <c r="B2409" t="s">
        <v>352</v>
      </c>
      <c r="C2409" t="s">
        <v>64</v>
      </c>
      <c r="D2409" t="s">
        <v>29</v>
      </c>
      <c r="E2409" t="s">
        <v>51</v>
      </c>
      <c r="F2409" t="s">
        <v>70</v>
      </c>
      <c r="G2409" t="s">
        <v>31</v>
      </c>
      <c r="H2409" s="1">
        <v>44897</v>
      </c>
      <c r="I2409" s="2">
        <v>44897.5625</v>
      </c>
      <c r="J2409">
        <v>13.5</v>
      </c>
      <c r="K2409" t="s">
        <v>24</v>
      </c>
      <c r="L2409">
        <v>1</v>
      </c>
      <c r="M2409">
        <v>4</v>
      </c>
      <c r="N2409" t="s">
        <v>680</v>
      </c>
      <c r="O2409" s="3" t="str">
        <f>TEXT(Ticket_Table[[#This Row],[raised_date]],"YYYY-MM")</f>
        <v>2022-12</v>
      </c>
      <c r="P2409" s="3" t="str">
        <f>IF(Ticket_Table[[#This Row],[resolution_hrs]]&lt;=4,"Fast",IF(Ticket_Table[[#This Row],[resolution_hrs]]&lt;=24,"Normal",IF(Ticket_Table[[#This Row],[resolution_hrs]]&lt;=48,"Slow","Very Slow")))</f>
        <v>Normal</v>
      </c>
      <c r="Q2409" s="3">
        <f>YEAR(Ticket_Table[[#This Row],[raised_date]])</f>
        <v>2022</v>
      </c>
    </row>
    <row r="2410" spans="1:17">
      <c r="A2410" t="s">
        <v>2971</v>
      </c>
      <c r="B2410" t="s">
        <v>320</v>
      </c>
      <c r="C2410" t="s">
        <v>68</v>
      </c>
      <c r="D2410" t="s">
        <v>43</v>
      </c>
      <c r="E2410" t="s">
        <v>37</v>
      </c>
      <c r="F2410" t="s">
        <v>70</v>
      </c>
      <c r="G2410" t="s">
        <v>31</v>
      </c>
      <c r="H2410" s="1">
        <v>44545</v>
      </c>
      <c r="I2410" s="2">
        <v>44545.7791666667</v>
      </c>
      <c r="J2410">
        <v>18.7</v>
      </c>
      <c r="K2410" t="s">
        <v>24</v>
      </c>
      <c r="L2410">
        <v>1</v>
      </c>
      <c r="M2410">
        <v>4</v>
      </c>
      <c r="N2410" t="s">
        <v>802</v>
      </c>
      <c r="O2410" s="3" t="str">
        <f>TEXT(Ticket_Table[[#This Row],[raised_date]],"YYYY-MM")</f>
        <v>2021-12</v>
      </c>
      <c r="P2410" s="3" t="str">
        <f>IF(Ticket_Table[[#This Row],[resolution_hrs]]&lt;=4,"Fast",IF(Ticket_Table[[#This Row],[resolution_hrs]]&lt;=24,"Normal",IF(Ticket_Table[[#This Row],[resolution_hrs]]&lt;=48,"Slow","Very Slow")))</f>
        <v>Normal</v>
      </c>
      <c r="Q2410" s="3">
        <f>YEAR(Ticket_Table[[#This Row],[raised_date]])</f>
        <v>2021</v>
      </c>
    </row>
    <row r="2411" spans="1:17">
      <c r="A2411" t="s">
        <v>2972</v>
      </c>
      <c r="B2411" t="s">
        <v>1857</v>
      </c>
      <c r="C2411" t="s">
        <v>78</v>
      </c>
      <c r="D2411" t="s">
        <v>20</v>
      </c>
      <c r="E2411" t="s">
        <v>166</v>
      </c>
      <c r="F2411" t="s">
        <v>45</v>
      </c>
      <c r="G2411" t="s">
        <v>31</v>
      </c>
      <c r="H2411" s="1">
        <v>44965</v>
      </c>
      <c r="I2411" s="2">
        <v>44965.1</v>
      </c>
      <c r="J2411">
        <v>2.4</v>
      </c>
      <c r="K2411" t="s">
        <v>24</v>
      </c>
      <c r="L2411">
        <v>0</v>
      </c>
      <c r="M2411">
        <v>4</v>
      </c>
      <c r="N2411" t="s">
        <v>1025</v>
      </c>
      <c r="O2411" s="3" t="str">
        <f>TEXT(Ticket_Table[[#This Row],[raised_date]],"YYYY-MM")</f>
        <v>2023-02</v>
      </c>
      <c r="P2411" s="3" t="str">
        <f>IF(Ticket_Table[[#This Row],[resolution_hrs]]&lt;=4,"Fast",IF(Ticket_Table[[#This Row],[resolution_hrs]]&lt;=24,"Normal",IF(Ticket_Table[[#This Row],[resolution_hrs]]&lt;=48,"Slow","Very Slow")))</f>
        <v>Fast</v>
      </c>
      <c r="Q2411" s="3">
        <f>YEAR(Ticket_Table[[#This Row],[raised_date]])</f>
        <v>2023</v>
      </c>
    </row>
    <row r="2412" spans="1:17">
      <c r="A2412" t="s">
        <v>2973</v>
      </c>
      <c r="B2412" t="s">
        <v>25</v>
      </c>
      <c r="C2412" t="s">
        <v>102</v>
      </c>
      <c r="D2412" t="s">
        <v>20</v>
      </c>
      <c r="E2412" t="s">
        <v>83</v>
      </c>
      <c r="F2412" t="s">
        <v>38</v>
      </c>
      <c r="G2412" t="s">
        <v>31</v>
      </c>
      <c r="H2412" s="1">
        <v>44526</v>
      </c>
      <c r="I2412" s="2">
        <v>44526.6958333333</v>
      </c>
      <c r="J2412">
        <v>16.7</v>
      </c>
      <c r="K2412" t="s">
        <v>24</v>
      </c>
      <c r="L2412">
        <v>0</v>
      </c>
      <c r="M2412">
        <v>3</v>
      </c>
      <c r="N2412" t="s">
        <v>63</v>
      </c>
      <c r="O2412" s="3" t="str">
        <f>TEXT(Ticket_Table[[#This Row],[raised_date]],"YYYY-MM")</f>
        <v>2021-11</v>
      </c>
      <c r="P2412" s="3" t="str">
        <f>IF(Ticket_Table[[#This Row],[resolution_hrs]]&lt;=4,"Fast",IF(Ticket_Table[[#This Row],[resolution_hrs]]&lt;=24,"Normal",IF(Ticket_Table[[#This Row],[resolution_hrs]]&lt;=48,"Slow","Very Slow")))</f>
        <v>Normal</v>
      </c>
      <c r="Q2412" s="3">
        <f>YEAR(Ticket_Table[[#This Row],[raised_date]])</f>
        <v>2021</v>
      </c>
    </row>
    <row r="2413" spans="1:17">
      <c r="A2413" t="s">
        <v>2974</v>
      </c>
      <c r="B2413" t="s">
        <v>873</v>
      </c>
      <c r="C2413" t="s">
        <v>82</v>
      </c>
      <c r="D2413" t="s">
        <v>20</v>
      </c>
      <c r="E2413" t="s">
        <v>56</v>
      </c>
      <c r="F2413" t="s">
        <v>22</v>
      </c>
      <c r="G2413" t="s">
        <v>23</v>
      </c>
      <c r="H2413" s="1">
        <v>44350</v>
      </c>
      <c r="I2413" s="2">
        <v>44352.875</v>
      </c>
      <c r="J2413">
        <v>69</v>
      </c>
      <c r="K2413" t="s">
        <v>24</v>
      </c>
      <c r="L2413">
        <v>0</v>
      </c>
      <c r="M2413">
        <v>3</v>
      </c>
      <c r="N2413" t="s">
        <v>579</v>
      </c>
      <c r="O2413" s="3" t="str">
        <f>TEXT(Ticket_Table[[#This Row],[raised_date]],"YYYY-MM")</f>
        <v>2021-06</v>
      </c>
      <c r="P2413" s="3" t="str">
        <f>IF(Ticket_Table[[#This Row],[resolution_hrs]]&lt;=4,"Fast",IF(Ticket_Table[[#This Row],[resolution_hrs]]&lt;=24,"Normal",IF(Ticket_Table[[#This Row],[resolution_hrs]]&lt;=48,"Slow","Very Slow")))</f>
        <v>Very Slow</v>
      </c>
      <c r="Q2413" s="3">
        <f>YEAR(Ticket_Table[[#This Row],[raised_date]])</f>
        <v>2021</v>
      </c>
    </row>
    <row r="2414" spans="1:17">
      <c r="A2414" t="s">
        <v>2975</v>
      </c>
      <c r="B2414" t="s">
        <v>238</v>
      </c>
      <c r="C2414" t="s">
        <v>133</v>
      </c>
      <c r="D2414" t="s">
        <v>20</v>
      </c>
      <c r="E2414" t="s">
        <v>166</v>
      </c>
      <c r="F2414" t="s">
        <v>70</v>
      </c>
      <c r="G2414" t="s">
        <v>74</v>
      </c>
      <c r="H2414" s="1">
        <v>44387</v>
      </c>
      <c r="I2414" s="2">
        <v>44387.8458333333</v>
      </c>
      <c r="J2414">
        <v>20.3</v>
      </c>
      <c r="K2414" t="s">
        <v>24</v>
      </c>
      <c r="L2414">
        <v>0</v>
      </c>
      <c r="M2414">
        <v>4</v>
      </c>
      <c r="N2414" t="s">
        <v>650</v>
      </c>
      <c r="O2414" s="3" t="str">
        <f>TEXT(Ticket_Table[[#This Row],[raised_date]],"YYYY-MM")</f>
        <v>2021-07</v>
      </c>
      <c r="P2414" s="3" t="str">
        <f>IF(Ticket_Table[[#This Row],[resolution_hrs]]&lt;=4,"Fast",IF(Ticket_Table[[#This Row],[resolution_hrs]]&lt;=24,"Normal",IF(Ticket_Table[[#This Row],[resolution_hrs]]&lt;=48,"Slow","Very Slow")))</f>
        <v>Normal</v>
      </c>
      <c r="Q2414" s="3">
        <f>YEAR(Ticket_Table[[#This Row],[raised_date]])</f>
        <v>2021</v>
      </c>
    </row>
    <row r="2415" spans="1:17">
      <c r="A2415" t="s">
        <v>2976</v>
      </c>
      <c r="B2415" t="s">
        <v>368</v>
      </c>
      <c r="C2415" t="s">
        <v>117</v>
      </c>
      <c r="D2415" t="s">
        <v>36</v>
      </c>
      <c r="E2415" t="s">
        <v>166</v>
      </c>
      <c r="F2415" t="s">
        <v>22</v>
      </c>
      <c r="G2415" t="s">
        <v>74</v>
      </c>
      <c r="H2415" s="1">
        <v>44889</v>
      </c>
      <c r="I2415" s="2">
        <v>44892.525</v>
      </c>
      <c r="J2415">
        <v>84.6</v>
      </c>
      <c r="K2415" t="s">
        <v>32</v>
      </c>
      <c r="L2415">
        <v>0</v>
      </c>
      <c r="M2415">
        <v>2</v>
      </c>
      <c r="N2415" t="s">
        <v>423</v>
      </c>
      <c r="O2415" s="3" t="str">
        <f>TEXT(Ticket_Table[[#This Row],[raised_date]],"YYYY-MM")</f>
        <v>2022-11</v>
      </c>
      <c r="P2415" s="3" t="str">
        <f>IF(Ticket_Table[[#This Row],[resolution_hrs]]&lt;=4,"Fast",IF(Ticket_Table[[#This Row],[resolution_hrs]]&lt;=24,"Normal",IF(Ticket_Table[[#This Row],[resolution_hrs]]&lt;=48,"Slow","Very Slow")))</f>
        <v>Very Slow</v>
      </c>
      <c r="Q2415" s="3">
        <f>YEAR(Ticket_Table[[#This Row],[raised_date]])</f>
        <v>2022</v>
      </c>
    </row>
    <row r="2416" spans="1:17">
      <c r="A2416" t="s">
        <v>2977</v>
      </c>
      <c r="B2416" t="s">
        <v>780</v>
      </c>
      <c r="C2416" t="s">
        <v>117</v>
      </c>
      <c r="D2416" t="s">
        <v>29</v>
      </c>
      <c r="E2416" t="s">
        <v>106</v>
      </c>
      <c r="F2416" t="s">
        <v>70</v>
      </c>
      <c r="G2416" t="s">
        <v>23</v>
      </c>
      <c r="H2416" s="1">
        <v>45185</v>
      </c>
      <c r="I2416" s="2">
        <v>45185.2791666667</v>
      </c>
      <c r="J2416">
        <v>6.7</v>
      </c>
      <c r="K2416" t="s">
        <v>24</v>
      </c>
      <c r="L2416">
        <v>0</v>
      </c>
      <c r="M2416">
        <v>4</v>
      </c>
      <c r="N2416" t="s">
        <v>656</v>
      </c>
      <c r="O2416" s="3" t="str">
        <f>TEXT(Ticket_Table[[#This Row],[raised_date]],"YYYY-MM")</f>
        <v>2023-09</v>
      </c>
      <c r="P2416" s="3" t="str">
        <f>IF(Ticket_Table[[#This Row],[resolution_hrs]]&lt;=4,"Fast",IF(Ticket_Table[[#This Row],[resolution_hrs]]&lt;=24,"Normal",IF(Ticket_Table[[#This Row],[resolution_hrs]]&lt;=48,"Slow","Very Slow")))</f>
        <v>Normal</v>
      </c>
      <c r="Q2416" s="3">
        <f>YEAR(Ticket_Table[[#This Row],[raised_date]])</f>
        <v>2023</v>
      </c>
    </row>
    <row r="2417" spans="1:17">
      <c r="A2417" t="s">
        <v>2978</v>
      </c>
      <c r="B2417" t="s">
        <v>35</v>
      </c>
      <c r="C2417" t="s">
        <v>213</v>
      </c>
      <c r="D2417" t="s">
        <v>20</v>
      </c>
      <c r="E2417" t="s">
        <v>106</v>
      </c>
      <c r="F2417" t="s">
        <v>70</v>
      </c>
      <c r="G2417" t="s">
        <v>23</v>
      </c>
      <c r="H2417" s="1">
        <v>44260</v>
      </c>
      <c r="I2417" s="2">
        <v>44262.9208333333</v>
      </c>
      <c r="J2417">
        <v>70.1</v>
      </c>
      <c r="K2417" t="s">
        <v>32</v>
      </c>
      <c r="L2417">
        <v>2</v>
      </c>
      <c r="M2417">
        <v>5</v>
      </c>
      <c r="N2417" t="s">
        <v>323</v>
      </c>
      <c r="O2417" s="3" t="str">
        <f>TEXT(Ticket_Table[[#This Row],[raised_date]],"YYYY-MM")</f>
        <v>2021-03</v>
      </c>
      <c r="P2417" s="3" t="str">
        <f>IF(Ticket_Table[[#This Row],[resolution_hrs]]&lt;=4,"Fast",IF(Ticket_Table[[#This Row],[resolution_hrs]]&lt;=24,"Normal",IF(Ticket_Table[[#This Row],[resolution_hrs]]&lt;=48,"Slow","Very Slow")))</f>
        <v>Very Slow</v>
      </c>
      <c r="Q2417" s="3">
        <f>YEAR(Ticket_Table[[#This Row],[raised_date]])</f>
        <v>2021</v>
      </c>
    </row>
    <row r="2418" spans="1:17">
      <c r="A2418" t="s">
        <v>2979</v>
      </c>
      <c r="B2418" t="s">
        <v>1011</v>
      </c>
      <c r="C2418" t="s">
        <v>60</v>
      </c>
      <c r="D2418" t="s">
        <v>36</v>
      </c>
      <c r="E2418" t="s">
        <v>21</v>
      </c>
      <c r="F2418" t="s">
        <v>70</v>
      </c>
      <c r="G2418" t="s">
        <v>23</v>
      </c>
      <c r="H2418" s="1">
        <v>45080</v>
      </c>
      <c r="I2418" s="2">
        <v>45081.2208333333</v>
      </c>
      <c r="J2418">
        <v>29.3</v>
      </c>
      <c r="K2418" t="s">
        <v>24</v>
      </c>
      <c r="L2418">
        <v>2</v>
      </c>
      <c r="M2418">
        <v>4</v>
      </c>
      <c r="N2418" t="s">
        <v>2654</v>
      </c>
      <c r="O2418" s="3" t="str">
        <f>TEXT(Ticket_Table[[#This Row],[raised_date]],"YYYY-MM")</f>
        <v>2023-06</v>
      </c>
      <c r="P2418" s="3" t="str">
        <f>IF(Ticket_Table[[#This Row],[resolution_hrs]]&lt;=4,"Fast",IF(Ticket_Table[[#This Row],[resolution_hrs]]&lt;=24,"Normal",IF(Ticket_Table[[#This Row],[resolution_hrs]]&lt;=48,"Slow","Very Slow")))</f>
        <v>Slow</v>
      </c>
      <c r="Q2418" s="3">
        <f>YEAR(Ticket_Table[[#This Row],[raised_date]])</f>
        <v>2023</v>
      </c>
    </row>
    <row r="2419" spans="1:17">
      <c r="A2419" t="s">
        <v>2980</v>
      </c>
      <c r="B2419" t="s">
        <v>530</v>
      </c>
      <c r="C2419" t="s">
        <v>60</v>
      </c>
      <c r="D2419" t="s">
        <v>36</v>
      </c>
      <c r="E2419" t="s">
        <v>37</v>
      </c>
      <c r="F2419" t="s">
        <v>70</v>
      </c>
      <c r="G2419" t="s">
        <v>46</v>
      </c>
      <c r="H2419" s="1">
        <v>44534</v>
      </c>
      <c r="I2419" s="2">
        <v>44534.5375</v>
      </c>
      <c r="J2419">
        <v>12.9</v>
      </c>
      <c r="K2419" t="s">
        <v>24</v>
      </c>
      <c r="L2419">
        <v>0</v>
      </c>
      <c r="M2419">
        <v>5</v>
      </c>
      <c r="N2419" t="s">
        <v>335</v>
      </c>
      <c r="O2419" s="3" t="str">
        <f>TEXT(Ticket_Table[[#This Row],[raised_date]],"YYYY-MM")</f>
        <v>2021-12</v>
      </c>
      <c r="P2419" s="3" t="str">
        <f>IF(Ticket_Table[[#This Row],[resolution_hrs]]&lt;=4,"Fast",IF(Ticket_Table[[#This Row],[resolution_hrs]]&lt;=24,"Normal",IF(Ticket_Table[[#This Row],[resolution_hrs]]&lt;=48,"Slow","Very Slow")))</f>
        <v>Normal</v>
      </c>
      <c r="Q2419" s="3">
        <f>YEAR(Ticket_Table[[#This Row],[raised_date]])</f>
        <v>2021</v>
      </c>
    </row>
    <row r="2420" spans="1:17">
      <c r="A2420" t="s">
        <v>2981</v>
      </c>
      <c r="B2420" t="s">
        <v>597</v>
      </c>
      <c r="C2420" t="s">
        <v>117</v>
      </c>
      <c r="D2420" t="s">
        <v>36</v>
      </c>
      <c r="E2420" t="s">
        <v>56</v>
      </c>
      <c r="F2420" t="s">
        <v>22</v>
      </c>
      <c r="G2420" t="s">
        <v>23</v>
      </c>
      <c r="H2420" s="1">
        <v>45086</v>
      </c>
      <c r="I2420" s="2">
        <v>45088.0083333333</v>
      </c>
      <c r="J2420">
        <v>48.2</v>
      </c>
      <c r="K2420" t="s">
        <v>24</v>
      </c>
      <c r="L2420">
        <v>0</v>
      </c>
      <c r="M2420">
        <v>4</v>
      </c>
      <c r="N2420" t="s">
        <v>94</v>
      </c>
      <c r="O2420" s="3" t="str">
        <f>TEXT(Ticket_Table[[#This Row],[raised_date]],"YYYY-MM")</f>
        <v>2023-06</v>
      </c>
      <c r="P24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420" s="3">
        <f>YEAR(Ticket_Table[[#This Row],[raised_date]])</f>
        <v>2023</v>
      </c>
    </row>
    <row r="2421" spans="1:17">
      <c r="A2421" t="s">
        <v>2982</v>
      </c>
      <c r="B2421" t="s">
        <v>512</v>
      </c>
      <c r="C2421" t="s">
        <v>95</v>
      </c>
      <c r="D2421" t="s">
        <v>90</v>
      </c>
      <c r="E2421" t="s">
        <v>30</v>
      </c>
      <c r="F2421" t="s">
        <v>70</v>
      </c>
      <c r="G2421" t="s">
        <v>46</v>
      </c>
      <c r="H2421" s="1">
        <v>44518</v>
      </c>
      <c r="I2421" s="2">
        <v>44519.5375</v>
      </c>
      <c r="J2421">
        <v>36.9</v>
      </c>
      <c r="K2421" t="s">
        <v>24</v>
      </c>
      <c r="L2421">
        <v>0</v>
      </c>
      <c r="M2421">
        <v>3</v>
      </c>
      <c r="N2421" t="s">
        <v>1348</v>
      </c>
      <c r="O2421" s="3" t="str">
        <f>TEXT(Ticket_Table[[#This Row],[raised_date]],"YYYY-MM")</f>
        <v>2021-11</v>
      </c>
      <c r="P2421" s="3" t="str">
        <f>IF(Ticket_Table[[#This Row],[resolution_hrs]]&lt;=4,"Fast",IF(Ticket_Table[[#This Row],[resolution_hrs]]&lt;=24,"Normal",IF(Ticket_Table[[#This Row],[resolution_hrs]]&lt;=48,"Slow","Very Slow")))</f>
        <v>Slow</v>
      </c>
      <c r="Q2421" s="3">
        <f>YEAR(Ticket_Table[[#This Row],[raised_date]])</f>
        <v>2021</v>
      </c>
    </row>
    <row r="2422" spans="1:17">
      <c r="A2422" t="s">
        <v>2983</v>
      </c>
      <c r="B2422" t="s">
        <v>317</v>
      </c>
      <c r="C2422" t="s">
        <v>68</v>
      </c>
      <c r="D2422" t="s">
        <v>90</v>
      </c>
      <c r="E2422" t="s">
        <v>56</v>
      </c>
      <c r="F2422" t="s">
        <v>38</v>
      </c>
      <c r="G2422" t="s">
        <v>23</v>
      </c>
      <c r="H2422" s="1">
        <v>44306</v>
      </c>
      <c r="I2422" s="2">
        <v>44307.1125</v>
      </c>
      <c r="J2422">
        <v>26.7</v>
      </c>
      <c r="K2422" t="s">
        <v>32</v>
      </c>
      <c r="L2422">
        <v>0</v>
      </c>
      <c r="M2422">
        <v>3</v>
      </c>
      <c r="N2422" t="s">
        <v>895</v>
      </c>
      <c r="O2422" s="3" t="str">
        <f>TEXT(Ticket_Table[[#This Row],[raised_date]],"YYYY-MM")</f>
        <v>2021-04</v>
      </c>
      <c r="P2422" s="3" t="str">
        <f>IF(Ticket_Table[[#This Row],[resolution_hrs]]&lt;=4,"Fast",IF(Ticket_Table[[#This Row],[resolution_hrs]]&lt;=24,"Normal",IF(Ticket_Table[[#This Row],[resolution_hrs]]&lt;=48,"Slow","Very Slow")))</f>
        <v>Slow</v>
      </c>
      <c r="Q2422" s="3">
        <f>YEAR(Ticket_Table[[#This Row],[raised_date]])</f>
        <v>2021</v>
      </c>
    </row>
    <row r="2423" spans="1:17">
      <c r="A2423" t="s">
        <v>2984</v>
      </c>
      <c r="B2423" t="s">
        <v>589</v>
      </c>
      <c r="C2423" t="s">
        <v>64</v>
      </c>
      <c r="D2423" t="s">
        <v>36</v>
      </c>
      <c r="E2423" t="s">
        <v>37</v>
      </c>
      <c r="F2423" t="s">
        <v>38</v>
      </c>
      <c r="G2423" t="s">
        <v>23</v>
      </c>
      <c r="H2423" s="1">
        <v>44404</v>
      </c>
      <c r="I2423" s="2">
        <v>44405.15</v>
      </c>
      <c r="J2423">
        <v>27.6</v>
      </c>
      <c r="K2423" t="s">
        <v>32</v>
      </c>
      <c r="L2423">
        <v>0</v>
      </c>
      <c r="M2423">
        <v>5</v>
      </c>
      <c r="N2423" t="s">
        <v>740</v>
      </c>
      <c r="O2423" s="3" t="str">
        <f>TEXT(Ticket_Table[[#This Row],[raised_date]],"YYYY-MM")</f>
        <v>2021-07</v>
      </c>
      <c r="P2423" s="3" t="str">
        <f>IF(Ticket_Table[[#This Row],[resolution_hrs]]&lt;=4,"Fast",IF(Ticket_Table[[#This Row],[resolution_hrs]]&lt;=24,"Normal",IF(Ticket_Table[[#This Row],[resolution_hrs]]&lt;=48,"Slow","Very Slow")))</f>
        <v>Slow</v>
      </c>
      <c r="Q2423" s="3">
        <f>YEAR(Ticket_Table[[#This Row],[raised_date]])</f>
        <v>2021</v>
      </c>
    </row>
    <row r="2424" spans="1:17">
      <c r="A2424" t="s">
        <v>2985</v>
      </c>
      <c r="B2424" t="s">
        <v>445</v>
      </c>
      <c r="C2424" t="s">
        <v>42</v>
      </c>
      <c r="D2424" t="s">
        <v>20</v>
      </c>
      <c r="E2424" t="s">
        <v>106</v>
      </c>
      <c r="F2424" t="s">
        <v>70</v>
      </c>
      <c r="G2424" t="s">
        <v>46</v>
      </c>
      <c r="H2424" s="1">
        <v>44875</v>
      </c>
      <c r="I2424" s="2">
        <v>44877.4666666667</v>
      </c>
      <c r="J2424">
        <v>59.2</v>
      </c>
      <c r="K2424" t="s">
        <v>32</v>
      </c>
      <c r="L2424">
        <v>1</v>
      </c>
      <c r="M2424">
        <v>5</v>
      </c>
      <c r="N2424" t="s">
        <v>1578</v>
      </c>
      <c r="O2424" s="3" t="str">
        <f>TEXT(Ticket_Table[[#This Row],[raised_date]],"YYYY-MM")</f>
        <v>2022-11</v>
      </c>
      <c r="P2424" s="3" t="str">
        <f>IF(Ticket_Table[[#This Row],[resolution_hrs]]&lt;=4,"Fast",IF(Ticket_Table[[#This Row],[resolution_hrs]]&lt;=24,"Normal",IF(Ticket_Table[[#This Row],[resolution_hrs]]&lt;=48,"Slow","Very Slow")))</f>
        <v>Very Slow</v>
      </c>
      <c r="Q2424" s="3">
        <f>YEAR(Ticket_Table[[#This Row],[raised_date]])</f>
        <v>2022</v>
      </c>
    </row>
    <row r="2425" spans="1:17">
      <c r="A2425" t="s">
        <v>2986</v>
      </c>
      <c r="B2425" t="s">
        <v>227</v>
      </c>
      <c r="C2425" t="s">
        <v>117</v>
      </c>
      <c r="D2425" t="s">
        <v>29</v>
      </c>
      <c r="E2425" t="s">
        <v>106</v>
      </c>
      <c r="F2425" t="s">
        <v>45</v>
      </c>
      <c r="G2425" t="s">
        <v>31</v>
      </c>
      <c r="H2425" s="1">
        <v>44617</v>
      </c>
      <c r="I2425" s="2">
        <v>44617.2083333333</v>
      </c>
      <c r="J2425">
        <v>5</v>
      </c>
      <c r="K2425" t="s">
        <v>32</v>
      </c>
      <c r="L2425">
        <v>0</v>
      </c>
      <c r="M2425">
        <v>4</v>
      </c>
      <c r="N2425" t="s">
        <v>968</v>
      </c>
      <c r="O2425" s="3" t="str">
        <f>TEXT(Ticket_Table[[#This Row],[raised_date]],"YYYY-MM")</f>
        <v>2022-02</v>
      </c>
      <c r="P2425" s="3" t="str">
        <f>IF(Ticket_Table[[#This Row],[resolution_hrs]]&lt;=4,"Fast",IF(Ticket_Table[[#This Row],[resolution_hrs]]&lt;=24,"Normal",IF(Ticket_Table[[#This Row],[resolution_hrs]]&lt;=48,"Slow","Very Slow")))</f>
        <v>Normal</v>
      </c>
      <c r="Q2425" s="3">
        <f>YEAR(Ticket_Table[[#This Row],[raised_date]])</f>
        <v>2022</v>
      </c>
    </row>
    <row r="2426" spans="1:17">
      <c r="A2426" t="s">
        <v>2987</v>
      </c>
      <c r="B2426" t="s">
        <v>796</v>
      </c>
      <c r="C2426" t="s">
        <v>95</v>
      </c>
      <c r="D2426" t="s">
        <v>43</v>
      </c>
      <c r="E2426" t="s">
        <v>83</v>
      </c>
      <c r="F2426" t="s">
        <v>45</v>
      </c>
      <c r="G2426" t="s">
        <v>23</v>
      </c>
      <c r="H2426" s="1">
        <v>44586</v>
      </c>
      <c r="I2426" s="2">
        <v>44586.0458333333</v>
      </c>
      <c r="J2426">
        <v>1.1</v>
      </c>
      <c r="K2426" t="s">
        <v>24</v>
      </c>
      <c r="L2426">
        <v>1</v>
      </c>
      <c r="M2426">
        <v>3</v>
      </c>
      <c r="N2426" t="s">
        <v>988</v>
      </c>
      <c r="O2426" s="3" t="str">
        <f>TEXT(Ticket_Table[[#This Row],[raised_date]],"YYYY-MM")</f>
        <v>2022-01</v>
      </c>
      <c r="P2426" s="3" t="str">
        <f>IF(Ticket_Table[[#This Row],[resolution_hrs]]&lt;=4,"Fast",IF(Ticket_Table[[#This Row],[resolution_hrs]]&lt;=24,"Normal",IF(Ticket_Table[[#This Row],[resolution_hrs]]&lt;=48,"Slow","Very Slow")))</f>
        <v>Fast</v>
      </c>
      <c r="Q2426" s="3">
        <f>YEAR(Ticket_Table[[#This Row],[raised_date]])</f>
        <v>2022</v>
      </c>
    </row>
    <row r="2427" spans="1:17">
      <c r="A2427" t="s">
        <v>2988</v>
      </c>
      <c r="B2427" t="s">
        <v>529</v>
      </c>
      <c r="C2427" t="s">
        <v>50</v>
      </c>
      <c r="D2427" t="s">
        <v>90</v>
      </c>
      <c r="E2427" t="s">
        <v>69</v>
      </c>
      <c r="F2427" t="s">
        <v>22</v>
      </c>
      <c r="G2427" t="s">
        <v>31</v>
      </c>
      <c r="H2427" s="1">
        <v>45035</v>
      </c>
      <c r="I2427" s="2">
        <v>45036.7416666667</v>
      </c>
      <c r="J2427">
        <v>41.8</v>
      </c>
      <c r="K2427" t="s">
        <v>24</v>
      </c>
      <c r="L2427">
        <v>0</v>
      </c>
      <c r="M2427">
        <v>3</v>
      </c>
      <c r="N2427" t="s">
        <v>822</v>
      </c>
      <c r="O2427" s="3" t="str">
        <f>TEXT(Ticket_Table[[#This Row],[raised_date]],"YYYY-MM")</f>
        <v>2023-04</v>
      </c>
      <c r="P2427" s="3" t="str">
        <f>IF(Ticket_Table[[#This Row],[resolution_hrs]]&lt;=4,"Fast",IF(Ticket_Table[[#This Row],[resolution_hrs]]&lt;=24,"Normal",IF(Ticket_Table[[#This Row],[resolution_hrs]]&lt;=48,"Slow","Very Slow")))</f>
        <v>Slow</v>
      </c>
      <c r="Q2427" s="3">
        <f>YEAR(Ticket_Table[[#This Row],[raised_date]])</f>
        <v>2023</v>
      </c>
    </row>
    <row r="2428" spans="1:17">
      <c r="A2428" t="s">
        <v>2989</v>
      </c>
      <c r="B2428" t="s">
        <v>552</v>
      </c>
      <c r="C2428" t="s">
        <v>78</v>
      </c>
      <c r="D2428" t="s">
        <v>20</v>
      </c>
      <c r="E2428" t="s">
        <v>106</v>
      </c>
      <c r="F2428" t="s">
        <v>22</v>
      </c>
      <c r="G2428" t="s">
        <v>23</v>
      </c>
      <c r="H2428" s="1">
        <v>44740</v>
      </c>
      <c r="I2428" s="2">
        <v>44743.85</v>
      </c>
      <c r="J2428">
        <v>92.4</v>
      </c>
      <c r="K2428" t="s">
        <v>32</v>
      </c>
      <c r="L2428">
        <v>3</v>
      </c>
      <c r="M2428">
        <v>4</v>
      </c>
      <c r="N2428" t="s">
        <v>245</v>
      </c>
      <c r="O2428" s="3" t="str">
        <f>TEXT(Ticket_Table[[#This Row],[raised_date]],"YYYY-MM")</f>
        <v>2022-06</v>
      </c>
      <c r="P2428" s="3" t="str">
        <f>IF(Ticket_Table[[#This Row],[resolution_hrs]]&lt;=4,"Fast",IF(Ticket_Table[[#This Row],[resolution_hrs]]&lt;=24,"Normal",IF(Ticket_Table[[#This Row],[resolution_hrs]]&lt;=48,"Slow","Very Slow")))</f>
        <v>Very Slow</v>
      </c>
      <c r="Q2428" s="3">
        <f>YEAR(Ticket_Table[[#This Row],[raised_date]])</f>
        <v>2022</v>
      </c>
    </row>
    <row r="2429" spans="1:17">
      <c r="A2429" t="s">
        <v>2990</v>
      </c>
      <c r="B2429" t="s">
        <v>610</v>
      </c>
      <c r="C2429" t="s">
        <v>117</v>
      </c>
      <c r="D2429" t="s">
        <v>20</v>
      </c>
      <c r="E2429" t="s">
        <v>51</v>
      </c>
      <c r="F2429" t="s">
        <v>38</v>
      </c>
      <c r="G2429" t="s">
        <v>46</v>
      </c>
      <c r="H2429" s="1">
        <v>44773</v>
      </c>
      <c r="I2429" s="2">
        <v>44774.15</v>
      </c>
      <c r="J2429">
        <v>27.6</v>
      </c>
      <c r="K2429" t="s">
        <v>32</v>
      </c>
      <c r="L2429">
        <v>0</v>
      </c>
      <c r="M2429">
        <v>4</v>
      </c>
      <c r="N2429" t="s">
        <v>18</v>
      </c>
      <c r="O2429" s="3" t="str">
        <f>TEXT(Ticket_Table[[#This Row],[raised_date]],"YYYY-MM")</f>
        <v>2022-07</v>
      </c>
      <c r="P2429" s="3" t="str">
        <f>IF(Ticket_Table[[#This Row],[resolution_hrs]]&lt;=4,"Fast",IF(Ticket_Table[[#This Row],[resolution_hrs]]&lt;=24,"Normal",IF(Ticket_Table[[#This Row],[resolution_hrs]]&lt;=48,"Slow","Very Slow")))</f>
        <v>Slow</v>
      </c>
      <c r="Q2429" s="3">
        <f>YEAR(Ticket_Table[[#This Row],[raised_date]])</f>
        <v>2022</v>
      </c>
    </row>
    <row r="2430" spans="1:17">
      <c r="A2430" t="s">
        <v>2991</v>
      </c>
      <c r="B2430" t="s">
        <v>873</v>
      </c>
      <c r="C2430" t="s">
        <v>78</v>
      </c>
      <c r="D2430" t="s">
        <v>43</v>
      </c>
      <c r="E2430" t="s">
        <v>83</v>
      </c>
      <c r="F2430" t="s">
        <v>38</v>
      </c>
      <c r="G2430" t="s">
        <v>74</v>
      </c>
      <c r="H2430" s="1">
        <v>44806</v>
      </c>
      <c r="I2430" s="2">
        <v>44807.3875</v>
      </c>
      <c r="J2430">
        <v>33.3</v>
      </c>
      <c r="K2430" t="s">
        <v>32</v>
      </c>
      <c r="L2430">
        <v>1</v>
      </c>
      <c r="M2430">
        <v>4</v>
      </c>
      <c r="N2430" t="s">
        <v>284</v>
      </c>
      <c r="O2430" s="3" t="str">
        <f>TEXT(Ticket_Table[[#This Row],[raised_date]],"YYYY-MM")</f>
        <v>2022-09</v>
      </c>
      <c r="P2430" s="3" t="str">
        <f>IF(Ticket_Table[[#This Row],[resolution_hrs]]&lt;=4,"Fast",IF(Ticket_Table[[#This Row],[resolution_hrs]]&lt;=24,"Normal",IF(Ticket_Table[[#This Row],[resolution_hrs]]&lt;=48,"Slow","Very Slow")))</f>
        <v>Slow</v>
      </c>
      <c r="Q2430" s="3">
        <f>YEAR(Ticket_Table[[#This Row],[raised_date]])</f>
        <v>2022</v>
      </c>
    </row>
    <row r="2431" spans="1:17">
      <c r="A2431" t="s">
        <v>2992</v>
      </c>
      <c r="B2431" t="s">
        <v>401</v>
      </c>
      <c r="C2431" t="s">
        <v>261</v>
      </c>
      <c r="D2431" t="s">
        <v>43</v>
      </c>
      <c r="E2431" t="s">
        <v>44</v>
      </c>
      <c r="F2431" t="s">
        <v>45</v>
      </c>
      <c r="G2431" t="s">
        <v>74</v>
      </c>
      <c r="H2431" s="1">
        <v>44683</v>
      </c>
      <c r="I2431" s="2">
        <v>44683.1666666667</v>
      </c>
      <c r="J2431">
        <v>4</v>
      </c>
      <c r="K2431" t="s">
        <v>24</v>
      </c>
      <c r="L2431">
        <v>0</v>
      </c>
      <c r="M2431">
        <v>5</v>
      </c>
      <c r="N2431" t="s">
        <v>835</v>
      </c>
      <c r="O2431" s="3" t="str">
        <f>TEXT(Ticket_Table[[#This Row],[raised_date]],"YYYY-MM")</f>
        <v>2022-05</v>
      </c>
      <c r="P2431" s="3" t="str">
        <f>IF(Ticket_Table[[#This Row],[resolution_hrs]]&lt;=4,"Fast",IF(Ticket_Table[[#This Row],[resolution_hrs]]&lt;=24,"Normal",IF(Ticket_Table[[#This Row],[resolution_hrs]]&lt;=48,"Slow","Very Slow")))</f>
        <v>Fast</v>
      </c>
      <c r="Q2431" s="3">
        <f>YEAR(Ticket_Table[[#This Row],[raised_date]])</f>
        <v>2022</v>
      </c>
    </row>
    <row r="2432" spans="1:17">
      <c r="A2432" t="s">
        <v>2993</v>
      </c>
      <c r="B2432" t="s">
        <v>1123</v>
      </c>
      <c r="C2432" t="s">
        <v>78</v>
      </c>
      <c r="D2432" t="s">
        <v>20</v>
      </c>
      <c r="E2432" t="s">
        <v>69</v>
      </c>
      <c r="F2432" t="s">
        <v>38</v>
      </c>
      <c r="G2432" t="s">
        <v>46</v>
      </c>
      <c r="H2432" s="1">
        <v>44393</v>
      </c>
      <c r="I2432" s="2">
        <v>44393.2625</v>
      </c>
      <c r="J2432">
        <v>6.3</v>
      </c>
      <c r="K2432" t="s">
        <v>24</v>
      </c>
      <c r="L2432">
        <v>1</v>
      </c>
      <c r="M2432">
        <v>4</v>
      </c>
      <c r="N2432" t="s">
        <v>680</v>
      </c>
      <c r="O2432" s="3" t="str">
        <f>TEXT(Ticket_Table[[#This Row],[raised_date]],"YYYY-MM")</f>
        <v>2021-07</v>
      </c>
      <c r="P2432" s="3" t="str">
        <f>IF(Ticket_Table[[#This Row],[resolution_hrs]]&lt;=4,"Fast",IF(Ticket_Table[[#This Row],[resolution_hrs]]&lt;=24,"Normal",IF(Ticket_Table[[#This Row],[resolution_hrs]]&lt;=48,"Slow","Very Slow")))</f>
        <v>Normal</v>
      </c>
      <c r="Q2432" s="3">
        <f>YEAR(Ticket_Table[[#This Row],[raised_date]])</f>
        <v>2021</v>
      </c>
    </row>
    <row r="2433" spans="1:17">
      <c r="A2433" t="s">
        <v>2994</v>
      </c>
      <c r="B2433" t="s">
        <v>1216</v>
      </c>
      <c r="C2433" t="s">
        <v>117</v>
      </c>
      <c r="D2433" t="s">
        <v>43</v>
      </c>
      <c r="E2433" t="s">
        <v>69</v>
      </c>
      <c r="F2433" t="s">
        <v>70</v>
      </c>
      <c r="G2433" t="s">
        <v>74</v>
      </c>
      <c r="H2433" s="1">
        <v>44298</v>
      </c>
      <c r="I2433" s="2">
        <v>44300.1916666667</v>
      </c>
      <c r="J2433">
        <v>52.6</v>
      </c>
      <c r="K2433" t="s">
        <v>32</v>
      </c>
      <c r="L2433">
        <v>0</v>
      </c>
      <c r="M2433">
        <v>3</v>
      </c>
      <c r="N2433" t="s">
        <v>380</v>
      </c>
      <c r="O2433" s="3" t="str">
        <f>TEXT(Ticket_Table[[#This Row],[raised_date]],"YYYY-MM")</f>
        <v>2021-04</v>
      </c>
      <c r="P2433" s="3" t="str">
        <f>IF(Ticket_Table[[#This Row],[resolution_hrs]]&lt;=4,"Fast",IF(Ticket_Table[[#This Row],[resolution_hrs]]&lt;=24,"Normal",IF(Ticket_Table[[#This Row],[resolution_hrs]]&lt;=48,"Slow","Very Slow")))</f>
        <v>Very Slow</v>
      </c>
      <c r="Q2433" s="3">
        <f>YEAR(Ticket_Table[[#This Row],[raised_date]])</f>
        <v>2021</v>
      </c>
    </row>
    <row r="2434" spans="1:17">
      <c r="A2434" t="s">
        <v>2995</v>
      </c>
      <c r="B2434" t="s">
        <v>866</v>
      </c>
      <c r="C2434" t="s">
        <v>50</v>
      </c>
      <c r="D2434" t="s">
        <v>20</v>
      </c>
      <c r="E2434" t="s">
        <v>51</v>
      </c>
      <c r="F2434" t="s">
        <v>70</v>
      </c>
      <c r="G2434" t="s">
        <v>31</v>
      </c>
      <c r="H2434" s="1">
        <v>45001</v>
      </c>
      <c r="I2434" s="2">
        <v>45001.8041666667</v>
      </c>
      <c r="J2434">
        <v>19.3</v>
      </c>
      <c r="K2434" t="s">
        <v>24</v>
      </c>
      <c r="L2434">
        <v>0</v>
      </c>
      <c r="M2434">
        <v>3</v>
      </c>
      <c r="N2434" t="s">
        <v>620</v>
      </c>
      <c r="O2434" s="3" t="str">
        <f>TEXT(Ticket_Table[[#This Row],[raised_date]],"YYYY-MM")</f>
        <v>2023-03</v>
      </c>
      <c r="P2434" s="3" t="str">
        <f>IF(Ticket_Table[[#This Row],[resolution_hrs]]&lt;=4,"Fast",IF(Ticket_Table[[#This Row],[resolution_hrs]]&lt;=24,"Normal",IF(Ticket_Table[[#This Row],[resolution_hrs]]&lt;=48,"Slow","Very Slow")))</f>
        <v>Normal</v>
      </c>
      <c r="Q2434" s="3">
        <f>YEAR(Ticket_Table[[#This Row],[raised_date]])</f>
        <v>2023</v>
      </c>
    </row>
    <row r="2435" spans="1:17">
      <c r="A2435" t="s">
        <v>2996</v>
      </c>
      <c r="B2435" t="s">
        <v>701</v>
      </c>
      <c r="C2435" t="s">
        <v>60</v>
      </c>
      <c r="D2435" t="s">
        <v>43</v>
      </c>
      <c r="E2435" t="s">
        <v>69</v>
      </c>
      <c r="F2435" t="s">
        <v>22</v>
      </c>
      <c r="G2435" t="s">
        <v>31</v>
      </c>
      <c r="H2435" s="1">
        <v>45202</v>
      </c>
      <c r="I2435" s="2">
        <v>45204.1083333333</v>
      </c>
      <c r="J2435">
        <v>50.6</v>
      </c>
      <c r="K2435" t="s">
        <v>24</v>
      </c>
      <c r="L2435">
        <v>0</v>
      </c>
      <c r="M2435">
        <v>5</v>
      </c>
      <c r="N2435" t="s">
        <v>343</v>
      </c>
      <c r="O2435" s="3" t="str">
        <f>TEXT(Ticket_Table[[#This Row],[raised_date]],"YYYY-MM")</f>
        <v>2023-10</v>
      </c>
      <c r="P2435" s="3" t="str">
        <f>IF(Ticket_Table[[#This Row],[resolution_hrs]]&lt;=4,"Fast",IF(Ticket_Table[[#This Row],[resolution_hrs]]&lt;=24,"Normal",IF(Ticket_Table[[#This Row],[resolution_hrs]]&lt;=48,"Slow","Very Slow")))</f>
        <v>Very Slow</v>
      </c>
      <c r="Q2435" s="3">
        <f>YEAR(Ticket_Table[[#This Row],[raised_date]])</f>
        <v>2023</v>
      </c>
    </row>
    <row r="2436" spans="1:17">
      <c r="A2436" t="s">
        <v>2997</v>
      </c>
      <c r="B2436" t="s">
        <v>401</v>
      </c>
      <c r="C2436" t="s">
        <v>201</v>
      </c>
      <c r="D2436" t="s">
        <v>43</v>
      </c>
      <c r="E2436" t="s">
        <v>30</v>
      </c>
      <c r="F2436" t="s">
        <v>22</v>
      </c>
      <c r="G2436" t="s">
        <v>31</v>
      </c>
      <c r="H2436" s="1">
        <v>44511</v>
      </c>
      <c r="I2436" s="2">
        <v>44513.0625</v>
      </c>
      <c r="J2436">
        <v>49.5</v>
      </c>
      <c r="K2436" t="s">
        <v>24</v>
      </c>
      <c r="L2436">
        <v>0</v>
      </c>
      <c r="M2436">
        <v>4</v>
      </c>
      <c r="N2436" t="s">
        <v>385</v>
      </c>
      <c r="O2436" s="3" t="str">
        <f>TEXT(Ticket_Table[[#This Row],[raised_date]],"YYYY-MM")</f>
        <v>2021-11</v>
      </c>
      <c r="P2436" s="3" t="str">
        <f>IF(Ticket_Table[[#This Row],[resolution_hrs]]&lt;=4,"Fast",IF(Ticket_Table[[#This Row],[resolution_hrs]]&lt;=24,"Normal",IF(Ticket_Table[[#This Row],[resolution_hrs]]&lt;=48,"Slow","Very Slow")))</f>
        <v>Very Slow</v>
      </c>
      <c r="Q2436" s="3">
        <f>YEAR(Ticket_Table[[#This Row],[raised_date]])</f>
        <v>2021</v>
      </c>
    </row>
    <row r="2437" spans="1:17">
      <c r="A2437" t="s">
        <v>2998</v>
      </c>
      <c r="B2437" t="s">
        <v>290</v>
      </c>
      <c r="C2437" t="s">
        <v>78</v>
      </c>
      <c r="D2437" t="s">
        <v>20</v>
      </c>
      <c r="E2437" t="s">
        <v>106</v>
      </c>
      <c r="F2437" t="s">
        <v>70</v>
      </c>
      <c r="G2437" t="s">
        <v>91</v>
      </c>
      <c r="H2437" s="1">
        <v>44308</v>
      </c>
      <c r="I2437" s="2">
        <v>44309.15</v>
      </c>
      <c r="J2437">
        <v>27.6</v>
      </c>
      <c r="K2437" t="s">
        <v>24</v>
      </c>
      <c r="L2437">
        <v>0</v>
      </c>
      <c r="M2437">
        <v>3</v>
      </c>
      <c r="N2437" t="s">
        <v>52</v>
      </c>
      <c r="O2437" s="3" t="str">
        <f>TEXT(Ticket_Table[[#This Row],[raised_date]],"YYYY-MM")</f>
        <v>2021-04</v>
      </c>
      <c r="P2437" s="3" t="str">
        <f>IF(Ticket_Table[[#This Row],[resolution_hrs]]&lt;=4,"Fast",IF(Ticket_Table[[#This Row],[resolution_hrs]]&lt;=24,"Normal",IF(Ticket_Table[[#This Row],[resolution_hrs]]&lt;=48,"Slow","Very Slow")))</f>
        <v>Slow</v>
      </c>
      <c r="Q2437" s="3">
        <f>YEAR(Ticket_Table[[#This Row],[raised_date]])</f>
        <v>2021</v>
      </c>
    </row>
    <row r="2438" spans="1:17">
      <c r="A2438" t="s">
        <v>2999</v>
      </c>
      <c r="B2438" t="s">
        <v>730</v>
      </c>
      <c r="C2438" t="s">
        <v>78</v>
      </c>
      <c r="D2438" t="s">
        <v>36</v>
      </c>
      <c r="E2438" t="s">
        <v>106</v>
      </c>
      <c r="F2438" t="s">
        <v>70</v>
      </c>
      <c r="G2438" t="s">
        <v>23</v>
      </c>
      <c r="H2438" s="1">
        <v>44935</v>
      </c>
      <c r="I2438" s="2">
        <v>44936.8333333333</v>
      </c>
      <c r="J2438">
        <v>44</v>
      </c>
      <c r="K2438" t="s">
        <v>24</v>
      </c>
      <c r="L2438">
        <v>0</v>
      </c>
      <c r="M2438">
        <v>3</v>
      </c>
      <c r="N2438" t="s">
        <v>185</v>
      </c>
      <c r="O2438" s="3" t="str">
        <f>TEXT(Ticket_Table[[#This Row],[raised_date]],"YYYY-MM")</f>
        <v>2023-01</v>
      </c>
      <c r="P2438" s="3" t="str">
        <f>IF(Ticket_Table[[#This Row],[resolution_hrs]]&lt;=4,"Fast",IF(Ticket_Table[[#This Row],[resolution_hrs]]&lt;=24,"Normal",IF(Ticket_Table[[#This Row],[resolution_hrs]]&lt;=48,"Slow","Very Slow")))</f>
        <v>Slow</v>
      </c>
      <c r="Q2438" s="3">
        <f>YEAR(Ticket_Table[[#This Row],[raised_date]])</f>
        <v>2023</v>
      </c>
    </row>
    <row r="2439" spans="1:17">
      <c r="A2439" t="s">
        <v>3000</v>
      </c>
      <c r="B2439" t="s">
        <v>75</v>
      </c>
      <c r="C2439" t="s">
        <v>64</v>
      </c>
      <c r="D2439" t="s">
        <v>20</v>
      </c>
      <c r="E2439" t="s">
        <v>83</v>
      </c>
      <c r="F2439" t="s">
        <v>70</v>
      </c>
      <c r="G2439" t="s">
        <v>23</v>
      </c>
      <c r="H2439" s="1">
        <v>44204</v>
      </c>
      <c r="I2439" s="2">
        <v>44204.2541666667</v>
      </c>
      <c r="J2439">
        <v>6.1</v>
      </c>
      <c r="K2439" t="s">
        <v>24</v>
      </c>
      <c r="L2439">
        <v>0</v>
      </c>
      <c r="M2439">
        <v>4</v>
      </c>
      <c r="N2439" t="s">
        <v>439</v>
      </c>
      <c r="O2439" s="3" t="str">
        <f>TEXT(Ticket_Table[[#This Row],[raised_date]],"YYYY-MM")</f>
        <v>2021-01</v>
      </c>
      <c r="P2439" s="3" t="str">
        <f>IF(Ticket_Table[[#This Row],[resolution_hrs]]&lt;=4,"Fast",IF(Ticket_Table[[#This Row],[resolution_hrs]]&lt;=24,"Normal",IF(Ticket_Table[[#This Row],[resolution_hrs]]&lt;=48,"Slow","Very Slow")))</f>
        <v>Normal</v>
      </c>
      <c r="Q2439" s="3">
        <f>YEAR(Ticket_Table[[#This Row],[raised_date]])</f>
        <v>2021</v>
      </c>
    </row>
    <row r="2440" spans="1:17">
      <c r="A2440" t="s">
        <v>3001</v>
      </c>
      <c r="B2440" t="s">
        <v>374</v>
      </c>
      <c r="C2440" t="s">
        <v>213</v>
      </c>
      <c r="D2440" t="s">
        <v>29</v>
      </c>
      <c r="E2440" t="s">
        <v>37</v>
      </c>
      <c r="F2440" t="s">
        <v>38</v>
      </c>
      <c r="G2440" t="s">
        <v>46</v>
      </c>
      <c r="H2440" s="1">
        <v>45072</v>
      </c>
      <c r="I2440" s="2">
        <v>45072.2416666667</v>
      </c>
      <c r="J2440">
        <v>5.8</v>
      </c>
      <c r="K2440" t="s">
        <v>24</v>
      </c>
      <c r="L2440">
        <v>3</v>
      </c>
      <c r="M2440">
        <v>3</v>
      </c>
      <c r="N2440" t="s">
        <v>243</v>
      </c>
      <c r="O2440" s="3" t="str">
        <f>TEXT(Ticket_Table[[#This Row],[raised_date]],"YYYY-MM")</f>
        <v>2023-05</v>
      </c>
      <c r="P2440" s="3" t="str">
        <f>IF(Ticket_Table[[#This Row],[resolution_hrs]]&lt;=4,"Fast",IF(Ticket_Table[[#This Row],[resolution_hrs]]&lt;=24,"Normal",IF(Ticket_Table[[#This Row],[resolution_hrs]]&lt;=48,"Slow","Very Slow")))</f>
        <v>Normal</v>
      </c>
      <c r="Q2440" s="3">
        <f>YEAR(Ticket_Table[[#This Row],[raised_date]])</f>
        <v>2023</v>
      </c>
    </row>
    <row r="2441" spans="1:17">
      <c r="A2441" t="s">
        <v>3002</v>
      </c>
      <c r="B2441" t="s">
        <v>406</v>
      </c>
      <c r="C2441" t="s">
        <v>82</v>
      </c>
      <c r="D2441" t="s">
        <v>43</v>
      </c>
      <c r="E2441" t="s">
        <v>51</v>
      </c>
      <c r="F2441" t="s">
        <v>22</v>
      </c>
      <c r="G2441" t="s">
        <v>46</v>
      </c>
      <c r="H2441" s="1">
        <v>44376</v>
      </c>
      <c r="I2441" s="2">
        <v>44378.1333333333</v>
      </c>
      <c r="J2441">
        <v>51.2</v>
      </c>
      <c r="K2441" t="s">
        <v>24</v>
      </c>
      <c r="L2441">
        <v>0</v>
      </c>
      <c r="M2441">
        <v>4</v>
      </c>
      <c r="N2441" t="s">
        <v>447</v>
      </c>
      <c r="O2441" s="3" t="str">
        <f>TEXT(Ticket_Table[[#This Row],[raised_date]],"YYYY-MM")</f>
        <v>2021-06</v>
      </c>
      <c r="P2441" s="3" t="str">
        <f>IF(Ticket_Table[[#This Row],[resolution_hrs]]&lt;=4,"Fast",IF(Ticket_Table[[#This Row],[resolution_hrs]]&lt;=24,"Normal",IF(Ticket_Table[[#This Row],[resolution_hrs]]&lt;=48,"Slow","Very Slow")))</f>
        <v>Very Slow</v>
      </c>
      <c r="Q2441" s="3">
        <f>YEAR(Ticket_Table[[#This Row],[raised_date]])</f>
        <v>2021</v>
      </c>
    </row>
    <row r="2442" spans="1:17">
      <c r="A2442" t="s">
        <v>3003</v>
      </c>
      <c r="B2442" t="s">
        <v>478</v>
      </c>
      <c r="C2442" t="s">
        <v>60</v>
      </c>
      <c r="D2442" t="s">
        <v>90</v>
      </c>
      <c r="E2442" t="s">
        <v>106</v>
      </c>
      <c r="F2442" t="s">
        <v>70</v>
      </c>
      <c r="G2442" t="s">
        <v>31</v>
      </c>
      <c r="H2442" s="1">
        <v>44800</v>
      </c>
      <c r="I2442" s="2">
        <v>44800.5</v>
      </c>
      <c r="J2442">
        <v>12</v>
      </c>
      <c r="K2442" t="s">
        <v>24</v>
      </c>
      <c r="L2442">
        <v>1</v>
      </c>
      <c r="M2442">
        <v>4</v>
      </c>
      <c r="N2442" t="s">
        <v>266</v>
      </c>
      <c r="O2442" s="3" t="str">
        <f>TEXT(Ticket_Table[[#This Row],[raised_date]],"YYYY-MM")</f>
        <v>2022-08</v>
      </c>
      <c r="P2442" s="3" t="str">
        <f>IF(Ticket_Table[[#This Row],[resolution_hrs]]&lt;=4,"Fast",IF(Ticket_Table[[#This Row],[resolution_hrs]]&lt;=24,"Normal",IF(Ticket_Table[[#This Row],[resolution_hrs]]&lt;=48,"Slow","Very Slow")))</f>
        <v>Normal</v>
      </c>
      <c r="Q2442" s="3">
        <f>YEAR(Ticket_Table[[#This Row],[raised_date]])</f>
        <v>2022</v>
      </c>
    </row>
    <row r="2443" spans="1:17">
      <c r="A2443" t="s">
        <v>3004</v>
      </c>
      <c r="B2443" t="s">
        <v>730</v>
      </c>
      <c r="C2443" t="s">
        <v>287</v>
      </c>
      <c r="D2443" t="s">
        <v>43</v>
      </c>
      <c r="E2443" t="s">
        <v>166</v>
      </c>
      <c r="F2443" t="s">
        <v>22</v>
      </c>
      <c r="G2443" t="s">
        <v>31</v>
      </c>
      <c r="H2443" s="1">
        <v>45180</v>
      </c>
      <c r="I2443" s="2">
        <v>45180.8875</v>
      </c>
      <c r="J2443">
        <v>21.3</v>
      </c>
      <c r="K2443" t="s">
        <v>24</v>
      </c>
      <c r="L2443">
        <v>0</v>
      </c>
      <c r="M2443">
        <v>2</v>
      </c>
      <c r="N2443" t="s">
        <v>588</v>
      </c>
      <c r="O2443" s="3" t="str">
        <f>TEXT(Ticket_Table[[#This Row],[raised_date]],"YYYY-MM")</f>
        <v>2023-09</v>
      </c>
      <c r="P2443" s="3" t="str">
        <f>IF(Ticket_Table[[#This Row],[resolution_hrs]]&lt;=4,"Fast",IF(Ticket_Table[[#This Row],[resolution_hrs]]&lt;=24,"Normal",IF(Ticket_Table[[#This Row],[resolution_hrs]]&lt;=48,"Slow","Very Slow")))</f>
        <v>Normal</v>
      </c>
      <c r="Q2443" s="3">
        <f>YEAR(Ticket_Table[[#This Row],[raised_date]])</f>
        <v>2023</v>
      </c>
    </row>
    <row r="2444" spans="1:17">
      <c r="A2444" t="s">
        <v>3005</v>
      </c>
      <c r="B2444" t="s">
        <v>198</v>
      </c>
      <c r="C2444" t="s">
        <v>201</v>
      </c>
      <c r="D2444" t="s">
        <v>29</v>
      </c>
      <c r="E2444" t="s">
        <v>21</v>
      </c>
      <c r="F2444" t="s">
        <v>70</v>
      </c>
      <c r="G2444" t="s">
        <v>31</v>
      </c>
      <c r="H2444" s="1">
        <v>44605</v>
      </c>
      <c r="I2444" s="2">
        <v>44605.0791666667</v>
      </c>
      <c r="J2444">
        <v>1.9</v>
      </c>
      <c r="K2444" t="s">
        <v>24</v>
      </c>
      <c r="L2444">
        <v>0</v>
      </c>
      <c r="M2444">
        <v>4</v>
      </c>
      <c r="N2444" t="s">
        <v>857</v>
      </c>
      <c r="O2444" s="3" t="str">
        <f>TEXT(Ticket_Table[[#This Row],[raised_date]],"YYYY-MM")</f>
        <v>2022-02</v>
      </c>
      <c r="P2444" s="3" t="str">
        <f>IF(Ticket_Table[[#This Row],[resolution_hrs]]&lt;=4,"Fast",IF(Ticket_Table[[#This Row],[resolution_hrs]]&lt;=24,"Normal",IF(Ticket_Table[[#This Row],[resolution_hrs]]&lt;=48,"Slow","Very Slow")))</f>
        <v>Fast</v>
      </c>
      <c r="Q2444" s="3">
        <f>YEAR(Ticket_Table[[#This Row],[raised_date]])</f>
        <v>2022</v>
      </c>
    </row>
    <row r="2445" spans="1:17">
      <c r="A2445" t="s">
        <v>3006</v>
      </c>
      <c r="B2445" t="s">
        <v>220</v>
      </c>
      <c r="C2445" t="s">
        <v>133</v>
      </c>
      <c r="D2445" t="s">
        <v>90</v>
      </c>
      <c r="E2445" t="s">
        <v>106</v>
      </c>
      <c r="F2445" t="s">
        <v>38</v>
      </c>
      <c r="G2445" t="s">
        <v>31</v>
      </c>
      <c r="H2445" s="1">
        <v>44395</v>
      </c>
      <c r="I2445" s="2">
        <v>44395.7708333333</v>
      </c>
      <c r="J2445">
        <v>18.5</v>
      </c>
      <c r="K2445" t="s">
        <v>24</v>
      </c>
      <c r="L2445">
        <v>0</v>
      </c>
      <c r="M2445">
        <v>2</v>
      </c>
      <c r="N2445" t="s">
        <v>185</v>
      </c>
      <c r="O2445" s="3" t="str">
        <f>TEXT(Ticket_Table[[#This Row],[raised_date]],"YYYY-MM")</f>
        <v>2021-07</v>
      </c>
      <c r="P2445" s="3" t="str">
        <f>IF(Ticket_Table[[#This Row],[resolution_hrs]]&lt;=4,"Fast",IF(Ticket_Table[[#This Row],[resolution_hrs]]&lt;=24,"Normal",IF(Ticket_Table[[#This Row],[resolution_hrs]]&lt;=48,"Slow","Very Slow")))</f>
        <v>Normal</v>
      </c>
      <c r="Q2445" s="3">
        <f>YEAR(Ticket_Table[[#This Row],[raised_date]])</f>
        <v>2021</v>
      </c>
    </row>
    <row r="2446" spans="1:17">
      <c r="A2446" t="s">
        <v>3007</v>
      </c>
      <c r="B2446" t="s">
        <v>1278</v>
      </c>
      <c r="C2446" t="s">
        <v>117</v>
      </c>
      <c r="D2446" t="s">
        <v>90</v>
      </c>
      <c r="E2446" t="s">
        <v>56</v>
      </c>
      <c r="F2446" t="s">
        <v>38</v>
      </c>
      <c r="G2446" t="s">
        <v>23</v>
      </c>
      <c r="H2446" s="1">
        <v>44249</v>
      </c>
      <c r="I2446" s="2">
        <v>44250.1</v>
      </c>
      <c r="J2446">
        <v>26.4</v>
      </c>
      <c r="K2446" t="s">
        <v>32</v>
      </c>
      <c r="L2446">
        <v>0</v>
      </c>
      <c r="M2446">
        <v>3</v>
      </c>
      <c r="N2446" t="s">
        <v>620</v>
      </c>
      <c r="O2446" s="3" t="str">
        <f>TEXT(Ticket_Table[[#This Row],[raised_date]],"YYYY-MM")</f>
        <v>2021-02</v>
      </c>
      <c r="P2446" s="3" t="str">
        <f>IF(Ticket_Table[[#This Row],[resolution_hrs]]&lt;=4,"Fast",IF(Ticket_Table[[#This Row],[resolution_hrs]]&lt;=24,"Normal",IF(Ticket_Table[[#This Row],[resolution_hrs]]&lt;=48,"Slow","Very Slow")))</f>
        <v>Slow</v>
      </c>
      <c r="Q2446" s="3">
        <f>YEAR(Ticket_Table[[#This Row],[raised_date]])</f>
        <v>2021</v>
      </c>
    </row>
    <row r="2447" spans="1:17">
      <c r="A2447" t="s">
        <v>3008</v>
      </c>
      <c r="B2447" t="s">
        <v>269</v>
      </c>
      <c r="C2447" t="s">
        <v>50</v>
      </c>
      <c r="D2447" t="s">
        <v>20</v>
      </c>
      <c r="E2447" t="s">
        <v>166</v>
      </c>
      <c r="F2447" t="s">
        <v>45</v>
      </c>
      <c r="G2447" t="s">
        <v>23</v>
      </c>
      <c r="H2447" s="1">
        <v>44620</v>
      </c>
      <c r="I2447" s="2">
        <v>44620.1458333333</v>
      </c>
      <c r="J2447">
        <v>3.5</v>
      </c>
      <c r="K2447" t="s">
        <v>24</v>
      </c>
      <c r="L2447">
        <v>0</v>
      </c>
      <c r="M2447">
        <v>3</v>
      </c>
      <c r="N2447" t="s">
        <v>132</v>
      </c>
      <c r="O2447" s="3" t="str">
        <f>TEXT(Ticket_Table[[#This Row],[raised_date]],"YYYY-MM")</f>
        <v>2022-02</v>
      </c>
      <c r="P2447" s="3" t="str">
        <f>IF(Ticket_Table[[#This Row],[resolution_hrs]]&lt;=4,"Fast",IF(Ticket_Table[[#This Row],[resolution_hrs]]&lt;=24,"Normal",IF(Ticket_Table[[#This Row],[resolution_hrs]]&lt;=48,"Slow","Very Slow")))</f>
        <v>Fast</v>
      </c>
      <c r="Q2447" s="3">
        <f>YEAR(Ticket_Table[[#This Row],[raised_date]])</f>
        <v>2022</v>
      </c>
    </row>
    <row r="2448" spans="1:17">
      <c r="A2448" t="s">
        <v>3009</v>
      </c>
      <c r="B2448" t="s">
        <v>562</v>
      </c>
      <c r="C2448" t="s">
        <v>117</v>
      </c>
      <c r="D2448" t="s">
        <v>36</v>
      </c>
      <c r="E2448" t="s">
        <v>37</v>
      </c>
      <c r="F2448" t="s">
        <v>22</v>
      </c>
      <c r="G2448" t="s">
        <v>23</v>
      </c>
      <c r="H2448" s="1">
        <v>44546</v>
      </c>
      <c r="I2448" s="2">
        <v>44550.1666666667</v>
      </c>
      <c r="J2448">
        <v>100</v>
      </c>
      <c r="K2448" t="s">
        <v>32</v>
      </c>
      <c r="L2448">
        <v>0</v>
      </c>
      <c r="M2448">
        <v>4</v>
      </c>
      <c r="N2448" t="s">
        <v>420</v>
      </c>
      <c r="O2448" s="3" t="str">
        <f>TEXT(Ticket_Table[[#This Row],[raised_date]],"YYYY-MM")</f>
        <v>2021-12</v>
      </c>
      <c r="P2448" s="3" t="str">
        <f>IF(Ticket_Table[[#This Row],[resolution_hrs]]&lt;=4,"Fast",IF(Ticket_Table[[#This Row],[resolution_hrs]]&lt;=24,"Normal",IF(Ticket_Table[[#This Row],[resolution_hrs]]&lt;=48,"Slow","Very Slow")))</f>
        <v>Very Slow</v>
      </c>
      <c r="Q2448" s="3">
        <f>YEAR(Ticket_Table[[#This Row],[raised_date]])</f>
        <v>2021</v>
      </c>
    </row>
    <row r="2449" spans="1:17">
      <c r="A2449" t="s">
        <v>3010</v>
      </c>
      <c r="B2449" t="s">
        <v>597</v>
      </c>
      <c r="C2449" t="s">
        <v>140</v>
      </c>
      <c r="D2449" t="s">
        <v>20</v>
      </c>
      <c r="E2449" t="s">
        <v>166</v>
      </c>
      <c r="F2449" t="s">
        <v>70</v>
      </c>
      <c r="G2449" t="s">
        <v>91</v>
      </c>
      <c r="H2449" s="1">
        <v>44794</v>
      </c>
      <c r="I2449" s="2">
        <v>44796.825</v>
      </c>
      <c r="J2449">
        <v>67.8</v>
      </c>
      <c r="K2449" t="s">
        <v>32</v>
      </c>
      <c r="L2449">
        <v>0</v>
      </c>
      <c r="M2449">
        <v>4</v>
      </c>
      <c r="N2449" t="s">
        <v>332</v>
      </c>
      <c r="O2449" s="3" t="str">
        <f>TEXT(Ticket_Table[[#This Row],[raised_date]],"YYYY-MM")</f>
        <v>2022-08</v>
      </c>
      <c r="P2449" s="3" t="str">
        <f>IF(Ticket_Table[[#This Row],[resolution_hrs]]&lt;=4,"Fast",IF(Ticket_Table[[#This Row],[resolution_hrs]]&lt;=24,"Normal",IF(Ticket_Table[[#This Row],[resolution_hrs]]&lt;=48,"Slow","Very Slow")))</f>
        <v>Very Slow</v>
      </c>
      <c r="Q2449" s="3">
        <f>YEAR(Ticket_Table[[#This Row],[raised_date]])</f>
        <v>2022</v>
      </c>
    </row>
    <row r="2450" spans="1:17">
      <c r="A2450" t="s">
        <v>3011</v>
      </c>
      <c r="B2450" t="s">
        <v>605</v>
      </c>
      <c r="C2450" t="s">
        <v>287</v>
      </c>
      <c r="D2450" t="s">
        <v>90</v>
      </c>
      <c r="E2450" t="s">
        <v>69</v>
      </c>
      <c r="F2450" t="s">
        <v>70</v>
      </c>
      <c r="G2450" t="s">
        <v>31</v>
      </c>
      <c r="H2450" s="1">
        <v>44364</v>
      </c>
      <c r="I2450" s="2">
        <v>44366.9125</v>
      </c>
      <c r="J2450">
        <v>69.9</v>
      </c>
      <c r="K2450" t="s">
        <v>32</v>
      </c>
      <c r="L2450">
        <v>2</v>
      </c>
      <c r="M2450">
        <v>3</v>
      </c>
      <c r="N2450" t="s">
        <v>61</v>
      </c>
      <c r="O2450" s="3" t="str">
        <f>TEXT(Ticket_Table[[#This Row],[raised_date]],"YYYY-MM")</f>
        <v>2021-06</v>
      </c>
      <c r="P2450" s="3" t="str">
        <f>IF(Ticket_Table[[#This Row],[resolution_hrs]]&lt;=4,"Fast",IF(Ticket_Table[[#This Row],[resolution_hrs]]&lt;=24,"Normal",IF(Ticket_Table[[#This Row],[resolution_hrs]]&lt;=48,"Slow","Very Slow")))</f>
        <v>Very Slow</v>
      </c>
      <c r="Q2450" s="3">
        <f>YEAR(Ticket_Table[[#This Row],[raised_date]])</f>
        <v>2021</v>
      </c>
    </row>
    <row r="2451" spans="1:17">
      <c r="A2451" t="s">
        <v>3012</v>
      </c>
      <c r="B2451" t="s">
        <v>41</v>
      </c>
      <c r="C2451" t="s">
        <v>19</v>
      </c>
      <c r="D2451" t="s">
        <v>90</v>
      </c>
      <c r="E2451" t="s">
        <v>21</v>
      </c>
      <c r="F2451" t="s">
        <v>70</v>
      </c>
      <c r="G2451" t="s">
        <v>23</v>
      </c>
      <c r="H2451" s="1">
        <v>45166</v>
      </c>
      <c r="I2451" s="2">
        <v>45167.1458333333</v>
      </c>
      <c r="J2451">
        <v>27.5</v>
      </c>
      <c r="K2451" t="s">
        <v>24</v>
      </c>
      <c r="L2451">
        <v>0</v>
      </c>
      <c r="M2451">
        <v>5</v>
      </c>
      <c r="N2451" t="s">
        <v>250</v>
      </c>
      <c r="O2451" s="3" t="str">
        <f>TEXT(Ticket_Table[[#This Row],[raised_date]],"YYYY-MM")</f>
        <v>2023-08</v>
      </c>
      <c r="P2451" s="3" t="str">
        <f>IF(Ticket_Table[[#This Row],[resolution_hrs]]&lt;=4,"Fast",IF(Ticket_Table[[#This Row],[resolution_hrs]]&lt;=24,"Normal",IF(Ticket_Table[[#This Row],[resolution_hrs]]&lt;=48,"Slow","Very Slow")))</f>
        <v>Slow</v>
      </c>
      <c r="Q2451" s="3">
        <f>YEAR(Ticket_Table[[#This Row],[raised_date]])</f>
        <v>2023</v>
      </c>
    </row>
    <row r="2452" spans="1:17">
      <c r="A2452" t="s">
        <v>3013</v>
      </c>
      <c r="B2452" t="s">
        <v>546</v>
      </c>
      <c r="C2452" t="s">
        <v>117</v>
      </c>
      <c r="D2452" t="s">
        <v>36</v>
      </c>
      <c r="E2452" t="s">
        <v>44</v>
      </c>
      <c r="F2452" t="s">
        <v>38</v>
      </c>
      <c r="G2452" t="s">
        <v>46</v>
      </c>
      <c r="H2452" s="1">
        <v>44433</v>
      </c>
      <c r="I2452" s="2">
        <v>44433.7541666667</v>
      </c>
      <c r="J2452">
        <v>18.1</v>
      </c>
      <c r="K2452" t="s">
        <v>24</v>
      </c>
      <c r="L2452">
        <v>1</v>
      </c>
      <c r="M2452">
        <v>1</v>
      </c>
      <c r="N2452" t="s">
        <v>942</v>
      </c>
      <c r="O2452" s="3" t="str">
        <f>TEXT(Ticket_Table[[#This Row],[raised_date]],"YYYY-MM")</f>
        <v>2021-08</v>
      </c>
      <c r="P2452" s="3" t="str">
        <f>IF(Ticket_Table[[#This Row],[resolution_hrs]]&lt;=4,"Fast",IF(Ticket_Table[[#This Row],[resolution_hrs]]&lt;=24,"Normal",IF(Ticket_Table[[#This Row],[resolution_hrs]]&lt;=48,"Slow","Very Slow")))</f>
        <v>Normal</v>
      </c>
      <c r="Q2452" s="3">
        <f>YEAR(Ticket_Table[[#This Row],[raised_date]])</f>
        <v>2021</v>
      </c>
    </row>
    <row r="2453" spans="1:17">
      <c r="A2453" t="s">
        <v>3014</v>
      </c>
      <c r="B2453" t="s">
        <v>722</v>
      </c>
      <c r="C2453" t="s">
        <v>55</v>
      </c>
      <c r="D2453" t="s">
        <v>43</v>
      </c>
      <c r="E2453" t="s">
        <v>21</v>
      </c>
      <c r="F2453" t="s">
        <v>38</v>
      </c>
      <c r="G2453" t="s">
        <v>23</v>
      </c>
      <c r="H2453" s="1">
        <v>44828</v>
      </c>
      <c r="I2453" s="2">
        <v>44828.975</v>
      </c>
      <c r="J2453">
        <v>23.4</v>
      </c>
      <c r="K2453" t="s">
        <v>24</v>
      </c>
      <c r="L2453">
        <v>3</v>
      </c>
      <c r="M2453">
        <v>4</v>
      </c>
      <c r="N2453" t="s">
        <v>646</v>
      </c>
      <c r="O2453" s="3" t="str">
        <f>TEXT(Ticket_Table[[#This Row],[raised_date]],"YYYY-MM")</f>
        <v>2022-09</v>
      </c>
      <c r="P2453" s="3" t="str">
        <f>IF(Ticket_Table[[#This Row],[resolution_hrs]]&lt;=4,"Fast",IF(Ticket_Table[[#This Row],[resolution_hrs]]&lt;=24,"Normal",IF(Ticket_Table[[#This Row],[resolution_hrs]]&lt;=48,"Slow","Very Slow")))</f>
        <v>Normal</v>
      </c>
      <c r="Q2453" s="3">
        <f>YEAR(Ticket_Table[[#This Row],[raised_date]])</f>
        <v>2022</v>
      </c>
    </row>
    <row r="2454" spans="1:17">
      <c r="A2454" t="s">
        <v>3015</v>
      </c>
      <c r="B2454" t="s">
        <v>664</v>
      </c>
      <c r="C2454" t="s">
        <v>60</v>
      </c>
      <c r="D2454" t="s">
        <v>36</v>
      </c>
      <c r="E2454" t="s">
        <v>106</v>
      </c>
      <c r="F2454" t="s">
        <v>38</v>
      </c>
      <c r="G2454" t="s">
        <v>23</v>
      </c>
      <c r="H2454" s="1">
        <v>45011</v>
      </c>
      <c r="I2454" s="2">
        <v>45011.9</v>
      </c>
      <c r="J2454">
        <v>21.6</v>
      </c>
      <c r="K2454" t="s">
        <v>24</v>
      </c>
      <c r="L2454">
        <v>0</v>
      </c>
      <c r="M2454">
        <v>4</v>
      </c>
      <c r="N2454" t="s">
        <v>105</v>
      </c>
      <c r="O2454" s="3" t="str">
        <f>TEXT(Ticket_Table[[#This Row],[raised_date]],"YYYY-MM")</f>
        <v>2023-03</v>
      </c>
      <c r="P2454" s="3" t="str">
        <f>IF(Ticket_Table[[#This Row],[resolution_hrs]]&lt;=4,"Fast",IF(Ticket_Table[[#This Row],[resolution_hrs]]&lt;=24,"Normal",IF(Ticket_Table[[#This Row],[resolution_hrs]]&lt;=48,"Slow","Very Slow")))</f>
        <v>Normal</v>
      </c>
      <c r="Q2454" s="3">
        <f>YEAR(Ticket_Table[[#This Row],[raised_date]])</f>
        <v>2023</v>
      </c>
    </row>
    <row r="2455" spans="1:17">
      <c r="A2455" t="s">
        <v>3016</v>
      </c>
      <c r="B2455" t="s">
        <v>54</v>
      </c>
      <c r="C2455" t="s">
        <v>68</v>
      </c>
      <c r="D2455" t="s">
        <v>20</v>
      </c>
      <c r="E2455" t="s">
        <v>83</v>
      </c>
      <c r="F2455" t="s">
        <v>22</v>
      </c>
      <c r="G2455" t="s">
        <v>31</v>
      </c>
      <c r="H2455" s="1">
        <v>45161</v>
      </c>
      <c r="I2455" s="2">
        <v>45162.8625</v>
      </c>
      <c r="J2455">
        <v>44.7</v>
      </c>
      <c r="K2455" t="s">
        <v>24</v>
      </c>
      <c r="L2455">
        <v>2</v>
      </c>
      <c r="M2455">
        <v>4</v>
      </c>
      <c r="N2455" t="s">
        <v>185</v>
      </c>
      <c r="O2455" s="3" t="str">
        <f>TEXT(Ticket_Table[[#This Row],[raised_date]],"YYYY-MM")</f>
        <v>2023-08</v>
      </c>
      <c r="P2455" s="3" t="str">
        <f>IF(Ticket_Table[[#This Row],[resolution_hrs]]&lt;=4,"Fast",IF(Ticket_Table[[#This Row],[resolution_hrs]]&lt;=24,"Normal",IF(Ticket_Table[[#This Row],[resolution_hrs]]&lt;=48,"Slow","Very Slow")))</f>
        <v>Slow</v>
      </c>
      <c r="Q2455" s="3">
        <f>YEAR(Ticket_Table[[#This Row],[raised_date]])</f>
        <v>2023</v>
      </c>
    </row>
    <row r="2456" spans="1:17">
      <c r="A2456" t="s">
        <v>3017</v>
      </c>
      <c r="B2456" t="s">
        <v>204</v>
      </c>
      <c r="C2456" t="s">
        <v>82</v>
      </c>
      <c r="D2456" t="s">
        <v>43</v>
      </c>
      <c r="E2456" t="s">
        <v>30</v>
      </c>
      <c r="F2456" t="s">
        <v>38</v>
      </c>
      <c r="G2456" t="s">
        <v>46</v>
      </c>
      <c r="H2456" s="1">
        <v>45198</v>
      </c>
      <c r="I2456" s="2">
        <v>45198.1</v>
      </c>
      <c r="J2456">
        <v>2.4</v>
      </c>
      <c r="K2456" t="s">
        <v>24</v>
      </c>
      <c r="L2456">
        <v>0</v>
      </c>
      <c r="M2456">
        <v>3</v>
      </c>
      <c r="N2456" t="s">
        <v>485</v>
      </c>
      <c r="O2456" s="3" t="str">
        <f>TEXT(Ticket_Table[[#This Row],[raised_date]],"YYYY-MM")</f>
        <v>2023-09</v>
      </c>
      <c r="P2456" s="3" t="str">
        <f>IF(Ticket_Table[[#This Row],[resolution_hrs]]&lt;=4,"Fast",IF(Ticket_Table[[#This Row],[resolution_hrs]]&lt;=24,"Normal",IF(Ticket_Table[[#This Row],[resolution_hrs]]&lt;=48,"Slow","Very Slow")))</f>
        <v>Fast</v>
      </c>
      <c r="Q2456" s="3">
        <f>YEAR(Ticket_Table[[#This Row],[raised_date]])</f>
        <v>2023</v>
      </c>
    </row>
    <row r="2457" spans="1:17">
      <c r="A2457" t="s">
        <v>3018</v>
      </c>
      <c r="B2457" t="s">
        <v>161</v>
      </c>
      <c r="C2457" t="s">
        <v>60</v>
      </c>
      <c r="D2457" t="s">
        <v>20</v>
      </c>
      <c r="E2457" t="s">
        <v>37</v>
      </c>
      <c r="F2457" t="s">
        <v>22</v>
      </c>
      <c r="G2457" t="s">
        <v>46</v>
      </c>
      <c r="H2457" s="1">
        <v>44739</v>
      </c>
      <c r="I2457" s="2">
        <v>44743.15</v>
      </c>
      <c r="J2457">
        <v>99.6</v>
      </c>
      <c r="K2457" t="s">
        <v>32</v>
      </c>
      <c r="L2457">
        <v>1</v>
      </c>
      <c r="M2457">
        <v>1</v>
      </c>
      <c r="N2457" t="s">
        <v>92</v>
      </c>
      <c r="O2457" s="3" t="str">
        <f>TEXT(Ticket_Table[[#This Row],[raised_date]],"YYYY-MM")</f>
        <v>2022-06</v>
      </c>
      <c r="P2457" s="3" t="str">
        <f>IF(Ticket_Table[[#This Row],[resolution_hrs]]&lt;=4,"Fast",IF(Ticket_Table[[#This Row],[resolution_hrs]]&lt;=24,"Normal",IF(Ticket_Table[[#This Row],[resolution_hrs]]&lt;=48,"Slow","Very Slow")))</f>
        <v>Very Slow</v>
      </c>
      <c r="Q2457" s="3">
        <f>YEAR(Ticket_Table[[#This Row],[raised_date]])</f>
        <v>2022</v>
      </c>
    </row>
    <row r="2458" spans="1:17">
      <c r="A2458" t="s">
        <v>3019</v>
      </c>
      <c r="B2458" t="s">
        <v>603</v>
      </c>
      <c r="C2458" t="s">
        <v>117</v>
      </c>
      <c r="D2458" t="s">
        <v>36</v>
      </c>
      <c r="E2458" t="s">
        <v>83</v>
      </c>
      <c r="F2458" t="s">
        <v>38</v>
      </c>
      <c r="G2458" t="s">
        <v>23</v>
      </c>
      <c r="H2458" s="1">
        <v>44383</v>
      </c>
      <c r="I2458" s="2">
        <v>44383.6041666667</v>
      </c>
      <c r="J2458">
        <v>14.5</v>
      </c>
      <c r="K2458" t="s">
        <v>24</v>
      </c>
      <c r="L2458">
        <v>0</v>
      </c>
      <c r="M2458">
        <v>4</v>
      </c>
      <c r="N2458" t="s">
        <v>307</v>
      </c>
      <c r="O2458" s="3" t="str">
        <f>TEXT(Ticket_Table[[#This Row],[raised_date]],"YYYY-MM")</f>
        <v>2021-07</v>
      </c>
      <c r="P2458" s="3" t="str">
        <f>IF(Ticket_Table[[#This Row],[resolution_hrs]]&lt;=4,"Fast",IF(Ticket_Table[[#This Row],[resolution_hrs]]&lt;=24,"Normal",IF(Ticket_Table[[#This Row],[resolution_hrs]]&lt;=48,"Slow","Very Slow")))</f>
        <v>Normal</v>
      </c>
      <c r="Q2458" s="3">
        <f>YEAR(Ticket_Table[[#This Row],[raised_date]])</f>
        <v>2021</v>
      </c>
    </row>
    <row r="2459" spans="1:17">
      <c r="A2459" t="s">
        <v>3020</v>
      </c>
      <c r="B2459" t="s">
        <v>329</v>
      </c>
      <c r="C2459" t="s">
        <v>78</v>
      </c>
      <c r="D2459" t="s">
        <v>43</v>
      </c>
      <c r="E2459" t="s">
        <v>106</v>
      </c>
      <c r="F2459" t="s">
        <v>70</v>
      </c>
      <c r="G2459" t="s">
        <v>31</v>
      </c>
      <c r="H2459" s="1">
        <v>44990</v>
      </c>
      <c r="I2459" s="2">
        <v>44991.7166666667</v>
      </c>
      <c r="J2459">
        <v>41.2</v>
      </c>
      <c r="K2459" t="s">
        <v>24</v>
      </c>
      <c r="L2459">
        <v>0</v>
      </c>
      <c r="M2459">
        <v>2</v>
      </c>
      <c r="N2459" t="s">
        <v>353</v>
      </c>
      <c r="O2459" s="3" t="str">
        <f>TEXT(Ticket_Table[[#This Row],[raised_date]],"YYYY-MM")</f>
        <v>2023-03</v>
      </c>
      <c r="P2459" s="3" t="str">
        <f>IF(Ticket_Table[[#This Row],[resolution_hrs]]&lt;=4,"Fast",IF(Ticket_Table[[#This Row],[resolution_hrs]]&lt;=24,"Normal",IF(Ticket_Table[[#This Row],[resolution_hrs]]&lt;=48,"Slow","Very Slow")))</f>
        <v>Slow</v>
      </c>
      <c r="Q2459" s="3">
        <f>YEAR(Ticket_Table[[#This Row],[raised_date]])</f>
        <v>2023</v>
      </c>
    </row>
    <row r="2460" spans="1:17">
      <c r="A2460" t="s">
        <v>3021</v>
      </c>
      <c r="B2460" t="s">
        <v>397</v>
      </c>
      <c r="C2460" t="s">
        <v>28</v>
      </c>
      <c r="D2460" t="s">
        <v>36</v>
      </c>
      <c r="E2460" t="s">
        <v>83</v>
      </c>
      <c r="F2460" t="s">
        <v>70</v>
      </c>
      <c r="G2460" t="s">
        <v>23</v>
      </c>
      <c r="H2460" s="1">
        <v>44575</v>
      </c>
      <c r="I2460" s="2">
        <v>44575.6166666667</v>
      </c>
      <c r="J2460">
        <v>14.8</v>
      </c>
      <c r="K2460" t="s">
        <v>24</v>
      </c>
      <c r="L2460">
        <v>0</v>
      </c>
      <c r="M2460">
        <v>5</v>
      </c>
      <c r="N2460" t="s">
        <v>787</v>
      </c>
      <c r="O2460" s="3" t="str">
        <f>TEXT(Ticket_Table[[#This Row],[raised_date]],"YYYY-MM")</f>
        <v>2022-01</v>
      </c>
      <c r="P2460" s="3" t="str">
        <f>IF(Ticket_Table[[#This Row],[resolution_hrs]]&lt;=4,"Fast",IF(Ticket_Table[[#This Row],[resolution_hrs]]&lt;=24,"Normal",IF(Ticket_Table[[#This Row],[resolution_hrs]]&lt;=48,"Slow","Very Slow")))</f>
        <v>Normal</v>
      </c>
      <c r="Q2460" s="3">
        <f>YEAR(Ticket_Table[[#This Row],[raised_date]])</f>
        <v>2022</v>
      </c>
    </row>
    <row r="2461" spans="1:17">
      <c r="A2461" t="s">
        <v>3022</v>
      </c>
      <c r="B2461" t="s">
        <v>105</v>
      </c>
      <c r="C2461" t="s">
        <v>95</v>
      </c>
      <c r="D2461" t="s">
        <v>29</v>
      </c>
      <c r="E2461" t="s">
        <v>56</v>
      </c>
      <c r="F2461" t="s">
        <v>70</v>
      </c>
      <c r="G2461" t="s">
        <v>23</v>
      </c>
      <c r="H2461" s="1">
        <v>44956</v>
      </c>
      <c r="I2461" s="2">
        <v>44957.3333333333</v>
      </c>
      <c r="J2461">
        <v>32</v>
      </c>
      <c r="K2461" t="s">
        <v>24</v>
      </c>
      <c r="L2461">
        <v>2</v>
      </c>
      <c r="M2461">
        <v>3</v>
      </c>
      <c r="N2461" t="s">
        <v>188</v>
      </c>
      <c r="O2461" s="3" t="str">
        <f>TEXT(Ticket_Table[[#This Row],[raised_date]],"YYYY-MM")</f>
        <v>2023-01</v>
      </c>
      <c r="P2461" s="3" t="str">
        <f>IF(Ticket_Table[[#This Row],[resolution_hrs]]&lt;=4,"Fast",IF(Ticket_Table[[#This Row],[resolution_hrs]]&lt;=24,"Normal",IF(Ticket_Table[[#This Row],[resolution_hrs]]&lt;=48,"Slow","Very Slow")))</f>
        <v>Slow</v>
      </c>
      <c r="Q2461" s="3">
        <f>YEAR(Ticket_Table[[#This Row],[raised_date]])</f>
        <v>2023</v>
      </c>
    </row>
    <row r="2462" spans="1:17">
      <c r="A2462" t="s">
        <v>3023</v>
      </c>
      <c r="B2462" t="s">
        <v>550</v>
      </c>
      <c r="C2462" t="s">
        <v>28</v>
      </c>
      <c r="D2462" t="s">
        <v>90</v>
      </c>
      <c r="E2462" t="s">
        <v>166</v>
      </c>
      <c r="F2462" t="s">
        <v>45</v>
      </c>
      <c r="G2462" t="s">
        <v>23</v>
      </c>
      <c r="H2462" s="1">
        <v>44978</v>
      </c>
      <c r="I2462" s="2">
        <v>44978.0958333333</v>
      </c>
      <c r="J2462">
        <v>2.3</v>
      </c>
      <c r="K2462" t="s">
        <v>24</v>
      </c>
      <c r="L2462">
        <v>2</v>
      </c>
      <c r="M2462">
        <v>4</v>
      </c>
      <c r="N2462" t="s">
        <v>481</v>
      </c>
      <c r="O2462" s="3" t="str">
        <f>TEXT(Ticket_Table[[#This Row],[raised_date]],"YYYY-MM")</f>
        <v>2023-02</v>
      </c>
      <c r="P2462" s="3" t="str">
        <f>IF(Ticket_Table[[#This Row],[resolution_hrs]]&lt;=4,"Fast",IF(Ticket_Table[[#This Row],[resolution_hrs]]&lt;=24,"Normal",IF(Ticket_Table[[#This Row],[resolution_hrs]]&lt;=48,"Slow","Very Slow")))</f>
        <v>Fast</v>
      </c>
      <c r="Q2462" s="3">
        <f>YEAR(Ticket_Table[[#This Row],[raised_date]])</f>
        <v>2023</v>
      </c>
    </row>
    <row r="2463" spans="1:17">
      <c r="A2463" t="s">
        <v>3024</v>
      </c>
      <c r="B2463" t="s">
        <v>340</v>
      </c>
      <c r="C2463" t="s">
        <v>55</v>
      </c>
      <c r="D2463" t="s">
        <v>43</v>
      </c>
      <c r="E2463" t="s">
        <v>30</v>
      </c>
      <c r="F2463" t="s">
        <v>22</v>
      </c>
      <c r="G2463" t="s">
        <v>46</v>
      </c>
      <c r="H2463" s="1">
        <v>44953</v>
      </c>
      <c r="I2463" s="2">
        <v>44957.1125</v>
      </c>
      <c r="J2463">
        <v>98.7</v>
      </c>
      <c r="K2463" t="s">
        <v>32</v>
      </c>
      <c r="L2463">
        <v>0</v>
      </c>
      <c r="M2463">
        <v>4</v>
      </c>
      <c r="N2463" t="s">
        <v>607</v>
      </c>
      <c r="O2463" s="3" t="str">
        <f>TEXT(Ticket_Table[[#This Row],[raised_date]],"YYYY-MM")</f>
        <v>2023-01</v>
      </c>
      <c r="P2463" s="3" t="str">
        <f>IF(Ticket_Table[[#This Row],[resolution_hrs]]&lt;=4,"Fast",IF(Ticket_Table[[#This Row],[resolution_hrs]]&lt;=24,"Normal",IF(Ticket_Table[[#This Row],[resolution_hrs]]&lt;=48,"Slow","Very Slow")))</f>
        <v>Very Slow</v>
      </c>
      <c r="Q2463" s="3">
        <f>YEAR(Ticket_Table[[#This Row],[raised_date]])</f>
        <v>2023</v>
      </c>
    </row>
    <row r="2464" spans="1:17">
      <c r="A2464" t="s">
        <v>3025</v>
      </c>
      <c r="B2464" t="s">
        <v>135</v>
      </c>
      <c r="C2464" t="s">
        <v>95</v>
      </c>
      <c r="D2464" t="s">
        <v>90</v>
      </c>
      <c r="E2464" t="s">
        <v>106</v>
      </c>
      <c r="F2464" t="s">
        <v>70</v>
      </c>
      <c r="G2464" t="s">
        <v>46</v>
      </c>
      <c r="H2464" s="1">
        <v>44579</v>
      </c>
      <c r="I2464" s="2">
        <v>44581.1791666667</v>
      </c>
      <c r="J2464">
        <v>52.3</v>
      </c>
      <c r="K2464" t="s">
        <v>32</v>
      </c>
      <c r="L2464">
        <v>0</v>
      </c>
      <c r="M2464">
        <v>4</v>
      </c>
      <c r="N2464" t="s">
        <v>449</v>
      </c>
      <c r="O2464" s="3" t="str">
        <f>TEXT(Ticket_Table[[#This Row],[raised_date]],"YYYY-MM")</f>
        <v>2022-01</v>
      </c>
      <c r="P2464" s="3" t="str">
        <f>IF(Ticket_Table[[#This Row],[resolution_hrs]]&lt;=4,"Fast",IF(Ticket_Table[[#This Row],[resolution_hrs]]&lt;=24,"Normal",IF(Ticket_Table[[#This Row],[resolution_hrs]]&lt;=48,"Slow","Very Slow")))</f>
        <v>Very Slow</v>
      </c>
      <c r="Q2464" s="3">
        <f>YEAR(Ticket_Table[[#This Row],[raised_date]])</f>
        <v>2022</v>
      </c>
    </row>
    <row r="2465" spans="1:17">
      <c r="A2465" t="s">
        <v>3026</v>
      </c>
      <c r="B2465" t="s">
        <v>349</v>
      </c>
      <c r="C2465" t="s">
        <v>140</v>
      </c>
      <c r="D2465" t="s">
        <v>29</v>
      </c>
      <c r="E2465" t="s">
        <v>69</v>
      </c>
      <c r="F2465" t="s">
        <v>38</v>
      </c>
      <c r="G2465" t="s">
        <v>31</v>
      </c>
      <c r="H2465" s="1">
        <v>45109</v>
      </c>
      <c r="I2465" s="2">
        <v>45109.7833333333</v>
      </c>
      <c r="J2465">
        <v>18.8</v>
      </c>
      <c r="K2465" t="s">
        <v>24</v>
      </c>
      <c r="L2465">
        <v>1</v>
      </c>
      <c r="M2465">
        <v>4</v>
      </c>
      <c r="N2465" t="s">
        <v>802</v>
      </c>
      <c r="O2465" s="3" t="str">
        <f>TEXT(Ticket_Table[[#This Row],[raised_date]],"YYYY-MM")</f>
        <v>2023-07</v>
      </c>
      <c r="P2465" s="3" t="str">
        <f>IF(Ticket_Table[[#This Row],[resolution_hrs]]&lt;=4,"Fast",IF(Ticket_Table[[#This Row],[resolution_hrs]]&lt;=24,"Normal",IF(Ticket_Table[[#This Row],[resolution_hrs]]&lt;=48,"Slow","Very Slow")))</f>
        <v>Normal</v>
      </c>
      <c r="Q2465" s="3">
        <f>YEAR(Ticket_Table[[#This Row],[raised_date]])</f>
        <v>2023</v>
      </c>
    </row>
    <row r="2466" spans="1:17">
      <c r="A2466" t="s">
        <v>3027</v>
      </c>
      <c r="B2466" t="s">
        <v>778</v>
      </c>
      <c r="C2466" t="s">
        <v>60</v>
      </c>
      <c r="D2466" t="s">
        <v>43</v>
      </c>
      <c r="E2466" t="s">
        <v>37</v>
      </c>
      <c r="F2466" t="s">
        <v>70</v>
      </c>
      <c r="G2466" t="s">
        <v>31</v>
      </c>
      <c r="H2466" s="1">
        <v>44288</v>
      </c>
      <c r="I2466" s="2">
        <v>44289.4875</v>
      </c>
      <c r="J2466">
        <v>35.7</v>
      </c>
      <c r="K2466" t="s">
        <v>24</v>
      </c>
      <c r="L2466">
        <v>1</v>
      </c>
      <c r="M2466">
        <v>4</v>
      </c>
      <c r="N2466" t="s">
        <v>476</v>
      </c>
      <c r="O2466" s="3" t="str">
        <f>TEXT(Ticket_Table[[#This Row],[raised_date]],"YYYY-MM")</f>
        <v>2021-04</v>
      </c>
      <c r="P2466" s="3" t="str">
        <f>IF(Ticket_Table[[#This Row],[resolution_hrs]]&lt;=4,"Fast",IF(Ticket_Table[[#This Row],[resolution_hrs]]&lt;=24,"Normal",IF(Ticket_Table[[#This Row],[resolution_hrs]]&lt;=48,"Slow","Very Slow")))</f>
        <v>Slow</v>
      </c>
      <c r="Q2466" s="3">
        <f>YEAR(Ticket_Table[[#This Row],[raised_date]])</f>
        <v>2021</v>
      </c>
    </row>
    <row r="2467" spans="1:17">
      <c r="A2467" t="s">
        <v>3028</v>
      </c>
      <c r="B2467" t="s">
        <v>790</v>
      </c>
      <c r="C2467" t="s">
        <v>287</v>
      </c>
      <c r="D2467" t="s">
        <v>90</v>
      </c>
      <c r="E2467" t="s">
        <v>69</v>
      </c>
      <c r="F2467" t="s">
        <v>22</v>
      </c>
      <c r="G2467" t="s">
        <v>23</v>
      </c>
      <c r="H2467" s="1">
        <v>44736</v>
      </c>
      <c r="I2467" s="2">
        <v>44739.1125</v>
      </c>
      <c r="J2467">
        <v>74.7</v>
      </c>
      <c r="K2467" t="s">
        <v>32</v>
      </c>
      <c r="L2467">
        <v>0</v>
      </c>
      <c r="M2467">
        <v>1</v>
      </c>
      <c r="N2467" t="s">
        <v>94</v>
      </c>
      <c r="O2467" s="3" t="str">
        <f>TEXT(Ticket_Table[[#This Row],[raised_date]],"YYYY-MM")</f>
        <v>2022-06</v>
      </c>
      <c r="P2467" s="3" t="str">
        <f>IF(Ticket_Table[[#This Row],[resolution_hrs]]&lt;=4,"Fast",IF(Ticket_Table[[#This Row],[resolution_hrs]]&lt;=24,"Normal",IF(Ticket_Table[[#This Row],[resolution_hrs]]&lt;=48,"Slow","Very Slow")))</f>
        <v>Very Slow</v>
      </c>
      <c r="Q2467" s="3">
        <f>YEAR(Ticket_Table[[#This Row],[raised_date]])</f>
        <v>2022</v>
      </c>
    </row>
    <row r="2468" spans="1:17">
      <c r="A2468" t="s">
        <v>3029</v>
      </c>
      <c r="B2468" t="s">
        <v>264</v>
      </c>
      <c r="C2468" t="s">
        <v>261</v>
      </c>
      <c r="D2468" t="s">
        <v>90</v>
      </c>
      <c r="E2468" t="s">
        <v>166</v>
      </c>
      <c r="F2468" t="s">
        <v>70</v>
      </c>
      <c r="G2468" t="s">
        <v>23</v>
      </c>
      <c r="H2468" s="1">
        <v>45097</v>
      </c>
      <c r="I2468" s="2">
        <v>45099.1</v>
      </c>
      <c r="J2468">
        <v>50.4</v>
      </c>
      <c r="K2468" t="s">
        <v>32</v>
      </c>
      <c r="L2468">
        <v>0</v>
      </c>
      <c r="M2468">
        <v>4</v>
      </c>
      <c r="N2468" t="s">
        <v>382</v>
      </c>
      <c r="O2468" s="3" t="str">
        <f>TEXT(Ticket_Table[[#This Row],[raised_date]],"YYYY-MM")</f>
        <v>2023-06</v>
      </c>
      <c r="P2468" s="3" t="str">
        <f>IF(Ticket_Table[[#This Row],[resolution_hrs]]&lt;=4,"Fast",IF(Ticket_Table[[#This Row],[resolution_hrs]]&lt;=24,"Normal",IF(Ticket_Table[[#This Row],[resolution_hrs]]&lt;=48,"Slow","Very Slow")))</f>
        <v>Very Slow</v>
      </c>
      <c r="Q2468" s="3">
        <f>YEAR(Ticket_Table[[#This Row],[raised_date]])</f>
        <v>2023</v>
      </c>
    </row>
    <row r="2469" spans="1:17">
      <c r="A2469" t="s">
        <v>3030</v>
      </c>
      <c r="B2469" t="s">
        <v>735</v>
      </c>
      <c r="C2469" t="s">
        <v>50</v>
      </c>
      <c r="D2469" t="s">
        <v>43</v>
      </c>
      <c r="E2469" t="s">
        <v>30</v>
      </c>
      <c r="F2469" t="s">
        <v>70</v>
      </c>
      <c r="G2469" t="s">
        <v>31</v>
      </c>
      <c r="H2469" s="1">
        <v>45149</v>
      </c>
      <c r="I2469" s="2">
        <v>45150.9666666667</v>
      </c>
      <c r="J2469">
        <v>47.2</v>
      </c>
      <c r="K2469" t="s">
        <v>24</v>
      </c>
      <c r="L2469">
        <v>1</v>
      </c>
      <c r="M2469">
        <v>2</v>
      </c>
      <c r="N2469" t="s">
        <v>600</v>
      </c>
      <c r="O2469" s="3" t="str">
        <f>TEXT(Ticket_Table[[#This Row],[raised_date]],"YYYY-MM")</f>
        <v>2023-08</v>
      </c>
      <c r="P2469" s="3" t="str">
        <f>IF(Ticket_Table[[#This Row],[resolution_hrs]]&lt;=4,"Fast",IF(Ticket_Table[[#This Row],[resolution_hrs]]&lt;=24,"Normal",IF(Ticket_Table[[#This Row],[resolution_hrs]]&lt;=48,"Slow","Very Slow")))</f>
        <v>Slow</v>
      </c>
      <c r="Q2469" s="3">
        <f>YEAR(Ticket_Table[[#This Row],[raised_date]])</f>
        <v>2023</v>
      </c>
    </row>
    <row r="2470" spans="1:17">
      <c r="A2470" t="s">
        <v>3031</v>
      </c>
      <c r="B2470" t="s">
        <v>491</v>
      </c>
      <c r="C2470" t="s">
        <v>117</v>
      </c>
      <c r="D2470" t="s">
        <v>90</v>
      </c>
      <c r="E2470" t="s">
        <v>166</v>
      </c>
      <c r="F2470" t="s">
        <v>45</v>
      </c>
      <c r="G2470" t="s">
        <v>31</v>
      </c>
      <c r="H2470" s="1">
        <v>44736</v>
      </c>
      <c r="I2470" s="2">
        <v>44736.2333333333</v>
      </c>
      <c r="J2470">
        <v>5.6</v>
      </c>
      <c r="K2470" t="s">
        <v>32</v>
      </c>
      <c r="L2470">
        <v>1</v>
      </c>
      <c r="M2470">
        <v>4</v>
      </c>
      <c r="N2470" t="s">
        <v>35</v>
      </c>
      <c r="O2470" s="3" t="str">
        <f>TEXT(Ticket_Table[[#This Row],[raised_date]],"YYYY-MM")</f>
        <v>2022-06</v>
      </c>
      <c r="P2470" s="3" t="str">
        <f>IF(Ticket_Table[[#This Row],[resolution_hrs]]&lt;=4,"Fast",IF(Ticket_Table[[#This Row],[resolution_hrs]]&lt;=24,"Normal",IF(Ticket_Table[[#This Row],[resolution_hrs]]&lt;=48,"Slow","Very Slow")))</f>
        <v>Normal</v>
      </c>
      <c r="Q2470" s="3">
        <f>YEAR(Ticket_Table[[#This Row],[raised_date]])</f>
        <v>2022</v>
      </c>
    </row>
    <row r="2471" spans="1:17">
      <c r="A2471" t="s">
        <v>3032</v>
      </c>
      <c r="B2471" t="s">
        <v>776</v>
      </c>
      <c r="C2471" t="s">
        <v>201</v>
      </c>
      <c r="D2471" t="s">
        <v>90</v>
      </c>
      <c r="E2471" t="s">
        <v>51</v>
      </c>
      <c r="F2471" t="s">
        <v>38</v>
      </c>
      <c r="G2471" t="s">
        <v>74</v>
      </c>
      <c r="H2471" s="1">
        <v>44660</v>
      </c>
      <c r="I2471" s="2">
        <v>44661.1125</v>
      </c>
      <c r="J2471">
        <v>26.7</v>
      </c>
      <c r="K2471" t="s">
        <v>32</v>
      </c>
      <c r="L2471">
        <v>0</v>
      </c>
      <c r="M2471">
        <v>5</v>
      </c>
      <c r="N2471" t="s">
        <v>1067</v>
      </c>
      <c r="O2471" s="3" t="str">
        <f>TEXT(Ticket_Table[[#This Row],[raised_date]],"YYYY-MM")</f>
        <v>2022-04</v>
      </c>
      <c r="P2471" s="3" t="str">
        <f>IF(Ticket_Table[[#This Row],[resolution_hrs]]&lt;=4,"Fast",IF(Ticket_Table[[#This Row],[resolution_hrs]]&lt;=24,"Normal",IF(Ticket_Table[[#This Row],[resolution_hrs]]&lt;=48,"Slow","Very Slow")))</f>
        <v>Slow</v>
      </c>
      <c r="Q2471" s="3">
        <f>YEAR(Ticket_Table[[#This Row],[raised_date]])</f>
        <v>2022</v>
      </c>
    </row>
    <row r="2472" spans="1:17">
      <c r="A2472" t="s">
        <v>3033</v>
      </c>
      <c r="B2472" t="s">
        <v>194</v>
      </c>
      <c r="C2472" t="s">
        <v>102</v>
      </c>
      <c r="D2472" t="s">
        <v>43</v>
      </c>
      <c r="E2472" t="s">
        <v>69</v>
      </c>
      <c r="F2472" t="s">
        <v>70</v>
      </c>
      <c r="G2472" t="s">
        <v>23</v>
      </c>
      <c r="H2472" s="1">
        <v>44747</v>
      </c>
      <c r="I2472" s="2">
        <v>44747.7583333333</v>
      </c>
      <c r="J2472">
        <v>18.2</v>
      </c>
      <c r="K2472" t="s">
        <v>24</v>
      </c>
      <c r="L2472">
        <v>1</v>
      </c>
      <c r="M2472">
        <v>3</v>
      </c>
      <c r="N2472" t="s">
        <v>607</v>
      </c>
      <c r="O2472" s="3" t="str">
        <f>TEXT(Ticket_Table[[#This Row],[raised_date]],"YYYY-MM")</f>
        <v>2022-07</v>
      </c>
      <c r="P2472" s="3" t="str">
        <f>IF(Ticket_Table[[#This Row],[resolution_hrs]]&lt;=4,"Fast",IF(Ticket_Table[[#This Row],[resolution_hrs]]&lt;=24,"Normal",IF(Ticket_Table[[#This Row],[resolution_hrs]]&lt;=48,"Slow","Very Slow")))</f>
        <v>Normal</v>
      </c>
      <c r="Q2472" s="3">
        <f>YEAR(Ticket_Table[[#This Row],[raised_date]])</f>
        <v>2022</v>
      </c>
    </row>
    <row r="2473" spans="1:17">
      <c r="A2473" t="s">
        <v>3034</v>
      </c>
      <c r="B2473" t="s">
        <v>627</v>
      </c>
      <c r="C2473" t="s">
        <v>261</v>
      </c>
      <c r="D2473" t="s">
        <v>90</v>
      </c>
      <c r="E2473" t="s">
        <v>166</v>
      </c>
      <c r="F2473" t="s">
        <v>45</v>
      </c>
      <c r="G2473" t="s">
        <v>31</v>
      </c>
      <c r="H2473" s="1">
        <v>44323</v>
      </c>
      <c r="I2473" s="2">
        <v>44323.05</v>
      </c>
      <c r="J2473">
        <v>1.2</v>
      </c>
      <c r="K2473" t="s">
        <v>24</v>
      </c>
      <c r="L2473">
        <v>0</v>
      </c>
      <c r="M2473">
        <v>4</v>
      </c>
      <c r="N2473" t="s">
        <v>385</v>
      </c>
      <c r="O2473" s="3" t="str">
        <f>TEXT(Ticket_Table[[#This Row],[raised_date]],"YYYY-MM")</f>
        <v>2021-05</v>
      </c>
      <c r="P2473" s="3" t="str">
        <f>IF(Ticket_Table[[#This Row],[resolution_hrs]]&lt;=4,"Fast",IF(Ticket_Table[[#This Row],[resolution_hrs]]&lt;=24,"Normal",IF(Ticket_Table[[#This Row],[resolution_hrs]]&lt;=48,"Slow","Very Slow")))</f>
        <v>Fast</v>
      </c>
      <c r="Q2473" s="3">
        <f>YEAR(Ticket_Table[[#This Row],[raised_date]])</f>
        <v>2021</v>
      </c>
    </row>
    <row r="2474" spans="1:17">
      <c r="A2474" t="s">
        <v>3035</v>
      </c>
      <c r="B2474" t="s">
        <v>314</v>
      </c>
      <c r="C2474" t="s">
        <v>78</v>
      </c>
      <c r="D2474" t="s">
        <v>90</v>
      </c>
      <c r="E2474" t="s">
        <v>166</v>
      </c>
      <c r="F2474" t="s">
        <v>70</v>
      </c>
      <c r="G2474" t="s">
        <v>23</v>
      </c>
      <c r="H2474" s="1">
        <v>44506</v>
      </c>
      <c r="I2474" s="2">
        <v>44508.4458333333</v>
      </c>
      <c r="J2474">
        <v>58.7</v>
      </c>
      <c r="K2474" t="s">
        <v>32</v>
      </c>
      <c r="L2474">
        <v>2</v>
      </c>
      <c r="M2474">
        <v>1</v>
      </c>
      <c r="N2474" t="s">
        <v>950</v>
      </c>
      <c r="O2474" s="3" t="str">
        <f>TEXT(Ticket_Table[[#This Row],[raised_date]],"YYYY-MM")</f>
        <v>2021-11</v>
      </c>
      <c r="P2474" s="3" t="str">
        <f>IF(Ticket_Table[[#This Row],[resolution_hrs]]&lt;=4,"Fast",IF(Ticket_Table[[#This Row],[resolution_hrs]]&lt;=24,"Normal",IF(Ticket_Table[[#This Row],[resolution_hrs]]&lt;=48,"Slow","Very Slow")))</f>
        <v>Very Slow</v>
      </c>
      <c r="Q2474" s="3">
        <f>YEAR(Ticket_Table[[#This Row],[raised_date]])</f>
        <v>2021</v>
      </c>
    </row>
    <row r="2475" spans="1:17">
      <c r="A2475" t="s">
        <v>3036</v>
      </c>
      <c r="B2475" t="s">
        <v>352</v>
      </c>
      <c r="C2475" t="s">
        <v>68</v>
      </c>
      <c r="D2475" t="s">
        <v>20</v>
      </c>
      <c r="E2475" t="s">
        <v>83</v>
      </c>
      <c r="F2475" t="s">
        <v>22</v>
      </c>
      <c r="G2475" t="s">
        <v>91</v>
      </c>
      <c r="H2475" s="1">
        <v>44395</v>
      </c>
      <c r="I2475" s="2">
        <v>44397.8541666667</v>
      </c>
      <c r="J2475">
        <v>68.5</v>
      </c>
      <c r="K2475" t="s">
        <v>24</v>
      </c>
      <c r="L2475">
        <v>0</v>
      </c>
      <c r="M2475">
        <v>5</v>
      </c>
      <c r="N2475" t="s">
        <v>772</v>
      </c>
      <c r="O2475" s="3" t="str">
        <f>TEXT(Ticket_Table[[#This Row],[raised_date]],"YYYY-MM")</f>
        <v>2021-07</v>
      </c>
      <c r="P2475" s="3" t="str">
        <f>IF(Ticket_Table[[#This Row],[resolution_hrs]]&lt;=4,"Fast",IF(Ticket_Table[[#This Row],[resolution_hrs]]&lt;=24,"Normal",IF(Ticket_Table[[#This Row],[resolution_hrs]]&lt;=48,"Slow","Very Slow")))</f>
        <v>Very Slow</v>
      </c>
      <c r="Q2475" s="3">
        <f>YEAR(Ticket_Table[[#This Row],[raised_date]])</f>
        <v>2021</v>
      </c>
    </row>
    <row r="2476" spans="1:17">
      <c r="A2476" t="s">
        <v>3037</v>
      </c>
      <c r="B2476" t="s">
        <v>800</v>
      </c>
      <c r="C2476" t="s">
        <v>201</v>
      </c>
      <c r="D2476" t="s">
        <v>20</v>
      </c>
      <c r="E2476" t="s">
        <v>106</v>
      </c>
      <c r="F2476" t="s">
        <v>22</v>
      </c>
      <c r="G2476" t="s">
        <v>31</v>
      </c>
      <c r="H2476" s="1">
        <v>44372</v>
      </c>
      <c r="I2476" s="2">
        <v>44375.0583333333</v>
      </c>
      <c r="J2476">
        <v>73.4</v>
      </c>
      <c r="K2476" t="s">
        <v>32</v>
      </c>
      <c r="L2476">
        <v>0</v>
      </c>
      <c r="M2476">
        <v>4</v>
      </c>
      <c r="N2476" t="s">
        <v>701</v>
      </c>
      <c r="O2476" s="3" t="str">
        <f>TEXT(Ticket_Table[[#This Row],[raised_date]],"YYYY-MM")</f>
        <v>2021-06</v>
      </c>
      <c r="P2476" s="3" t="str">
        <f>IF(Ticket_Table[[#This Row],[resolution_hrs]]&lt;=4,"Fast",IF(Ticket_Table[[#This Row],[resolution_hrs]]&lt;=24,"Normal",IF(Ticket_Table[[#This Row],[resolution_hrs]]&lt;=48,"Slow","Very Slow")))</f>
        <v>Very Slow</v>
      </c>
      <c r="Q2476" s="3">
        <f>YEAR(Ticket_Table[[#This Row],[raised_date]])</f>
        <v>2021</v>
      </c>
    </row>
    <row r="2477" spans="1:17">
      <c r="A2477" t="s">
        <v>3038</v>
      </c>
      <c r="B2477" t="s">
        <v>744</v>
      </c>
      <c r="C2477" t="s">
        <v>175</v>
      </c>
      <c r="D2477" t="s">
        <v>29</v>
      </c>
      <c r="E2477" t="s">
        <v>83</v>
      </c>
      <c r="F2477" t="s">
        <v>70</v>
      </c>
      <c r="G2477" t="s">
        <v>74</v>
      </c>
      <c r="H2477" s="1">
        <v>44901</v>
      </c>
      <c r="I2477" s="2">
        <v>44903.1041666667</v>
      </c>
      <c r="J2477">
        <v>50.5</v>
      </c>
      <c r="K2477" t="s">
        <v>32</v>
      </c>
      <c r="L2477">
        <v>1</v>
      </c>
      <c r="M2477">
        <v>3</v>
      </c>
      <c r="N2477" t="s">
        <v>542</v>
      </c>
      <c r="O2477" s="3" t="str">
        <f>TEXT(Ticket_Table[[#This Row],[raised_date]],"YYYY-MM")</f>
        <v>2022-12</v>
      </c>
      <c r="P2477" s="3" t="str">
        <f>IF(Ticket_Table[[#This Row],[resolution_hrs]]&lt;=4,"Fast",IF(Ticket_Table[[#This Row],[resolution_hrs]]&lt;=24,"Normal",IF(Ticket_Table[[#This Row],[resolution_hrs]]&lt;=48,"Slow","Very Slow")))</f>
        <v>Very Slow</v>
      </c>
      <c r="Q2477" s="3">
        <f>YEAR(Ticket_Table[[#This Row],[raised_date]])</f>
        <v>2022</v>
      </c>
    </row>
    <row r="2478" spans="1:17">
      <c r="A2478" t="s">
        <v>3039</v>
      </c>
      <c r="B2478" t="s">
        <v>116</v>
      </c>
      <c r="C2478" t="s">
        <v>287</v>
      </c>
      <c r="D2478" t="s">
        <v>20</v>
      </c>
      <c r="E2478" t="s">
        <v>51</v>
      </c>
      <c r="F2478" t="s">
        <v>22</v>
      </c>
      <c r="G2478" t="s">
        <v>31</v>
      </c>
      <c r="H2478" s="1">
        <v>45044</v>
      </c>
      <c r="I2478" s="2">
        <v>45046.9208333333</v>
      </c>
      <c r="J2478">
        <v>70.1</v>
      </c>
      <c r="K2478" t="s">
        <v>24</v>
      </c>
      <c r="L2478">
        <v>0</v>
      </c>
      <c r="M2478">
        <v>3</v>
      </c>
      <c r="N2478" t="s">
        <v>871</v>
      </c>
      <c r="O2478" s="3" t="str">
        <f>TEXT(Ticket_Table[[#This Row],[raised_date]],"YYYY-MM")</f>
        <v>2023-04</v>
      </c>
      <c r="P2478" s="3" t="str">
        <f>IF(Ticket_Table[[#This Row],[resolution_hrs]]&lt;=4,"Fast",IF(Ticket_Table[[#This Row],[resolution_hrs]]&lt;=24,"Normal",IF(Ticket_Table[[#This Row],[resolution_hrs]]&lt;=48,"Slow","Very Slow")))</f>
        <v>Very Slow</v>
      </c>
      <c r="Q2478" s="3">
        <f>YEAR(Ticket_Table[[#This Row],[raised_date]])</f>
        <v>2023</v>
      </c>
    </row>
    <row r="2479" spans="1:17">
      <c r="A2479" t="s">
        <v>3040</v>
      </c>
      <c r="B2479" t="s">
        <v>808</v>
      </c>
      <c r="C2479" t="s">
        <v>50</v>
      </c>
      <c r="D2479" t="s">
        <v>20</v>
      </c>
      <c r="E2479" t="s">
        <v>21</v>
      </c>
      <c r="F2479" t="s">
        <v>45</v>
      </c>
      <c r="G2479" t="s">
        <v>23</v>
      </c>
      <c r="H2479" s="1">
        <v>44662</v>
      </c>
      <c r="I2479" s="2">
        <v>44662.0958333333</v>
      </c>
      <c r="J2479">
        <v>2.3</v>
      </c>
      <c r="K2479" t="s">
        <v>24</v>
      </c>
      <c r="L2479">
        <v>2</v>
      </c>
      <c r="M2479">
        <v>4</v>
      </c>
      <c r="N2479" t="s">
        <v>275</v>
      </c>
      <c r="O2479" s="3" t="str">
        <f>TEXT(Ticket_Table[[#This Row],[raised_date]],"YYYY-MM")</f>
        <v>2022-04</v>
      </c>
      <c r="P2479" s="3" t="str">
        <f>IF(Ticket_Table[[#This Row],[resolution_hrs]]&lt;=4,"Fast",IF(Ticket_Table[[#This Row],[resolution_hrs]]&lt;=24,"Normal",IF(Ticket_Table[[#This Row],[resolution_hrs]]&lt;=48,"Slow","Very Slow")))</f>
        <v>Fast</v>
      </c>
      <c r="Q2479" s="3">
        <f>YEAR(Ticket_Table[[#This Row],[raised_date]])</f>
        <v>2022</v>
      </c>
    </row>
    <row r="2480" spans="1:17">
      <c r="A2480" t="s">
        <v>3041</v>
      </c>
      <c r="B2480" t="s">
        <v>607</v>
      </c>
      <c r="C2480" t="s">
        <v>55</v>
      </c>
      <c r="D2480" t="s">
        <v>29</v>
      </c>
      <c r="E2480" t="s">
        <v>21</v>
      </c>
      <c r="F2480" t="s">
        <v>38</v>
      </c>
      <c r="G2480" t="s">
        <v>31</v>
      </c>
      <c r="H2480" s="1">
        <v>44321</v>
      </c>
      <c r="I2480" s="2">
        <v>44321.7041666667</v>
      </c>
      <c r="J2480">
        <v>16.9</v>
      </c>
      <c r="K2480" t="s">
        <v>24</v>
      </c>
      <c r="L2480">
        <v>0</v>
      </c>
      <c r="M2480">
        <v>3</v>
      </c>
      <c r="N2480" t="s">
        <v>726</v>
      </c>
      <c r="O2480" s="3" t="str">
        <f>TEXT(Ticket_Table[[#This Row],[raised_date]],"YYYY-MM")</f>
        <v>2021-05</v>
      </c>
      <c r="P2480" s="3" t="str">
        <f>IF(Ticket_Table[[#This Row],[resolution_hrs]]&lt;=4,"Fast",IF(Ticket_Table[[#This Row],[resolution_hrs]]&lt;=24,"Normal",IF(Ticket_Table[[#This Row],[resolution_hrs]]&lt;=48,"Slow","Very Slow")))</f>
        <v>Normal</v>
      </c>
      <c r="Q2480" s="3">
        <f>YEAR(Ticket_Table[[#This Row],[raised_date]])</f>
        <v>2021</v>
      </c>
    </row>
    <row r="2481" spans="1:17">
      <c r="A2481" t="s">
        <v>3042</v>
      </c>
      <c r="B2481" t="s">
        <v>1191</v>
      </c>
      <c r="C2481" t="s">
        <v>64</v>
      </c>
      <c r="D2481" t="s">
        <v>90</v>
      </c>
      <c r="E2481" t="s">
        <v>83</v>
      </c>
      <c r="F2481" t="s">
        <v>22</v>
      </c>
      <c r="G2481" t="s">
        <v>23</v>
      </c>
      <c r="H2481" s="1">
        <v>44989</v>
      </c>
      <c r="I2481" s="2">
        <v>44992.0791666667</v>
      </c>
      <c r="J2481">
        <v>73.9</v>
      </c>
      <c r="K2481" t="s">
        <v>32</v>
      </c>
      <c r="L2481">
        <v>2</v>
      </c>
      <c r="M2481">
        <v>3</v>
      </c>
      <c r="N2481" t="s">
        <v>464</v>
      </c>
      <c r="O2481" s="3" t="str">
        <f>TEXT(Ticket_Table[[#This Row],[raised_date]],"YYYY-MM")</f>
        <v>2023-03</v>
      </c>
      <c r="P2481" s="3" t="str">
        <f>IF(Ticket_Table[[#This Row],[resolution_hrs]]&lt;=4,"Fast",IF(Ticket_Table[[#This Row],[resolution_hrs]]&lt;=24,"Normal",IF(Ticket_Table[[#This Row],[resolution_hrs]]&lt;=48,"Slow","Very Slow")))</f>
        <v>Very Slow</v>
      </c>
      <c r="Q2481" s="3">
        <f>YEAR(Ticket_Table[[#This Row],[raised_date]])</f>
        <v>2023</v>
      </c>
    </row>
    <row r="2482" spans="1:17">
      <c r="A2482" t="s">
        <v>3043</v>
      </c>
      <c r="B2482" t="s">
        <v>495</v>
      </c>
      <c r="C2482" t="s">
        <v>261</v>
      </c>
      <c r="D2482" t="s">
        <v>90</v>
      </c>
      <c r="E2482" t="s">
        <v>44</v>
      </c>
      <c r="F2482" t="s">
        <v>70</v>
      </c>
      <c r="G2482" t="s">
        <v>23</v>
      </c>
      <c r="H2482" s="1">
        <v>45267</v>
      </c>
      <c r="I2482" s="2">
        <v>45267.7958333333</v>
      </c>
      <c r="J2482">
        <v>19.1</v>
      </c>
      <c r="K2482" t="s">
        <v>24</v>
      </c>
      <c r="L2482">
        <v>0</v>
      </c>
      <c r="M2482">
        <v>4</v>
      </c>
      <c r="N2482" t="s">
        <v>1003</v>
      </c>
      <c r="O2482" s="3" t="str">
        <f>TEXT(Ticket_Table[[#This Row],[raised_date]],"YYYY-MM")</f>
        <v>2023-12</v>
      </c>
      <c r="P2482" s="3" t="str">
        <f>IF(Ticket_Table[[#This Row],[resolution_hrs]]&lt;=4,"Fast",IF(Ticket_Table[[#This Row],[resolution_hrs]]&lt;=24,"Normal",IF(Ticket_Table[[#This Row],[resolution_hrs]]&lt;=48,"Slow","Very Slow")))</f>
        <v>Normal</v>
      </c>
      <c r="Q2482" s="3">
        <f>YEAR(Ticket_Table[[#This Row],[raised_date]])</f>
        <v>2023</v>
      </c>
    </row>
    <row r="2483" spans="1:17">
      <c r="A2483" t="s">
        <v>3044</v>
      </c>
      <c r="B2483" t="s">
        <v>1154</v>
      </c>
      <c r="C2483" t="s">
        <v>68</v>
      </c>
      <c r="D2483" t="s">
        <v>20</v>
      </c>
      <c r="E2483" t="s">
        <v>69</v>
      </c>
      <c r="F2483" t="s">
        <v>38</v>
      </c>
      <c r="G2483" t="s">
        <v>31</v>
      </c>
      <c r="H2483" s="1">
        <v>45054</v>
      </c>
      <c r="I2483" s="2">
        <v>45054.9208333333</v>
      </c>
      <c r="J2483">
        <v>22.1</v>
      </c>
      <c r="K2483" t="s">
        <v>24</v>
      </c>
      <c r="L2483">
        <v>0</v>
      </c>
      <c r="M2483">
        <v>4</v>
      </c>
      <c r="N2483" t="s">
        <v>1180</v>
      </c>
      <c r="O2483" s="3" t="str">
        <f>TEXT(Ticket_Table[[#This Row],[raised_date]],"YYYY-MM")</f>
        <v>2023-05</v>
      </c>
      <c r="P2483" s="3" t="str">
        <f>IF(Ticket_Table[[#This Row],[resolution_hrs]]&lt;=4,"Fast",IF(Ticket_Table[[#This Row],[resolution_hrs]]&lt;=24,"Normal",IF(Ticket_Table[[#This Row],[resolution_hrs]]&lt;=48,"Slow","Very Slow")))</f>
        <v>Normal</v>
      </c>
      <c r="Q2483" s="3">
        <f>YEAR(Ticket_Table[[#This Row],[raised_date]])</f>
        <v>2023</v>
      </c>
    </row>
    <row r="2484" spans="1:17">
      <c r="A2484" t="s">
        <v>3045</v>
      </c>
      <c r="B2484" t="s">
        <v>332</v>
      </c>
      <c r="C2484" t="s">
        <v>64</v>
      </c>
      <c r="D2484" t="s">
        <v>29</v>
      </c>
      <c r="E2484" t="s">
        <v>83</v>
      </c>
      <c r="F2484" t="s">
        <v>45</v>
      </c>
      <c r="G2484" t="s">
        <v>31</v>
      </c>
      <c r="H2484" s="1">
        <v>45169</v>
      </c>
      <c r="I2484" s="2">
        <v>45169.2416666667</v>
      </c>
      <c r="J2484">
        <v>5.8</v>
      </c>
      <c r="K2484" t="s">
        <v>32</v>
      </c>
      <c r="L2484">
        <v>1</v>
      </c>
      <c r="M2484">
        <v>3</v>
      </c>
      <c r="N2484" t="s">
        <v>340</v>
      </c>
      <c r="O2484" s="3" t="str">
        <f>TEXT(Ticket_Table[[#This Row],[raised_date]],"YYYY-MM")</f>
        <v>2023-08</v>
      </c>
      <c r="P2484" s="3" t="str">
        <f>IF(Ticket_Table[[#This Row],[resolution_hrs]]&lt;=4,"Fast",IF(Ticket_Table[[#This Row],[resolution_hrs]]&lt;=24,"Normal",IF(Ticket_Table[[#This Row],[resolution_hrs]]&lt;=48,"Slow","Very Slow")))</f>
        <v>Normal</v>
      </c>
      <c r="Q2484" s="3">
        <f>YEAR(Ticket_Table[[#This Row],[raised_date]])</f>
        <v>2023</v>
      </c>
    </row>
    <row r="2485" spans="1:17">
      <c r="A2485" t="s">
        <v>3046</v>
      </c>
      <c r="B2485" t="s">
        <v>73</v>
      </c>
      <c r="C2485" t="s">
        <v>95</v>
      </c>
      <c r="D2485" t="s">
        <v>90</v>
      </c>
      <c r="E2485" t="s">
        <v>56</v>
      </c>
      <c r="F2485" t="s">
        <v>38</v>
      </c>
      <c r="G2485" t="s">
        <v>31</v>
      </c>
      <c r="H2485" s="1">
        <v>44679</v>
      </c>
      <c r="I2485" s="2">
        <v>44680.2708333333</v>
      </c>
      <c r="J2485">
        <v>30.5</v>
      </c>
      <c r="K2485" t="s">
        <v>32</v>
      </c>
      <c r="L2485">
        <v>1</v>
      </c>
      <c r="M2485">
        <v>2</v>
      </c>
      <c r="N2485" t="s">
        <v>751</v>
      </c>
      <c r="O2485" s="3" t="str">
        <f>TEXT(Ticket_Table[[#This Row],[raised_date]],"YYYY-MM")</f>
        <v>2022-04</v>
      </c>
      <c r="P2485" s="3" t="str">
        <f>IF(Ticket_Table[[#This Row],[resolution_hrs]]&lt;=4,"Fast",IF(Ticket_Table[[#This Row],[resolution_hrs]]&lt;=24,"Normal",IF(Ticket_Table[[#This Row],[resolution_hrs]]&lt;=48,"Slow","Very Slow")))</f>
        <v>Slow</v>
      </c>
      <c r="Q2485" s="3">
        <f>YEAR(Ticket_Table[[#This Row],[raised_date]])</f>
        <v>2022</v>
      </c>
    </row>
    <row r="2486" spans="1:17">
      <c r="A2486" t="s">
        <v>3047</v>
      </c>
      <c r="B2486" t="s">
        <v>787</v>
      </c>
      <c r="C2486" t="s">
        <v>28</v>
      </c>
      <c r="D2486" t="s">
        <v>36</v>
      </c>
      <c r="E2486" t="s">
        <v>56</v>
      </c>
      <c r="F2486" t="s">
        <v>70</v>
      </c>
      <c r="G2486" t="s">
        <v>23</v>
      </c>
      <c r="H2486" s="1">
        <v>45172</v>
      </c>
      <c r="I2486" s="2">
        <v>45172.0791666667</v>
      </c>
      <c r="J2486">
        <v>1.9</v>
      </c>
      <c r="K2486" t="s">
        <v>24</v>
      </c>
      <c r="L2486">
        <v>0</v>
      </c>
      <c r="M2486">
        <v>5</v>
      </c>
      <c r="N2486" t="s">
        <v>491</v>
      </c>
      <c r="O2486" s="3" t="str">
        <f>TEXT(Ticket_Table[[#This Row],[raised_date]],"YYYY-MM")</f>
        <v>2023-09</v>
      </c>
      <c r="P2486" s="3" t="str">
        <f>IF(Ticket_Table[[#This Row],[resolution_hrs]]&lt;=4,"Fast",IF(Ticket_Table[[#This Row],[resolution_hrs]]&lt;=24,"Normal",IF(Ticket_Table[[#This Row],[resolution_hrs]]&lt;=48,"Slow","Very Slow")))</f>
        <v>Fast</v>
      </c>
      <c r="Q2486" s="3">
        <f>YEAR(Ticket_Table[[#This Row],[raised_date]])</f>
        <v>2023</v>
      </c>
    </row>
    <row r="2487" spans="1:17">
      <c r="A2487" t="s">
        <v>3048</v>
      </c>
      <c r="B2487" t="s">
        <v>121</v>
      </c>
      <c r="C2487" t="s">
        <v>60</v>
      </c>
      <c r="D2487" t="s">
        <v>43</v>
      </c>
      <c r="E2487" t="s">
        <v>37</v>
      </c>
      <c r="F2487" t="s">
        <v>38</v>
      </c>
      <c r="G2487" t="s">
        <v>23</v>
      </c>
      <c r="H2487" s="1">
        <v>44809</v>
      </c>
      <c r="I2487" s="2">
        <v>44810.1666666667</v>
      </c>
      <c r="J2487">
        <v>28</v>
      </c>
      <c r="K2487" t="s">
        <v>32</v>
      </c>
      <c r="L2487">
        <v>0</v>
      </c>
      <c r="M2487">
        <v>3</v>
      </c>
      <c r="N2487" t="s">
        <v>391</v>
      </c>
      <c r="O2487" s="3" t="str">
        <f>TEXT(Ticket_Table[[#This Row],[raised_date]],"YYYY-MM")</f>
        <v>2022-09</v>
      </c>
      <c r="P2487" s="3" t="str">
        <f>IF(Ticket_Table[[#This Row],[resolution_hrs]]&lt;=4,"Fast",IF(Ticket_Table[[#This Row],[resolution_hrs]]&lt;=24,"Normal",IF(Ticket_Table[[#This Row],[resolution_hrs]]&lt;=48,"Slow","Very Slow")))</f>
        <v>Slow</v>
      </c>
      <c r="Q2487" s="3">
        <f>YEAR(Ticket_Table[[#This Row],[raised_date]])</f>
        <v>2022</v>
      </c>
    </row>
    <row r="2488" spans="1:17">
      <c r="A2488" t="s">
        <v>3049</v>
      </c>
      <c r="B2488" t="s">
        <v>849</v>
      </c>
      <c r="C2488" t="s">
        <v>201</v>
      </c>
      <c r="D2488" t="s">
        <v>43</v>
      </c>
      <c r="E2488" t="s">
        <v>51</v>
      </c>
      <c r="F2488" t="s">
        <v>70</v>
      </c>
      <c r="G2488" t="s">
        <v>23</v>
      </c>
      <c r="H2488" s="1">
        <v>44358</v>
      </c>
      <c r="I2488" s="2">
        <v>44359.95</v>
      </c>
      <c r="J2488">
        <v>46.8</v>
      </c>
      <c r="K2488" t="s">
        <v>24</v>
      </c>
      <c r="L2488">
        <v>0</v>
      </c>
      <c r="M2488">
        <v>4</v>
      </c>
      <c r="N2488" t="s">
        <v>283</v>
      </c>
      <c r="O2488" s="3" t="str">
        <f>TEXT(Ticket_Table[[#This Row],[raised_date]],"YYYY-MM")</f>
        <v>2021-06</v>
      </c>
      <c r="P2488" s="3" t="str">
        <f>IF(Ticket_Table[[#This Row],[resolution_hrs]]&lt;=4,"Fast",IF(Ticket_Table[[#This Row],[resolution_hrs]]&lt;=24,"Normal",IF(Ticket_Table[[#This Row],[resolution_hrs]]&lt;=48,"Slow","Very Slow")))</f>
        <v>Slow</v>
      </c>
      <c r="Q2488" s="3">
        <f>YEAR(Ticket_Table[[#This Row],[raised_date]])</f>
        <v>2021</v>
      </c>
    </row>
    <row r="2489" spans="1:17">
      <c r="A2489" t="s">
        <v>3050</v>
      </c>
      <c r="B2489" t="s">
        <v>349</v>
      </c>
      <c r="C2489" t="s">
        <v>140</v>
      </c>
      <c r="D2489" t="s">
        <v>43</v>
      </c>
      <c r="E2489" t="s">
        <v>51</v>
      </c>
      <c r="F2489" t="s">
        <v>70</v>
      </c>
      <c r="G2489" t="s">
        <v>91</v>
      </c>
      <c r="H2489" s="1">
        <v>45005</v>
      </c>
      <c r="I2489" s="2">
        <v>45007.7541666667</v>
      </c>
      <c r="J2489">
        <v>66.1</v>
      </c>
      <c r="K2489" t="s">
        <v>32</v>
      </c>
      <c r="L2489">
        <v>0</v>
      </c>
      <c r="M2489">
        <v>4</v>
      </c>
      <c r="N2489" t="s">
        <v>1019</v>
      </c>
      <c r="O2489" s="3" t="str">
        <f>TEXT(Ticket_Table[[#This Row],[raised_date]],"YYYY-MM")</f>
        <v>2023-03</v>
      </c>
      <c r="P2489" s="3" t="str">
        <f>IF(Ticket_Table[[#This Row],[resolution_hrs]]&lt;=4,"Fast",IF(Ticket_Table[[#This Row],[resolution_hrs]]&lt;=24,"Normal",IF(Ticket_Table[[#This Row],[resolution_hrs]]&lt;=48,"Slow","Very Slow")))</f>
        <v>Very Slow</v>
      </c>
      <c r="Q2489" s="3">
        <f>YEAR(Ticket_Table[[#This Row],[raised_date]])</f>
        <v>2023</v>
      </c>
    </row>
    <row r="2490" spans="1:17">
      <c r="A2490" t="s">
        <v>3051</v>
      </c>
      <c r="B2490" t="s">
        <v>981</v>
      </c>
      <c r="C2490" t="s">
        <v>82</v>
      </c>
      <c r="D2490" t="s">
        <v>20</v>
      </c>
      <c r="E2490" t="s">
        <v>83</v>
      </c>
      <c r="F2490" t="s">
        <v>22</v>
      </c>
      <c r="G2490" t="s">
        <v>23</v>
      </c>
      <c r="H2490" s="1">
        <v>44268</v>
      </c>
      <c r="I2490" s="2">
        <v>44269.8166666667</v>
      </c>
      <c r="J2490">
        <v>43.6</v>
      </c>
      <c r="K2490" t="s">
        <v>24</v>
      </c>
      <c r="L2490">
        <v>1</v>
      </c>
      <c r="M2490">
        <v>3</v>
      </c>
      <c r="N2490" t="s">
        <v>337</v>
      </c>
      <c r="O2490" s="3" t="str">
        <f>TEXT(Ticket_Table[[#This Row],[raised_date]],"YYYY-MM")</f>
        <v>2021-03</v>
      </c>
      <c r="P2490" s="3" t="str">
        <f>IF(Ticket_Table[[#This Row],[resolution_hrs]]&lt;=4,"Fast",IF(Ticket_Table[[#This Row],[resolution_hrs]]&lt;=24,"Normal",IF(Ticket_Table[[#This Row],[resolution_hrs]]&lt;=48,"Slow","Very Slow")))</f>
        <v>Slow</v>
      </c>
      <c r="Q2490" s="3">
        <f>YEAR(Ticket_Table[[#This Row],[raised_date]])</f>
        <v>2021</v>
      </c>
    </row>
    <row r="2491" spans="1:17">
      <c r="A2491" t="s">
        <v>3052</v>
      </c>
      <c r="B2491" t="s">
        <v>485</v>
      </c>
      <c r="C2491" t="s">
        <v>78</v>
      </c>
      <c r="D2491" t="s">
        <v>43</v>
      </c>
      <c r="E2491" t="s">
        <v>30</v>
      </c>
      <c r="F2491" t="s">
        <v>22</v>
      </c>
      <c r="G2491" t="s">
        <v>74</v>
      </c>
      <c r="H2491" s="1">
        <v>45225</v>
      </c>
      <c r="I2491" s="2">
        <v>45227.6541666667</v>
      </c>
      <c r="J2491">
        <v>63.7</v>
      </c>
      <c r="K2491" t="s">
        <v>24</v>
      </c>
      <c r="L2491">
        <v>0</v>
      </c>
      <c r="M2491">
        <v>4</v>
      </c>
      <c r="N2491" t="s">
        <v>241</v>
      </c>
      <c r="O2491" s="3" t="str">
        <f>TEXT(Ticket_Table[[#This Row],[raised_date]],"YYYY-MM")</f>
        <v>2023-10</v>
      </c>
      <c r="P2491" s="3" t="str">
        <f>IF(Ticket_Table[[#This Row],[resolution_hrs]]&lt;=4,"Fast",IF(Ticket_Table[[#This Row],[resolution_hrs]]&lt;=24,"Normal",IF(Ticket_Table[[#This Row],[resolution_hrs]]&lt;=48,"Slow","Very Slow")))</f>
        <v>Very Slow</v>
      </c>
      <c r="Q2491" s="3">
        <f>YEAR(Ticket_Table[[#This Row],[raised_date]])</f>
        <v>2023</v>
      </c>
    </row>
    <row r="2492" spans="1:17">
      <c r="A2492" t="s">
        <v>3053</v>
      </c>
      <c r="B2492" t="s">
        <v>470</v>
      </c>
      <c r="C2492" t="s">
        <v>140</v>
      </c>
      <c r="D2492" t="s">
        <v>43</v>
      </c>
      <c r="E2492" t="s">
        <v>166</v>
      </c>
      <c r="F2492" t="s">
        <v>70</v>
      </c>
      <c r="G2492" t="s">
        <v>23</v>
      </c>
      <c r="H2492" s="1">
        <v>45255</v>
      </c>
      <c r="I2492" s="2">
        <v>45257.7083333333</v>
      </c>
      <c r="J2492">
        <v>65</v>
      </c>
      <c r="K2492" t="s">
        <v>32</v>
      </c>
      <c r="L2492">
        <v>1</v>
      </c>
      <c r="M2492">
        <v>4</v>
      </c>
      <c r="N2492" t="s">
        <v>471</v>
      </c>
      <c r="O2492" s="3" t="str">
        <f>TEXT(Ticket_Table[[#This Row],[raised_date]],"YYYY-MM")</f>
        <v>2023-11</v>
      </c>
      <c r="P2492" s="3" t="str">
        <f>IF(Ticket_Table[[#This Row],[resolution_hrs]]&lt;=4,"Fast",IF(Ticket_Table[[#This Row],[resolution_hrs]]&lt;=24,"Normal",IF(Ticket_Table[[#This Row],[resolution_hrs]]&lt;=48,"Slow","Very Slow")))</f>
        <v>Very Slow</v>
      </c>
      <c r="Q2492" s="3">
        <f>YEAR(Ticket_Table[[#This Row],[raised_date]])</f>
        <v>2023</v>
      </c>
    </row>
    <row r="2493" spans="1:17">
      <c r="A2493" t="s">
        <v>3054</v>
      </c>
      <c r="B2493" t="s">
        <v>220</v>
      </c>
      <c r="C2493" t="s">
        <v>19</v>
      </c>
      <c r="D2493" t="s">
        <v>36</v>
      </c>
      <c r="E2493" t="s">
        <v>106</v>
      </c>
      <c r="F2493" t="s">
        <v>22</v>
      </c>
      <c r="G2493" t="s">
        <v>23</v>
      </c>
      <c r="H2493" s="1">
        <v>44498</v>
      </c>
      <c r="I2493" s="2">
        <v>44500.3541666667</v>
      </c>
      <c r="J2493">
        <v>56.5</v>
      </c>
      <c r="K2493" t="s">
        <v>24</v>
      </c>
      <c r="L2493">
        <v>0</v>
      </c>
      <c r="M2493">
        <v>4</v>
      </c>
      <c r="N2493" t="s">
        <v>385</v>
      </c>
      <c r="O2493" s="3" t="str">
        <f>TEXT(Ticket_Table[[#This Row],[raised_date]],"YYYY-MM")</f>
        <v>2021-10</v>
      </c>
      <c r="P2493" s="3" t="str">
        <f>IF(Ticket_Table[[#This Row],[resolution_hrs]]&lt;=4,"Fast",IF(Ticket_Table[[#This Row],[resolution_hrs]]&lt;=24,"Normal",IF(Ticket_Table[[#This Row],[resolution_hrs]]&lt;=48,"Slow","Very Slow")))</f>
        <v>Very Slow</v>
      </c>
      <c r="Q2493" s="3">
        <f>YEAR(Ticket_Table[[#This Row],[raised_date]])</f>
        <v>2021</v>
      </c>
    </row>
    <row r="2494" spans="1:17">
      <c r="A2494" t="s">
        <v>3055</v>
      </c>
      <c r="B2494" t="s">
        <v>220</v>
      </c>
      <c r="C2494" t="s">
        <v>78</v>
      </c>
      <c r="D2494" t="s">
        <v>90</v>
      </c>
      <c r="E2494" t="s">
        <v>166</v>
      </c>
      <c r="F2494" t="s">
        <v>22</v>
      </c>
      <c r="G2494" t="s">
        <v>31</v>
      </c>
      <c r="H2494" s="1">
        <v>44443</v>
      </c>
      <c r="I2494" s="2">
        <v>44443.8833333333</v>
      </c>
      <c r="J2494">
        <v>21.2</v>
      </c>
      <c r="K2494" t="s">
        <v>24</v>
      </c>
      <c r="L2494">
        <v>0</v>
      </c>
      <c r="M2494">
        <v>4</v>
      </c>
      <c r="N2494" t="s">
        <v>959</v>
      </c>
      <c r="O2494" s="3" t="str">
        <f>TEXT(Ticket_Table[[#This Row],[raised_date]],"YYYY-MM")</f>
        <v>2021-09</v>
      </c>
      <c r="P2494" s="3" t="str">
        <f>IF(Ticket_Table[[#This Row],[resolution_hrs]]&lt;=4,"Fast",IF(Ticket_Table[[#This Row],[resolution_hrs]]&lt;=24,"Normal",IF(Ticket_Table[[#This Row],[resolution_hrs]]&lt;=48,"Slow","Very Slow")))</f>
        <v>Normal</v>
      </c>
      <c r="Q2494" s="3">
        <f>YEAR(Ticket_Table[[#This Row],[raised_date]])</f>
        <v>2021</v>
      </c>
    </row>
    <row r="2495" spans="1:17">
      <c r="A2495" t="s">
        <v>3056</v>
      </c>
      <c r="B2495" t="s">
        <v>988</v>
      </c>
      <c r="C2495" t="s">
        <v>133</v>
      </c>
      <c r="D2495" t="s">
        <v>36</v>
      </c>
      <c r="E2495" t="s">
        <v>166</v>
      </c>
      <c r="F2495" t="s">
        <v>38</v>
      </c>
      <c r="G2495" t="s">
        <v>31</v>
      </c>
      <c r="H2495" s="1">
        <v>45116</v>
      </c>
      <c r="I2495" s="2">
        <v>45116.6583333333</v>
      </c>
      <c r="J2495">
        <v>15.8</v>
      </c>
      <c r="K2495" t="s">
        <v>24</v>
      </c>
      <c r="L2495">
        <v>0</v>
      </c>
      <c r="M2495">
        <v>5</v>
      </c>
      <c r="N2495" t="s">
        <v>1278</v>
      </c>
      <c r="O2495" s="3" t="str">
        <f>TEXT(Ticket_Table[[#This Row],[raised_date]],"YYYY-MM")</f>
        <v>2023-07</v>
      </c>
      <c r="P2495" s="3" t="str">
        <f>IF(Ticket_Table[[#This Row],[resolution_hrs]]&lt;=4,"Fast",IF(Ticket_Table[[#This Row],[resolution_hrs]]&lt;=24,"Normal",IF(Ticket_Table[[#This Row],[resolution_hrs]]&lt;=48,"Slow","Very Slow")))</f>
        <v>Normal</v>
      </c>
      <c r="Q2495" s="3">
        <f>YEAR(Ticket_Table[[#This Row],[raised_date]])</f>
        <v>2023</v>
      </c>
    </row>
    <row r="2496" spans="1:17">
      <c r="A2496" t="s">
        <v>3057</v>
      </c>
      <c r="B2496" t="s">
        <v>650</v>
      </c>
      <c r="C2496" t="s">
        <v>140</v>
      </c>
      <c r="D2496" t="s">
        <v>20</v>
      </c>
      <c r="E2496" t="s">
        <v>51</v>
      </c>
      <c r="F2496" t="s">
        <v>22</v>
      </c>
      <c r="G2496" t="s">
        <v>91</v>
      </c>
      <c r="H2496" s="1">
        <v>44551</v>
      </c>
      <c r="I2496" s="2">
        <v>44554.7416666667</v>
      </c>
      <c r="J2496">
        <v>89.8</v>
      </c>
      <c r="K2496" t="s">
        <v>32</v>
      </c>
      <c r="L2496">
        <v>0</v>
      </c>
      <c r="M2496">
        <v>4</v>
      </c>
      <c r="N2496" t="s">
        <v>1123</v>
      </c>
      <c r="O2496" s="3" t="str">
        <f>TEXT(Ticket_Table[[#This Row],[raised_date]],"YYYY-MM")</f>
        <v>2021-12</v>
      </c>
      <c r="P2496" s="3" t="str">
        <f>IF(Ticket_Table[[#This Row],[resolution_hrs]]&lt;=4,"Fast",IF(Ticket_Table[[#This Row],[resolution_hrs]]&lt;=24,"Normal",IF(Ticket_Table[[#This Row],[resolution_hrs]]&lt;=48,"Slow","Very Slow")))</f>
        <v>Very Slow</v>
      </c>
      <c r="Q2496" s="3">
        <f>YEAR(Ticket_Table[[#This Row],[raised_date]])</f>
        <v>2021</v>
      </c>
    </row>
    <row r="2497" spans="1:17">
      <c r="A2497" t="s">
        <v>3058</v>
      </c>
      <c r="B2497" t="s">
        <v>1241</v>
      </c>
      <c r="C2497" t="s">
        <v>82</v>
      </c>
      <c r="D2497" t="s">
        <v>43</v>
      </c>
      <c r="E2497" t="s">
        <v>51</v>
      </c>
      <c r="F2497" t="s">
        <v>70</v>
      </c>
      <c r="G2497" t="s">
        <v>31</v>
      </c>
      <c r="H2497" s="1">
        <v>44539</v>
      </c>
      <c r="I2497" s="2">
        <v>44539.7916666667</v>
      </c>
      <c r="J2497">
        <v>19</v>
      </c>
      <c r="K2497" t="s">
        <v>24</v>
      </c>
      <c r="L2497">
        <v>0</v>
      </c>
      <c r="M2497">
        <v>3</v>
      </c>
      <c r="N2497" t="s">
        <v>929</v>
      </c>
      <c r="O2497" s="3" t="str">
        <f>TEXT(Ticket_Table[[#This Row],[raised_date]],"YYYY-MM")</f>
        <v>2021-12</v>
      </c>
      <c r="P2497" s="3" t="str">
        <f>IF(Ticket_Table[[#This Row],[resolution_hrs]]&lt;=4,"Fast",IF(Ticket_Table[[#This Row],[resolution_hrs]]&lt;=24,"Normal",IF(Ticket_Table[[#This Row],[resolution_hrs]]&lt;=48,"Slow","Very Slow")))</f>
        <v>Normal</v>
      </c>
      <c r="Q2497" s="3">
        <f>YEAR(Ticket_Table[[#This Row],[raised_date]])</f>
        <v>2021</v>
      </c>
    </row>
    <row r="2498" spans="1:17">
      <c r="A2498" t="s">
        <v>3059</v>
      </c>
      <c r="B2498" t="s">
        <v>110</v>
      </c>
      <c r="C2498" t="s">
        <v>287</v>
      </c>
      <c r="D2498" t="s">
        <v>90</v>
      </c>
      <c r="E2498" t="s">
        <v>56</v>
      </c>
      <c r="F2498" t="s">
        <v>70</v>
      </c>
      <c r="G2498" t="s">
        <v>23</v>
      </c>
      <c r="H2498" s="1">
        <v>44630</v>
      </c>
      <c r="I2498" s="2">
        <v>44630.9375</v>
      </c>
      <c r="J2498">
        <v>22.5</v>
      </c>
      <c r="K2498" t="s">
        <v>24</v>
      </c>
      <c r="L2498">
        <v>0</v>
      </c>
      <c r="M2498">
        <v>2</v>
      </c>
      <c r="N2498" t="s">
        <v>138</v>
      </c>
      <c r="O2498" s="3" t="str">
        <f>TEXT(Ticket_Table[[#This Row],[raised_date]],"YYYY-MM")</f>
        <v>2022-03</v>
      </c>
      <c r="P2498" s="3" t="str">
        <f>IF(Ticket_Table[[#This Row],[resolution_hrs]]&lt;=4,"Fast",IF(Ticket_Table[[#This Row],[resolution_hrs]]&lt;=24,"Normal",IF(Ticket_Table[[#This Row],[resolution_hrs]]&lt;=48,"Slow","Very Slow")))</f>
        <v>Normal</v>
      </c>
      <c r="Q2498" s="3">
        <f>YEAR(Ticket_Table[[#This Row],[raised_date]])</f>
        <v>2022</v>
      </c>
    </row>
    <row r="2499" spans="1:17">
      <c r="A2499" t="s">
        <v>3060</v>
      </c>
      <c r="B2499" t="s">
        <v>858</v>
      </c>
      <c r="C2499" t="s">
        <v>201</v>
      </c>
      <c r="D2499" t="s">
        <v>43</v>
      </c>
      <c r="E2499" t="s">
        <v>51</v>
      </c>
      <c r="F2499" t="s">
        <v>45</v>
      </c>
      <c r="G2499" t="s">
        <v>23</v>
      </c>
      <c r="H2499" s="1">
        <v>44591</v>
      </c>
      <c r="I2499" s="2">
        <v>44591.2416666667</v>
      </c>
      <c r="J2499">
        <v>5.8</v>
      </c>
      <c r="K2499" t="s">
        <v>32</v>
      </c>
      <c r="L2499">
        <v>1</v>
      </c>
      <c r="M2499">
        <v>1</v>
      </c>
      <c r="N2499" t="s">
        <v>1143</v>
      </c>
      <c r="O2499" s="3" t="str">
        <f>TEXT(Ticket_Table[[#This Row],[raised_date]],"YYYY-MM")</f>
        <v>2022-01</v>
      </c>
      <c r="P2499" s="3" t="str">
        <f>IF(Ticket_Table[[#This Row],[resolution_hrs]]&lt;=4,"Fast",IF(Ticket_Table[[#This Row],[resolution_hrs]]&lt;=24,"Normal",IF(Ticket_Table[[#This Row],[resolution_hrs]]&lt;=48,"Slow","Very Slow")))</f>
        <v>Normal</v>
      </c>
      <c r="Q2499" s="3">
        <f>YEAR(Ticket_Table[[#This Row],[raised_date]])</f>
        <v>2022</v>
      </c>
    </row>
    <row r="2500" spans="1:17">
      <c r="A2500" t="s">
        <v>3061</v>
      </c>
      <c r="B2500" t="s">
        <v>283</v>
      </c>
      <c r="C2500" t="s">
        <v>68</v>
      </c>
      <c r="D2500" t="s">
        <v>43</v>
      </c>
      <c r="E2500" t="s">
        <v>83</v>
      </c>
      <c r="F2500" t="s">
        <v>70</v>
      </c>
      <c r="G2500" t="s">
        <v>31</v>
      </c>
      <c r="H2500" s="1">
        <v>44455</v>
      </c>
      <c r="I2500" s="2">
        <v>44456.9916666667</v>
      </c>
      <c r="J2500">
        <v>47.8</v>
      </c>
      <c r="K2500" t="s">
        <v>24</v>
      </c>
      <c r="L2500">
        <v>0</v>
      </c>
      <c r="M2500">
        <v>5</v>
      </c>
      <c r="N2500" t="s">
        <v>1216</v>
      </c>
      <c r="O2500" s="3" t="str">
        <f>TEXT(Ticket_Table[[#This Row],[raised_date]],"YYYY-MM")</f>
        <v>2021-09</v>
      </c>
      <c r="P2500" s="3" t="str">
        <f>IF(Ticket_Table[[#This Row],[resolution_hrs]]&lt;=4,"Fast",IF(Ticket_Table[[#This Row],[resolution_hrs]]&lt;=24,"Normal",IF(Ticket_Table[[#This Row],[resolution_hrs]]&lt;=48,"Slow","Very Slow")))</f>
        <v>Slow</v>
      </c>
      <c r="Q2500" s="3">
        <f>YEAR(Ticket_Table[[#This Row],[raised_date]])</f>
        <v>2021</v>
      </c>
    </row>
    <row r="2501" spans="1:17">
      <c r="A2501" t="s">
        <v>3062</v>
      </c>
      <c r="B2501" t="s">
        <v>685</v>
      </c>
      <c r="C2501" t="s">
        <v>60</v>
      </c>
      <c r="D2501" t="s">
        <v>20</v>
      </c>
      <c r="E2501" t="s">
        <v>56</v>
      </c>
      <c r="F2501" t="s">
        <v>22</v>
      </c>
      <c r="G2501" t="s">
        <v>91</v>
      </c>
      <c r="H2501" s="1">
        <v>44284</v>
      </c>
      <c r="I2501" s="2">
        <v>44285.75</v>
      </c>
      <c r="J2501">
        <v>42</v>
      </c>
      <c r="K2501" t="s">
        <v>24</v>
      </c>
      <c r="L2501">
        <v>3</v>
      </c>
      <c r="M2501">
        <v>5</v>
      </c>
      <c r="N2501" t="s">
        <v>1216</v>
      </c>
      <c r="O2501" s="3" t="str">
        <f>TEXT(Ticket_Table[[#This Row],[raised_date]],"YYYY-MM")</f>
        <v>2021-03</v>
      </c>
      <c r="P2501" s="3" t="str">
        <f>IF(Ticket_Table[[#This Row],[resolution_hrs]]&lt;=4,"Fast",IF(Ticket_Table[[#This Row],[resolution_hrs]]&lt;=24,"Normal",IF(Ticket_Table[[#This Row],[resolution_hrs]]&lt;=48,"Slow","Very Slow")))</f>
        <v>Slow</v>
      </c>
      <c r="Q2501" s="3">
        <f>YEAR(Ticket_Table[[#This Row],[raised_date]])</f>
        <v>2021</v>
      </c>
    </row>
    <row r="2502" spans="1:17">
      <c r="A2502" t="s">
        <v>3063</v>
      </c>
      <c r="B2502" t="s">
        <v>817</v>
      </c>
      <c r="C2502" t="s">
        <v>68</v>
      </c>
      <c r="D2502" t="s">
        <v>43</v>
      </c>
      <c r="E2502" t="s">
        <v>69</v>
      </c>
      <c r="F2502" t="s">
        <v>70</v>
      </c>
      <c r="G2502" t="s">
        <v>46</v>
      </c>
      <c r="H2502" s="1">
        <v>45064</v>
      </c>
      <c r="I2502" s="2">
        <v>45064.9541666667</v>
      </c>
      <c r="J2502">
        <v>22.9</v>
      </c>
      <c r="K2502" t="s">
        <v>24</v>
      </c>
      <c r="L2502">
        <v>2</v>
      </c>
      <c r="M2502">
        <v>2</v>
      </c>
      <c r="N2502" t="s">
        <v>884</v>
      </c>
      <c r="O2502" s="3" t="str">
        <f>TEXT(Ticket_Table[[#This Row],[raised_date]],"YYYY-MM")</f>
        <v>2023-05</v>
      </c>
      <c r="P2502" s="3" t="str">
        <f>IF(Ticket_Table[[#This Row],[resolution_hrs]]&lt;=4,"Fast",IF(Ticket_Table[[#This Row],[resolution_hrs]]&lt;=24,"Normal",IF(Ticket_Table[[#This Row],[resolution_hrs]]&lt;=48,"Slow","Very Slow")))</f>
        <v>Normal</v>
      </c>
      <c r="Q2502" s="3">
        <f>YEAR(Ticket_Table[[#This Row],[raised_date]])</f>
        <v>2023</v>
      </c>
    </row>
    <row r="2503" spans="1:17">
      <c r="A2503" t="s">
        <v>3064</v>
      </c>
      <c r="B2503" t="s">
        <v>1156</v>
      </c>
      <c r="C2503" t="s">
        <v>133</v>
      </c>
      <c r="D2503" t="s">
        <v>29</v>
      </c>
      <c r="E2503" t="s">
        <v>166</v>
      </c>
      <c r="F2503" t="s">
        <v>38</v>
      </c>
      <c r="G2503" t="s">
        <v>46</v>
      </c>
      <c r="H2503" s="1">
        <v>44357</v>
      </c>
      <c r="I2503" s="2">
        <v>44357.6416666667</v>
      </c>
      <c r="J2503">
        <v>15.4</v>
      </c>
      <c r="K2503" t="s">
        <v>24</v>
      </c>
      <c r="L2503">
        <v>0</v>
      </c>
      <c r="M2503">
        <v>4</v>
      </c>
      <c r="N2503" t="s">
        <v>630</v>
      </c>
      <c r="O2503" s="3" t="str">
        <f>TEXT(Ticket_Table[[#This Row],[raised_date]],"YYYY-MM")</f>
        <v>2021-06</v>
      </c>
      <c r="P2503" s="3" t="str">
        <f>IF(Ticket_Table[[#This Row],[resolution_hrs]]&lt;=4,"Fast",IF(Ticket_Table[[#This Row],[resolution_hrs]]&lt;=24,"Normal",IF(Ticket_Table[[#This Row],[resolution_hrs]]&lt;=48,"Slow","Very Slow")))</f>
        <v>Normal</v>
      </c>
      <c r="Q2503" s="3">
        <f>YEAR(Ticket_Table[[#This Row],[raised_date]])</f>
        <v>2021</v>
      </c>
    </row>
    <row r="2504" spans="1:17">
      <c r="A2504" t="s">
        <v>3065</v>
      </c>
      <c r="B2504" t="s">
        <v>599</v>
      </c>
      <c r="C2504" t="s">
        <v>261</v>
      </c>
      <c r="D2504" t="s">
        <v>90</v>
      </c>
      <c r="E2504" t="s">
        <v>69</v>
      </c>
      <c r="F2504" t="s">
        <v>45</v>
      </c>
      <c r="G2504" t="s">
        <v>46</v>
      </c>
      <c r="H2504" s="1">
        <v>45088</v>
      </c>
      <c r="I2504" s="2">
        <v>45088.225</v>
      </c>
      <c r="J2504">
        <v>5.4</v>
      </c>
      <c r="K2504" t="s">
        <v>32</v>
      </c>
      <c r="L2504">
        <v>1</v>
      </c>
      <c r="M2504">
        <v>3</v>
      </c>
      <c r="N2504" t="s">
        <v>423</v>
      </c>
      <c r="O2504" s="3" t="str">
        <f>TEXT(Ticket_Table[[#This Row],[raised_date]],"YYYY-MM")</f>
        <v>2023-06</v>
      </c>
      <c r="P2504" s="3" t="str">
        <f>IF(Ticket_Table[[#This Row],[resolution_hrs]]&lt;=4,"Fast",IF(Ticket_Table[[#This Row],[resolution_hrs]]&lt;=24,"Normal",IF(Ticket_Table[[#This Row],[resolution_hrs]]&lt;=48,"Slow","Very Slow")))</f>
        <v>Normal</v>
      </c>
      <c r="Q2504" s="3">
        <f>YEAR(Ticket_Table[[#This Row],[raised_date]])</f>
        <v>2023</v>
      </c>
    </row>
    <row r="2505" spans="1:17">
      <c r="A2505" t="s">
        <v>3066</v>
      </c>
      <c r="B2505" t="s">
        <v>835</v>
      </c>
      <c r="C2505" t="s">
        <v>55</v>
      </c>
      <c r="D2505" t="s">
        <v>90</v>
      </c>
      <c r="E2505" t="s">
        <v>166</v>
      </c>
      <c r="F2505" t="s">
        <v>70</v>
      </c>
      <c r="G2505" t="s">
        <v>23</v>
      </c>
      <c r="H2505" s="1">
        <v>44610</v>
      </c>
      <c r="I2505" s="2">
        <v>44612.1958333333</v>
      </c>
      <c r="J2505">
        <v>52.7</v>
      </c>
      <c r="K2505" t="s">
        <v>32</v>
      </c>
      <c r="L2505">
        <v>0</v>
      </c>
      <c r="M2505">
        <v>5</v>
      </c>
      <c r="N2505" t="s">
        <v>504</v>
      </c>
      <c r="O2505" s="3" t="str">
        <f>TEXT(Ticket_Table[[#This Row],[raised_date]],"YYYY-MM")</f>
        <v>2022-02</v>
      </c>
      <c r="P2505" s="3" t="str">
        <f>IF(Ticket_Table[[#This Row],[resolution_hrs]]&lt;=4,"Fast",IF(Ticket_Table[[#This Row],[resolution_hrs]]&lt;=24,"Normal",IF(Ticket_Table[[#This Row],[resolution_hrs]]&lt;=48,"Slow","Very Slow")))</f>
        <v>Very Slow</v>
      </c>
      <c r="Q2505" s="3">
        <f>YEAR(Ticket_Table[[#This Row],[raised_date]])</f>
        <v>2022</v>
      </c>
    </row>
    <row r="2506" spans="1:17">
      <c r="A2506" t="s">
        <v>3067</v>
      </c>
      <c r="B2506" t="s">
        <v>929</v>
      </c>
      <c r="C2506" t="s">
        <v>287</v>
      </c>
      <c r="D2506" t="s">
        <v>29</v>
      </c>
      <c r="E2506" t="s">
        <v>166</v>
      </c>
      <c r="F2506" t="s">
        <v>70</v>
      </c>
      <c r="G2506" t="s">
        <v>46</v>
      </c>
      <c r="H2506" s="1">
        <v>44499</v>
      </c>
      <c r="I2506" s="2">
        <v>44499.3041666667</v>
      </c>
      <c r="J2506">
        <v>7.3</v>
      </c>
      <c r="K2506" t="s">
        <v>24</v>
      </c>
      <c r="L2506">
        <v>0</v>
      </c>
      <c r="M2506">
        <v>3</v>
      </c>
      <c r="N2506" t="s">
        <v>167</v>
      </c>
      <c r="O2506" s="3" t="str">
        <f>TEXT(Ticket_Table[[#This Row],[raised_date]],"YYYY-MM")</f>
        <v>2021-10</v>
      </c>
      <c r="P2506" s="3" t="str">
        <f>IF(Ticket_Table[[#This Row],[resolution_hrs]]&lt;=4,"Fast",IF(Ticket_Table[[#This Row],[resolution_hrs]]&lt;=24,"Normal",IF(Ticket_Table[[#This Row],[resolution_hrs]]&lt;=48,"Slow","Very Slow")))</f>
        <v>Normal</v>
      </c>
      <c r="Q2506" s="3">
        <f>YEAR(Ticket_Table[[#This Row],[raised_date]])</f>
        <v>2021</v>
      </c>
    </row>
    <row r="2507" spans="1:17">
      <c r="A2507" t="s">
        <v>3068</v>
      </c>
      <c r="B2507" t="s">
        <v>670</v>
      </c>
      <c r="C2507" t="s">
        <v>117</v>
      </c>
      <c r="D2507" t="s">
        <v>20</v>
      </c>
      <c r="E2507" t="s">
        <v>37</v>
      </c>
      <c r="F2507" t="s">
        <v>45</v>
      </c>
      <c r="G2507" t="s">
        <v>31</v>
      </c>
      <c r="H2507" s="1">
        <v>44725</v>
      </c>
      <c r="I2507" s="2">
        <v>44725.175</v>
      </c>
      <c r="J2507">
        <v>4.2</v>
      </c>
      <c r="K2507" t="s">
        <v>32</v>
      </c>
      <c r="L2507">
        <v>0</v>
      </c>
      <c r="M2507">
        <v>4</v>
      </c>
      <c r="N2507" t="s">
        <v>105</v>
      </c>
      <c r="O2507" s="3" t="str">
        <f>TEXT(Ticket_Table[[#This Row],[raised_date]],"YYYY-MM")</f>
        <v>2022-06</v>
      </c>
      <c r="P2507" s="3" t="str">
        <f>IF(Ticket_Table[[#This Row],[resolution_hrs]]&lt;=4,"Fast",IF(Ticket_Table[[#This Row],[resolution_hrs]]&lt;=24,"Normal",IF(Ticket_Table[[#This Row],[resolution_hrs]]&lt;=48,"Slow","Very Slow")))</f>
        <v>Normal</v>
      </c>
      <c r="Q2507" s="3">
        <f>YEAR(Ticket_Table[[#This Row],[raised_date]])</f>
        <v>2022</v>
      </c>
    </row>
    <row r="2508" spans="1:17">
      <c r="A2508" t="s">
        <v>3069</v>
      </c>
      <c r="B2508" t="s">
        <v>79</v>
      </c>
      <c r="C2508" t="s">
        <v>78</v>
      </c>
      <c r="D2508" t="s">
        <v>43</v>
      </c>
      <c r="E2508" t="s">
        <v>166</v>
      </c>
      <c r="F2508" t="s">
        <v>22</v>
      </c>
      <c r="G2508" t="s">
        <v>31</v>
      </c>
      <c r="H2508" s="1">
        <v>44851</v>
      </c>
      <c r="I2508" s="2">
        <v>44854.5041666667</v>
      </c>
      <c r="J2508">
        <v>84.1</v>
      </c>
      <c r="K2508" t="s">
        <v>32</v>
      </c>
      <c r="L2508">
        <v>1</v>
      </c>
      <c r="M2508">
        <v>3</v>
      </c>
      <c r="N2508" t="s">
        <v>186</v>
      </c>
      <c r="O2508" s="3" t="str">
        <f>TEXT(Ticket_Table[[#This Row],[raised_date]],"YYYY-MM")</f>
        <v>2022-10</v>
      </c>
      <c r="P2508" s="3" t="str">
        <f>IF(Ticket_Table[[#This Row],[resolution_hrs]]&lt;=4,"Fast",IF(Ticket_Table[[#This Row],[resolution_hrs]]&lt;=24,"Normal",IF(Ticket_Table[[#This Row],[resolution_hrs]]&lt;=48,"Slow","Very Slow")))</f>
        <v>Very Slow</v>
      </c>
      <c r="Q2508" s="3">
        <f>YEAR(Ticket_Table[[#This Row],[raised_date]])</f>
        <v>2022</v>
      </c>
    </row>
    <row r="2509" spans="1:17">
      <c r="A2509" t="s">
        <v>3070</v>
      </c>
      <c r="B2509" t="s">
        <v>146</v>
      </c>
      <c r="C2509" t="s">
        <v>261</v>
      </c>
      <c r="D2509" t="s">
        <v>43</v>
      </c>
      <c r="E2509" t="s">
        <v>30</v>
      </c>
      <c r="F2509" t="s">
        <v>70</v>
      </c>
      <c r="G2509" t="s">
        <v>23</v>
      </c>
      <c r="H2509" s="1">
        <v>44334</v>
      </c>
      <c r="I2509" s="2">
        <v>44335.0625</v>
      </c>
      <c r="J2509">
        <v>25.5</v>
      </c>
      <c r="K2509" t="s">
        <v>24</v>
      </c>
      <c r="L2509">
        <v>2</v>
      </c>
      <c r="M2509">
        <v>3</v>
      </c>
      <c r="N2509" t="s">
        <v>860</v>
      </c>
      <c r="O2509" s="3" t="str">
        <f>TEXT(Ticket_Table[[#This Row],[raised_date]],"YYYY-MM")</f>
        <v>2021-05</v>
      </c>
      <c r="P2509" s="3" t="str">
        <f>IF(Ticket_Table[[#This Row],[resolution_hrs]]&lt;=4,"Fast",IF(Ticket_Table[[#This Row],[resolution_hrs]]&lt;=24,"Normal",IF(Ticket_Table[[#This Row],[resolution_hrs]]&lt;=48,"Slow","Very Slow")))</f>
        <v>Slow</v>
      </c>
      <c r="Q2509" s="3">
        <f>YEAR(Ticket_Table[[#This Row],[raised_date]])</f>
        <v>2021</v>
      </c>
    </row>
    <row r="2510" spans="1:17">
      <c r="A2510" t="s">
        <v>3071</v>
      </c>
      <c r="B2510" t="s">
        <v>87</v>
      </c>
      <c r="C2510" t="s">
        <v>19</v>
      </c>
      <c r="D2510" t="s">
        <v>90</v>
      </c>
      <c r="E2510" t="s">
        <v>69</v>
      </c>
      <c r="F2510" t="s">
        <v>70</v>
      </c>
      <c r="G2510" t="s">
        <v>23</v>
      </c>
      <c r="H2510" s="1">
        <v>44375</v>
      </c>
      <c r="I2510" s="2">
        <v>44375.4625</v>
      </c>
      <c r="J2510">
        <v>11.1</v>
      </c>
      <c r="K2510" t="s">
        <v>24</v>
      </c>
      <c r="L2510">
        <v>0</v>
      </c>
      <c r="M2510">
        <v>3</v>
      </c>
      <c r="N2510" t="s">
        <v>708</v>
      </c>
      <c r="O2510" s="3" t="str">
        <f>TEXT(Ticket_Table[[#This Row],[raised_date]],"YYYY-MM")</f>
        <v>2021-06</v>
      </c>
      <c r="P2510" s="3" t="str">
        <f>IF(Ticket_Table[[#This Row],[resolution_hrs]]&lt;=4,"Fast",IF(Ticket_Table[[#This Row],[resolution_hrs]]&lt;=24,"Normal",IF(Ticket_Table[[#This Row],[resolution_hrs]]&lt;=48,"Slow","Very Slow")))</f>
        <v>Normal</v>
      </c>
      <c r="Q2510" s="3">
        <f>YEAR(Ticket_Table[[#This Row],[raised_date]])</f>
        <v>2021</v>
      </c>
    </row>
    <row r="2511" spans="1:17">
      <c r="A2511" t="s">
        <v>3072</v>
      </c>
      <c r="B2511" t="s">
        <v>145</v>
      </c>
      <c r="C2511" t="s">
        <v>68</v>
      </c>
      <c r="D2511" t="s">
        <v>20</v>
      </c>
      <c r="E2511" t="s">
        <v>166</v>
      </c>
      <c r="F2511" t="s">
        <v>22</v>
      </c>
      <c r="G2511" t="s">
        <v>31</v>
      </c>
      <c r="H2511" s="1">
        <v>44991</v>
      </c>
      <c r="I2511" s="2">
        <v>44994.3791666667</v>
      </c>
      <c r="J2511">
        <v>81.1</v>
      </c>
      <c r="K2511" t="s">
        <v>32</v>
      </c>
      <c r="L2511">
        <v>0</v>
      </c>
      <c r="M2511">
        <v>4</v>
      </c>
      <c r="N2511" t="s">
        <v>1129</v>
      </c>
      <c r="O2511" s="3" t="str">
        <f>TEXT(Ticket_Table[[#This Row],[raised_date]],"YYYY-MM")</f>
        <v>2023-03</v>
      </c>
      <c r="P2511" s="3" t="str">
        <f>IF(Ticket_Table[[#This Row],[resolution_hrs]]&lt;=4,"Fast",IF(Ticket_Table[[#This Row],[resolution_hrs]]&lt;=24,"Normal",IF(Ticket_Table[[#This Row],[resolution_hrs]]&lt;=48,"Slow","Very Slow")))</f>
        <v>Very Slow</v>
      </c>
      <c r="Q2511" s="3">
        <f>YEAR(Ticket_Table[[#This Row],[raised_date]])</f>
        <v>2023</v>
      </c>
    </row>
    <row r="2512" spans="1:17">
      <c r="A2512" t="s">
        <v>3073</v>
      </c>
      <c r="B2512" t="s">
        <v>554</v>
      </c>
      <c r="C2512" t="s">
        <v>201</v>
      </c>
      <c r="D2512" t="s">
        <v>20</v>
      </c>
      <c r="E2512" t="s">
        <v>44</v>
      </c>
      <c r="F2512" t="s">
        <v>70</v>
      </c>
      <c r="G2512" t="s">
        <v>23</v>
      </c>
      <c r="H2512" s="1">
        <v>45010</v>
      </c>
      <c r="I2512" s="2">
        <v>45012.7916666667</v>
      </c>
      <c r="J2512">
        <v>67</v>
      </c>
      <c r="K2512" t="s">
        <v>32</v>
      </c>
      <c r="L2512">
        <v>0</v>
      </c>
      <c r="M2512">
        <v>4</v>
      </c>
      <c r="N2512" t="s">
        <v>1112</v>
      </c>
      <c r="O2512" s="3" t="str">
        <f>TEXT(Ticket_Table[[#This Row],[raised_date]],"YYYY-MM")</f>
        <v>2023-03</v>
      </c>
      <c r="P2512" s="3" t="str">
        <f>IF(Ticket_Table[[#This Row],[resolution_hrs]]&lt;=4,"Fast",IF(Ticket_Table[[#This Row],[resolution_hrs]]&lt;=24,"Normal",IF(Ticket_Table[[#This Row],[resolution_hrs]]&lt;=48,"Slow","Very Slow")))</f>
        <v>Very Slow</v>
      </c>
      <c r="Q2512" s="3">
        <f>YEAR(Ticket_Table[[#This Row],[raised_date]])</f>
        <v>2023</v>
      </c>
    </row>
    <row r="2513" spans="1:17">
      <c r="A2513" t="s">
        <v>3074</v>
      </c>
      <c r="B2513" t="s">
        <v>1195</v>
      </c>
      <c r="C2513" t="s">
        <v>287</v>
      </c>
      <c r="D2513" t="s">
        <v>20</v>
      </c>
      <c r="E2513" t="s">
        <v>44</v>
      </c>
      <c r="F2513" t="s">
        <v>22</v>
      </c>
      <c r="G2513" t="s">
        <v>46</v>
      </c>
      <c r="H2513" s="1">
        <v>44864</v>
      </c>
      <c r="I2513" s="2">
        <v>44865.8166666667</v>
      </c>
      <c r="J2513">
        <v>43.6</v>
      </c>
      <c r="K2513" t="s">
        <v>24</v>
      </c>
      <c r="L2513">
        <v>0</v>
      </c>
      <c r="M2513">
        <v>3</v>
      </c>
      <c r="N2513" t="s">
        <v>599</v>
      </c>
      <c r="O2513" s="3" t="str">
        <f>TEXT(Ticket_Table[[#This Row],[raised_date]],"YYYY-MM")</f>
        <v>2022-10</v>
      </c>
      <c r="P2513" s="3" t="str">
        <f>IF(Ticket_Table[[#This Row],[resolution_hrs]]&lt;=4,"Fast",IF(Ticket_Table[[#This Row],[resolution_hrs]]&lt;=24,"Normal",IF(Ticket_Table[[#This Row],[resolution_hrs]]&lt;=48,"Slow","Very Slow")))</f>
        <v>Slow</v>
      </c>
      <c r="Q2513" s="3">
        <f>YEAR(Ticket_Table[[#This Row],[raised_date]])</f>
        <v>2022</v>
      </c>
    </row>
    <row r="2514" spans="1:17">
      <c r="A2514" t="s">
        <v>3075</v>
      </c>
      <c r="B2514" t="s">
        <v>703</v>
      </c>
      <c r="C2514" t="s">
        <v>50</v>
      </c>
      <c r="D2514" t="s">
        <v>43</v>
      </c>
      <c r="E2514" t="s">
        <v>44</v>
      </c>
      <c r="F2514" t="s">
        <v>38</v>
      </c>
      <c r="G2514" t="s">
        <v>23</v>
      </c>
      <c r="H2514" s="1">
        <v>44762</v>
      </c>
      <c r="I2514" s="2">
        <v>44762.4916666667</v>
      </c>
      <c r="J2514">
        <v>11.8</v>
      </c>
      <c r="K2514" t="s">
        <v>24</v>
      </c>
      <c r="L2514">
        <v>0</v>
      </c>
      <c r="M2514">
        <v>2</v>
      </c>
      <c r="N2514" t="s">
        <v>223</v>
      </c>
      <c r="O2514" s="3" t="str">
        <f>TEXT(Ticket_Table[[#This Row],[raised_date]],"YYYY-MM")</f>
        <v>2022-07</v>
      </c>
      <c r="P2514" s="3" t="str">
        <f>IF(Ticket_Table[[#This Row],[resolution_hrs]]&lt;=4,"Fast",IF(Ticket_Table[[#This Row],[resolution_hrs]]&lt;=24,"Normal",IF(Ticket_Table[[#This Row],[resolution_hrs]]&lt;=48,"Slow","Very Slow")))</f>
        <v>Normal</v>
      </c>
      <c r="Q2514" s="3">
        <f>YEAR(Ticket_Table[[#This Row],[raised_date]])</f>
        <v>2022</v>
      </c>
    </row>
    <row r="2515" spans="1:17">
      <c r="A2515" t="s">
        <v>3076</v>
      </c>
      <c r="B2515" t="s">
        <v>169</v>
      </c>
      <c r="C2515" t="s">
        <v>117</v>
      </c>
      <c r="D2515" t="s">
        <v>20</v>
      </c>
      <c r="E2515" t="s">
        <v>83</v>
      </c>
      <c r="F2515" t="s">
        <v>45</v>
      </c>
      <c r="G2515" t="s">
        <v>23</v>
      </c>
      <c r="H2515" s="1">
        <v>45261</v>
      </c>
      <c r="I2515" s="2">
        <v>45261.2458333333</v>
      </c>
      <c r="J2515">
        <v>5.9</v>
      </c>
      <c r="K2515" t="s">
        <v>32</v>
      </c>
      <c r="L2515">
        <v>1</v>
      </c>
      <c r="M2515">
        <v>4</v>
      </c>
      <c r="N2515" t="s">
        <v>462</v>
      </c>
      <c r="O2515" s="3" t="str">
        <f>TEXT(Ticket_Table[[#This Row],[raised_date]],"YYYY-MM")</f>
        <v>2023-12</v>
      </c>
      <c r="P2515" s="3" t="str">
        <f>IF(Ticket_Table[[#This Row],[resolution_hrs]]&lt;=4,"Fast",IF(Ticket_Table[[#This Row],[resolution_hrs]]&lt;=24,"Normal",IF(Ticket_Table[[#This Row],[resolution_hrs]]&lt;=48,"Slow","Very Slow")))</f>
        <v>Normal</v>
      </c>
      <c r="Q2515" s="3">
        <f>YEAR(Ticket_Table[[#This Row],[raised_date]])</f>
        <v>2023</v>
      </c>
    </row>
    <row r="2516" spans="1:17">
      <c r="A2516" t="s">
        <v>3077</v>
      </c>
      <c r="B2516" t="s">
        <v>457</v>
      </c>
      <c r="C2516" t="s">
        <v>133</v>
      </c>
      <c r="D2516" t="s">
        <v>29</v>
      </c>
      <c r="E2516" t="s">
        <v>56</v>
      </c>
      <c r="F2516" t="s">
        <v>22</v>
      </c>
      <c r="G2516" t="s">
        <v>46</v>
      </c>
      <c r="H2516" s="1">
        <v>45135</v>
      </c>
      <c r="I2516" s="2">
        <v>45138.6833333333</v>
      </c>
      <c r="J2516">
        <v>88.4</v>
      </c>
      <c r="K2516" t="s">
        <v>32</v>
      </c>
      <c r="L2516">
        <v>0</v>
      </c>
      <c r="M2516">
        <v>5</v>
      </c>
      <c r="N2516" t="s">
        <v>683</v>
      </c>
      <c r="O2516" s="3" t="str">
        <f>TEXT(Ticket_Table[[#This Row],[raised_date]],"YYYY-MM")</f>
        <v>2023-07</v>
      </c>
      <c r="P2516" s="3" t="str">
        <f>IF(Ticket_Table[[#This Row],[resolution_hrs]]&lt;=4,"Fast",IF(Ticket_Table[[#This Row],[resolution_hrs]]&lt;=24,"Normal",IF(Ticket_Table[[#This Row],[resolution_hrs]]&lt;=48,"Slow","Very Slow")))</f>
        <v>Very Slow</v>
      </c>
      <c r="Q2516" s="3">
        <f>YEAR(Ticket_Table[[#This Row],[raised_date]])</f>
        <v>2023</v>
      </c>
    </row>
    <row r="2517" spans="1:17">
      <c r="A2517" t="s">
        <v>3078</v>
      </c>
      <c r="B2517" t="s">
        <v>1578</v>
      </c>
      <c r="C2517" t="s">
        <v>201</v>
      </c>
      <c r="D2517" t="s">
        <v>36</v>
      </c>
      <c r="E2517" t="s">
        <v>69</v>
      </c>
      <c r="F2517" t="s">
        <v>38</v>
      </c>
      <c r="G2517" t="s">
        <v>23</v>
      </c>
      <c r="H2517" s="1">
        <v>44222</v>
      </c>
      <c r="I2517" s="2">
        <v>44222.0458333333</v>
      </c>
      <c r="J2517">
        <v>1.1</v>
      </c>
      <c r="K2517" t="s">
        <v>24</v>
      </c>
      <c r="L2517">
        <v>0</v>
      </c>
      <c r="M2517">
        <v>4</v>
      </c>
      <c r="N2517" t="s">
        <v>256</v>
      </c>
      <c r="O2517" s="3" t="str">
        <f>TEXT(Ticket_Table[[#This Row],[raised_date]],"YYYY-MM")</f>
        <v>2021-01</v>
      </c>
      <c r="P2517" s="3" t="str">
        <f>IF(Ticket_Table[[#This Row],[resolution_hrs]]&lt;=4,"Fast",IF(Ticket_Table[[#This Row],[resolution_hrs]]&lt;=24,"Normal",IF(Ticket_Table[[#This Row],[resolution_hrs]]&lt;=48,"Slow","Very Slow")))</f>
        <v>Fast</v>
      </c>
      <c r="Q2517" s="3">
        <f>YEAR(Ticket_Table[[#This Row],[raised_date]])</f>
        <v>2021</v>
      </c>
    </row>
    <row r="2518" spans="1:17">
      <c r="A2518" t="s">
        <v>3079</v>
      </c>
      <c r="B2518" t="s">
        <v>387</v>
      </c>
      <c r="C2518" t="s">
        <v>287</v>
      </c>
      <c r="D2518" t="s">
        <v>20</v>
      </c>
      <c r="E2518" t="s">
        <v>166</v>
      </c>
      <c r="F2518" t="s">
        <v>22</v>
      </c>
      <c r="G2518" t="s">
        <v>91</v>
      </c>
      <c r="H2518" s="1">
        <v>45267</v>
      </c>
      <c r="I2518" s="2">
        <v>45267.3541666667</v>
      </c>
      <c r="J2518">
        <v>8.5</v>
      </c>
      <c r="K2518" t="s">
        <v>24</v>
      </c>
      <c r="L2518">
        <v>0</v>
      </c>
      <c r="M2518">
        <v>4</v>
      </c>
      <c r="N2518" t="s">
        <v>458</v>
      </c>
      <c r="O2518" s="3" t="str">
        <f>TEXT(Ticket_Table[[#This Row],[raised_date]],"YYYY-MM")</f>
        <v>2023-12</v>
      </c>
      <c r="P2518" s="3" t="str">
        <f>IF(Ticket_Table[[#This Row],[resolution_hrs]]&lt;=4,"Fast",IF(Ticket_Table[[#This Row],[resolution_hrs]]&lt;=24,"Normal",IF(Ticket_Table[[#This Row],[resolution_hrs]]&lt;=48,"Slow","Very Slow")))</f>
        <v>Normal</v>
      </c>
      <c r="Q2518" s="3">
        <f>YEAR(Ticket_Table[[#This Row],[raised_date]])</f>
        <v>2023</v>
      </c>
    </row>
    <row r="2519" spans="1:17">
      <c r="A2519" t="s">
        <v>3080</v>
      </c>
      <c r="B2519" t="s">
        <v>169</v>
      </c>
      <c r="C2519" t="s">
        <v>261</v>
      </c>
      <c r="D2519" t="s">
        <v>36</v>
      </c>
      <c r="E2519" t="s">
        <v>21</v>
      </c>
      <c r="F2519" t="s">
        <v>70</v>
      </c>
      <c r="G2519" t="s">
        <v>31</v>
      </c>
      <c r="H2519" s="1">
        <v>45056</v>
      </c>
      <c r="I2519" s="2">
        <v>45058.1</v>
      </c>
      <c r="J2519">
        <v>50.4</v>
      </c>
      <c r="K2519" t="s">
        <v>32</v>
      </c>
      <c r="L2519">
        <v>0</v>
      </c>
      <c r="M2519">
        <v>3</v>
      </c>
      <c r="N2519" t="s">
        <v>503</v>
      </c>
      <c r="O2519" s="3" t="str">
        <f>TEXT(Ticket_Table[[#This Row],[raised_date]],"YYYY-MM")</f>
        <v>2023-05</v>
      </c>
      <c r="P2519" s="3" t="str">
        <f>IF(Ticket_Table[[#This Row],[resolution_hrs]]&lt;=4,"Fast",IF(Ticket_Table[[#This Row],[resolution_hrs]]&lt;=24,"Normal",IF(Ticket_Table[[#This Row],[resolution_hrs]]&lt;=48,"Slow","Very Slow")))</f>
        <v>Very Slow</v>
      </c>
      <c r="Q2519" s="3">
        <f>YEAR(Ticket_Table[[#This Row],[raised_date]])</f>
        <v>2023</v>
      </c>
    </row>
    <row r="2520" spans="1:17">
      <c r="A2520" t="s">
        <v>3081</v>
      </c>
      <c r="B2520" t="s">
        <v>182</v>
      </c>
      <c r="C2520" t="s">
        <v>42</v>
      </c>
      <c r="D2520" t="s">
        <v>43</v>
      </c>
      <c r="E2520" t="s">
        <v>56</v>
      </c>
      <c r="F2520" t="s">
        <v>22</v>
      </c>
      <c r="G2520" t="s">
        <v>23</v>
      </c>
      <c r="H2520" s="1">
        <v>44427</v>
      </c>
      <c r="I2520" s="2">
        <v>44429.3833333333</v>
      </c>
      <c r="J2520">
        <v>57.2</v>
      </c>
      <c r="K2520" t="s">
        <v>24</v>
      </c>
      <c r="L2520">
        <v>0</v>
      </c>
      <c r="M2520">
        <v>4</v>
      </c>
      <c r="N2520" t="s">
        <v>365</v>
      </c>
      <c r="O2520" s="3" t="str">
        <f>TEXT(Ticket_Table[[#This Row],[raised_date]],"YYYY-MM")</f>
        <v>2021-08</v>
      </c>
      <c r="P25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520" s="3">
        <f>YEAR(Ticket_Table[[#This Row],[raised_date]])</f>
        <v>2021</v>
      </c>
    </row>
    <row r="2521" spans="1:17">
      <c r="A2521" t="s">
        <v>3082</v>
      </c>
      <c r="B2521" t="s">
        <v>735</v>
      </c>
      <c r="C2521" t="s">
        <v>213</v>
      </c>
      <c r="D2521" t="s">
        <v>20</v>
      </c>
      <c r="E2521" t="s">
        <v>21</v>
      </c>
      <c r="F2521" t="s">
        <v>45</v>
      </c>
      <c r="G2521" t="s">
        <v>23</v>
      </c>
      <c r="H2521" s="1">
        <v>45045</v>
      </c>
      <c r="I2521" s="2">
        <v>45045.1791666667</v>
      </c>
      <c r="J2521">
        <v>4.3</v>
      </c>
      <c r="K2521" t="s">
        <v>32</v>
      </c>
      <c r="L2521">
        <v>0</v>
      </c>
      <c r="M2521">
        <v>4</v>
      </c>
      <c r="N2521" t="s">
        <v>612</v>
      </c>
      <c r="O2521" s="3" t="str">
        <f>TEXT(Ticket_Table[[#This Row],[raised_date]],"YYYY-MM")</f>
        <v>2023-04</v>
      </c>
      <c r="P2521" s="3" t="str">
        <f>IF(Ticket_Table[[#This Row],[resolution_hrs]]&lt;=4,"Fast",IF(Ticket_Table[[#This Row],[resolution_hrs]]&lt;=24,"Normal",IF(Ticket_Table[[#This Row],[resolution_hrs]]&lt;=48,"Slow","Very Slow")))</f>
        <v>Normal</v>
      </c>
      <c r="Q2521" s="3">
        <f>YEAR(Ticket_Table[[#This Row],[raised_date]])</f>
        <v>2023</v>
      </c>
    </row>
    <row r="2522" spans="1:17">
      <c r="A2522" t="s">
        <v>3083</v>
      </c>
      <c r="B2522" t="s">
        <v>172</v>
      </c>
      <c r="C2522" t="s">
        <v>201</v>
      </c>
      <c r="D2522" t="s">
        <v>90</v>
      </c>
      <c r="E2522" t="s">
        <v>106</v>
      </c>
      <c r="F2522" t="s">
        <v>38</v>
      </c>
      <c r="G2522" t="s">
        <v>31</v>
      </c>
      <c r="H2522" s="1">
        <v>44503</v>
      </c>
      <c r="I2522" s="2">
        <v>44504.1125</v>
      </c>
      <c r="J2522">
        <v>26.7</v>
      </c>
      <c r="K2522" t="s">
        <v>32</v>
      </c>
      <c r="L2522">
        <v>2</v>
      </c>
      <c r="M2522">
        <v>3</v>
      </c>
      <c r="N2522" t="s">
        <v>337</v>
      </c>
      <c r="O2522" s="3" t="str">
        <f>TEXT(Ticket_Table[[#This Row],[raised_date]],"YYYY-MM")</f>
        <v>2021-11</v>
      </c>
      <c r="P2522" s="3" t="str">
        <f>IF(Ticket_Table[[#This Row],[resolution_hrs]]&lt;=4,"Fast",IF(Ticket_Table[[#This Row],[resolution_hrs]]&lt;=24,"Normal",IF(Ticket_Table[[#This Row],[resolution_hrs]]&lt;=48,"Slow","Very Slow")))</f>
        <v>Slow</v>
      </c>
      <c r="Q2522" s="3">
        <f>YEAR(Ticket_Table[[#This Row],[raised_date]])</f>
        <v>2021</v>
      </c>
    </row>
    <row r="2523" spans="1:17">
      <c r="A2523" t="s">
        <v>3084</v>
      </c>
      <c r="B2523" t="s">
        <v>515</v>
      </c>
      <c r="C2523" t="s">
        <v>50</v>
      </c>
      <c r="D2523" t="s">
        <v>43</v>
      </c>
      <c r="E2523" t="s">
        <v>30</v>
      </c>
      <c r="F2523" t="s">
        <v>38</v>
      </c>
      <c r="G2523" t="s">
        <v>31</v>
      </c>
      <c r="H2523" s="1">
        <v>44500</v>
      </c>
      <c r="I2523" s="2">
        <v>44500.2916666667</v>
      </c>
      <c r="J2523">
        <v>7</v>
      </c>
      <c r="K2523" t="s">
        <v>24</v>
      </c>
      <c r="L2523">
        <v>1</v>
      </c>
      <c r="M2523">
        <v>4</v>
      </c>
      <c r="N2523" t="s">
        <v>935</v>
      </c>
      <c r="O2523" s="3" t="str">
        <f>TEXT(Ticket_Table[[#This Row],[raised_date]],"YYYY-MM")</f>
        <v>2021-10</v>
      </c>
      <c r="P2523" s="3" t="str">
        <f>IF(Ticket_Table[[#This Row],[resolution_hrs]]&lt;=4,"Fast",IF(Ticket_Table[[#This Row],[resolution_hrs]]&lt;=24,"Normal",IF(Ticket_Table[[#This Row],[resolution_hrs]]&lt;=48,"Slow","Very Slow")))</f>
        <v>Normal</v>
      </c>
      <c r="Q2523" s="3">
        <f>YEAR(Ticket_Table[[#This Row],[raised_date]])</f>
        <v>2021</v>
      </c>
    </row>
    <row r="2524" spans="1:17">
      <c r="A2524" t="s">
        <v>3085</v>
      </c>
      <c r="B2524" t="s">
        <v>712</v>
      </c>
      <c r="C2524" t="s">
        <v>117</v>
      </c>
      <c r="D2524" t="s">
        <v>29</v>
      </c>
      <c r="E2524" t="s">
        <v>106</v>
      </c>
      <c r="F2524" t="s">
        <v>38</v>
      </c>
      <c r="G2524" t="s">
        <v>23</v>
      </c>
      <c r="H2524" s="1">
        <v>44402</v>
      </c>
      <c r="I2524" s="2">
        <v>44402.5875</v>
      </c>
      <c r="J2524">
        <v>14.1</v>
      </c>
      <c r="K2524" t="s">
        <v>24</v>
      </c>
      <c r="L2524">
        <v>0</v>
      </c>
      <c r="M2524">
        <v>2</v>
      </c>
      <c r="N2524" t="s">
        <v>429</v>
      </c>
      <c r="O2524" s="3" t="str">
        <f>TEXT(Ticket_Table[[#This Row],[raised_date]],"YYYY-MM")</f>
        <v>2021-07</v>
      </c>
      <c r="P2524" s="3" t="str">
        <f>IF(Ticket_Table[[#This Row],[resolution_hrs]]&lt;=4,"Fast",IF(Ticket_Table[[#This Row],[resolution_hrs]]&lt;=24,"Normal",IF(Ticket_Table[[#This Row],[resolution_hrs]]&lt;=48,"Slow","Very Slow")))</f>
        <v>Normal</v>
      </c>
      <c r="Q2524" s="3">
        <f>YEAR(Ticket_Table[[#This Row],[raised_date]])</f>
        <v>2021</v>
      </c>
    </row>
    <row r="2525" spans="1:17">
      <c r="A2525" t="s">
        <v>3086</v>
      </c>
      <c r="B2525" t="s">
        <v>640</v>
      </c>
      <c r="C2525" t="s">
        <v>50</v>
      </c>
      <c r="D2525" t="s">
        <v>29</v>
      </c>
      <c r="E2525" t="s">
        <v>51</v>
      </c>
      <c r="F2525" t="s">
        <v>70</v>
      </c>
      <c r="G2525" t="s">
        <v>23</v>
      </c>
      <c r="H2525" s="1">
        <v>44413</v>
      </c>
      <c r="I2525" s="2">
        <v>44415.125</v>
      </c>
      <c r="J2525">
        <v>51</v>
      </c>
      <c r="K2525" t="s">
        <v>32</v>
      </c>
      <c r="L2525">
        <v>0</v>
      </c>
      <c r="M2525">
        <v>2</v>
      </c>
      <c r="N2525" t="s">
        <v>124</v>
      </c>
      <c r="O2525" s="3" t="str">
        <f>TEXT(Ticket_Table[[#This Row],[raised_date]],"YYYY-MM")</f>
        <v>2021-08</v>
      </c>
      <c r="P2525" s="3" t="str">
        <f>IF(Ticket_Table[[#This Row],[resolution_hrs]]&lt;=4,"Fast",IF(Ticket_Table[[#This Row],[resolution_hrs]]&lt;=24,"Normal",IF(Ticket_Table[[#This Row],[resolution_hrs]]&lt;=48,"Slow","Very Slow")))</f>
        <v>Very Slow</v>
      </c>
      <c r="Q2525" s="3">
        <f>YEAR(Ticket_Table[[#This Row],[raised_date]])</f>
        <v>2021</v>
      </c>
    </row>
    <row r="2526" spans="1:17">
      <c r="A2526" t="s">
        <v>3087</v>
      </c>
      <c r="B2526" t="s">
        <v>216</v>
      </c>
      <c r="C2526" t="s">
        <v>133</v>
      </c>
      <c r="D2526" t="s">
        <v>36</v>
      </c>
      <c r="E2526" t="s">
        <v>56</v>
      </c>
      <c r="F2526" t="s">
        <v>45</v>
      </c>
      <c r="G2526" t="s">
        <v>31</v>
      </c>
      <c r="H2526" s="1">
        <v>44403</v>
      </c>
      <c r="I2526" s="2">
        <v>44403.0833333333</v>
      </c>
      <c r="J2526">
        <v>2</v>
      </c>
      <c r="K2526" t="s">
        <v>24</v>
      </c>
      <c r="L2526">
        <v>0</v>
      </c>
      <c r="M2526">
        <v>1</v>
      </c>
      <c r="N2526" t="s">
        <v>167</v>
      </c>
      <c r="O2526" s="3" t="str">
        <f>TEXT(Ticket_Table[[#This Row],[raised_date]],"YYYY-MM")</f>
        <v>2021-07</v>
      </c>
      <c r="P2526" s="3" t="str">
        <f>IF(Ticket_Table[[#This Row],[resolution_hrs]]&lt;=4,"Fast",IF(Ticket_Table[[#This Row],[resolution_hrs]]&lt;=24,"Normal",IF(Ticket_Table[[#This Row],[resolution_hrs]]&lt;=48,"Slow","Very Slow")))</f>
        <v>Fast</v>
      </c>
      <c r="Q2526" s="3">
        <f>YEAR(Ticket_Table[[#This Row],[raised_date]])</f>
        <v>2021</v>
      </c>
    </row>
    <row r="2527" spans="1:17">
      <c r="A2527" t="s">
        <v>3088</v>
      </c>
      <c r="B2527" t="s">
        <v>178</v>
      </c>
      <c r="C2527" t="s">
        <v>261</v>
      </c>
      <c r="D2527" t="s">
        <v>36</v>
      </c>
      <c r="E2527" t="s">
        <v>21</v>
      </c>
      <c r="F2527" t="s">
        <v>38</v>
      </c>
      <c r="G2527" t="s">
        <v>23</v>
      </c>
      <c r="H2527" s="1">
        <v>44782</v>
      </c>
      <c r="I2527" s="2">
        <v>44782.3083333333</v>
      </c>
      <c r="J2527">
        <v>7.4</v>
      </c>
      <c r="K2527" t="s">
        <v>24</v>
      </c>
      <c r="L2527">
        <v>1</v>
      </c>
      <c r="M2527">
        <v>3</v>
      </c>
      <c r="N2527" t="s">
        <v>462</v>
      </c>
      <c r="O2527" s="3" t="str">
        <f>TEXT(Ticket_Table[[#This Row],[raised_date]],"YYYY-MM")</f>
        <v>2022-08</v>
      </c>
      <c r="P2527" s="3" t="str">
        <f>IF(Ticket_Table[[#This Row],[resolution_hrs]]&lt;=4,"Fast",IF(Ticket_Table[[#This Row],[resolution_hrs]]&lt;=24,"Normal",IF(Ticket_Table[[#This Row],[resolution_hrs]]&lt;=48,"Slow","Very Slow")))</f>
        <v>Normal</v>
      </c>
      <c r="Q2527" s="3">
        <f>YEAR(Ticket_Table[[#This Row],[raised_date]])</f>
        <v>2022</v>
      </c>
    </row>
    <row r="2528" spans="1:17">
      <c r="A2528" t="s">
        <v>3089</v>
      </c>
      <c r="B2528" t="s">
        <v>161</v>
      </c>
      <c r="C2528" t="s">
        <v>213</v>
      </c>
      <c r="D2528" t="s">
        <v>90</v>
      </c>
      <c r="E2528" t="s">
        <v>37</v>
      </c>
      <c r="F2528" t="s">
        <v>45</v>
      </c>
      <c r="G2528" t="s">
        <v>46</v>
      </c>
      <c r="H2528" s="1">
        <v>44901</v>
      </c>
      <c r="I2528" s="2">
        <v>44901.2375</v>
      </c>
      <c r="J2528">
        <v>5.7</v>
      </c>
      <c r="K2528" t="s">
        <v>32</v>
      </c>
      <c r="L2528">
        <v>0</v>
      </c>
      <c r="M2528">
        <v>3</v>
      </c>
      <c r="N2528" t="s">
        <v>464</v>
      </c>
      <c r="O2528" s="3" t="str">
        <f>TEXT(Ticket_Table[[#This Row],[raised_date]],"YYYY-MM")</f>
        <v>2022-12</v>
      </c>
      <c r="P2528" s="3" t="str">
        <f>IF(Ticket_Table[[#This Row],[resolution_hrs]]&lt;=4,"Fast",IF(Ticket_Table[[#This Row],[resolution_hrs]]&lt;=24,"Normal",IF(Ticket_Table[[#This Row],[resolution_hrs]]&lt;=48,"Slow","Very Slow")))</f>
        <v>Normal</v>
      </c>
      <c r="Q2528" s="3">
        <f>YEAR(Ticket_Table[[#This Row],[raised_date]])</f>
        <v>2022</v>
      </c>
    </row>
    <row r="2529" spans="1:17">
      <c r="A2529" t="s">
        <v>3090</v>
      </c>
      <c r="B2529" t="s">
        <v>302</v>
      </c>
      <c r="C2529" t="s">
        <v>28</v>
      </c>
      <c r="D2529" t="s">
        <v>90</v>
      </c>
      <c r="E2529" t="s">
        <v>166</v>
      </c>
      <c r="F2529" t="s">
        <v>70</v>
      </c>
      <c r="G2529" t="s">
        <v>23</v>
      </c>
      <c r="H2529" s="1">
        <v>45038</v>
      </c>
      <c r="I2529" s="2">
        <v>45039.375</v>
      </c>
      <c r="J2529">
        <v>33</v>
      </c>
      <c r="K2529" t="s">
        <v>24</v>
      </c>
      <c r="L2529">
        <v>2</v>
      </c>
      <c r="M2529">
        <v>4</v>
      </c>
      <c r="N2529" t="s">
        <v>428</v>
      </c>
      <c r="O2529" s="3" t="str">
        <f>TEXT(Ticket_Table[[#This Row],[raised_date]],"YYYY-MM")</f>
        <v>2023-04</v>
      </c>
      <c r="P2529" s="3" t="str">
        <f>IF(Ticket_Table[[#This Row],[resolution_hrs]]&lt;=4,"Fast",IF(Ticket_Table[[#This Row],[resolution_hrs]]&lt;=24,"Normal",IF(Ticket_Table[[#This Row],[resolution_hrs]]&lt;=48,"Slow","Very Slow")))</f>
        <v>Slow</v>
      </c>
      <c r="Q2529" s="3">
        <f>YEAR(Ticket_Table[[#This Row],[raised_date]])</f>
        <v>2023</v>
      </c>
    </row>
    <row r="2530" spans="1:17">
      <c r="A2530" t="s">
        <v>3091</v>
      </c>
      <c r="B2530" t="s">
        <v>323</v>
      </c>
      <c r="C2530" t="s">
        <v>68</v>
      </c>
      <c r="D2530" t="s">
        <v>29</v>
      </c>
      <c r="E2530" t="s">
        <v>83</v>
      </c>
      <c r="F2530" t="s">
        <v>22</v>
      </c>
      <c r="G2530" t="s">
        <v>23</v>
      </c>
      <c r="H2530" s="1">
        <v>44737</v>
      </c>
      <c r="I2530" s="2">
        <v>44740.6708333333</v>
      </c>
      <c r="J2530">
        <v>88.1</v>
      </c>
      <c r="K2530" t="s">
        <v>32</v>
      </c>
      <c r="L2530">
        <v>3</v>
      </c>
      <c r="M2530">
        <v>4</v>
      </c>
      <c r="N2530" t="s">
        <v>401</v>
      </c>
      <c r="O2530" s="3" t="str">
        <f>TEXT(Ticket_Table[[#This Row],[raised_date]],"YYYY-MM")</f>
        <v>2022-06</v>
      </c>
      <c r="P2530" s="3" t="str">
        <f>IF(Ticket_Table[[#This Row],[resolution_hrs]]&lt;=4,"Fast",IF(Ticket_Table[[#This Row],[resolution_hrs]]&lt;=24,"Normal",IF(Ticket_Table[[#This Row],[resolution_hrs]]&lt;=48,"Slow","Very Slow")))</f>
        <v>Very Slow</v>
      </c>
      <c r="Q2530" s="3">
        <f>YEAR(Ticket_Table[[#This Row],[raised_date]])</f>
        <v>2022</v>
      </c>
    </row>
    <row r="2531" spans="1:17">
      <c r="A2531" t="s">
        <v>3092</v>
      </c>
      <c r="B2531" t="s">
        <v>491</v>
      </c>
      <c r="C2531" t="s">
        <v>201</v>
      </c>
      <c r="D2531" t="s">
        <v>20</v>
      </c>
      <c r="E2531" t="s">
        <v>69</v>
      </c>
      <c r="F2531" t="s">
        <v>70</v>
      </c>
      <c r="G2531" t="s">
        <v>23</v>
      </c>
      <c r="H2531" s="1">
        <v>44981</v>
      </c>
      <c r="I2531" s="2">
        <v>44981.5916666667</v>
      </c>
      <c r="J2531">
        <v>14.2</v>
      </c>
      <c r="K2531" t="s">
        <v>24</v>
      </c>
      <c r="L2531">
        <v>0</v>
      </c>
      <c r="M2531">
        <v>5</v>
      </c>
      <c r="N2531" t="s">
        <v>772</v>
      </c>
      <c r="O2531" s="3" t="str">
        <f>TEXT(Ticket_Table[[#This Row],[raised_date]],"YYYY-MM")</f>
        <v>2023-02</v>
      </c>
      <c r="P2531" s="3" t="str">
        <f>IF(Ticket_Table[[#This Row],[resolution_hrs]]&lt;=4,"Fast",IF(Ticket_Table[[#This Row],[resolution_hrs]]&lt;=24,"Normal",IF(Ticket_Table[[#This Row],[resolution_hrs]]&lt;=48,"Slow","Very Slow")))</f>
        <v>Normal</v>
      </c>
      <c r="Q2531" s="3">
        <f>YEAR(Ticket_Table[[#This Row],[raised_date]])</f>
        <v>2023</v>
      </c>
    </row>
    <row r="2532" spans="1:17">
      <c r="A2532" t="s">
        <v>3093</v>
      </c>
      <c r="B2532" t="s">
        <v>707</v>
      </c>
      <c r="C2532" t="s">
        <v>175</v>
      </c>
      <c r="D2532" t="s">
        <v>29</v>
      </c>
      <c r="E2532" t="s">
        <v>166</v>
      </c>
      <c r="F2532" t="s">
        <v>22</v>
      </c>
      <c r="G2532" t="s">
        <v>46</v>
      </c>
      <c r="H2532" s="1">
        <v>45191</v>
      </c>
      <c r="I2532" s="2">
        <v>45191.3041666667</v>
      </c>
      <c r="J2532">
        <v>7.3</v>
      </c>
      <c r="K2532" t="s">
        <v>24</v>
      </c>
      <c r="L2532">
        <v>3</v>
      </c>
      <c r="M2532">
        <v>3</v>
      </c>
      <c r="N2532" t="s">
        <v>227</v>
      </c>
      <c r="O2532" s="3" t="str">
        <f>TEXT(Ticket_Table[[#This Row],[raised_date]],"YYYY-MM")</f>
        <v>2023-09</v>
      </c>
      <c r="P2532" s="3" t="str">
        <f>IF(Ticket_Table[[#This Row],[resolution_hrs]]&lt;=4,"Fast",IF(Ticket_Table[[#This Row],[resolution_hrs]]&lt;=24,"Normal",IF(Ticket_Table[[#This Row],[resolution_hrs]]&lt;=48,"Slow","Very Slow")))</f>
        <v>Normal</v>
      </c>
      <c r="Q2532" s="3">
        <f>YEAR(Ticket_Table[[#This Row],[raised_date]])</f>
        <v>2023</v>
      </c>
    </row>
    <row r="2533" spans="1:17">
      <c r="A2533" t="s">
        <v>3094</v>
      </c>
      <c r="B2533" t="s">
        <v>310</v>
      </c>
      <c r="C2533" t="s">
        <v>261</v>
      </c>
      <c r="D2533" t="s">
        <v>29</v>
      </c>
      <c r="E2533" t="s">
        <v>69</v>
      </c>
      <c r="F2533" t="s">
        <v>70</v>
      </c>
      <c r="G2533" t="s">
        <v>74</v>
      </c>
      <c r="H2533" s="1">
        <v>45165</v>
      </c>
      <c r="I2533" s="2">
        <v>45165.5833333333</v>
      </c>
      <c r="J2533">
        <v>14</v>
      </c>
      <c r="K2533" t="s">
        <v>24</v>
      </c>
      <c r="L2533">
        <v>2</v>
      </c>
      <c r="M2533">
        <v>3</v>
      </c>
      <c r="N2533" t="s">
        <v>449</v>
      </c>
      <c r="O2533" s="3" t="str">
        <f>TEXT(Ticket_Table[[#This Row],[raised_date]],"YYYY-MM")</f>
        <v>2023-08</v>
      </c>
      <c r="P2533" s="3" t="str">
        <f>IF(Ticket_Table[[#This Row],[resolution_hrs]]&lt;=4,"Fast",IF(Ticket_Table[[#This Row],[resolution_hrs]]&lt;=24,"Normal",IF(Ticket_Table[[#This Row],[resolution_hrs]]&lt;=48,"Slow","Very Slow")))</f>
        <v>Normal</v>
      </c>
      <c r="Q2533" s="3">
        <f>YEAR(Ticket_Table[[#This Row],[raised_date]])</f>
        <v>2023</v>
      </c>
    </row>
    <row r="2534" spans="1:17">
      <c r="A2534" t="s">
        <v>3095</v>
      </c>
      <c r="B2534" t="s">
        <v>683</v>
      </c>
      <c r="C2534" t="s">
        <v>55</v>
      </c>
      <c r="D2534" t="s">
        <v>90</v>
      </c>
      <c r="E2534" t="s">
        <v>37</v>
      </c>
      <c r="F2534" t="s">
        <v>70</v>
      </c>
      <c r="G2534" t="s">
        <v>23</v>
      </c>
      <c r="H2534" s="1">
        <v>44273</v>
      </c>
      <c r="I2534" s="2">
        <v>44275.2875</v>
      </c>
      <c r="J2534">
        <v>54.9</v>
      </c>
      <c r="K2534" t="s">
        <v>32</v>
      </c>
      <c r="L2534">
        <v>0</v>
      </c>
      <c r="M2534">
        <v>5</v>
      </c>
      <c r="N2534" t="s">
        <v>532</v>
      </c>
      <c r="O2534" s="3" t="str">
        <f>TEXT(Ticket_Table[[#This Row],[raised_date]],"YYYY-MM")</f>
        <v>2021-03</v>
      </c>
      <c r="P2534" s="3" t="str">
        <f>IF(Ticket_Table[[#This Row],[resolution_hrs]]&lt;=4,"Fast",IF(Ticket_Table[[#This Row],[resolution_hrs]]&lt;=24,"Normal",IF(Ticket_Table[[#This Row],[resolution_hrs]]&lt;=48,"Slow","Very Slow")))</f>
        <v>Very Slow</v>
      </c>
      <c r="Q2534" s="3">
        <f>YEAR(Ticket_Table[[#This Row],[raised_date]])</f>
        <v>2021</v>
      </c>
    </row>
    <row r="2535" spans="1:17">
      <c r="A2535" t="s">
        <v>3096</v>
      </c>
      <c r="B2535" t="s">
        <v>652</v>
      </c>
      <c r="C2535" t="s">
        <v>287</v>
      </c>
      <c r="D2535" t="s">
        <v>36</v>
      </c>
      <c r="E2535" t="s">
        <v>166</v>
      </c>
      <c r="F2535" t="s">
        <v>70</v>
      </c>
      <c r="G2535" t="s">
        <v>23</v>
      </c>
      <c r="H2535" s="1">
        <v>44549</v>
      </c>
      <c r="I2535" s="2">
        <v>44549.8083333333</v>
      </c>
      <c r="J2535">
        <v>19.4</v>
      </c>
      <c r="K2535" t="s">
        <v>24</v>
      </c>
      <c r="L2535">
        <v>0</v>
      </c>
      <c r="M2535">
        <v>4</v>
      </c>
      <c r="N2535" t="s">
        <v>137</v>
      </c>
      <c r="O2535" s="3" t="str">
        <f>TEXT(Ticket_Table[[#This Row],[raised_date]],"YYYY-MM")</f>
        <v>2021-12</v>
      </c>
      <c r="P2535" s="3" t="str">
        <f>IF(Ticket_Table[[#This Row],[resolution_hrs]]&lt;=4,"Fast",IF(Ticket_Table[[#This Row],[resolution_hrs]]&lt;=24,"Normal",IF(Ticket_Table[[#This Row],[resolution_hrs]]&lt;=48,"Slow","Very Slow")))</f>
        <v>Normal</v>
      </c>
      <c r="Q2535" s="3">
        <f>YEAR(Ticket_Table[[#This Row],[raised_date]])</f>
        <v>2021</v>
      </c>
    </row>
    <row r="2536" spans="1:17">
      <c r="A2536" t="s">
        <v>3097</v>
      </c>
      <c r="B2536" t="s">
        <v>332</v>
      </c>
      <c r="C2536" t="s">
        <v>28</v>
      </c>
      <c r="D2536" t="s">
        <v>90</v>
      </c>
      <c r="E2536" t="s">
        <v>30</v>
      </c>
      <c r="F2536" t="s">
        <v>22</v>
      </c>
      <c r="G2536" t="s">
        <v>46</v>
      </c>
      <c r="H2536" s="1">
        <v>44761</v>
      </c>
      <c r="I2536" s="2">
        <v>44765.0625</v>
      </c>
      <c r="J2536">
        <v>97.5</v>
      </c>
      <c r="K2536" t="s">
        <v>32</v>
      </c>
      <c r="L2536">
        <v>1</v>
      </c>
      <c r="M2536">
        <v>4</v>
      </c>
      <c r="N2536" t="s">
        <v>2204</v>
      </c>
      <c r="O2536" s="3" t="str">
        <f>TEXT(Ticket_Table[[#This Row],[raised_date]],"YYYY-MM")</f>
        <v>2022-07</v>
      </c>
      <c r="P2536" s="3" t="str">
        <f>IF(Ticket_Table[[#This Row],[resolution_hrs]]&lt;=4,"Fast",IF(Ticket_Table[[#This Row],[resolution_hrs]]&lt;=24,"Normal",IF(Ticket_Table[[#This Row],[resolution_hrs]]&lt;=48,"Slow","Very Slow")))</f>
        <v>Very Slow</v>
      </c>
      <c r="Q2536" s="3">
        <f>YEAR(Ticket_Table[[#This Row],[raised_date]])</f>
        <v>2022</v>
      </c>
    </row>
    <row r="2537" spans="1:17">
      <c r="A2537" t="s">
        <v>3098</v>
      </c>
      <c r="B2537" t="s">
        <v>552</v>
      </c>
      <c r="C2537" t="s">
        <v>82</v>
      </c>
      <c r="D2537" t="s">
        <v>90</v>
      </c>
      <c r="E2537" t="s">
        <v>51</v>
      </c>
      <c r="F2537" t="s">
        <v>22</v>
      </c>
      <c r="G2537" t="s">
        <v>31</v>
      </c>
      <c r="H2537" s="1">
        <v>45022</v>
      </c>
      <c r="I2537" s="2">
        <v>45023.8625</v>
      </c>
      <c r="J2537">
        <v>44.7</v>
      </c>
      <c r="K2537" t="s">
        <v>24</v>
      </c>
      <c r="L2537">
        <v>0</v>
      </c>
      <c r="M2537">
        <v>4</v>
      </c>
      <c r="N2537" t="s">
        <v>804</v>
      </c>
      <c r="O2537" s="3" t="str">
        <f>TEXT(Ticket_Table[[#This Row],[raised_date]],"YYYY-MM")</f>
        <v>2023-04</v>
      </c>
      <c r="P2537" s="3" t="str">
        <f>IF(Ticket_Table[[#This Row],[resolution_hrs]]&lt;=4,"Fast",IF(Ticket_Table[[#This Row],[resolution_hrs]]&lt;=24,"Normal",IF(Ticket_Table[[#This Row],[resolution_hrs]]&lt;=48,"Slow","Very Slow")))</f>
        <v>Slow</v>
      </c>
      <c r="Q2537" s="3">
        <f>YEAR(Ticket_Table[[#This Row],[raised_date]])</f>
        <v>2023</v>
      </c>
    </row>
    <row r="2538" spans="1:17">
      <c r="A2538" t="s">
        <v>3099</v>
      </c>
      <c r="B2538" t="s">
        <v>426</v>
      </c>
      <c r="C2538" t="s">
        <v>19</v>
      </c>
      <c r="D2538" t="s">
        <v>90</v>
      </c>
      <c r="E2538" t="s">
        <v>44</v>
      </c>
      <c r="F2538" t="s">
        <v>70</v>
      </c>
      <c r="G2538" t="s">
        <v>23</v>
      </c>
      <c r="H2538" s="1">
        <v>44491</v>
      </c>
      <c r="I2538" s="2">
        <v>44492.8958333333</v>
      </c>
      <c r="J2538">
        <v>45.5</v>
      </c>
      <c r="K2538" t="s">
        <v>24</v>
      </c>
      <c r="L2538">
        <v>0</v>
      </c>
      <c r="M2538">
        <v>4</v>
      </c>
      <c r="N2538" t="s">
        <v>627</v>
      </c>
      <c r="O2538" s="3" t="str">
        <f>TEXT(Ticket_Table[[#This Row],[raised_date]],"YYYY-MM")</f>
        <v>2021-10</v>
      </c>
      <c r="P2538" s="3" t="str">
        <f>IF(Ticket_Table[[#This Row],[resolution_hrs]]&lt;=4,"Fast",IF(Ticket_Table[[#This Row],[resolution_hrs]]&lt;=24,"Normal",IF(Ticket_Table[[#This Row],[resolution_hrs]]&lt;=48,"Slow","Very Slow")))</f>
        <v>Slow</v>
      </c>
      <c r="Q2538" s="3">
        <f>YEAR(Ticket_Table[[#This Row],[raised_date]])</f>
        <v>2021</v>
      </c>
    </row>
    <row r="2539" spans="1:17">
      <c r="A2539" t="s">
        <v>3100</v>
      </c>
      <c r="B2539" t="s">
        <v>350</v>
      </c>
      <c r="C2539" t="s">
        <v>117</v>
      </c>
      <c r="D2539" t="s">
        <v>29</v>
      </c>
      <c r="E2539" t="s">
        <v>37</v>
      </c>
      <c r="F2539" t="s">
        <v>45</v>
      </c>
      <c r="G2539" t="s">
        <v>74</v>
      </c>
      <c r="H2539" s="1">
        <v>45019</v>
      </c>
      <c r="I2539" s="2">
        <v>45019.1708333333</v>
      </c>
      <c r="J2539">
        <v>4.1</v>
      </c>
      <c r="K2539" t="s">
        <v>32</v>
      </c>
      <c r="L2539">
        <v>0</v>
      </c>
      <c r="M2539">
        <v>2</v>
      </c>
      <c r="N2539" t="s">
        <v>701</v>
      </c>
      <c r="O2539" s="3" t="str">
        <f>TEXT(Ticket_Table[[#This Row],[raised_date]],"YYYY-MM")</f>
        <v>2023-04</v>
      </c>
      <c r="P2539" s="3" t="str">
        <f>IF(Ticket_Table[[#This Row],[resolution_hrs]]&lt;=4,"Fast",IF(Ticket_Table[[#This Row],[resolution_hrs]]&lt;=24,"Normal",IF(Ticket_Table[[#This Row],[resolution_hrs]]&lt;=48,"Slow","Very Slow")))</f>
        <v>Normal</v>
      </c>
      <c r="Q2539" s="3">
        <f>YEAR(Ticket_Table[[#This Row],[raised_date]])</f>
        <v>2023</v>
      </c>
    </row>
    <row r="2540" spans="1:17">
      <c r="A2540" t="s">
        <v>3101</v>
      </c>
      <c r="B2540" t="s">
        <v>54</v>
      </c>
      <c r="C2540" t="s">
        <v>19</v>
      </c>
      <c r="D2540" t="s">
        <v>20</v>
      </c>
      <c r="E2540" t="s">
        <v>51</v>
      </c>
      <c r="F2540" t="s">
        <v>70</v>
      </c>
      <c r="G2540" t="s">
        <v>46</v>
      </c>
      <c r="H2540" s="1">
        <v>44276</v>
      </c>
      <c r="I2540" s="2">
        <v>44278.6125</v>
      </c>
      <c r="J2540">
        <v>62.7</v>
      </c>
      <c r="K2540" t="s">
        <v>32</v>
      </c>
      <c r="L2540">
        <v>0</v>
      </c>
      <c r="M2540">
        <v>5</v>
      </c>
      <c r="N2540" t="s">
        <v>680</v>
      </c>
      <c r="O2540" s="3" t="str">
        <f>TEXT(Ticket_Table[[#This Row],[raised_date]],"YYYY-MM")</f>
        <v>2021-03</v>
      </c>
      <c r="P2540" s="3" t="str">
        <f>IF(Ticket_Table[[#This Row],[resolution_hrs]]&lt;=4,"Fast",IF(Ticket_Table[[#This Row],[resolution_hrs]]&lt;=24,"Normal",IF(Ticket_Table[[#This Row],[resolution_hrs]]&lt;=48,"Slow","Very Slow")))</f>
        <v>Very Slow</v>
      </c>
      <c r="Q2540" s="3">
        <f>YEAR(Ticket_Table[[#This Row],[raised_date]])</f>
        <v>2021</v>
      </c>
    </row>
    <row r="2541" spans="1:17">
      <c r="A2541" t="s">
        <v>3102</v>
      </c>
      <c r="B2541" t="s">
        <v>620</v>
      </c>
      <c r="C2541" t="s">
        <v>55</v>
      </c>
      <c r="D2541" t="s">
        <v>29</v>
      </c>
      <c r="E2541" t="s">
        <v>166</v>
      </c>
      <c r="F2541" t="s">
        <v>70</v>
      </c>
      <c r="G2541" t="s">
        <v>31</v>
      </c>
      <c r="H2541" s="1">
        <v>45007</v>
      </c>
      <c r="I2541" s="2">
        <v>45007.5333333333</v>
      </c>
      <c r="J2541">
        <v>12.8</v>
      </c>
      <c r="K2541" t="s">
        <v>24</v>
      </c>
      <c r="L2541">
        <v>2</v>
      </c>
      <c r="M2541">
        <v>2</v>
      </c>
      <c r="N2541" t="s">
        <v>298</v>
      </c>
      <c r="O2541" s="3" t="str">
        <f>TEXT(Ticket_Table[[#This Row],[raised_date]],"YYYY-MM")</f>
        <v>2023-03</v>
      </c>
      <c r="P2541" s="3" t="str">
        <f>IF(Ticket_Table[[#This Row],[resolution_hrs]]&lt;=4,"Fast",IF(Ticket_Table[[#This Row],[resolution_hrs]]&lt;=24,"Normal",IF(Ticket_Table[[#This Row],[resolution_hrs]]&lt;=48,"Slow","Very Slow")))</f>
        <v>Normal</v>
      </c>
      <c r="Q2541" s="3">
        <f>YEAR(Ticket_Table[[#This Row],[raised_date]])</f>
        <v>2023</v>
      </c>
    </row>
    <row r="2542" spans="1:17">
      <c r="A2542" t="s">
        <v>3103</v>
      </c>
      <c r="B2542" t="s">
        <v>571</v>
      </c>
      <c r="C2542" t="s">
        <v>42</v>
      </c>
      <c r="D2542" t="s">
        <v>43</v>
      </c>
      <c r="E2542" t="s">
        <v>21</v>
      </c>
      <c r="F2542" t="s">
        <v>38</v>
      </c>
      <c r="G2542" t="s">
        <v>46</v>
      </c>
      <c r="H2542" s="1">
        <v>44875</v>
      </c>
      <c r="I2542" s="2">
        <v>44875.4708333333</v>
      </c>
      <c r="J2542">
        <v>11.3</v>
      </c>
      <c r="K2542" t="s">
        <v>24</v>
      </c>
      <c r="L2542">
        <v>0</v>
      </c>
      <c r="M2542">
        <v>3</v>
      </c>
      <c r="N2542" t="s">
        <v>280</v>
      </c>
      <c r="O2542" s="3" t="str">
        <f>TEXT(Ticket_Table[[#This Row],[raised_date]],"YYYY-MM")</f>
        <v>2022-11</v>
      </c>
      <c r="P2542" s="3" t="str">
        <f>IF(Ticket_Table[[#This Row],[resolution_hrs]]&lt;=4,"Fast",IF(Ticket_Table[[#This Row],[resolution_hrs]]&lt;=24,"Normal",IF(Ticket_Table[[#This Row],[resolution_hrs]]&lt;=48,"Slow","Very Slow")))</f>
        <v>Normal</v>
      </c>
      <c r="Q2542" s="3">
        <f>YEAR(Ticket_Table[[#This Row],[raised_date]])</f>
        <v>2022</v>
      </c>
    </row>
    <row r="2543" spans="1:17">
      <c r="A2543" t="s">
        <v>3104</v>
      </c>
      <c r="B2543" t="s">
        <v>73</v>
      </c>
      <c r="C2543" t="s">
        <v>28</v>
      </c>
      <c r="D2543" t="s">
        <v>90</v>
      </c>
      <c r="E2543" t="s">
        <v>51</v>
      </c>
      <c r="F2543" t="s">
        <v>70</v>
      </c>
      <c r="G2543" t="s">
        <v>74</v>
      </c>
      <c r="H2543" s="1">
        <v>44683</v>
      </c>
      <c r="I2543" s="2">
        <v>44684.1583333333</v>
      </c>
      <c r="J2543">
        <v>27.8</v>
      </c>
      <c r="K2543" t="s">
        <v>24</v>
      </c>
      <c r="L2543">
        <v>1</v>
      </c>
      <c r="M2543">
        <v>4</v>
      </c>
      <c r="N2543" t="s">
        <v>802</v>
      </c>
      <c r="O2543" s="3" t="str">
        <f>TEXT(Ticket_Table[[#This Row],[raised_date]],"YYYY-MM")</f>
        <v>2022-05</v>
      </c>
      <c r="P2543" s="3" t="str">
        <f>IF(Ticket_Table[[#This Row],[resolution_hrs]]&lt;=4,"Fast",IF(Ticket_Table[[#This Row],[resolution_hrs]]&lt;=24,"Normal",IF(Ticket_Table[[#This Row],[resolution_hrs]]&lt;=48,"Slow","Very Slow")))</f>
        <v>Slow</v>
      </c>
      <c r="Q2543" s="3">
        <f>YEAR(Ticket_Table[[#This Row],[raised_date]])</f>
        <v>2022</v>
      </c>
    </row>
    <row r="2544" spans="1:17">
      <c r="A2544" t="s">
        <v>3105</v>
      </c>
      <c r="B2544" t="s">
        <v>866</v>
      </c>
      <c r="C2544" t="s">
        <v>42</v>
      </c>
      <c r="D2544" t="s">
        <v>90</v>
      </c>
      <c r="E2544" t="s">
        <v>83</v>
      </c>
      <c r="F2544" t="s">
        <v>22</v>
      </c>
      <c r="G2544" t="s">
        <v>23</v>
      </c>
      <c r="H2544" s="1">
        <v>44297</v>
      </c>
      <c r="I2544" s="2">
        <v>44298.275</v>
      </c>
      <c r="J2544">
        <v>30.6</v>
      </c>
      <c r="K2544" t="s">
        <v>24</v>
      </c>
      <c r="L2544">
        <v>0</v>
      </c>
      <c r="M2544">
        <v>4</v>
      </c>
      <c r="N2544" t="s">
        <v>944</v>
      </c>
      <c r="O2544" s="3" t="str">
        <f>TEXT(Ticket_Table[[#This Row],[raised_date]],"YYYY-MM")</f>
        <v>2021-04</v>
      </c>
      <c r="P2544" s="3" t="str">
        <f>IF(Ticket_Table[[#This Row],[resolution_hrs]]&lt;=4,"Fast",IF(Ticket_Table[[#This Row],[resolution_hrs]]&lt;=24,"Normal",IF(Ticket_Table[[#This Row],[resolution_hrs]]&lt;=48,"Slow","Very Slow")))</f>
        <v>Slow</v>
      </c>
      <c r="Q2544" s="3">
        <f>YEAR(Ticket_Table[[#This Row],[raised_date]])</f>
        <v>2021</v>
      </c>
    </row>
    <row r="2545" spans="1:17">
      <c r="A2545" t="s">
        <v>3106</v>
      </c>
      <c r="B2545" t="s">
        <v>35</v>
      </c>
      <c r="C2545" t="s">
        <v>50</v>
      </c>
      <c r="D2545" t="s">
        <v>43</v>
      </c>
      <c r="E2545" t="s">
        <v>51</v>
      </c>
      <c r="F2545" t="s">
        <v>70</v>
      </c>
      <c r="G2545" t="s">
        <v>23</v>
      </c>
      <c r="H2545" s="1">
        <v>45170</v>
      </c>
      <c r="I2545" s="2">
        <v>45171.0541666667</v>
      </c>
      <c r="J2545">
        <v>25.3</v>
      </c>
      <c r="K2545" t="s">
        <v>24</v>
      </c>
      <c r="L2545">
        <v>1</v>
      </c>
      <c r="M2545">
        <v>5</v>
      </c>
      <c r="N2545" t="s">
        <v>650</v>
      </c>
      <c r="O2545" s="3" t="str">
        <f>TEXT(Ticket_Table[[#This Row],[raised_date]],"YYYY-MM")</f>
        <v>2023-09</v>
      </c>
      <c r="P2545" s="3" t="str">
        <f>IF(Ticket_Table[[#This Row],[resolution_hrs]]&lt;=4,"Fast",IF(Ticket_Table[[#This Row],[resolution_hrs]]&lt;=24,"Normal",IF(Ticket_Table[[#This Row],[resolution_hrs]]&lt;=48,"Slow","Very Slow")))</f>
        <v>Slow</v>
      </c>
      <c r="Q2545" s="3">
        <f>YEAR(Ticket_Table[[#This Row],[raised_date]])</f>
        <v>2023</v>
      </c>
    </row>
    <row r="2546" spans="1:17">
      <c r="A2546" t="s">
        <v>3107</v>
      </c>
      <c r="B2546" t="s">
        <v>289</v>
      </c>
      <c r="C2546" t="s">
        <v>201</v>
      </c>
      <c r="D2546" t="s">
        <v>90</v>
      </c>
      <c r="E2546" t="s">
        <v>106</v>
      </c>
      <c r="F2546" t="s">
        <v>22</v>
      </c>
      <c r="G2546" t="s">
        <v>31</v>
      </c>
      <c r="H2546" s="1">
        <v>44747</v>
      </c>
      <c r="I2546" s="2">
        <v>44749.6541666667</v>
      </c>
      <c r="J2546">
        <v>63.7</v>
      </c>
      <c r="K2546" t="s">
        <v>24</v>
      </c>
      <c r="L2546">
        <v>0</v>
      </c>
      <c r="M2546">
        <v>1</v>
      </c>
      <c r="N2546" t="s">
        <v>35</v>
      </c>
      <c r="O2546" s="3" t="str">
        <f>TEXT(Ticket_Table[[#This Row],[raised_date]],"YYYY-MM")</f>
        <v>2022-07</v>
      </c>
      <c r="P2546" s="3" t="str">
        <f>IF(Ticket_Table[[#This Row],[resolution_hrs]]&lt;=4,"Fast",IF(Ticket_Table[[#This Row],[resolution_hrs]]&lt;=24,"Normal",IF(Ticket_Table[[#This Row],[resolution_hrs]]&lt;=48,"Slow","Very Slow")))</f>
        <v>Very Slow</v>
      </c>
      <c r="Q2546" s="3">
        <f>YEAR(Ticket_Table[[#This Row],[raised_date]])</f>
        <v>2022</v>
      </c>
    </row>
    <row r="2547" spans="1:17">
      <c r="A2547" t="s">
        <v>3108</v>
      </c>
      <c r="B2547" t="s">
        <v>1006</v>
      </c>
      <c r="C2547" t="s">
        <v>287</v>
      </c>
      <c r="D2547" t="s">
        <v>90</v>
      </c>
      <c r="E2547" t="s">
        <v>30</v>
      </c>
      <c r="F2547" t="s">
        <v>45</v>
      </c>
      <c r="G2547" t="s">
        <v>31</v>
      </c>
      <c r="H2547" s="1">
        <v>44959</v>
      </c>
      <c r="I2547" s="2">
        <v>44959.1416666667</v>
      </c>
      <c r="J2547">
        <v>3.4</v>
      </c>
      <c r="K2547" t="s">
        <v>24</v>
      </c>
      <c r="L2547">
        <v>0</v>
      </c>
      <c r="M2547">
        <v>4</v>
      </c>
      <c r="N2547" t="s">
        <v>293</v>
      </c>
      <c r="O2547" s="3" t="str">
        <f>TEXT(Ticket_Table[[#This Row],[raised_date]],"YYYY-MM")</f>
        <v>2023-02</v>
      </c>
      <c r="P2547" s="3" t="str">
        <f>IF(Ticket_Table[[#This Row],[resolution_hrs]]&lt;=4,"Fast",IF(Ticket_Table[[#This Row],[resolution_hrs]]&lt;=24,"Normal",IF(Ticket_Table[[#This Row],[resolution_hrs]]&lt;=48,"Slow","Very Slow")))</f>
        <v>Fast</v>
      </c>
      <c r="Q2547" s="3">
        <f>YEAR(Ticket_Table[[#This Row],[raised_date]])</f>
        <v>2023</v>
      </c>
    </row>
    <row r="2548" spans="1:17">
      <c r="A2548" t="s">
        <v>3109</v>
      </c>
      <c r="B2548" t="s">
        <v>109</v>
      </c>
      <c r="C2548" t="s">
        <v>140</v>
      </c>
      <c r="D2548" t="s">
        <v>90</v>
      </c>
      <c r="E2548" t="s">
        <v>37</v>
      </c>
      <c r="F2548" t="s">
        <v>22</v>
      </c>
      <c r="G2548" t="s">
        <v>91</v>
      </c>
      <c r="H2548" s="1">
        <v>44238</v>
      </c>
      <c r="I2548" s="2">
        <v>44241.0416666667</v>
      </c>
      <c r="J2548">
        <v>73</v>
      </c>
      <c r="K2548" t="s">
        <v>32</v>
      </c>
      <c r="L2548">
        <v>0</v>
      </c>
      <c r="M2548">
        <v>4</v>
      </c>
      <c r="N2548" t="s">
        <v>603</v>
      </c>
      <c r="O2548" s="3" t="str">
        <f>TEXT(Ticket_Table[[#This Row],[raised_date]],"YYYY-MM")</f>
        <v>2021-02</v>
      </c>
      <c r="P2548" s="3" t="str">
        <f>IF(Ticket_Table[[#This Row],[resolution_hrs]]&lt;=4,"Fast",IF(Ticket_Table[[#This Row],[resolution_hrs]]&lt;=24,"Normal",IF(Ticket_Table[[#This Row],[resolution_hrs]]&lt;=48,"Slow","Very Slow")))</f>
        <v>Very Slow</v>
      </c>
      <c r="Q2548" s="3">
        <f>YEAR(Ticket_Table[[#This Row],[raised_date]])</f>
        <v>2021</v>
      </c>
    </row>
    <row r="2549" spans="1:17">
      <c r="A2549" t="s">
        <v>3110</v>
      </c>
      <c r="B2549" t="s">
        <v>495</v>
      </c>
      <c r="C2549" t="s">
        <v>117</v>
      </c>
      <c r="D2549" t="s">
        <v>43</v>
      </c>
      <c r="E2549" t="s">
        <v>44</v>
      </c>
      <c r="F2549" t="s">
        <v>70</v>
      </c>
      <c r="G2549" t="s">
        <v>74</v>
      </c>
      <c r="H2549" s="1">
        <v>44888</v>
      </c>
      <c r="I2549" s="2">
        <v>44888.3416666667</v>
      </c>
      <c r="J2549">
        <v>8.2</v>
      </c>
      <c r="K2549" t="s">
        <v>24</v>
      </c>
      <c r="L2549">
        <v>1</v>
      </c>
      <c r="M2549">
        <v>3</v>
      </c>
      <c r="N2549" t="s">
        <v>273</v>
      </c>
      <c r="O2549" s="3" t="str">
        <f>TEXT(Ticket_Table[[#This Row],[raised_date]],"YYYY-MM")</f>
        <v>2022-11</v>
      </c>
      <c r="P2549" s="3" t="str">
        <f>IF(Ticket_Table[[#This Row],[resolution_hrs]]&lt;=4,"Fast",IF(Ticket_Table[[#This Row],[resolution_hrs]]&lt;=24,"Normal",IF(Ticket_Table[[#This Row],[resolution_hrs]]&lt;=48,"Slow","Very Slow")))</f>
        <v>Normal</v>
      </c>
      <c r="Q2549" s="3">
        <f>YEAR(Ticket_Table[[#This Row],[raised_date]])</f>
        <v>2022</v>
      </c>
    </row>
    <row r="2550" spans="1:17">
      <c r="A2550" t="s">
        <v>3111</v>
      </c>
      <c r="B2550" t="s">
        <v>420</v>
      </c>
      <c r="C2550" t="s">
        <v>60</v>
      </c>
      <c r="D2550" t="s">
        <v>29</v>
      </c>
      <c r="E2550" t="s">
        <v>166</v>
      </c>
      <c r="F2550" t="s">
        <v>22</v>
      </c>
      <c r="G2550" t="s">
        <v>74</v>
      </c>
      <c r="H2550" s="1">
        <v>44817</v>
      </c>
      <c r="I2550" s="2">
        <v>44817.3125</v>
      </c>
      <c r="J2550">
        <v>7.5</v>
      </c>
      <c r="K2550" t="s">
        <v>24</v>
      </c>
      <c r="L2550">
        <v>0</v>
      </c>
      <c r="M2550">
        <v>4</v>
      </c>
      <c r="N2550" t="s">
        <v>917</v>
      </c>
      <c r="O2550" s="3" t="str">
        <f>TEXT(Ticket_Table[[#This Row],[raised_date]],"YYYY-MM")</f>
        <v>2022-09</v>
      </c>
      <c r="P2550" s="3" t="str">
        <f>IF(Ticket_Table[[#This Row],[resolution_hrs]]&lt;=4,"Fast",IF(Ticket_Table[[#This Row],[resolution_hrs]]&lt;=24,"Normal",IF(Ticket_Table[[#This Row],[resolution_hrs]]&lt;=48,"Slow","Very Slow")))</f>
        <v>Normal</v>
      </c>
      <c r="Q2550" s="3">
        <f>YEAR(Ticket_Table[[#This Row],[raised_date]])</f>
        <v>2022</v>
      </c>
    </row>
    <row r="2551" spans="1:17">
      <c r="A2551" t="s">
        <v>3112</v>
      </c>
      <c r="B2551" t="s">
        <v>54</v>
      </c>
      <c r="C2551" t="s">
        <v>82</v>
      </c>
      <c r="D2551" t="s">
        <v>90</v>
      </c>
      <c r="E2551" t="s">
        <v>37</v>
      </c>
      <c r="F2551" t="s">
        <v>22</v>
      </c>
      <c r="G2551" t="s">
        <v>91</v>
      </c>
      <c r="H2551" s="1">
        <v>44833</v>
      </c>
      <c r="I2551" s="2">
        <v>44836.3916666667</v>
      </c>
      <c r="J2551">
        <v>81.4</v>
      </c>
      <c r="K2551" t="s">
        <v>32</v>
      </c>
      <c r="L2551">
        <v>1</v>
      </c>
      <c r="M2551">
        <v>4</v>
      </c>
      <c r="N2551" t="s">
        <v>710</v>
      </c>
      <c r="O2551" s="3" t="str">
        <f>TEXT(Ticket_Table[[#This Row],[raised_date]],"YYYY-MM")</f>
        <v>2022-09</v>
      </c>
      <c r="P2551" s="3" t="str">
        <f>IF(Ticket_Table[[#This Row],[resolution_hrs]]&lt;=4,"Fast",IF(Ticket_Table[[#This Row],[resolution_hrs]]&lt;=24,"Normal",IF(Ticket_Table[[#This Row],[resolution_hrs]]&lt;=48,"Slow","Very Slow")))</f>
        <v>Very Slow</v>
      </c>
      <c r="Q2551" s="3">
        <f>YEAR(Ticket_Table[[#This Row],[raised_date]])</f>
        <v>2022</v>
      </c>
    </row>
    <row r="2552" spans="1:17">
      <c r="A2552" t="s">
        <v>3113</v>
      </c>
      <c r="B2552" t="s">
        <v>275</v>
      </c>
      <c r="C2552" t="s">
        <v>42</v>
      </c>
      <c r="D2552" t="s">
        <v>20</v>
      </c>
      <c r="E2552" t="s">
        <v>56</v>
      </c>
      <c r="F2552" t="s">
        <v>38</v>
      </c>
      <c r="G2552" t="s">
        <v>23</v>
      </c>
      <c r="H2552" s="1">
        <v>44771</v>
      </c>
      <c r="I2552" s="2">
        <v>44771.0541666667</v>
      </c>
      <c r="J2552">
        <v>1.3</v>
      </c>
      <c r="K2552" t="s">
        <v>24</v>
      </c>
      <c r="L2552">
        <v>0</v>
      </c>
      <c r="M2552">
        <v>4</v>
      </c>
      <c r="N2552" t="s">
        <v>220</v>
      </c>
      <c r="O2552" s="3" t="str">
        <f>TEXT(Ticket_Table[[#This Row],[raised_date]],"YYYY-MM")</f>
        <v>2022-07</v>
      </c>
      <c r="P2552" s="3" t="str">
        <f>IF(Ticket_Table[[#This Row],[resolution_hrs]]&lt;=4,"Fast",IF(Ticket_Table[[#This Row],[resolution_hrs]]&lt;=24,"Normal",IF(Ticket_Table[[#This Row],[resolution_hrs]]&lt;=48,"Slow","Very Slow")))</f>
        <v>Fast</v>
      </c>
      <c r="Q2552" s="3">
        <f>YEAR(Ticket_Table[[#This Row],[raised_date]])</f>
        <v>2022</v>
      </c>
    </row>
    <row r="2553" spans="1:17">
      <c r="A2553" t="s">
        <v>3114</v>
      </c>
      <c r="B2553" t="s">
        <v>970</v>
      </c>
      <c r="C2553" t="s">
        <v>102</v>
      </c>
      <c r="D2553" t="s">
        <v>43</v>
      </c>
      <c r="E2553" t="s">
        <v>37</v>
      </c>
      <c r="F2553" t="s">
        <v>22</v>
      </c>
      <c r="G2553" t="s">
        <v>31</v>
      </c>
      <c r="H2553" s="1">
        <v>45203</v>
      </c>
      <c r="I2553" s="2">
        <v>45205.6375</v>
      </c>
      <c r="J2553">
        <v>63.3</v>
      </c>
      <c r="K2553" t="s">
        <v>24</v>
      </c>
      <c r="L2553">
        <v>0</v>
      </c>
      <c r="M2553">
        <v>5</v>
      </c>
      <c r="N2553" t="s">
        <v>1760</v>
      </c>
      <c r="O2553" s="3" t="str">
        <f>TEXT(Ticket_Table[[#This Row],[raised_date]],"YYYY-MM")</f>
        <v>2023-10</v>
      </c>
      <c r="P2553" s="3" t="str">
        <f>IF(Ticket_Table[[#This Row],[resolution_hrs]]&lt;=4,"Fast",IF(Ticket_Table[[#This Row],[resolution_hrs]]&lt;=24,"Normal",IF(Ticket_Table[[#This Row],[resolution_hrs]]&lt;=48,"Slow","Very Slow")))</f>
        <v>Very Slow</v>
      </c>
      <c r="Q2553" s="3">
        <f>YEAR(Ticket_Table[[#This Row],[raised_date]])</f>
        <v>2023</v>
      </c>
    </row>
    <row r="2554" spans="1:17">
      <c r="A2554" t="s">
        <v>3115</v>
      </c>
      <c r="B2554" t="s">
        <v>1143</v>
      </c>
      <c r="C2554" t="s">
        <v>68</v>
      </c>
      <c r="D2554" t="s">
        <v>36</v>
      </c>
      <c r="E2554" t="s">
        <v>83</v>
      </c>
      <c r="F2554" t="s">
        <v>22</v>
      </c>
      <c r="G2554" t="s">
        <v>74</v>
      </c>
      <c r="H2554" s="1">
        <v>44398</v>
      </c>
      <c r="I2554" s="2">
        <v>44402.4458333333</v>
      </c>
      <c r="J2554">
        <v>106.7</v>
      </c>
      <c r="K2554" t="s">
        <v>32</v>
      </c>
      <c r="L2554">
        <v>2</v>
      </c>
      <c r="M2554">
        <v>4</v>
      </c>
      <c r="N2554" t="s">
        <v>592</v>
      </c>
      <c r="O2554" s="3" t="str">
        <f>TEXT(Ticket_Table[[#This Row],[raised_date]],"YYYY-MM")</f>
        <v>2021-07</v>
      </c>
      <c r="P2554" s="3" t="str">
        <f>IF(Ticket_Table[[#This Row],[resolution_hrs]]&lt;=4,"Fast",IF(Ticket_Table[[#This Row],[resolution_hrs]]&lt;=24,"Normal",IF(Ticket_Table[[#This Row],[resolution_hrs]]&lt;=48,"Slow","Very Slow")))</f>
        <v>Very Slow</v>
      </c>
      <c r="Q2554" s="3">
        <f>YEAR(Ticket_Table[[#This Row],[raised_date]])</f>
        <v>2021</v>
      </c>
    </row>
    <row r="2555" spans="1:17">
      <c r="A2555" t="s">
        <v>3116</v>
      </c>
      <c r="B2555" t="s">
        <v>420</v>
      </c>
      <c r="C2555" t="s">
        <v>95</v>
      </c>
      <c r="D2555" t="s">
        <v>43</v>
      </c>
      <c r="E2555" t="s">
        <v>37</v>
      </c>
      <c r="F2555" t="s">
        <v>70</v>
      </c>
      <c r="G2555" t="s">
        <v>74</v>
      </c>
      <c r="H2555" s="1">
        <v>44663</v>
      </c>
      <c r="I2555" s="2">
        <v>44663.3291666667</v>
      </c>
      <c r="J2555">
        <v>7.9</v>
      </c>
      <c r="K2555" t="s">
        <v>24</v>
      </c>
      <c r="L2555">
        <v>0</v>
      </c>
      <c r="M2555">
        <v>5</v>
      </c>
      <c r="N2555" t="s">
        <v>2654</v>
      </c>
      <c r="O2555" s="3" t="str">
        <f>TEXT(Ticket_Table[[#This Row],[raised_date]],"YYYY-MM")</f>
        <v>2022-04</v>
      </c>
      <c r="P2555" s="3" t="str">
        <f>IF(Ticket_Table[[#This Row],[resolution_hrs]]&lt;=4,"Fast",IF(Ticket_Table[[#This Row],[resolution_hrs]]&lt;=24,"Normal",IF(Ticket_Table[[#This Row],[resolution_hrs]]&lt;=48,"Slow","Very Slow")))</f>
        <v>Normal</v>
      </c>
      <c r="Q2555" s="3">
        <f>YEAR(Ticket_Table[[#This Row],[raised_date]])</f>
        <v>2022</v>
      </c>
    </row>
    <row r="2556" spans="1:17">
      <c r="A2556" t="s">
        <v>3117</v>
      </c>
      <c r="B2556" t="s">
        <v>876</v>
      </c>
      <c r="C2556" t="s">
        <v>175</v>
      </c>
      <c r="D2556" t="s">
        <v>29</v>
      </c>
      <c r="E2556" t="s">
        <v>56</v>
      </c>
      <c r="F2556" t="s">
        <v>22</v>
      </c>
      <c r="G2556" t="s">
        <v>46</v>
      </c>
      <c r="H2556" s="1">
        <v>44472</v>
      </c>
      <c r="I2556" s="2">
        <v>44474.3708333333</v>
      </c>
      <c r="J2556">
        <v>56.9</v>
      </c>
      <c r="K2556" t="s">
        <v>24</v>
      </c>
      <c r="L2556">
        <v>0</v>
      </c>
      <c r="M2556">
        <v>4</v>
      </c>
      <c r="N2556" t="s">
        <v>914</v>
      </c>
      <c r="O2556" s="3" t="str">
        <f>TEXT(Ticket_Table[[#This Row],[raised_date]],"YYYY-MM")</f>
        <v>2021-10</v>
      </c>
      <c r="P2556" s="3" t="str">
        <f>IF(Ticket_Table[[#This Row],[resolution_hrs]]&lt;=4,"Fast",IF(Ticket_Table[[#This Row],[resolution_hrs]]&lt;=24,"Normal",IF(Ticket_Table[[#This Row],[resolution_hrs]]&lt;=48,"Slow","Very Slow")))</f>
        <v>Very Slow</v>
      </c>
      <c r="Q2556" s="3">
        <f>YEAR(Ticket_Table[[#This Row],[raised_date]])</f>
        <v>2021</v>
      </c>
    </row>
    <row r="2557" spans="1:17">
      <c r="A2557" t="s">
        <v>3118</v>
      </c>
      <c r="B2557" t="s">
        <v>220</v>
      </c>
      <c r="C2557" t="s">
        <v>140</v>
      </c>
      <c r="D2557" t="s">
        <v>43</v>
      </c>
      <c r="E2557" t="s">
        <v>51</v>
      </c>
      <c r="F2557" t="s">
        <v>22</v>
      </c>
      <c r="G2557" t="s">
        <v>23</v>
      </c>
      <c r="H2557" s="1">
        <v>44812</v>
      </c>
      <c r="I2557" s="2">
        <v>44812.075</v>
      </c>
      <c r="J2557">
        <v>1.8</v>
      </c>
      <c r="K2557" t="s">
        <v>24</v>
      </c>
      <c r="L2557">
        <v>0</v>
      </c>
      <c r="M2557">
        <v>4</v>
      </c>
      <c r="N2557" t="s">
        <v>1291</v>
      </c>
      <c r="O2557" s="3" t="str">
        <f>TEXT(Ticket_Table[[#This Row],[raised_date]],"YYYY-MM")</f>
        <v>2022-09</v>
      </c>
      <c r="P2557" s="3" t="str">
        <f>IF(Ticket_Table[[#This Row],[resolution_hrs]]&lt;=4,"Fast",IF(Ticket_Table[[#This Row],[resolution_hrs]]&lt;=24,"Normal",IF(Ticket_Table[[#This Row],[resolution_hrs]]&lt;=48,"Slow","Very Slow")))</f>
        <v>Fast</v>
      </c>
      <c r="Q2557" s="3">
        <f>YEAR(Ticket_Table[[#This Row],[raised_date]])</f>
        <v>2022</v>
      </c>
    </row>
    <row r="2558" spans="1:17">
      <c r="A2558" t="s">
        <v>3119</v>
      </c>
      <c r="B2558" t="s">
        <v>462</v>
      </c>
      <c r="C2558" t="s">
        <v>68</v>
      </c>
      <c r="D2558" t="s">
        <v>36</v>
      </c>
      <c r="E2558" t="s">
        <v>106</v>
      </c>
      <c r="F2558" t="s">
        <v>38</v>
      </c>
      <c r="G2558" t="s">
        <v>46</v>
      </c>
      <c r="H2558" s="1">
        <v>45104</v>
      </c>
      <c r="I2558" s="2">
        <v>45104.9208333333</v>
      </c>
      <c r="J2558">
        <v>22.1</v>
      </c>
      <c r="K2558" t="s">
        <v>24</v>
      </c>
      <c r="L2558">
        <v>0</v>
      </c>
      <c r="M2558">
        <v>5</v>
      </c>
      <c r="N2558" t="s">
        <v>597</v>
      </c>
      <c r="O2558" s="3" t="str">
        <f>TEXT(Ticket_Table[[#This Row],[raised_date]],"YYYY-MM")</f>
        <v>2023-06</v>
      </c>
      <c r="P2558" s="3" t="str">
        <f>IF(Ticket_Table[[#This Row],[resolution_hrs]]&lt;=4,"Fast",IF(Ticket_Table[[#This Row],[resolution_hrs]]&lt;=24,"Normal",IF(Ticket_Table[[#This Row],[resolution_hrs]]&lt;=48,"Slow","Very Slow")))</f>
        <v>Normal</v>
      </c>
      <c r="Q2558" s="3">
        <f>YEAR(Ticket_Table[[#This Row],[raised_date]])</f>
        <v>2023</v>
      </c>
    </row>
    <row r="2559" spans="1:17">
      <c r="A2559" t="s">
        <v>3120</v>
      </c>
      <c r="B2559" t="s">
        <v>630</v>
      </c>
      <c r="C2559" t="s">
        <v>68</v>
      </c>
      <c r="D2559" t="s">
        <v>20</v>
      </c>
      <c r="E2559" t="s">
        <v>51</v>
      </c>
      <c r="F2559" t="s">
        <v>38</v>
      </c>
      <c r="G2559" t="s">
        <v>23</v>
      </c>
      <c r="H2559" s="1">
        <v>44854</v>
      </c>
      <c r="I2559" s="2">
        <v>44855.4791666667</v>
      </c>
      <c r="J2559">
        <v>35.5</v>
      </c>
      <c r="K2559" t="s">
        <v>32</v>
      </c>
      <c r="L2559">
        <v>1</v>
      </c>
      <c r="M2559">
        <v>3</v>
      </c>
      <c r="N2559" t="s">
        <v>929</v>
      </c>
      <c r="O2559" s="3" t="str">
        <f>TEXT(Ticket_Table[[#This Row],[raised_date]],"YYYY-MM")</f>
        <v>2022-10</v>
      </c>
      <c r="P2559" s="3" t="str">
        <f>IF(Ticket_Table[[#This Row],[resolution_hrs]]&lt;=4,"Fast",IF(Ticket_Table[[#This Row],[resolution_hrs]]&lt;=24,"Normal",IF(Ticket_Table[[#This Row],[resolution_hrs]]&lt;=48,"Slow","Very Slow")))</f>
        <v>Slow</v>
      </c>
      <c r="Q2559" s="3">
        <f>YEAR(Ticket_Table[[#This Row],[raised_date]])</f>
        <v>2022</v>
      </c>
    </row>
    <row r="2560" spans="1:17">
      <c r="A2560" t="s">
        <v>3121</v>
      </c>
      <c r="B2560" t="s">
        <v>532</v>
      </c>
      <c r="C2560" t="s">
        <v>82</v>
      </c>
      <c r="D2560" t="s">
        <v>36</v>
      </c>
      <c r="E2560" t="s">
        <v>51</v>
      </c>
      <c r="F2560" t="s">
        <v>45</v>
      </c>
      <c r="G2560" t="s">
        <v>23</v>
      </c>
      <c r="H2560" s="1">
        <v>44748</v>
      </c>
      <c r="I2560" s="2">
        <v>44748.2</v>
      </c>
      <c r="J2560">
        <v>4.8</v>
      </c>
      <c r="K2560" t="s">
        <v>32</v>
      </c>
      <c r="L2560">
        <v>0</v>
      </c>
      <c r="M2560">
        <v>5</v>
      </c>
      <c r="N2560" t="s">
        <v>716</v>
      </c>
      <c r="O2560" s="3" t="str">
        <f>TEXT(Ticket_Table[[#This Row],[raised_date]],"YYYY-MM")</f>
        <v>2022-07</v>
      </c>
      <c r="P2560" s="3" t="str">
        <f>IF(Ticket_Table[[#This Row],[resolution_hrs]]&lt;=4,"Fast",IF(Ticket_Table[[#This Row],[resolution_hrs]]&lt;=24,"Normal",IF(Ticket_Table[[#This Row],[resolution_hrs]]&lt;=48,"Slow","Very Slow")))</f>
        <v>Normal</v>
      </c>
      <c r="Q2560" s="3">
        <f>YEAR(Ticket_Table[[#This Row],[raised_date]])</f>
        <v>2022</v>
      </c>
    </row>
    <row r="2561" spans="1:17">
      <c r="A2561" t="s">
        <v>3122</v>
      </c>
      <c r="B2561" t="s">
        <v>1006</v>
      </c>
      <c r="C2561" t="s">
        <v>261</v>
      </c>
      <c r="D2561" t="s">
        <v>43</v>
      </c>
      <c r="E2561" t="s">
        <v>56</v>
      </c>
      <c r="F2561" t="s">
        <v>38</v>
      </c>
      <c r="G2561" t="s">
        <v>74</v>
      </c>
      <c r="H2561" s="1">
        <v>45050</v>
      </c>
      <c r="I2561" s="2">
        <v>45051.4</v>
      </c>
      <c r="J2561">
        <v>33.6</v>
      </c>
      <c r="K2561" t="s">
        <v>32</v>
      </c>
      <c r="L2561">
        <v>1</v>
      </c>
      <c r="M2561">
        <v>3</v>
      </c>
      <c r="N2561" t="s">
        <v>61</v>
      </c>
      <c r="O2561" s="3" t="str">
        <f>TEXT(Ticket_Table[[#This Row],[raised_date]],"YYYY-MM")</f>
        <v>2023-05</v>
      </c>
      <c r="P2561" s="3" t="str">
        <f>IF(Ticket_Table[[#This Row],[resolution_hrs]]&lt;=4,"Fast",IF(Ticket_Table[[#This Row],[resolution_hrs]]&lt;=24,"Normal",IF(Ticket_Table[[#This Row],[resolution_hrs]]&lt;=48,"Slow","Very Slow")))</f>
        <v>Slow</v>
      </c>
      <c r="Q2561" s="3">
        <f>YEAR(Ticket_Table[[#This Row],[raised_date]])</f>
        <v>2023</v>
      </c>
    </row>
    <row r="2562" spans="1:17">
      <c r="A2562" t="s">
        <v>3123</v>
      </c>
      <c r="B2562" t="s">
        <v>735</v>
      </c>
      <c r="C2562" t="s">
        <v>78</v>
      </c>
      <c r="D2562" t="s">
        <v>36</v>
      </c>
      <c r="E2562" t="s">
        <v>69</v>
      </c>
      <c r="F2562" t="s">
        <v>38</v>
      </c>
      <c r="G2562" t="s">
        <v>46</v>
      </c>
      <c r="H2562" s="1">
        <v>44379</v>
      </c>
      <c r="I2562" s="2">
        <v>44379.7333333333</v>
      </c>
      <c r="J2562">
        <v>17.6</v>
      </c>
      <c r="K2562" t="s">
        <v>24</v>
      </c>
      <c r="L2562">
        <v>1</v>
      </c>
      <c r="M2562">
        <v>5</v>
      </c>
      <c r="N2562" t="s">
        <v>161</v>
      </c>
      <c r="O2562" s="3" t="str">
        <f>TEXT(Ticket_Table[[#This Row],[raised_date]],"YYYY-MM")</f>
        <v>2021-07</v>
      </c>
      <c r="P2562" s="3" t="str">
        <f>IF(Ticket_Table[[#This Row],[resolution_hrs]]&lt;=4,"Fast",IF(Ticket_Table[[#This Row],[resolution_hrs]]&lt;=24,"Normal",IF(Ticket_Table[[#This Row],[resolution_hrs]]&lt;=48,"Slow","Very Slow")))</f>
        <v>Normal</v>
      </c>
      <c r="Q2562" s="3">
        <f>YEAR(Ticket_Table[[#This Row],[raised_date]])</f>
        <v>2021</v>
      </c>
    </row>
    <row r="2563" spans="1:17">
      <c r="A2563" t="s">
        <v>3124</v>
      </c>
      <c r="B2563" t="s">
        <v>372</v>
      </c>
      <c r="C2563" t="s">
        <v>50</v>
      </c>
      <c r="D2563" t="s">
        <v>43</v>
      </c>
      <c r="E2563" t="s">
        <v>44</v>
      </c>
      <c r="F2563" t="s">
        <v>22</v>
      </c>
      <c r="G2563" t="s">
        <v>23</v>
      </c>
      <c r="H2563" s="1">
        <v>44581</v>
      </c>
      <c r="I2563" s="2">
        <v>44582.5458333333</v>
      </c>
      <c r="J2563">
        <v>37.1</v>
      </c>
      <c r="K2563" t="s">
        <v>24</v>
      </c>
      <c r="L2563">
        <v>0</v>
      </c>
      <c r="M2563">
        <v>4</v>
      </c>
      <c r="N2563" t="s">
        <v>57</v>
      </c>
      <c r="O2563" s="3" t="str">
        <f>TEXT(Ticket_Table[[#This Row],[raised_date]],"YYYY-MM")</f>
        <v>2022-01</v>
      </c>
      <c r="P2563" s="3" t="str">
        <f>IF(Ticket_Table[[#This Row],[resolution_hrs]]&lt;=4,"Fast",IF(Ticket_Table[[#This Row],[resolution_hrs]]&lt;=24,"Normal",IF(Ticket_Table[[#This Row],[resolution_hrs]]&lt;=48,"Slow","Very Slow")))</f>
        <v>Slow</v>
      </c>
      <c r="Q2563" s="3">
        <f>YEAR(Ticket_Table[[#This Row],[raised_date]])</f>
        <v>2022</v>
      </c>
    </row>
    <row r="2564" spans="1:17">
      <c r="A2564" t="s">
        <v>3125</v>
      </c>
      <c r="B2564" t="s">
        <v>489</v>
      </c>
      <c r="C2564" t="s">
        <v>50</v>
      </c>
      <c r="D2564" t="s">
        <v>20</v>
      </c>
      <c r="E2564" t="s">
        <v>56</v>
      </c>
      <c r="F2564" t="s">
        <v>38</v>
      </c>
      <c r="G2564" t="s">
        <v>74</v>
      </c>
      <c r="H2564" s="1">
        <v>45101</v>
      </c>
      <c r="I2564" s="2">
        <v>45101.6666666667</v>
      </c>
      <c r="J2564">
        <v>16</v>
      </c>
      <c r="K2564" t="s">
        <v>24</v>
      </c>
      <c r="L2564">
        <v>0</v>
      </c>
      <c r="M2564">
        <v>5</v>
      </c>
      <c r="N2564" t="s">
        <v>817</v>
      </c>
      <c r="O2564" s="3" t="str">
        <f>TEXT(Ticket_Table[[#This Row],[raised_date]],"YYYY-MM")</f>
        <v>2023-06</v>
      </c>
      <c r="P2564" s="3" t="str">
        <f>IF(Ticket_Table[[#This Row],[resolution_hrs]]&lt;=4,"Fast",IF(Ticket_Table[[#This Row],[resolution_hrs]]&lt;=24,"Normal",IF(Ticket_Table[[#This Row],[resolution_hrs]]&lt;=48,"Slow","Very Slow")))</f>
        <v>Normal</v>
      </c>
      <c r="Q2564" s="3">
        <f>YEAR(Ticket_Table[[#This Row],[raised_date]])</f>
        <v>2023</v>
      </c>
    </row>
    <row r="2565" spans="1:17">
      <c r="A2565" t="s">
        <v>3126</v>
      </c>
      <c r="B2565" t="s">
        <v>1833</v>
      </c>
      <c r="C2565" t="s">
        <v>213</v>
      </c>
      <c r="D2565" t="s">
        <v>20</v>
      </c>
      <c r="E2565" t="s">
        <v>51</v>
      </c>
      <c r="F2565" t="s">
        <v>38</v>
      </c>
      <c r="G2565" t="s">
        <v>46</v>
      </c>
      <c r="H2565" s="1">
        <v>44629</v>
      </c>
      <c r="I2565" s="2">
        <v>44629.5833333333</v>
      </c>
      <c r="J2565">
        <v>14</v>
      </c>
      <c r="K2565" t="s">
        <v>24</v>
      </c>
      <c r="L2565">
        <v>3</v>
      </c>
      <c r="M2565">
        <v>5</v>
      </c>
      <c r="N2565" t="s">
        <v>33</v>
      </c>
      <c r="O2565" s="3" t="str">
        <f>TEXT(Ticket_Table[[#This Row],[raised_date]],"YYYY-MM")</f>
        <v>2022-03</v>
      </c>
      <c r="P2565" s="3" t="str">
        <f>IF(Ticket_Table[[#This Row],[resolution_hrs]]&lt;=4,"Fast",IF(Ticket_Table[[#This Row],[resolution_hrs]]&lt;=24,"Normal",IF(Ticket_Table[[#This Row],[resolution_hrs]]&lt;=48,"Slow","Very Slow")))</f>
        <v>Normal</v>
      </c>
      <c r="Q2565" s="3">
        <f>YEAR(Ticket_Table[[#This Row],[raised_date]])</f>
        <v>2022</v>
      </c>
    </row>
    <row r="2566" spans="1:17">
      <c r="A2566" t="s">
        <v>3127</v>
      </c>
      <c r="B2566" t="s">
        <v>135</v>
      </c>
      <c r="C2566" t="s">
        <v>102</v>
      </c>
      <c r="D2566" t="s">
        <v>29</v>
      </c>
      <c r="E2566" t="s">
        <v>37</v>
      </c>
      <c r="F2566" t="s">
        <v>38</v>
      </c>
      <c r="G2566" t="s">
        <v>46</v>
      </c>
      <c r="H2566" s="1">
        <v>45030</v>
      </c>
      <c r="I2566" s="2">
        <v>45031.3416666667</v>
      </c>
      <c r="J2566">
        <v>32.2</v>
      </c>
      <c r="K2566" t="s">
        <v>32</v>
      </c>
      <c r="L2566">
        <v>2</v>
      </c>
      <c r="M2566">
        <v>4</v>
      </c>
      <c r="N2566" t="s">
        <v>479</v>
      </c>
      <c r="O2566" s="3" t="str">
        <f>TEXT(Ticket_Table[[#This Row],[raised_date]],"YYYY-MM")</f>
        <v>2023-04</v>
      </c>
      <c r="P2566" s="3" t="str">
        <f>IF(Ticket_Table[[#This Row],[resolution_hrs]]&lt;=4,"Fast",IF(Ticket_Table[[#This Row],[resolution_hrs]]&lt;=24,"Normal",IF(Ticket_Table[[#This Row],[resolution_hrs]]&lt;=48,"Slow","Very Slow")))</f>
        <v>Slow</v>
      </c>
      <c r="Q2566" s="3">
        <f>YEAR(Ticket_Table[[#This Row],[raised_date]])</f>
        <v>2023</v>
      </c>
    </row>
    <row r="2567" spans="1:17">
      <c r="A2567" t="s">
        <v>3128</v>
      </c>
      <c r="B2567" t="s">
        <v>204</v>
      </c>
      <c r="C2567" t="s">
        <v>55</v>
      </c>
      <c r="D2567" t="s">
        <v>20</v>
      </c>
      <c r="E2567" t="s">
        <v>44</v>
      </c>
      <c r="F2567" t="s">
        <v>70</v>
      </c>
      <c r="G2567" t="s">
        <v>23</v>
      </c>
      <c r="H2567" s="1">
        <v>45189</v>
      </c>
      <c r="I2567" s="2">
        <v>45192</v>
      </c>
      <c r="J2567">
        <v>72</v>
      </c>
      <c r="K2567" t="s">
        <v>32</v>
      </c>
      <c r="L2567">
        <v>0</v>
      </c>
      <c r="M2567">
        <v>4</v>
      </c>
      <c r="N2567" t="s">
        <v>1243</v>
      </c>
      <c r="O2567" s="3" t="str">
        <f>TEXT(Ticket_Table[[#This Row],[raised_date]],"YYYY-MM")</f>
        <v>2023-09</v>
      </c>
      <c r="P2567" s="3" t="str">
        <f>IF(Ticket_Table[[#This Row],[resolution_hrs]]&lt;=4,"Fast",IF(Ticket_Table[[#This Row],[resolution_hrs]]&lt;=24,"Normal",IF(Ticket_Table[[#This Row],[resolution_hrs]]&lt;=48,"Slow","Very Slow")))</f>
        <v>Very Slow</v>
      </c>
      <c r="Q2567" s="3">
        <f>YEAR(Ticket_Table[[#This Row],[raised_date]])</f>
        <v>2023</v>
      </c>
    </row>
    <row r="2568" spans="1:17">
      <c r="A2568" t="s">
        <v>3129</v>
      </c>
      <c r="B2568" t="s">
        <v>805</v>
      </c>
      <c r="C2568" t="s">
        <v>50</v>
      </c>
      <c r="D2568" t="s">
        <v>90</v>
      </c>
      <c r="E2568" t="s">
        <v>166</v>
      </c>
      <c r="F2568" t="s">
        <v>22</v>
      </c>
      <c r="G2568" t="s">
        <v>31</v>
      </c>
      <c r="H2568" s="1">
        <v>45254</v>
      </c>
      <c r="I2568" s="2">
        <v>45257.6833333333</v>
      </c>
      <c r="J2568">
        <v>88.4</v>
      </c>
      <c r="K2568" t="s">
        <v>32</v>
      </c>
      <c r="L2568">
        <v>0</v>
      </c>
      <c r="M2568">
        <v>4</v>
      </c>
      <c r="N2568" t="s">
        <v>280</v>
      </c>
      <c r="O2568" s="3" t="str">
        <f>TEXT(Ticket_Table[[#This Row],[raised_date]],"YYYY-MM")</f>
        <v>2023-11</v>
      </c>
      <c r="P2568" s="3" t="str">
        <f>IF(Ticket_Table[[#This Row],[resolution_hrs]]&lt;=4,"Fast",IF(Ticket_Table[[#This Row],[resolution_hrs]]&lt;=24,"Normal",IF(Ticket_Table[[#This Row],[resolution_hrs]]&lt;=48,"Slow","Very Slow")))</f>
        <v>Very Slow</v>
      </c>
      <c r="Q2568" s="3">
        <f>YEAR(Ticket_Table[[#This Row],[raised_date]])</f>
        <v>2023</v>
      </c>
    </row>
    <row r="2569" spans="1:17">
      <c r="A2569" t="s">
        <v>3130</v>
      </c>
      <c r="B2569" t="s">
        <v>302</v>
      </c>
      <c r="C2569" t="s">
        <v>82</v>
      </c>
      <c r="D2569" t="s">
        <v>36</v>
      </c>
      <c r="E2569" t="s">
        <v>21</v>
      </c>
      <c r="F2569" t="s">
        <v>38</v>
      </c>
      <c r="G2569" t="s">
        <v>46</v>
      </c>
      <c r="H2569" s="1">
        <v>44962</v>
      </c>
      <c r="I2569" s="2">
        <v>44963.4125</v>
      </c>
      <c r="J2569">
        <v>33.9</v>
      </c>
      <c r="K2569" t="s">
        <v>32</v>
      </c>
      <c r="L2569">
        <v>0</v>
      </c>
      <c r="M2569">
        <v>3</v>
      </c>
      <c r="N2569" t="s">
        <v>666</v>
      </c>
      <c r="O2569" s="3" t="str">
        <f>TEXT(Ticket_Table[[#This Row],[raised_date]],"YYYY-MM")</f>
        <v>2023-02</v>
      </c>
      <c r="P2569" s="3" t="str">
        <f>IF(Ticket_Table[[#This Row],[resolution_hrs]]&lt;=4,"Fast",IF(Ticket_Table[[#This Row],[resolution_hrs]]&lt;=24,"Normal",IF(Ticket_Table[[#This Row],[resolution_hrs]]&lt;=48,"Slow","Very Slow")))</f>
        <v>Slow</v>
      </c>
      <c r="Q2569" s="3">
        <f>YEAR(Ticket_Table[[#This Row],[raised_date]])</f>
        <v>2023</v>
      </c>
    </row>
    <row r="2570" spans="1:17">
      <c r="A2570" t="s">
        <v>3131</v>
      </c>
      <c r="B2570" t="s">
        <v>696</v>
      </c>
      <c r="C2570" t="s">
        <v>28</v>
      </c>
      <c r="D2570" t="s">
        <v>36</v>
      </c>
      <c r="E2570" t="s">
        <v>166</v>
      </c>
      <c r="F2570" t="s">
        <v>38</v>
      </c>
      <c r="G2570" t="s">
        <v>31</v>
      </c>
      <c r="H2570" s="1">
        <v>44312</v>
      </c>
      <c r="I2570" s="2">
        <v>44313.0125</v>
      </c>
      <c r="J2570">
        <v>24.3</v>
      </c>
      <c r="K2570" t="s">
        <v>32</v>
      </c>
      <c r="L2570">
        <v>0</v>
      </c>
      <c r="M2570">
        <v>1</v>
      </c>
      <c r="N2570" t="s">
        <v>47</v>
      </c>
      <c r="O2570" s="3" t="str">
        <f>TEXT(Ticket_Table[[#This Row],[raised_date]],"YYYY-MM")</f>
        <v>2021-04</v>
      </c>
      <c r="P2570" s="3" t="str">
        <f>IF(Ticket_Table[[#This Row],[resolution_hrs]]&lt;=4,"Fast",IF(Ticket_Table[[#This Row],[resolution_hrs]]&lt;=24,"Normal",IF(Ticket_Table[[#This Row],[resolution_hrs]]&lt;=48,"Slow","Very Slow")))</f>
        <v>Slow</v>
      </c>
      <c r="Q2570" s="3">
        <f>YEAR(Ticket_Table[[#This Row],[raised_date]])</f>
        <v>2021</v>
      </c>
    </row>
    <row r="2571" spans="1:17">
      <c r="A2571" t="s">
        <v>3132</v>
      </c>
      <c r="B2571" t="s">
        <v>96</v>
      </c>
      <c r="C2571" t="s">
        <v>213</v>
      </c>
      <c r="D2571" t="s">
        <v>43</v>
      </c>
      <c r="E2571" t="s">
        <v>83</v>
      </c>
      <c r="F2571" t="s">
        <v>45</v>
      </c>
      <c r="G2571" t="s">
        <v>31</v>
      </c>
      <c r="H2571" s="1">
        <v>45252</v>
      </c>
      <c r="I2571" s="2">
        <v>45252.1208333333</v>
      </c>
      <c r="J2571">
        <v>2.9</v>
      </c>
      <c r="K2571" t="s">
        <v>24</v>
      </c>
      <c r="L2571">
        <v>1</v>
      </c>
      <c r="M2571">
        <v>4</v>
      </c>
      <c r="N2571" t="s">
        <v>35</v>
      </c>
      <c r="O2571" s="3" t="str">
        <f>TEXT(Ticket_Table[[#This Row],[raised_date]],"YYYY-MM")</f>
        <v>2023-11</v>
      </c>
      <c r="P2571" s="3" t="str">
        <f>IF(Ticket_Table[[#This Row],[resolution_hrs]]&lt;=4,"Fast",IF(Ticket_Table[[#This Row],[resolution_hrs]]&lt;=24,"Normal",IF(Ticket_Table[[#This Row],[resolution_hrs]]&lt;=48,"Slow","Very Slow")))</f>
        <v>Fast</v>
      </c>
      <c r="Q2571" s="3">
        <f>YEAR(Ticket_Table[[#This Row],[raised_date]])</f>
        <v>2023</v>
      </c>
    </row>
    <row r="2572" spans="1:17">
      <c r="A2572" t="s">
        <v>3133</v>
      </c>
      <c r="B2572" t="s">
        <v>84</v>
      </c>
      <c r="C2572" t="s">
        <v>213</v>
      </c>
      <c r="D2572" t="s">
        <v>20</v>
      </c>
      <c r="E2572" t="s">
        <v>51</v>
      </c>
      <c r="F2572" t="s">
        <v>22</v>
      </c>
      <c r="G2572" t="s">
        <v>31</v>
      </c>
      <c r="H2572" s="1">
        <v>44522</v>
      </c>
      <c r="I2572" s="2">
        <v>44522.2958333333</v>
      </c>
      <c r="J2572">
        <v>7.1</v>
      </c>
      <c r="K2572" t="s">
        <v>24</v>
      </c>
      <c r="L2572">
        <v>0</v>
      </c>
      <c r="M2572">
        <v>4</v>
      </c>
      <c r="N2572" t="s">
        <v>428</v>
      </c>
      <c r="O2572" s="3" t="str">
        <f>TEXT(Ticket_Table[[#This Row],[raised_date]],"YYYY-MM")</f>
        <v>2021-11</v>
      </c>
      <c r="P2572" s="3" t="str">
        <f>IF(Ticket_Table[[#This Row],[resolution_hrs]]&lt;=4,"Fast",IF(Ticket_Table[[#This Row],[resolution_hrs]]&lt;=24,"Normal",IF(Ticket_Table[[#This Row],[resolution_hrs]]&lt;=48,"Slow","Very Slow")))</f>
        <v>Normal</v>
      </c>
      <c r="Q2572" s="3">
        <f>YEAR(Ticket_Table[[#This Row],[raised_date]])</f>
        <v>2021</v>
      </c>
    </row>
    <row r="2573" spans="1:17">
      <c r="A2573" t="s">
        <v>3134</v>
      </c>
      <c r="B2573" t="s">
        <v>988</v>
      </c>
      <c r="C2573" t="s">
        <v>28</v>
      </c>
      <c r="D2573" t="s">
        <v>29</v>
      </c>
      <c r="E2573" t="s">
        <v>37</v>
      </c>
      <c r="F2573" t="s">
        <v>22</v>
      </c>
      <c r="G2573" t="s">
        <v>74</v>
      </c>
      <c r="H2573" s="1">
        <v>44331</v>
      </c>
      <c r="I2573" s="2">
        <v>44332.6291666667</v>
      </c>
      <c r="J2573">
        <v>39.1</v>
      </c>
      <c r="K2573" t="s">
        <v>24</v>
      </c>
      <c r="L2573">
        <v>0</v>
      </c>
      <c r="M2573">
        <v>3</v>
      </c>
      <c r="N2573" t="s">
        <v>394</v>
      </c>
      <c r="O2573" s="3" t="str">
        <f>TEXT(Ticket_Table[[#This Row],[raised_date]],"YYYY-MM")</f>
        <v>2021-05</v>
      </c>
      <c r="P2573" s="3" t="str">
        <f>IF(Ticket_Table[[#This Row],[resolution_hrs]]&lt;=4,"Fast",IF(Ticket_Table[[#This Row],[resolution_hrs]]&lt;=24,"Normal",IF(Ticket_Table[[#This Row],[resolution_hrs]]&lt;=48,"Slow","Very Slow")))</f>
        <v>Slow</v>
      </c>
      <c r="Q2573" s="3">
        <f>YEAR(Ticket_Table[[#This Row],[raised_date]])</f>
        <v>2021</v>
      </c>
    </row>
    <row r="2574" spans="1:17">
      <c r="A2574" t="s">
        <v>3135</v>
      </c>
      <c r="B2574" t="s">
        <v>273</v>
      </c>
      <c r="C2574" t="s">
        <v>78</v>
      </c>
      <c r="D2574" t="s">
        <v>29</v>
      </c>
      <c r="E2574" t="s">
        <v>69</v>
      </c>
      <c r="F2574" t="s">
        <v>22</v>
      </c>
      <c r="G2574" t="s">
        <v>23</v>
      </c>
      <c r="H2574" s="1">
        <v>44834</v>
      </c>
      <c r="I2574" s="2">
        <v>44835.5125</v>
      </c>
      <c r="J2574">
        <v>36.3</v>
      </c>
      <c r="K2574" t="s">
        <v>24</v>
      </c>
      <c r="L2574">
        <v>1</v>
      </c>
      <c r="M2574">
        <v>3</v>
      </c>
      <c r="N2574" t="s">
        <v>237</v>
      </c>
      <c r="O2574" s="3" t="str">
        <f>TEXT(Ticket_Table[[#This Row],[raised_date]],"YYYY-MM")</f>
        <v>2022-09</v>
      </c>
      <c r="P2574" s="3" t="str">
        <f>IF(Ticket_Table[[#This Row],[resolution_hrs]]&lt;=4,"Fast",IF(Ticket_Table[[#This Row],[resolution_hrs]]&lt;=24,"Normal",IF(Ticket_Table[[#This Row],[resolution_hrs]]&lt;=48,"Slow","Very Slow")))</f>
        <v>Slow</v>
      </c>
      <c r="Q2574" s="3">
        <f>YEAR(Ticket_Table[[#This Row],[raised_date]])</f>
        <v>2022</v>
      </c>
    </row>
    <row r="2575" spans="1:17">
      <c r="A2575" t="s">
        <v>3136</v>
      </c>
      <c r="B2575" t="s">
        <v>18</v>
      </c>
      <c r="C2575" t="s">
        <v>19</v>
      </c>
      <c r="D2575" t="s">
        <v>29</v>
      </c>
      <c r="E2575" t="s">
        <v>106</v>
      </c>
      <c r="F2575" t="s">
        <v>38</v>
      </c>
      <c r="G2575" t="s">
        <v>31</v>
      </c>
      <c r="H2575" s="1">
        <v>45234</v>
      </c>
      <c r="I2575" s="2">
        <v>45234.1875</v>
      </c>
      <c r="J2575">
        <v>4.5</v>
      </c>
      <c r="K2575" t="s">
        <v>24</v>
      </c>
      <c r="L2575">
        <v>2</v>
      </c>
      <c r="M2575">
        <v>2</v>
      </c>
      <c r="N2575" t="s">
        <v>1051</v>
      </c>
      <c r="O2575" s="3" t="str">
        <f>TEXT(Ticket_Table[[#This Row],[raised_date]],"YYYY-MM")</f>
        <v>2023-11</v>
      </c>
      <c r="P2575" s="3" t="str">
        <f>IF(Ticket_Table[[#This Row],[resolution_hrs]]&lt;=4,"Fast",IF(Ticket_Table[[#This Row],[resolution_hrs]]&lt;=24,"Normal",IF(Ticket_Table[[#This Row],[resolution_hrs]]&lt;=48,"Slow","Very Slow")))</f>
        <v>Normal</v>
      </c>
      <c r="Q2575" s="3">
        <f>YEAR(Ticket_Table[[#This Row],[raised_date]])</f>
        <v>2023</v>
      </c>
    </row>
    <row r="2576" spans="1:17">
      <c r="A2576" t="s">
        <v>3137</v>
      </c>
      <c r="B2576" t="s">
        <v>238</v>
      </c>
      <c r="C2576" t="s">
        <v>68</v>
      </c>
      <c r="D2576" t="s">
        <v>90</v>
      </c>
      <c r="E2576" t="s">
        <v>106</v>
      </c>
      <c r="F2576" t="s">
        <v>22</v>
      </c>
      <c r="G2576" t="s">
        <v>91</v>
      </c>
      <c r="H2576" s="1">
        <v>45023</v>
      </c>
      <c r="I2576" s="2">
        <v>45025.0791666667</v>
      </c>
      <c r="J2576">
        <v>49.9</v>
      </c>
      <c r="K2576" t="s">
        <v>24</v>
      </c>
      <c r="L2576">
        <v>2</v>
      </c>
      <c r="M2576">
        <v>3</v>
      </c>
      <c r="N2576" t="s">
        <v>476</v>
      </c>
      <c r="O2576" s="3" t="str">
        <f>TEXT(Ticket_Table[[#This Row],[raised_date]],"YYYY-MM")</f>
        <v>2023-04</v>
      </c>
      <c r="P2576" s="3" t="str">
        <f>IF(Ticket_Table[[#This Row],[resolution_hrs]]&lt;=4,"Fast",IF(Ticket_Table[[#This Row],[resolution_hrs]]&lt;=24,"Normal",IF(Ticket_Table[[#This Row],[resolution_hrs]]&lt;=48,"Slow","Very Slow")))</f>
        <v>Very Slow</v>
      </c>
      <c r="Q2576" s="3">
        <f>YEAR(Ticket_Table[[#This Row],[raised_date]])</f>
        <v>2023</v>
      </c>
    </row>
    <row r="2577" spans="1:17">
      <c r="A2577" t="s">
        <v>3138</v>
      </c>
      <c r="B2577" t="s">
        <v>359</v>
      </c>
      <c r="C2577" t="s">
        <v>102</v>
      </c>
      <c r="D2577" t="s">
        <v>20</v>
      </c>
      <c r="E2577" t="s">
        <v>44</v>
      </c>
      <c r="F2577" t="s">
        <v>22</v>
      </c>
      <c r="G2577" t="s">
        <v>91</v>
      </c>
      <c r="H2577" s="1">
        <v>44474</v>
      </c>
      <c r="I2577" s="2">
        <v>44477.1541666667</v>
      </c>
      <c r="J2577">
        <v>75.7</v>
      </c>
      <c r="K2577" t="s">
        <v>32</v>
      </c>
      <c r="L2577">
        <v>0</v>
      </c>
      <c r="M2577">
        <v>3</v>
      </c>
      <c r="N2577" t="s">
        <v>756</v>
      </c>
      <c r="O2577" s="3" t="str">
        <f>TEXT(Ticket_Table[[#This Row],[raised_date]],"YYYY-MM")</f>
        <v>2021-10</v>
      </c>
      <c r="P2577" s="3" t="str">
        <f>IF(Ticket_Table[[#This Row],[resolution_hrs]]&lt;=4,"Fast",IF(Ticket_Table[[#This Row],[resolution_hrs]]&lt;=24,"Normal",IF(Ticket_Table[[#This Row],[resolution_hrs]]&lt;=48,"Slow","Very Slow")))</f>
        <v>Very Slow</v>
      </c>
      <c r="Q2577" s="3">
        <f>YEAR(Ticket_Table[[#This Row],[raised_date]])</f>
        <v>2021</v>
      </c>
    </row>
    <row r="2578" spans="1:17">
      <c r="A2578" t="s">
        <v>3139</v>
      </c>
      <c r="B2578" t="s">
        <v>449</v>
      </c>
      <c r="C2578" t="s">
        <v>213</v>
      </c>
      <c r="D2578" t="s">
        <v>29</v>
      </c>
      <c r="E2578" t="s">
        <v>69</v>
      </c>
      <c r="F2578" t="s">
        <v>45</v>
      </c>
      <c r="G2578" t="s">
        <v>23</v>
      </c>
      <c r="H2578" s="1">
        <v>45270</v>
      </c>
      <c r="I2578" s="2">
        <v>45270.1916666667</v>
      </c>
      <c r="J2578">
        <v>4.6</v>
      </c>
      <c r="K2578" t="s">
        <v>32</v>
      </c>
      <c r="L2578">
        <v>0</v>
      </c>
      <c r="M2578">
        <v>3</v>
      </c>
      <c r="N2578" t="s">
        <v>110</v>
      </c>
      <c r="O2578" s="3" t="str">
        <f>TEXT(Ticket_Table[[#This Row],[raised_date]],"YYYY-MM")</f>
        <v>2023-12</v>
      </c>
      <c r="P2578" s="3" t="str">
        <f>IF(Ticket_Table[[#This Row],[resolution_hrs]]&lt;=4,"Fast",IF(Ticket_Table[[#This Row],[resolution_hrs]]&lt;=24,"Normal",IF(Ticket_Table[[#This Row],[resolution_hrs]]&lt;=48,"Slow","Very Slow")))</f>
        <v>Normal</v>
      </c>
      <c r="Q2578" s="3">
        <f>YEAR(Ticket_Table[[#This Row],[raised_date]])</f>
        <v>2023</v>
      </c>
    </row>
    <row r="2579" spans="1:17">
      <c r="A2579" t="s">
        <v>3140</v>
      </c>
      <c r="B2579" t="s">
        <v>503</v>
      </c>
      <c r="C2579" t="s">
        <v>50</v>
      </c>
      <c r="D2579" t="s">
        <v>90</v>
      </c>
      <c r="E2579" t="s">
        <v>21</v>
      </c>
      <c r="F2579" t="s">
        <v>22</v>
      </c>
      <c r="G2579" t="s">
        <v>23</v>
      </c>
      <c r="H2579" s="1">
        <v>44256</v>
      </c>
      <c r="I2579" s="2">
        <v>44260</v>
      </c>
      <c r="J2579">
        <v>96</v>
      </c>
      <c r="K2579" t="s">
        <v>32</v>
      </c>
      <c r="L2579">
        <v>0</v>
      </c>
      <c r="M2579">
        <v>3</v>
      </c>
      <c r="N2579" t="s">
        <v>152</v>
      </c>
      <c r="O2579" s="3" t="str">
        <f>TEXT(Ticket_Table[[#This Row],[raised_date]],"YYYY-MM")</f>
        <v>2021-03</v>
      </c>
      <c r="P2579" s="3" t="str">
        <f>IF(Ticket_Table[[#This Row],[resolution_hrs]]&lt;=4,"Fast",IF(Ticket_Table[[#This Row],[resolution_hrs]]&lt;=24,"Normal",IF(Ticket_Table[[#This Row],[resolution_hrs]]&lt;=48,"Slow","Very Slow")))</f>
        <v>Very Slow</v>
      </c>
      <c r="Q2579" s="3">
        <f>YEAR(Ticket_Table[[#This Row],[raised_date]])</f>
        <v>2021</v>
      </c>
    </row>
    <row r="2580" spans="1:17">
      <c r="A2580" t="s">
        <v>3141</v>
      </c>
      <c r="B2580" t="s">
        <v>857</v>
      </c>
      <c r="C2580" t="s">
        <v>82</v>
      </c>
      <c r="D2580" t="s">
        <v>36</v>
      </c>
      <c r="E2580" t="s">
        <v>166</v>
      </c>
      <c r="F2580" t="s">
        <v>38</v>
      </c>
      <c r="G2580" t="s">
        <v>31</v>
      </c>
      <c r="H2580" s="1">
        <v>44552</v>
      </c>
      <c r="I2580" s="2">
        <v>44552.2458333333</v>
      </c>
      <c r="J2580">
        <v>5.9</v>
      </c>
      <c r="K2580" t="s">
        <v>24</v>
      </c>
      <c r="L2580">
        <v>1</v>
      </c>
      <c r="M2580">
        <v>4</v>
      </c>
      <c r="N2580" t="s">
        <v>200</v>
      </c>
      <c r="O2580" s="3" t="str">
        <f>TEXT(Ticket_Table[[#This Row],[raised_date]],"YYYY-MM")</f>
        <v>2021-12</v>
      </c>
      <c r="P2580" s="3" t="str">
        <f>IF(Ticket_Table[[#This Row],[resolution_hrs]]&lt;=4,"Fast",IF(Ticket_Table[[#This Row],[resolution_hrs]]&lt;=24,"Normal",IF(Ticket_Table[[#This Row],[resolution_hrs]]&lt;=48,"Slow","Very Slow")))</f>
        <v>Normal</v>
      </c>
      <c r="Q2580" s="3">
        <f>YEAR(Ticket_Table[[#This Row],[raised_date]])</f>
        <v>2021</v>
      </c>
    </row>
    <row r="2581" spans="1:17">
      <c r="A2581" t="s">
        <v>3142</v>
      </c>
      <c r="B2581" t="s">
        <v>207</v>
      </c>
      <c r="C2581" t="s">
        <v>102</v>
      </c>
      <c r="D2581" t="s">
        <v>43</v>
      </c>
      <c r="E2581" t="s">
        <v>21</v>
      </c>
      <c r="F2581" t="s">
        <v>70</v>
      </c>
      <c r="G2581" t="s">
        <v>31</v>
      </c>
      <c r="H2581" s="1">
        <v>44591</v>
      </c>
      <c r="I2581" s="2">
        <v>44592.8208333333</v>
      </c>
      <c r="J2581">
        <v>43.7</v>
      </c>
      <c r="K2581" t="s">
        <v>24</v>
      </c>
      <c r="L2581">
        <v>2</v>
      </c>
      <c r="M2581">
        <v>3</v>
      </c>
      <c r="N2581" t="s">
        <v>305</v>
      </c>
      <c r="O2581" s="3" t="str">
        <f>TEXT(Ticket_Table[[#This Row],[raised_date]],"YYYY-MM")</f>
        <v>2022-01</v>
      </c>
      <c r="P2581" s="3" t="str">
        <f>IF(Ticket_Table[[#This Row],[resolution_hrs]]&lt;=4,"Fast",IF(Ticket_Table[[#This Row],[resolution_hrs]]&lt;=24,"Normal",IF(Ticket_Table[[#This Row],[resolution_hrs]]&lt;=48,"Slow","Very Slow")))</f>
        <v>Slow</v>
      </c>
      <c r="Q2581" s="3">
        <f>YEAR(Ticket_Table[[#This Row],[raised_date]])</f>
        <v>2022</v>
      </c>
    </row>
    <row r="2582" spans="1:17">
      <c r="A2582" t="s">
        <v>3143</v>
      </c>
      <c r="B2582" t="s">
        <v>880</v>
      </c>
      <c r="C2582" t="s">
        <v>78</v>
      </c>
      <c r="D2582" t="s">
        <v>20</v>
      </c>
      <c r="E2582" t="s">
        <v>30</v>
      </c>
      <c r="F2582" t="s">
        <v>38</v>
      </c>
      <c r="G2582" t="s">
        <v>23</v>
      </c>
      <c r="H2582" s="1">
        <v>44608</v>
      </c>
      <c r="I2582" s="2">
        <v>44609.3083333333</v>
      </c>
      <c r="J2582">
        <v>31.4</v>
      </c>
      <c r="K2582" t="s">
        <v>32</v>
      </c>
      <c r="L2582">
        <v>1</v>
      </c>
      <c r="M2582">
        <v>5</v>
      </c>
      <c r="N2582" t="s">
        <v>658</v>
      </c>
      <c r="O2582" s="3" t="str">
        <f>TEXT(Ticket_Table[[#This Row],[raised_date]],"YYYY-MM")</f>
        <v>2022-02</v>
      </c>
      <c r="P2582" s="3" t="str">
        <f>IF(Ticket_Table[[#This Row],[resolution_hrs]]&lt;=4,"Fast",IF(Ticket_Table[[#This Row],[resolution_hrs]]&lt;=24,"Normal",IF(Ticket_Table[[#This Row],[resolution_hrs]]&lt;=48,"Slow","Very Slow")))</f>
        <v>Slow</v>
      </c>
      <c r="Q2582" s="3">
        <f>YEAR(Ticket_Table[[#This Row],[raised_date]])</f>
        <v>2022</v>
      </c>
    </row>
    <row r="2583" spans="1:17">
      <c r="A2583" t="s">
        <v>3144</v>
      </c>
      <c r="B2583" t="s">
        <v>270</v>
      </c>
      <c r="C2583" t="s">
        <v>42</v>
      </c>
      <c r="D2583" t="s">
        <v>20</v>
      </c>
      <c r="E2583" t="s">
        <v>166</v>
      </c>
      <c r="F2583" t="s">
        <v>70</v>
      </c>
      <c r="G2583" t="s">
        <v>23</v>
      </c>
      <c r="H2583" s="1">
        <v>44315</v>
      </c>
      <c r="I2583" s="2">
        <v>44315.8666666667</v>
      </c>
      <c r="J2583">
        <v>20.8</v>
      </c>
      <c r="K2583" t="s">
        <v>24</v>
      </c>
      <c r="L2583">
        <v>1</v>
      </c>
      <c r="M2583">
        <v>4</v>
      </c>
      <c r="N2583" t="s">
        <v>800</v>
      </c>
      <c r="O2583" s="3" t="str">
        <f>TEXT(Ticket_Table[[#This Row],[raised_date]],"YYYY-MM")</f>
        <v>2021-04</v>
      </c>
      <c r="P2583" s="3" t="str">
        <f>IF(Ticket_Table[[#This Row],[resolution_hrs]]&lt;=4,"Fast",IF(Ticket_Table[[#This Row],[resolution_hrs]]&lt;=24,"Normal",IF(Ticket_Table[[#This Row],[resolution_hrs]]&lt;=48,"Slow","Very Slow")))</f>
        <v>Normal</v>
      </c>
      <c r="Q2583" s="3">
        <f>YEAR(Ticket_Table[[#This Row],[raised_date]])</f>
        <v>2021</v>
      </c>
    </row>
    <row r="2584" spans="1:17">
      <c r="A2584" t="s">
        <v>3145</v>
      </c>
      <c r="B2584" t="s">
        <v>27</v>
      </c>
      <c r="C2584" t="s">
        <v>213</v>
      </c>
      <c r="D2584" t="s">
        <v>36</v>
      </c>
      <c r="E2584" t="s">
        <v>166</v>
      </c>
      <c r="F2584" t="s">
        <v>45</v>
      </c>
      <c r="G2584" t="s">
        <v>46</v>
      </c>
      <c r="H2584" s="1">
        <v>44707</v>
      </c>
      <c r="I2584" s="2">
        <v>44707.1875</v>
      </c>
      <c r="J2584">
        <v>4.5</v>
      </c>
      <c r="K2584" t="s">
        <v>32</v>
      </c>
      <c r="L2584">
        <v>0</v>
      </c>
      <c r="M2584">
        <v>2</v>
      </c>
      <c r="N2584" t="s">
        <v>35</v>
      </c>
      <c r="O2584" s="3" t="str">
        <f>TEXT(Ticket_Table[[#This Row],[raised_date]],"YYYY-MM")</f>
        <v>2022-05</v>
      </c>
      <c r="P2584" s="3" t="str">
        <f>IF(Ticket_Table[[#This Row],[resolution_hrs]]&lt;=4,"Fast",IF(Ticket_Table[[#This Row],[resolution_hrs]]&lt;=24,"Normal",IF(Ticket_Table[[#This Row],[resolution_hrs]]&lt;=48,"Slow","Very Slow")))</f>
        <v>Normal</v>
      </c>
      <c r="Q2584" s="3">
        <f>YEAR(Ticket_Table[[#This Row],[raised_date]])</f>
        <v>2022</v>
      </c>
    </row>
    <row r="2585" spans="1:17">
      <c r="A2585" t="s">
        <v>3146</v>
      </c>
      <c r="B2585" t="s">
        <v>740</v>
      </c>
      <c r="C2585" t="s">
        <v>60</v>
      </c>
      <c r="D2585" t="s">
        <v>20</v>
      </c>
      <c r="E2585" t="s">
        <v>166</v>
      </c>
      <c r="F2585" t="s">
        <v>45</v>
      </c>
      <c r="G2585" t="s">
        <v>23</v>
      </c>
      <c r="H2585" s="1">
        <v>44264</v>
      </c>
      <c r="I2585" s="2">
        <v>44264.2125</v>
      </c>
      <c r="J2585">
        <v>5.1</v>
      </c>
      <c r="K2585" t="s">
        <v>32</v>
      </c>
      <c r="L2585">
        <v>0</v>
      </c>
      <c r="M2585">
        <v>3</v>
      </c>
      <c r="N2585" t="s">
        <v>320</v>
      </c>
      <c r="O2585" s="3" t="str">
        <f>TEXT(Ticket_Table[[#This Row],[raised_date]],"YYYY-MM")</f>
        <v>2021-03</v>
      </c>
      <c r="P2585" s="3" t="str">
        <f>IF(Ticket_Table[[#This Row],[resolution_hrs]]&lt;=4,"Fast",IF(Ticket_Table[[#This Row],[resolution_hrs]]&lt;=24,"Normal",IF(Ticket_Table[[#This Row],[resolution_hrs]]&lt;=48,"Slow","Very Slow")))</f>
        <v>Normal</v>
      </c>
      <c r="Q2585" s="3">
        <f>YEAR(Ticket_Table[[#This Row],[raised_date]])</f>
        <v>2021</v>
      </c>
    </row>
    <row r="2586" spans="1:17">
      <c r="A2586" t="s">
        <v>3147</v>
      </c>
      <c r="B2586" t="s">
        <v>298</v>
      </c>
      <c r="C2586" t="s">
        <v>78</v>
      </c>
      <c r="D2586" t="s">
        <v>20</v>
      </c>
      <c r="E2586" t="s">
        <v>37</v>
      </c>
      <c r="F2586" t="s">
        <v>22</v>
      </c>
      <c r="G2586" t="s">
        <v>31</v>
      </c>
      <c r="H2586" s="1">
        <v>45131</v>
      </c>
      <c r="I2586" s="2">
        <v>45132.6833333333</v>
      </c>
      <c r="J2586">
        <v>40.4</v>
      </c>
      <c r="K2586" t="s">
        <v>24</v>
      </c>
      <c r="L2586">
        <v>0</v>
      </c>
      <c r="M2586">
        <v>4</v>
      </c>
      <c r="N2586" t="s">
        <v>562</v>
      </c>
      <c r="O2586" s="3" t="str">
        <f>TEXT(Ticket_Table[[#This Row],[raised_date]],"YYYY-MM")</f>
        <v>2023-07</v>
      </c>
      <c r="P2586" s="3" t="str">
        <f>IF(Ticket_Table[[#This Row],[resolution_hrs]]&lt;=4,"Fast",IF(Ticket_Table[[#This Row],[resolution_hrs]]&lt;=24,"Normal",IF(Ticket_Table[[#This Row],[resolution_hrs]]&lt;=48,"Slow","Very Slow")))</f>
        <v>Slow</v>
      </c>
      <c r="Q2586" s="3">
        <f>YEAR(Ticket_Table[[#This Row],[raised_date]])</f>
        <v>2023</v>
      </c>
    </row>
    <row r="2587" spans="1:17">
      <c r="A2587" t="s">
        <v>3148</v>
      </c>
      <c r="B2587" t="s">
        <v>148</v>
      </c>
      <c r="C2587" t="s">
        <v>213</v>
      </c>
      <c r="D2587" t="s">
        <v>20</v>
      </c>
      <c r="E2587" t="s">
        <v>56</v>
      </c>
      <c r="F2587" t="s">
        <v>22</v>
      </c>
      <c r="G2587" t="s">
        <v>91</v>
      </c>
      <c r="H2587" s="1">
        <v>44300</v>
      </c>
      <c r="I2587" s="2">
        <v>44302.8</v>
      </c>
      <c r="J2587">
        <v>67.2</v>
      </c>
      <c r="K2587" t="s">
        <v>24</v>
      </c>
      <c r="L2587">
        <v>1</v>
      </c>
      <c r="M2587">
        <v>1</v>
      </c>
      <c r="N2587" t="s">
        <v>305</v>
      </c>
      <c r="O2587" s="3" t="str">
        <f>TEXT(Ticket_Table[[#This Row],[raised_date]],"YYYY-MM")</f>
        <v>2021-04</v>
      </c>
      <c r="P2587" s="3" t="str">
        <f>IF(Ticket_Table[[#This Row],[resolution_hrs]]&lt;=4,"Fast",IF(Ticket_Table[[#This Row],[resolution_hrs]]&lt;=24,"Normal",IF(Ticket_Table[[#This Row],[resolution_hrs]]&lt;=48,"Slow","Very Slow")))</f>
        <v>Very Slow</v>
      </c>
      <c r="Q2587" s="3">
        <f>YEAR(Ticket_Table[[#This Row],[raised_date]])</f>
        <v>2021</v>
      </c>
    </row>
    <row r="2588" spans="1:17">
      <c r="A2588" t="s">
        <v>3149</v>
      </c>
      <c r="B2588" t="s">
        <v>214</v>
      </c>
      <c r="C2588" t="s">
        <v>19</v>
      </c>
      <c r="D2588" t="s">
        <v>20</v>
      </c>
      <c r="E2588" t="s">
        <v>37</v>
      </c>
      <c r="F2588" t="s">
        <v>22</v>
      </c>
      <c r="G2588" t="s">
        <v>31</v>
      </c>
      <c r="H2588" s="1">
        <v>44935</v>
      </c>
      <c r="I2588" s="2">
        <v>44937.9791666667</v>
      </c>
      <c r="J2588">
        <v>71.5</v>
      </c>
      <c r="K2588" t="s">
        <v>24</v>
      </c>
      <c r="L2588">
        <v>0</v>
      </c>
      <c r="M2588">
        <v>5</v>
      </c>
      <c r="N2588" t="s">
        <v>84</v>
      </c>
      <c r="O2588" s="3" t="str">
        <f>TEXT(Ticket_Table[[#This Row],[raised_date]],"YYYY-MM")</f>
        <v>2023-01</v>
      </c>
      <c r="P2588" s="3" t="str">
        <f>IF(Ticket_Table[[#This Row],[resolution_hrs]]&lt;=4,"Fast",IF(Ticket_Table[[#This Row],[resolution_hrs]]&lt;=24,"Normal",IF(Ticket_Table[[#This Row],[resolution_hrs]]&lt;=48,"Slow","Very Slow")))</f>
        <v>Very Slow</v>
      </c>
      <c r="Q2588" s="3">
        <f>YEAR(Ticket_Table[[#This Row],[raised_date]])</f>
        <v>2023</v>
      </c>
    </row>
    <row r="2589" spans="1:17">
      <c r="A2589" t="s">
        <v>3150</v>
      </c>
      <c r="B2589" t="s">
        <v>640</v>
      </c>
      <c r="C2589" t="s">
        <v>102</v>
      </c>
      <c r="D2589" t="s">
        <v>90</v>
      </c>
      <c r="E2589" t="s">
        <v>106</v>
      </c>
      <c r="F2589" t="s">
        <v>38</v>
      </c>
      <c r="G2589" t="s">
        <v>46</v>
      </c>
      <c r="H2589" s="1">
        <v>44604</v>
      </c>
      <c r="I2589" s="2">
        <v>44604.7333333333</v>
      </c>
      <c r="J2589">
        <v>17.6</v>
      </c>
      <c r="K2589" t="s">
        <v>24</v>
      </c>
      <c r="L2589">
        <v>0</v>
      </c>
      <c r="M2589">
        <v>4</v>
      </c>
      <c r="N2589" t="s">
        <v>81</v>
      </c>
      <c r="O2589" s="3" t="str">
        <f>TEXT(Ticket_Table[[#This Row],[raised_date]],"YYYY-MM")</f>
        <v>2022-02</v>
      </c>
      <c r="P2589" s="3" t="str">
        <f>IF(Ticket_Table[[#This Row],[resolution_hrs]]&lt;=4,"Fast",IF(Ticket_Table[[#This Row],[resolution_hrs]]&lt;=24,"Normal",IF(Ticket_Table[[#This Row],[resolution_hrs]]&lt;=48,"Slow","Very Slow")))</f>
        <v>Normal</v>
      </c>
      <c r="Q2589" s="3">
        <f>YEAR(Ticket_Table[[#This Row],[raised_date]])</f>
        <v>2022</v>
      </c>
    </row>
    <row r="2590" spans="1:17">
      <c r="A2590" t="s">
        <v>3151</v>
      </c>
      <c r="B2590" t="s">
        <v>308</v>
      </c>
      <c r="C2590" t="s">
        <v>64</v>
      </c>
      <c r="D2590" t="s">
        <v>90</v>
      </c>
      <c r="E2590" t="s">
        <v>37</v>
      </c>
      <c r="F2590" t="s">
        <v>38</v>
      </c>
      <c r="G2590" t="s">
        <v>31</v>
      </c>
      <c r="H2590" s="1">
        <v>44758</v>
      </c>
      <c r="I2590" s="2">
        <v>44758.6458333333</v>
      </c>
      <c r="J2590">
        <v>15.5</v>
      </c>
      <c r="K2590" t="s">
        <v>24</v>
      </c>
      <c r="L2590">
        <v>0</v>
      </c>
      <c r="M2590">
        <v>4</v>
      </c>
      <c r="N2590" t="s">
        <v>950</v>
      </c>
      <c r="O2590" s="3" t="str">
        <f>TEXT(Ticket_Table[[#This Row],[raised_date]],"YYYY-MM")</f>
        <v>2022-07</v>
      </c>
      <c r="P2590" s="3" t="str">
        <f>IF(Ticket_Table[[#This Row],[resolution_hrs]]&lt;=4,"Fast",IF(Ticket_Table[[#This Row],[resolution_hrs]]&lt;=24,"Normal",IF(Ticket_Table[[#This Row],[resolution_hrs]]&lt;=48,"Slow","Very Slow")))</f>
        <v>Normal</v>
      </c>
      <c r="Q2590" s="3">
        <f>YEAR(Ticket_Table[[#This Row],[raised_date]])</f>
        <v>2022</v>
      </c>
    </row>
    <row r="2591" spans="1:17">
      <c r="A2591" t="s">
        <v>3152</v>
      </c>
      <c r="B2591" t="s">
        <v>944</v>
      </c>
      <c r="C2591" t="s">
        <v>261</v>
      </c>
      <c r="D2591" t="s">
        <v>43</v>
      </c>
      <c r="E2591" t="s">
        <v>21</v>
      </c>
      <c r="F2591" t="s">
        <v>70</v>
      </c>
      <c r="G2591" t="s">
        <v>23</v>
      </c>
      <c r="H2591" s="1">
        <v>44951</v>
      </c>
      <c r="I2591" s="2">
        <v>44951.5958333333</v>
      </c>
      <c r="J2591">
        <v>14.3</v>
      </c>
      <c r="K2591" t="s">
        <v>24</v>
      </c>
      <c r="L2591">
        <v>0</v>
      </c>
      <c r="M2591">
        <v>5</v>
      </c>
      <c r="N2591" t="s">
        <v>221</v>
      </c>
      <c r="O2591" s="3" t="str">
        <f>TEXT(Ticket_Table[[#This Row],[raised_date]],"YYYY-MM")</f>
        <v>2023-01</v>
      </c>
      <c r="P2591" s="3" t="str">
        <f>IF(Ticket_Table[[#This Row],[resolution_hrs]]&lt;=4,"Fast",IF(Ticket_Table[[#This Row],[resolution_hrs]]&lt;=24,"Normal",IF(Ticket_Table[[#This Row],[resolution_hrs]]&lt;=48,"Slow","Very Slow")))</f>
        <v>Normal</v>
      </c>
      <c r="Q2591" s="3">
        <f>YEAR(Ticket_Table[[#This Row],[raised_date]])</f>
        <v>2023</v>
      </c>
    </row>
    <row r="2592" spans="1:17">
      <c r="A2592" t="s">
        <v>3153</v>
      </c>
      <c r="B2592" t="s">
        <v>646</v>
      </c>
      <c r="C2592" t="s">
        <v>95</v>
      </c>
      <c r="D2592" t="s">
        <v>20</v>
      </c>
      <c r="E2592" t="s">
        <v>37</v>
      </c>
      <c r="F2592" t="s">
        <v>70</v>
      </c>
      <c r="G2592" t="s">
        <v>31</v>
      </c>
      <c r="H2592" s="1">
        <v>45147</v>
      </c>
      <c r="I2592" s="2">
        <v>45149.9583333333</v>
      </c>
      <c r="J2592">
        <v>71</v>
      </c>
      <c r="K2592" t="s">
        <v>32</v>
      </c>
      <c r="L2592">
        <v>1</v>
      </c>
      <c r="M2592">
        <v>4</v>
      </c>
      <c r="N2592" t="s">
        <v>52</v>
      </c>
      <c r="O2592" s="3" t="str">
        <f>TEXT(Ticket_Table[[#This Row],[raised_date]],"YYYY-MM")</f>
        <v>2023-08</v>
      </c>
      <c r="P2592" s="3" t="str">
        <f>IF(Ticket_Table[[#This Row],[resolution_hrs]]&lt;=4,"Fast",IF(Ticket_Table[[#This Row],[resolution_hrs]]&lt;=24,"Normal",IF(Ticket_Table[[#This Row],[resolution_hrs]]&lt;=48,"Slow","Very Slow")))</f>
        <v>Very Slow</v>
      </c>
      <c r="Q2592" s="3">
        <f>YEAR(Ticket_Table[[#This Row],[raised_date]])</f>
        <v>2023</v>
      </c>
    </row>
    <row r="2593" spans="1:17">
      <c r="A2593" t="s">
        <v>3154</v>
      </c>
      <c r="B2593" t="s">
        <v>501</v>
      </c>
      <c r="C2593" t="s">
        <v>82</v>
      </c>
      <c r="D2593" t="s">
        <v>36</v>
      </c>
      <c r="E2593" t="s">
        <v>56</v>
      </c>
      <c r="F2593" t="s">
        <v>22</v>
      </c>
      <c r="G2593" t="s">
        <v>31</v>
      </c>
      <c r="H2593" s="1">
        <v>45231</v>
      </c>
      <c r="I2593" s="2">
        <v>45235.3125</v>
      </c>
      <c r="J2593">
        <v>103.5</v>
      </c>
      <c r="K2593" t="s">
        <v>32</v>
      </c>
      <c r="L2593">
        <v>0</v>
      </c>
      <c r="M2593">
        <v>5</v>
      </c>
      <c r="N2593" t="s">
        <v>178</v>
      </c>
      <c r="O2593" s="3" t="str">
        <f>TEXT(Ticket_Table[[#This Row],[raised_date]],"YYYY-MM")</f>
        <v>2023-11</v>
      </c>
      <c r="P2593" s="3" t="str">
        <f>IF(Ticket_Table[[#This Row],[resolution_hrs]]&lt;=4,"Fast",IF(Ticket_Table[[#This Row],[resolution_hrs]]&lt;=24,"Normal",IF(Ticket_Table[[#This Row],[resolution_hrs]]&lt;=48,"Slow","Very Slow")))</f>
        <v>Very Slow</v>
      </c>
      <c r="Q2593" s="3">
        <f>YEAR(Ticket_Table[[#This Row],[raised_date]])</f>
        <v>2023</v>
      </c>
    </row>
    <row r="2594" spans="1:17">
      <c r="A2594" t="s">
        <v>3155</v>
      </c>
      <c r="B2594" t="s">
        <v>92</v>
      </c>
      <c r="C2594" t="s">
        <v>28</v>
      </c>
      <c r="D2594" t="s">
        <v>29</v>
      </c>
      <c r="E2594" t="s">
        <v>44</v>
      </c>
      <c r="F2594" t="s">
        <v>38</v>
      </c>
      <c r="G2594" t="s">
        <v>23</v>
      </c>
      <c r="H2594" s="1">
        <v>45009</v>
      </c>
      <c r="I2594" s="2">
        <v>45010.225</v>
      </c>
      <c r="J2594">
        <v>29.4</v>
      </c>
      <c r="K2594" t="s">
        <v>32</v>
      </c>
      <c r="L2594">
        <v>1</v>
      </c>
      <c r="M2594">
        <v>5</v>
      </c>
      <c r="N2594" t="s">
        <v>517</v>
      </c>
      <c r="O2594" s="3" t="str">
        <f>TEXT(Ticket_Table[[#This Row],[raised_date]],"YYYY-MM")</f>
        <v>2023-03</v>
      </c>
      <c r="P2594" s="3" t="str">
        <f>IF(Ticket_Table[[#This Row],[resolution_hrs]]&lt;=4,"Fast",IF(Ticket_Table[[#This Row],[resolution_hrs]]&lt;=24,"Normal",IF(Ticket_Table[[#This Row],[resolution_hrs]]&lt;=48,"Slow","Very Slow")))</f>
        <v>Slow</v>
      </c>
      <c r="Q2594" s="3">
        <f>YEAR(Ticket_Table[[#This Row],[raised_date]])</f>
        <v>2023</v>
      </c>
    </row>
    <row r="2595" spans="1:17">
      <c r="A2595" t="s">
        <v>3156</v>
      </c>
      <c r="B2595" t="s">
        <v>233</v>
      </c>
      <c r="C2595" t="s">
        <v>117</v>
      </c>
      <c r="D2595" t="s">
        <v>43</v>
      </c>
      <c r="E2595" t="s">
        <v>69</v>
      </c>
      <c r="F2595" t="s">
        <v>45</v>
      </c>
      <c r="G2595" t="s">
        <v>46</v>
      </c>
      <c r="H2595" s="1">
        <v>44450</v>
      </c>
      <c r="I2595" s="2">
        <v>44450.0458333333</v>
      </c>
      <c r="J2595">
        <v>1.1</v>
      </c>
      <c r="K2595" t="s">
        <v>24</v>
      </c>
      <c r="L2595">
        <v>0</v>
      </c>
      <c r="M2595">
        <v>5</v>
      </c>
      <c r="N2595" t="s">
        <v>293</v>
      </c>
      <c r="O2595" s="3" t="str">
        <f>TEXT(Ticket_Table[[#This Row],[raised_date]],"YYYY-MM")</f>
        <v>2021-09</v>
      </c>
      <c r="P2595" s="3" t="str">
        <f>IF(Ticket_Table[[#This Row],[resolution_hrs]]&lt;=4,"Fast",IF(Ticket_Table[[#This Row],[resolution_hrs]]&lt;=24,"Normal",IF(Ticket_Table[[#This Row],[resolution_hrs]]&lt;=48,"Slow","Very Slow")))</f>
        <v>Fast</v>
      </c>
      <c r="Q2595" s="3">
        <f>YEAR(Ticket_Table[[#This Row],[raised_date]])</f>
        <v>2021</v>
      </c>
    </row>
    <row r="2596" spans="1:17">
      <c r="A2596" t="s">
        <v>3157</v>
      </c>
      <c r="B2596" t="s">
        <v>670</v>
      </c>
      <c r="C2596" t="s">
        <v>64</v>
      </c>
      <c r="D2596" t="s">
        <v>29</v>
      </c>
      <c r="E2596" t="s">
        <v>44</v>
      </c>
      <c r="F2596" t="s">
        <v>22</v>
      </c>
      <c r="G2596" t="s">
        <v>46</v>
      </c>
      <c r="H2596" s="1">
        <v>44259</v>
      </c>
      <c r="I2596" s="2">
        <v>44260.6458333333</v>
      </c>
      <c r="J2596">
        <v>39.5</v>
      </c>
      <c r="K2596" t="s">
        <v>24</v>
      </c>
      <c r="L2596">
        <v>0</v>
      </c>
      <c r="M2596">
        <v>5</v>
      </c>
      <c r="N2596" t="s">
        <v>899</v>
      </c>
      <c r="O2596" s="3" t="str">
        <f>TEXT(Ticket_Table[[#This Row],[raised_date]],"YYYY-MM")</f>
        <v>2021-03</v>
      </c>
      <c r="P2596" s="3" t="str">
        <f>IF(Ticket_Table[[#This Row],[resolution_hrs]]&lt;=4,"Fast",IF(Ticket_Table[[#This Row],[resolution_hrs]]&lt;=24,"Normal",IF(Ticket_Table[[#This Row],[resolution_hrs]]&lt;=48,"Slow","Very Slow")))</f>
        <v>Slow</v>
      </c>
      <c r="Q2596" s="3">
        <f>YEAR(Ticket_Table[[#This Row],[raised_date]])</f>
        <v>2021</v>
      </c>
    </row>
    <row r="2597" spans="1:17">
      <c r="A2597" t="s">
        <v>3158</v>
      </c>
      <c r="B2597" t="s">
        <v>428</v>
      </c>
      <c r="C2597" t="s">
        <v>261</v>
      </c>
      <c r="D2597" t="s">
        <v>29</v>
      </c>
      <c r="E2597" t="s">
        <v>30</v>
      </c>
      <c r="F2597" t="s">
        <v>70</v>
      </c>
      <c r="G2597" t="s">
        <v>74</v>
      </c>
      <c r="H2597" s="1">
        <v>44692</v>
      </c>
      <c r="I2597" s="2">
        <v>44692.175</v>
      </c>
      <c r="J2597">
        <v>4.2</v>
      </c>
      <c r="K2597" t="s">
        <v>24</v>
      </c>
      <c r="L2597">
        <v>0</v>
      </c>
      <c r="M2597">
        <v>3</v>
      </c>
      <c r="N2597" t="s">
        <v>33</v>
      </c>
      <c r="O2597" s="3" t="str">
        <f>TEXT(Ticket_Table[[#This Row],[raised_date]],"YYYY-MM")</f>
        <v>2022-05</v>
      </c>
      <c r="P2597" s="3" t="str">
        <f>IF(Ticket_Table[[#This Row],[resolution_hrs]]&lt;=4,"Fast",IF(Ticket_Table[[#This Row],[resolution_hrs]]&lt;=24,"Normal",IF(Ticket_Table[[#This Row],[resolution_hrs]]&lt;=48,"Slow","Very Slow")))</f>
        <v>Normal</v>
      </c>
      <c r="Q2597" s="3">
        <f>YEAR(Ticket_Table[[#This Row],[raised_date]])</f>
        <v>2022</v>
      </c>
    </row>
    <row r="2598" spans="1:17">
      <c r="A2598" t="s">
        <v>3159</v>
      </c>
      <c r="B2598" t="s">
        <v>1223</v>
      </c>
      <c r="C2598" t="s">
        <v>287</v>
      </c>
      <c r="D2598" t="s">
        <v>20</v>
      </c>
      <c r="E2598" t="s">
        <v>106</v>
      </c>
      <c r="F2598" t="s">
        <v>22</v>
      </c>
      <c r="G2598" t="s">
        <v>31</v>
      </c>
      <c r="H2598" s="1">
        <v>44959</v>
      </c>
      <c r="I2598" s="2">
        <v>44962.6416666667</v>
      </c>
      <c r="J2598">
        <v>87.4</v>
      </c>
      <c r="K2598" t="s">
        <v>32</v>
      </c>
      <c r="L2598">
        <v>2</v>
      </c>
      <c r="M2598">
        <v>3</v>
      </c>
      <c r="N2598" t="s">
        <v>578</v>
      </c>
      <c r="O2598" s="3" t="str">
        <f>TEXT(Ticket_Table[[#This Row],[raised_date]],"YYYY-MM")</f>
        <v>2023-02</v>
      </c>
      <c r="P2598" s="3" t="str">
        <f>IF(Ticket_Table[[#This Row],[resolution_hrs]]&lt;=4,"Fast",IF(Ticket_Table[[#This Row],[resolution_hrs]]&lt;=24,"Normal",IF(Ticket_Table[[#This Row],[resolution_hrs]]&lt;=48,"Slow","Very Slow")))</f>
        <v>Very Slow</v>
      </c>
      <c r="Q2598" s="3">
        <f>YEAR(Ticket_Table[[#This Row],[raised_date]])</f>
        <v>2023</v>
      </c>
    </row>
    <row r="2599" spans="1:17">
      <c r="A2599" t="s">
        <v>3160</v>
      </c>
      <c r="B2599" t="s">
        <v>84</v>
      </c>
      <c r="C2599" t="s">
        <v>102</v>
      </c>
      <c r="D2599" t="s">
        <v>36</v>
      </c>
      <c r="E2599" t="s">
        <v>30</v>
      </c>
      <c r="F2599" t="s">
        <v>70</v>
      </c>
      <c r="G2599" t="s">
        <v>74</v>
      </c>
      <c r="H2599" s="1">
        <v>45198</v>
      </c>
      <c r="I2599" s="2">
        <v>45199.0041666667</v>
      </c>
      <c r="J2599">
        <v>24.1</v>
      </c>
      <c r="K2599" t="s">
        <v>24</v>
      </c>
      <c r="L2599">
        <v>0</v>
      </c>
      <c r="M2599">
        <v>3</v>
      </c>
      <c r="N2599" t="s">
        <v>974</v>
      </c>
      <c r="O2599" s="3" t="str">
        <f>TEXT(Ticket_Table[[#This Row],[raised_date]],"YYYY-MM")</f>
        <v>2023-09</v>
      </c>
      <c r="P2599" s="3" t="str">
        <f>IF(Ticket_Table[[#This Row],[resolution_hrs]]&lt;=4,"Fast",IF(Ticket_Table[[#This Row],[resolution_hrs]]&lt;=24,"Normal",IF(Ticket_Table[[#This Row],[resolution_hrs]]&lt;=48,"Slow","Very Slow")))</f>
        <v>Slow</v>
      </c>
      <c r="Q2599" s="3">
        <f>YEAR(Ticket_Table[[#This Row],[raised_date]])</f>
        <v>2023</v>
      </c>
    </row>
    <row r="2600" spans="1:17">
      <c r="A2600" t="s">
        <v>3161</v>
      </c>
      <c r="B2600" t="s">
        <v>751</v>
      </c>
      <c r="C2600" t="s">
        <v>133</v>
      </c>
      <c r="D2600" t="s">
        <v>29</v>
      </c>
      <c r="E2600" t="s">
        <v>30</v>
      </c>
      <c r="F2600" t="s">
        <v>70</v>
      </c>
      <c r="G2600" t="s">
        <v>74</v>
      </c>
      <c r="H2600" s="1">
        <v>45110</v>
      </c>
      <c r="I2600" s="2">
        <v>45111.3541666667</v>
      </c>
      <c r="J2600">
        <v>32.5</v>
      </c>
      <c r="K2600" t="s">
        <v>24</v>
      </c>
      <c r="L2600">
        <v>0</v>
      </c>
      <c r="M2600">
        <v>5</v>
      </c>
      <c r="N2600" t="s">
        <v>716</v>
      </c>
      <c r="O2600" s="3" t="str">
        <f>TEXT(Ticket_Table[[#This Row],[raised_date]],"YYYY-MM")</f>
        <v>2023-07</v>
      </c>
      <c r="P2600" s="3" t="str">
        <f>IF(Ticket_Table[[#This Row],[resolution_hrs]]&lt;=4,"Fast",IF(Ticket_Table[[#This Row],[resolution_hrs]]&lt;=24,"Normal",IF(Ticket_Table[[#This Row],[resolution_hrs]]&lt;=48,"Slow","Very Slow")))</f>
        <v>Slow</v>
      </c>
      <c r="Q2600" s="3">
        <f>YEAR(Ticket_Table[[#This Row],[raised_date]])</f>
        <v>2023</v>
      </c>
    </row>
    <row r="2601" spans="1:17">
      <c r="A2601" t="s">
        <v>3162</v>
      </c>
      <c r="B2601" t="s">
        <v>397</v>
      </c>
      <c r="C2601" t="s">
        <v>140</v>
      </c>
      <c r="D2601" t="s">
        <v>29</v>
      </c>
      <c r="E2601" t="s">
        <v>69</v>
      </c>
      <c r="F2601" t="s">
        <v>22</v>
      </c>
      <c r="G2601" t="s">
        <v>46</v>
      </c>
      <c r="H2601" s="1">
        <v>44560</v>
      </c>
      <c r="I2601" s="2">
        <v>44562.7458333333</v>
      </c>
      <c r="J2601">
        <v>65.9</v>
      </c>
      <c r="K2601" t="s">
        <v>24</v>
      </c>
      <c r="L2601">
        <v>0</v>
      </c>
      <c r="M2601">
        <v>3</v>
      </c>
      <c r="N2601" t="s">
        <v>412</v>
      </c>
      <c r="O2601" s="3" t="str">
        <f>TEXT(Ticket_Table[[#This Row],[raised_date]],"YYYY-MM")</f>
        <v>2021-12</v>
      </c>
      <c r="P2601" s="3" t="str">
        <f>IF(Ticket_Table[[#This Row],[resolution_hrs]]&lt;=4,"Fast",IF(Ticket_Table[[#This Row],[resolution_hrs]]&lt;=24,"Normal",IF(Ticket_Table[[#This Row],[resolution_hrs]]&lt;=48,"Slow","Very Slow")))</f>
        <v>Very Slow</v>
      </c>
      <c r="Q2601" s="3">
        <f>YEAR(Ticket_Table[[#This Row],[raised_date]])</f>
        <v>2021</v>
      </c>
    </row>
    <row r="2602" spans="1:17">
      <c r="A2602" t="s">
        <v>3163</v>
      </c>
      <c r="B2602" t="s">
        <v>308</v>
      </c>
      <c r="C2602" t="s">
        <v>42</v>
      </c>
      <c r="D2602" t="s">
        <v>43</v>
      </c>
      <c r="E2602" t="s">
        <v>69</v>
      </c>
      <c r="F2602" t="s">
        <v>70</v>
      </c>
      <c r="G2602" t="s">
        <v>31</v>
      </c>
      <c r="H2602" s="1">
        <v>45168</v>
      </c>
      <c r="I2602" s="2">
        <v>45169.225</v>
      </c>
      <c r="J2602">
        <v>29.4</v>
      </c>
      <c r="K2602" t="s">
        <v>24</v>
      </c>
      <c r="L2602">
        <v>0</v>
      </c>
      <c r="M2602">
        <v>2</v>
      </c>
      <c r="N2602" t="s">
        <v>18</v>
      </c>
      <c r="O2602" s="3" t="str">
        <f>TEXT(Ticket_Table[[#This Row],[raised_date]],"YYYY-MM")</f>
        <v>2023-08</v>
      </c>
      <c r="P2602" s="3" t="str">
        <f>IF(Ticket_Table[[#This Row],[resolution_hrs]]&lt;=4,"Fast",IF(Ticket_Table[[#This Row],[resolution_hrs]]&lt;=24,"Normal",IF(Ticket_Table[[#This Row],[resolution_hrs]]&lt;=48,"Slow","Very Slow")))</f>
        <v>Slow</v>
      </c>
      <c r="Q2602" s="3">
        <f>YEAR(Ticket_Table[[#This Row],[raised_date]])</f>
        <v>2023</v>
      </c>
    </row>
    <row r="2603" spans="1:17">
      <c r="A2603" t="s">
        <v>3164</v>
      </c>
      <c r="B2603" t="s">
        <v>844</v>
      </c>
      <c r="C2603" t="s">
        <v>42</v>
      </c>
      <c r="D2603" t="s">
        <v>36</v>
      </c>
      <c r="E2603" t="s">
        <v>56</v>
      </c>
      <c r="F2603" t="s">
        <v>70</v>
      </c>
      <c r="G2603" t="s">
        <v>23</v>
      </c>
      <c r="H2603" s="1">
        <v>44913</v>
      </c>
      <c r="I2603" s="2">
        <v>44914.8541666667</v>
      </c>
      <c r="J2603">
        <v>44.5</v>
      </c>
      <c r="K2603" t="s">
        <v>24</v>
      </c>
      <c r="L2603">
        <v>0</v>
      </c>
      <c r="M2603">
        <v>4</v>
      </c>
      <c r="N2603" t="s">
        <v>730</v>
      </c>
      <c r="O2603" s="3" t="str">
        <f>TEXT(Ticket_Table[[#This Row],[raised_date]],"YYYY-MM")</f>
        <v>2022-12</v>
      </c>
      <c r="P2603" s="3" t="str">
        <f>IF(Ticket_Table[[#This Row],[resolution_hrs]]&lt;=4,"Fast",IF(Ticket_Table[[#This Row],[resolution_hrs]]&lt;=24,"Normal",IF(Ticket_Table[[#This Row],[resolution_hrs]]&lt;=48,"Slow","Very Slow")))</f>
        <v>Slow</v>
      </c>
      <c r="Q2603" s="3">
        <f>YEAR(Ticket_Table[[#This Row],[raised_date]])</f>
        <v>2022</v>
      </c>
    </row>
    <row r="2604" spans="1:17">
      <c r="A2604" t="s">
        <v>3165</v>
      </c>
      <c r="B2604" t="s">
        <v>376</v>
      </c>
      <c r="C2604" t="s">
        <v>68</v>
      </c>
      <c r="D2604" t="s">
        <v>36</v>
      </c>
      <c r="E2604" t="s">
        <v>56</v>
      </c>
      <c r="F2604" t="s">
        <v>70</v>
      </c>
      <c r="G2604" t="s">
        <v>46</v>
      </c>
      <c r="H2604" s="1">
        <v>44902</v>
      </c>
      <c r="I2604" s="2">
        <v>44902.2833333333</v>
      </c>
      <c r="J2604">
        <v>6.8</v>
      </c>
      <c r="K2604" t="s">
        <v>24</v>
      </c>
      <c r="L2604">
        <v>0</v>
      </c>
      <c r="M2604">
        <v>3</v>
      </c>
      <c r="N2604" t="s">
        <v>344</v>
      </c>
      <c r="O2604" s="3" t="str">
        <f>TEXT(Ticket_Table[[#This Row],[raised_date]],"YYYY-MM")</f>
        <v>2022-12</v>
      </c>
      <c r="P2604" s="3" t="str">
        <f>IF(Ticket_Table[[#This Row],[resolution_hrs]]&lt;=4,"Fast",IF(Ticket_Table[[#This Row],[resolution_hrs]]&lt;=24,"Normal",IF(Ticket_Table[[#This Row],[resolution_hrs]]&lt;=48,"Slow","Very Slow")))</f>
        <v>Normal</v>
      </c>
      <c r="Q2604" s="3">
        <f>YEAR(Ticket_Table[[#This Row],[raised_date]])</f>
        <v>2022</v>
      </c>
    </row>
    <row r="2605" spans="1:17">
      <c r="A2605" t="s">
        <v>3166</v>
      </c>
      <c r="B2605" t="s">
        <v>722</v>
      </c>
      <c r="C2605" t="s">
        <v>175</v>
      </c>
      <c r="D2605" t="s">
        <v>29</v>
      </c>
      <c r="E2605" t="s">
        <v>44</v>
      </c>
      <c r="F2605" t="s">
        <v>70</v>
      </c>
      <c r="G2605" t="s">
        <v>31</v>
      </c>
      <c r="H2605" s="1">
        <v>44531</v>
      </c>
      <c r="I2605" s="2">
        <v>44532.3083333333</v>
      </c>
      <c r="J2605">
        <v>31.4</v>
      </c>
      <c r="K2605" t="s">
        <v>24</v>
      </c>
      <c r="L2605">
        <v>3</v>
      </c>
      <c r="M2605">
        <v>4</v>
      </c>
      <c r="N2605" t="s">
        <v>740</v>
      </c>
      <c r="O2605" s="3" t="str">
        <f>TEXT(Ticket_Table[[#This Row],[raised_date]],"YYYY-MM")</f>
        <v>2021-12</v>
      </c>
      <c r="P2605" s="3" t="str">
        <f>IF(Ticket_Table[[#This Row],[resolution_hrs]]&lt;=4,"Fast",IF(Ticket_Table[[#This Row],[resolution_hrs]]&lt;=24,"Normal",IF(Ticket_Table[[#This Row],[resolution_hrs]]&lt;=48,"Slow","Very Slow")))</f>
        <v>Slow</v>
      </c>
      <c r="Q2605" s="3">
        <f>YEAR(Ticket_Table[[#This Row],[raised_date]])</f>
        <v>2021</v>
      </c>
    </row>
    <row r="2606" spans="1:17">
      <c r="A2606" t="s">
        <v>3167</v>
      </c>
      <c r="B2606" t="s">
        <v>944</v>
      </c>
      <c r="C2606" t="s">
        <v>64</v>
      </c>
      <c r="D2606" t="s">
        <v>36</v>
      </c>
      <c r="E2606" t="s">
        <v>56</v>
      </c>
      <c r="F2606" t="s">
        <v>22</v>
      </c>
      <c r="G2606" t="s">
        <v>23</v>
      </c>
      <c r="H2606" s="1">
        <v>44726</v>
      </c>
      <c r="I2606" s="2">
        <v>44730.1958333333</v>
      </c>
      <c r="J2606">
        <v>100.7</v>
      </c>
      <c r="K2606" t="s">
        <v>32</v>
      </c>
      <c r="L2606">
        <v>1</v>
      </c>
      <c r="M2606">
        <v>5</v>
      </c>
      <c r="N2606" t="s">
        <v>39</v>
      </c>
      <c r="O2606" s="3" t="str">
        <f>TEXT(Ticket_Table[[#This Row],[raised_date]],"YYYY-MM")</f>
        <v>2022-06</v>
      </c>
      <c r="P2606" s="3" t="str">
        <f>IF(Ticket_Table[[#This Row],[resolution_hrs]]&lt;=4,"Fast",IF(Ticket_Table[[#This Row],[resolution_hrs]]&lt;=24,"Normal",IF(Ticket_Table[[#This Row],[resolution_hrs]]&lt;=48,"Slow","Very Slow")))</f>
        <v>Very Slow</v>
      </c>
      <c r="Q2606" s="3">
        <f>YEAR(Ticket_Table[[#This Row],[raised_date]])</f>
        <v>2022</v>
      </c>
    </row>
    <row r="2607" spans="1:17">
      <c r="A2607" t="s">
        <v>3168</v>
      </c>
      <c r="B2607" t="s">
        <v>431</v>
      </c>
      <c r="C2607" t="s">
        <v>64</v>
      </c>
      <c r="D2607" t="s">
        <v>43</v>
      </c>
      <c r="E2607" t="s">
        <v>56</v>
      </c>
      <c r="F2607" t="s">
        <v>38</v>
      </c>
      <c r="G2607" t="s">
        <v>23</v>
      </c>
      <c r="H2607" s="1">
        <v>44382</v>
      </c>
      <c r="I2607" s="2">
        <v>44383.4</v>
      </c>
      <c r="J2607">
        <v>33.6</v>
      </c>
      <c r="K2607" t="s">
        <v>32</v>
      </c>
      <c r="L2607">
        <v>0</v>
      </c>
      <c r="M2607">
        <v>4</v>
      </c>
      <c r="N2607" t="s">
        <v>358</v>
      </c>
      <c r="O2607" s="3" t="str">
        <f>TEXT(Ticket_Table[[#This Row],[raised_date]],"YYYY-MM")</f>
        <v>2021-07</v>
      </c>
      <c r="P2607" s="3" t="str">
        <f>IF(Ticket_Table[[#This Row],[resolution_hrs]]&lt;=4,"Fast",IF(Ticket_Table[[#This Row],[resolution_hrs]]&lt;=24,"Normal",IF(Ticket_Table[[#This Row],[resolution_hrs]]&lt;=48,"Slow","Very Slow")))</f>
        <v>Slow</v>
      </c>
      <c r="Q2607" s="3">
        <f>YEAR(Ticket_Table[[#This Row],[raised_date]])</f>
        <v>2021</v>
      </c>
    </row>
    <row r="2608" spans="1:17">
      <c r="A2608" t="s">
        <v>3169</v>
      </c>
      <c r="B2608" t="s">
        <v>295</v>
      </c>
      <c r="C2608" t="s">
        <v>78</v>
      </c>
      <c r="D2608" t="s">
        <v>43</v>
      </c>
      <c r="E2608" t="s">
        <v>83</v>
      </c>
      <c r="F2608" t="s">
        <v>38</v>
      </c>
      <c r="G2608" t="s">
        <v>31</v>
      </c>
      <c r="H2608" s="1">
        <v>44780</v>
      </c>
      <c r="I2608" s="2">
        <v>44781.4791666667</v>
      </c>
      <c r="J2608">
        <v>35.5</v>
      </c>
      <c r="K2608" t="s">
        <v>32</v>
      </c>
      <c r="L2608">
        <v>1</v>
      </c>
      <c r="M2608">
        <v>4</v>
      </c>
      <c r="N2608" t="s">
        <v>283</v>
      </c>
      <c r="O2608" s="3" t="str">
        <f>TEXT(Ticket_Table[[#This Row],[raised_date]],"YYYY-MM")</f>
        <v>2022-08</v>
      </c>
      <c r="P2608" s="3" t="str">
        <f>IF(Ticket_Table[[#This Row],[resolution_hrs]]&lt;=4,"Fast",IF(Ticket_Table[[#This Row],[resolution_hrs]]&lt;=24,"Normal",IF(Ticket_Table[[#This Row],[resolution_hrs]]&lt;=48,"Slow","Very Slow")))</f>
        <v>Slow</v>
      </c>
      <c r="Q2608" s="3">
        <f>YEAR(Ticket_Table[[#This Row],[raised_date]])</f>
        <v>2022</v>
      </c>
    </row>
    <row r="2609" spans="1:17">
      <c r="A2609" t="s">
        <v>3170</v>
      </c>
      <c r="B2609" t="s">
        <v>878</v>
      </c>
      <c r="C2609" t="s">
        <v>60</v>
      </c>
      <c r="D2609" t="s">
        <v>43</v>
      </c>
      <c r="E2609" t="s">
        <v>51</v>
      </c>
      <c r="F2609" t="s">
        <v>70</v>
      </c>
      <c r="G2609" t="s">
        <v>23</v>
      </c>
      <c r="H2609" s="1">
        <v>44253</v>
      </c>
      <c r="I2609" s="2">
        <v>44255.5791666667</v>
      </c>
      <c r="J2609">
        <v>61.9</v>
      </c>
      <c r="K2609" t="s">
        <v>32</v>
      </c>
      <c r="L2609">
        <v>1</v>
      </c>
      <c r="M2609">
        <v>4</v>
      </c>
      <c r="N2609" t="s">
        <v>515</v>
      </c>
      <c r="O2609" s="3" t="str">
        <f>TEXT(Ticket_Table[[#This Row],[raised_date]],"YYYY-MM")</f>
        <v>2021-02</v>
      </c>
      <c r="P2609" s="3" t="str">
        <f>IF(Ticket_Table[[#This Row],[resolution_hrs]]&lt;=4,"Fast",IF(Ticket_Table[[#This Row],[resolution_hrs]]&lt;=24,"Normal",IF(Ticket_Table[[#This Row],[resolution_hrs]]&lt;=48,"Slow","Very Slow")))</f>
        <v>Very Slow</v>
      </c>
      <c r="Q2609" s="3">
        <f>YEAR(Ticket_Table[[#This Row],[raised_date]])</f>
        <v>2021</v>
      </c>
    </row>
    <row r="2610" spans="1:17">
      <c r="A2610" t="s">
        <v>3171</v>
      </c>
      <c r="B2610" t="s">
        <v>733</v>
      </c>
      <c r="C2610" t="s">
        <v>50</v>
      </c>
      <c r="D2610" t="s">
        <v>20</v>
      </c>
      <c r="E2610" t="s">
        <v>44</v>
      </c>
      <c r="F2610" t="s">
        <v>22</v>
      </c>
      <c r="G2610" t="s">
        <v>31</v>
      </c>
      <c r="H2610" s="1">
        <v>44988</v>
      </c>
      <c r="I2610" s="2">
        <v>44992.0791666667</v>
      </c>
      <c r="J2610">
        <v>97.9</v>
      </c>
      <c r="K2610" t="s">
        <v>32</v>
      </c>
      <c r="L2610">
        <v>1</v>
      </c>
      <c r="M2610">
        <v>4</v>
      </c>
      <c r="N2610" t="s">
        <v>647</v>
      </c>
      <c r="O2610" s="3" t="str">
        <f>TEXT(Ticket_Table[[#This Row],[raised_date]],"YYYY-MM")</f>
        <v>2023-03</v>
      </c>
      <c r="P2610" s="3" t="str">
        <f>IF(Ticket_Table[[#This Row],[resolution_hrs]]&lt;=4,"Fast",IF(Ticket_Table[[#This Row],[resolution_hrs]]&lt;=24,"Normal",IF(Ticket_Table[[#This Row],[resolution_hrs]]&lt;=48,"Slow","Very Slow")))</f>
        <v>Very Slow</v>
      </c>
      <c r="Q2610" s="3">
        <f>YEAR(Ticket_Table[[#This Row],[raised_date]])</f>
        <v>2023</v>
      </c>
    </row>
    <row r="2611" spans="1:17">
      <c r="A2611" t="s">
        <v>3172</v>
      </c>
      <c r="B2611" t="s">
        <v>621</v>
      </c>
      <c r="C2611" t="s">
        <v>95</v>
      </c>
      <c r="D2611" t="s">
        <v>29</v>
      </c>
      <c r="E2611" t="s">
        <v>69</v>
      </c>
      <c r="F2611" t="s">
        <v>38</v>
      </c>
      <c r="G2611" t="s">
        <v>23</v>
      </c>
      <c r="H2611" s="1">
        <v>44298</v>
      </c>
      <c r="I2611" s="2">
        <v>44299.1125</v>
      </c>
      <c r="J2611">
        <v>26.7</v>
      </c>
      <c r="K2611" t="s">
        <v>32</v>
      </c>
      <c r="L2611">
        <v>0</v>
      </c>
      <c r="M2611">
        <v>3</v>
      </c>
      <c r="N2611" t="s">
        <v>304</v>
      </c>
      <c r="O2611" s="3" t="str">
        <f>TEXT(Ticket_Table[[#This Row],[raised_date]],"YYYY-MM")</f>
        <v>2021-04</v>
      </c>
      <c r="P2611" s="3" t="str">
        <f>IF(Ticket_Table[[#This Row],[resolution_hrs]]&lt;=4,"Fast",IF(Ticket_Table[[#This Row],[resolution_hrs]]&lt;=24,"Normal",IF(Ticket_Table[[#This Row],[resolution_hrs]]&lt;=48,"Slow","Very Slow")))</f>
        <v>Slow</v>
      </c>
      <c r="Q2611" s="3">
        <f>YEAR(Ticket_Table[[#This Row],[raised_date]])</f>
        <v>2021</v>
      </c>
    </row>
    <row r="2612" spans="1:17">
      <c r="A2612" t="s">
        <v>3173</v>
      </c>
      <c r="B2612" t="s">
        <v>988</v>
      </c>
      <c r="C2612" t="s">
        <v>102</v>
      </c>
      <c r="D2612" t="s">
        <v>36</v>
      </c>
      <c r="E2612" t="s">
        <v>44</v>
      </c>
      <c r="F2612" t="s">
        <v>45</v>
      </c>
      <c r="G2612" t="s">
        <v>23</v>
      </c>
      <c r="H2612" s="1">
        <v>44530</v>
      </c>
      <c r="I2612" s="2">
        <v>44530.1041666667</v>
      </c>
      <c r="J2612">
        <v>2.5</v>
      </c>
      <c r="K2612" t="s">
        <v>24</v>
      </c>
      <c r="L2612">
        <v>0</v>
      </c>
      <c r="M2612">
        <v>4</v>
      </c>
      <c r="N2612" t="s">
        <v>959</v>
      </c>
      <c r="O2612" s="3" t="str">
        <f>TEXT(Ticket_Table[[#This Row],[raised_date]],"YYYY-MM")</f>
        <v>2021-11</v>
      </c>
      <c r="P2612" s="3" t="str">
        <f>IF(Ticket_Table[[#This Row],[resolution_hrs]]&lt;=4,"Fast",IF(Ticket_Table[[#This Row],[resolution_hrs]]&lt;=24,"Normal",IF(Ticket_Table[[#This Row],[resolution_hrs]]&lt;=48,"Slow","Very Slow")))</f>
        <v>Fast</v>
      </c>
      <c r="Q2612" s="3">
        <f>YEAR(Ticket_Table[[#This Row],[raised_date]])</f>
        <v>2021</v>
      </c>
    </row>
    <row r="2613" spans="1:17">
      <c r="A2613" t="s">
        <v>3174</v>
      </c>
      <c r="B2613" t="s">
        <v>1297</v>
      </c>
      <c r="C2613" t="s">
        <v>64</v>
      </c>
      <c r="D2613" t="s">
        <v>43</v>
      </c>
      <c r="E2613" t="s">
        <v>69</v>
      </c>
      <c r="F2613" t="s">
        <v>22</v>
      </c>
      <c r="G2613" t="s">
        <v>23</v>
      </c>
      <c r="H2613" s="1">
        <v>44635</v>
      </c>
      <c r="I2613" s="2">
        <v>44635.9125</v>
      </c>
      <c r="J2613">
        <v>21.9</v>
      </c>
      <c r="K2613" t="s">
        <v>24</v>
      </c>
      <c r="L2613">
        <v>1</v>
      </c>
      <c r="M2613">
        <v>1</v>
      </c>
      <c r="N2613" t="s">
        <v>27</v>
      </c>
      <c r="O2613" s="3" t="str">
        <f>TEXT(Ticket_Table[[#This Row],[raised_date]],"YYYY-MM")</f>
        <v>2022-03</v>
      </c>
      <c r="P2613" s="3" t="str">
        <f>IF(Ticket_Table[[#This Row],[resolution_hrs]]&lt;=4,"Fast",IF(Ticket_Table[[#This Row],[resolution_hrs]]&lt;=24,"Normal",IF(Ticket_Table[[#This Row],[resolution_hrs]]&lt;=48,"Slow","Very Slow")))</f>
        <v>Normal</v>
      </c>
      <c r="Q2613" s="3">
        <f>YEAR(Ticket_Table[[#This Row],[raised_date]])</f>
        <v>2022</v>
      </c>
    </row>
    <row r="2614" spans="1:17">
      <c r="A2614" t="s">
        <v>3175</v>
      </c>
      <c r="B2614" t="s">
        <v>612</v>
      </c>
      <c r="C2614" t="s">
        <v>287</v>
      </c>
      <c r="D2614" t="s">
        <v>29</v>
      </c>
      <c r="E2614" t="s">
        <v>37</v>
      </c>
      <c r="F2614" t="s">
        <v>70</v>
      </c>
      <c r="G2614" t="s">
        <v>31</v>
      </c>
      <c r="H2614" s="1">
        <v>44650</v>
      </c>
      <c r="I2614" s="2">
        <v>44650.4666666667</v>
      </c>
      <c r="J2614">
        <v>11.2</v>
      </c>
      <c r="K2614" t="s">
        <v>24</v>
      </c>
      <c r="L2614">
        <v>1</v>
      </c>
      <c r="M2614">
        <v>4</v>
      </c>
      <c r="N2614" t="s">
        <v>269</v>
      </c>
      <c r="O2614" s="3" t="str">
        <f>TEXT(Ticket_Table[[#This Row],[raised_date]],"YYYY-MM")</f>
        <v>2022-03</v>
      </c>
      <c r="P2614" s="3" t="str">
        <f>IF(Ticket_Table[[#This Row],[resolution_hrs]]&lt;=4,"Fast",IF(Ticket_Table[[#This Row],[resolution_hrs]]&lt;=24,"Normal",IF(Ticket_Table[[#This Row],[resolution_hrs]]&lt;=48,"Slow","Very Slow")))</f>
        <v>Normal</v>
      </c>
      <c r="Q2614" s="3">
        <f>YEAR(Ticket_Table[[#This Row],[raised_date]])</f>
        <v>2022</v>
      </c>
    </row>
    <row r="2615" spans="1:17">
      <c r="A2615" t="s">
        <v>3176</v>
      </c>
      <c r="B2615" t="s">
        <v>746</v>
      </c>
      <c r="C2615" t="s">
        <v>50</v>
      </c>
      <c r="D2615" t="s">
        <v>29</v>
      </c>
      <c r="E2615" t="s">
        <v>51</v>
      </c>
      <c r="F2615" t="s">
        <v>22</v>
      </c>
      <c r="G2615" t="s">
        <v>23</v>
      </c>
      <c r="H2615" s="1">
        <v>44658</v>
      </c>
      <c r="I2615" s="2">
        <v>44660.3583333333</v>
      </c>
      <c r="J2615">
        <v>56.6</v>
      </c>
      <c r="K2615" t="s">
        <v>24</v>
      </c>
      <c r="L2615">
        <v>0</v>
      </c>
      <c r="M2615">
        <v>4</v>
      </c>
      <c r="N2615" t="s">
        <v>1474</v>
      </c>
      <c r="O2615" s="3" t="str">
        <f>TEXT(Ticket_Table[[#This Row],[raised_date]],"YYYY-MM")</f>
        <v>2022-04</v>
      </c>
      <c r="P2615" s="3" t="str">
        <f>IF(Ticket_Table[[#This Row],[resolution_hrs]]&lt;=4,"Fast",IF(Ticket_Table[[#This Row],[resolution_hrs]]&lt;=24,"Normal",IF(Ticket_Table[[#This Row],[resolution_hrs]]&lt;=48,"Slow","Very Slow")))</f>
        <v>Very Slow</v>
      </c>
      <c r="Q2615" s="3">
        <f>YEAR(Ticket_Table[[#This Row],[raised_date]])</f>
        <v>2022</v>
      </c>
    </row>
    <row r="2616" spans="1:17">
      <c r="A2616" t="s">
        <v>3177</v>
      </c>
      <c r="B2616" t="s">
        <v>192</v>
      </c>
      <c r="C2616" t="s">
        <v>261</v>
      </c>
      <c r="D2616" t="s">
        <v>20</v>
      </c>
      <c r="E2616" t="s">
        <v>83</v>
      </c>
      <c r="F2616" t="s">
        <v>70</v>
      </c>
      <c r="G2616" t="s">
        <v>46</v>
      </c>
      <c r="H2616" s="1">
        <v>44620</v>
      </c>
      <c r="I2616" s="2">
        <v>44621.7333333333</v>
      </c>
      <c r="J2616">
        <v>41.6</v>
      </c>
      <c r="K2616" t="s">
        <v>24</v>
      </c>
      <c r="L2616">
        <v>0</v>
      </c>
      <c r="M2616">
        <v>3</v>
      </c>
      <c r="N2616" t="s">
        <v>569</v>
      </c>
      <c r="O2616" s="3" t="str">
        <f>TEXT(Ticket_Table[[#This Row],[raised_date]],"YYYY-MM")</f>
        <v>2022-02</v>
      </c>
      <c r="P2616" s="3" t="str">
        <f>IF(Ticket_Table[[#This Row],[resolution_hrs]]&lt;=4,"Fast",IF(Ticket_Table[[#This Row],[resolution_hrs]]&lt;=24,"Normal",IF(Ticket_Table[[#This Row],[resolution_hrs]]&lt;=48,"Slow","Very Slow")))</f>
        <v>Slow</v>
      </c>
      <c r="Q2616" s="3">
        <f>YEAR(Ticket_Table[[#This Row],[raised_date]])</f>
        <v>2022</v>
      </c>
    </row>
    <row r="2617" spans="1:17">
      <c r="A2617" t="s">
        <v>3178</v>
      </c>
      <c r="B2617" t="s">
        <v>600</v>
      </c>
      <c r="C2617" t="s">
        <v>287</v>
      </c>
      <c r="D2617" t="s">
        <v>36</v>
      </c>
      <c r="E2617" t="s">
        <v>83</v>
      </c>
      <c r="F2617" t="s">
        <v>22</v>
      </c>
      <c r="G2617" t="s">
        <v>46</v>
      </c>
      <c r="H2617" s="1">
        <v>44748</v>
      </c>
      <c r="I2617" s="2">
        <v>44751.8625</v>
      </c>
      <c r="J2617">
        <v>92.7</v>
      </c>
      <c r="K2617" t="s">
        <v>32</v>
      </c>
      <c r="L2617">
        <v>0</v>
      </c>
      <c r="M2617">
        <v>4</v>
      </c>
      <c r="N2617" t="s">
        <v>191</v>
      </c>
      <c r="O2617" s="3" t="str">
        <f>TEXT(Ticket_Table[[#This Row],[raised_date]],"YYYY-MM")</f>
        <v>2022-07</v>
      </c>
      <c r="P2617" s="3" t="str">
        <f>IF(Ticket_Table[[#This Row],[resolution_hrs]]&lt;=4,"Fast",IF(Ticket_Table[[#This Row],[resolution_hrs]]&lt;=24,"Normal",IF(Ticket_Table[[#This Row],[resolution_hrs]]&lt;=48,"Slow","Very Slow")))</f>
        <v>Very Slow</v>
      </c>
      <c r="Q2617" s="3">
        <f>YEAR(Ticket_Table[[#This Row],[raised_date]])</f>
        <v>2022</v>
      </c>
    </row>
    <row r="2618" spans="1:17">
      <c r="A2618" t="s">
        <v>3179</v>
      </c>
      <c r="B2618" t="s">
        <v>262</v>
      </c>
      <c r="C2618" t="s">
        <v>78</v>
      </c>
      <c r="D2618" t="s">
        <v>36</v>
      </c>
      <c r="E2618" t="s">
        <v>21</v>
      </c>
      <c r="F2618" t="s">
        <v>70</v>
      </c>
      <c r="G2618" t="s">
        <v>23</v>
      </c>
      <c r="H2618" s="1">
        <v>45035</v>
      </c>
      <c r="I2618" s="2">
        <v>45036.5333333333</v>
      </c>
      <c r="J2618">
        <v>36.8</v>
      </c>
      <c r="K2618" t="s">
        <v>24</v>
      </c>
      <c r="L2618">
        <v>0</v>
      </c>
      <c r="M2618">
        <v>4</v>
      </c>
      <c r="N2618" t="s">
        <v>304</v>
      </c>
      <c r="O2618" s="3" t="str">
        <f>TEXT(Ticket_Table[[#This Row],[raised_date]],"YYYY-MM")</f>
        <v>2023-04</v>
      </c>
      <c r="P2618" s="3" t="str">
        <f>IF(Ticket_Table[[#This Row],[resolution_hrs]]&lt;=4,"Fast",IF(Ticket_Table[[#This Row],[resolution_hrs]]&lt;=24,"Normal",IF(Ticket_Table[[#This Row],[resolution_hrs]]&lt;=48,"Slow","Very Slow")))</f>
        <v>Slow</v>
      </c>
      <c r="Q2618" s="3">
        <f>YEAR(Ticket_Table[[#This Row],[raised_date]])</f>
        <v>2023</v>
      </c>
    </row>
    <row r="2619" spans="1:17">
      <c r="A2619" t="s">
        <v>3180</v>
      </c>
      <c r="B2619" t="s">
        <v>52</v>
      </c>
      <c r="C2619" t="s">
        <v>287</v>
      </c>
      <c r="D2619" t="s">
        <v>43</v>
      </c>
      <c r="E2619" t="s">
        <v>106</v>
      </c>
      <c r="F2619" t="s">
        <v>38</v>
      </c>
      <c r="G2619" t="s">
        <v>31</v>
      </c>
      <c r="H2619" s="1">
        <v>45248</v>
      </c>
      <c r="I2619" s="2">
        <v>45248.2291666667</v>
      </c>
      <c r="J2619">
        <v>5.5</v>
      </c>
      <c r="K2619" t="s">
        <v>24</v>
      </c>
      <c r="L2619">
        <v>0</v>
      </c>
      <c r="M2619">
        <v>3</v>
      </c>
      <c r="N2619" t="s">
        <v>429</v>
      </c>
      <c r="O2619" s="3" t="str">
        <f>TEXT(Ticket_Table[[#This Row],[raised_date]],"YYYY-MM")</f>
        <v>2023-11</v>
      </c>
      <c r="P2619" s="3" t="str">
        <f>IF(Ticket_Table[[#This Row],[resolution_hrs]]&lt;=4,"Fast",IF(Ticket_Table[[#This Row],[resolution_hrs]]&lt;=24,"Normal",IF(Ticket_Table[[#This Row],[resolution_hrs]]&lt;=48,"Slow","Very Slow")))</f>
        <v>Normal</v>
      </c>
      <c r="Q2619" s="3">
        <f>YEAR(Ticket_Table[[#This Row],[raised_date]])</f>
        <v>2023</v>
      </c>
    </row>
    <row r="2620" spans="1:17">
      <c r="A2620" t="s">
        <v>3181</v>
      </c>
      <c r="B2620" t="s">
        <v>372</v>
      </c>
      <c r="C2620" t="s">
        <v>133</v>
      </c>
      <c r="D2620" t="s">
        <v>43</v>
      </c>
      <c r="E2620" t="s">
        <v>69</v>
      </c>
      <c r="F2620" t="s">
        <v>70</v>
      </c>
      <c r="G2620" t="s">
        <v>31</v>
      </c>
      <c r="H2620" s="1">
        <v>44238</v>
      </c>
      <c r="I2620" s="2">
        <v>44240.4</v>
      </c>
      <c r="J2620">
        <v>57.6</v>
      </c>
      <c r="K2620" t="s">
        <v>32</v>
      </c>
      <c r="L2620">
        <v>0</v>
      </c>
      <c r="M2620">
        <v>3</v>
      </c>
      <c r="N2620" t="s">
        <v>442</v>
      </c>
      <c r="O2620" s="3" t="str">
        <f>TEXT(Ticket_Table[[#This Row],[raised_date]],"YYYY-MM")</f>
        <v>2021-02</v>
      </c>
      <c r="P26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620" s="3">
        <f>YEAR(Ticket_Table[[#This Row],[raised_date]])</f>
        <v>2021</v>
      </c>
    </row>
    <row r="2621" spans="1:17">
      <c r="A2621" t="s">
        <v>3182</v>
      </c>
      <c r="B2621" t="s">
        <v>466</v>
      </c>
      <c r="C2621" t="s">
        <v>68</v>
      </c>
      <c r="D2621" t="s">
        <v>29</v>
      </c>
      <c r="E2621" t="s">
        <v>106</v>
      </c>
      <c r="F2621" t="s">
        <v>70</v>
      </c>
      <c r="G2621" t="s">
        <v>31</v>
      </c>
      <c r="H2621" s="1">
        <v>44215</v>
      </c>
      <c r="I2621" s="2">
        <v>44215.9333333333</v>
      </c>
      <c r="J2621">
        <v>22.4</v>
      </c>
      <c r="K2621" t="s">
        <v>24</v>
      </c>
      <c r="L2621">
        <v>0</v>
      </c>
      <c r="M2621">
        <v>4</v>
      </c>
      <c r="N2621" t="s">
        <v>2204</v>
      </c>
      <c r="O2621" s="3" t="str">
        <f>TEXT(Ticket_Table[[#This Row],[raised_date]],"YYYY-MM")</f>
        <v>2021-01</v>
      </c>
      <c r="P2621" s="3" t="str">
        <f>IF(Ticket_Table[[#This Row],[resolution_hrs]]&lt;=4,"Fast",IF(Ticket_Table[[#This Row],[resolution_hrs]]&lt;=24,"Normal",IF(Ticket_Table[[#This Row],[resolution_hrs]]&lt;=48,"Slow","Very Slow")))</f>
        <v>Normal</v>
      </c>
      <c r="Q2621" s="3">
        <f>YEAR(Ticket_Table[[#This Row],[raised_date]])</f>
        <v>2021</v>
      </c>
    </row>
    <row r="2622" spans="1:17">
      <c r="A2622" t="s">
        <v>3183</v>
      </c>
      <c r="B2622" t="s">
        <v>337</v>
      </c>
      <c r="C2622" t="s">
        <v>201</v>
      </c>
      <c r="D2622" t="s">
        <v>36</v>
      </c>
      <c r="E2622" t="s">
        <v>37</v>
      </c>
      <c r="F2622" t="s">
        <v>70</v>
      </c>
      <c r="G2622" t="s">
        <v>23</v>
      </c>
      <c r="H2622" s="1">
        <v>45167</v>
      </c>
      <c r="I2622" s="2">
        <v>45169.0333333333</v>
      </c>
      <c r="J2622">
        <v>48.8</v>
      </c>
      <c r="K2622" t="s">
        <v>32</v>
      </c>
      <c r="L2622">
        <v>0</v>
      </c>
      <c r="M2622">
        <v>4</v>
      </c>
      <c r="N2622" t="s">
        <v>652</v>
      </c>
      <c r="O2622" s="3" t="str">
        <f>TEXT(Ticket_Table[[#This Row],[raised_date]],"YYYY-MM")</f>
        <v>2023-08</v>
      </c>
      <c r="P2622" s="3" t="str">
        <f>IF(Ticket_Table[[#This Row],[resolution_hrs]]&lt;=4,"Fast",IF(Ticket_Table[[#This Row],[resolution_hrs]]&lt;=24,"Normal",IF(Ticket_Table[[#This Row],[resolution_hrs]]&lt;=48,"Slow","Very Slow")))</f>
        <v>Very Slow</v>
      </c>
      <c r="Q2622" s="3">
        <f>YEAR(Ticket_Table[[#This Row],[raised_date]])</f>
        <v>2023</v>
      </c>
    </row>
    <row r="2623" spans="1:17">
      <c r="A2623" t="s">
        <v>3184</v>
      </c>
      <c r="B2623" t="s">
        <v>569</v>
      </c>
      <c r="C2623" t="s">
        <v>213</v>
      </c>
      <c r="D2623" t="s">
        <v>36</v>
      </c>
      <c r="E2623" t="s">
        <v>83</v>
      </c>
      <c r="F2623" t="s">
        <v>70</v>
      </c>
      <c r="G2623" t="s">
        <v>23</v>
      </c>
      <c r="H2623" s="1">
        <v>44467</v>
      </c>
      <c r="I2623" s="2">
        <v>44468.6666666667</v>
      </c>
      <c r="J2623">
        <v>40</v>
      </c>
      <c r="K2623" t="s">
        <v>24</v>
      </c>
      <c r="L2623">
        <v>0</v>
      </c>
      <c r="M2623">
        <v>4</v>
      </c>
      <c r="N2623" t="s">
        <v>1041</v>
      </c>
      <c r="O2623" s="3" t="str">
        <f>TEXT(Ticket_Table[[#This Row],[raised_date]],"YYYY-MM")</f>
        <v>2021-09</v>
      </c>
      <c r="P2623" s="3" t="str">
        <f>IF(Ticket_Table[[#This Row],[resolution_hrs]]&lt;=4,"Fast",IF(Ticket_Table[[#This Row],[resolution_hrs]]&lt;=24,"Normal",IF(Ticket_Table[[#This Row],[resolution_hrs]]&lt;=48,"Slow","Very Slow")))</f>
        <v>Slow</v>
      </c>
      <c r="Q2623" s="3">
        <f>YEAR(Ticket_Table[[#This Row],[raised_date]])</f>
        <v>2021</v>
      </c>
    </row>
    <row r="2624" spans="1:17">
      <c r="A2624" t="s">
        <v>3185</v>
      </c>
      <c r="B2624" t="s">
        <v>146</v>
      </c>
      <c r="C2624" t="s">
        <v>175</v>
      </c>
      <c r="D2624" t="s">
        <v>43</v>
      </c>
      <c r="E2624" t="s">
        <v>37</v>
      </c>
      <c r="F2624" t="s">
        <v>22</v>
      </c>
      <c r="G2624" t="s">
        <v>31</v>
      </c>
      <c r="H2624" s="1">
        <v>44551</v>
      </c>
      <c r="I2624" s="2">
        <v>44554.9416666667</v>
      </c>
      <c r="J2624">
        <v>94.6</v>
      </c>
      <c r="K2624" t="s">
        <v>32</v>
      </c>
      <c r="L2624">
        <v>0</v>
      </c>
      <c r="M2624">
        <v>4</v>
      </c>
      <c r="N2624" t="s">
        <v>312</v>
      </c>
      <c r="O2624" s="3" t="str">
        <f>TEXT(Ticket_Table[[#This Row],[raised_date]],"YYYY-MM")</f>
        <v>2021-12</v>
      </c>
      <c r="P2624" s="3" t="str">
        <f>IF(Ticket_Table[[#This Row],[resolution_hrs]]&lt;=4,"Fast",IF(Ticket_Table[[#This Row],[resolution_hrs]]&lt;=24,"Normal",IF(Ticket_Table[[#This Row],[resolution_hrs]]&lt;=48,"Slow","Very Slow")))</f>
        <v>Very Slow</v>
      </c>
      <c r="Q2624" s="3">
        <f>YEAR(Ticket_Table[[#This Row],[raised_date]])</f>
        <v>2021</v>
      </c>
    </row>
    <row r="2625" spans="1:17">
      <c r="A2625" t="s">
        <v>3186</v>
      </c>
      <c r="B2625" t="s">
        <v>116</v>
      </c>
      <c r="C2625" t="s">
        <v>175</v>
      </c>
      <c r="D2625" t="s">
        <v>90</v>
      </c>
      <c r="E2625" t="s">
        <v>30</v>
      </c>
      <c r="F2625" t="s">
        <v>22</v>
      </c>
      <c r="G2625" t="s">
        <v>91</v>
      </c>
      <c r="H2625" s="1">
        <v>44214</v>
      </c>
      <c r="I2625" s="2">
        <v>44214.7916666667</v>
      </c>
      <c r="J2625">
        <v>19</v>
      </c>
      <c r="K2625" t="s">
        <v>24</v>
      </c>
      <c r="L2625">
        <v>0</v>
      </c>
      <c r="M2625">
        <v>4</v>
      </c>
      <c r="N2625" t="s">
        <v>194</v>
      </c>
      <c r="O2625" s="3" t="str">
        <f>TEXT(Ticket_Table[[#This Row],[raised_date]],"YYYY-MM")</f>
        <v>2021-01</v>
      </c>
      <c r="P2625" s="3" t="str">
        <f>IF(Ticket_Table[[#This Row],[resolution_hrs]]&lt;=4,"Fast",IF(Ticket_Table[[#This Row],[resolution_hrs]]&lt;=24,"Normal",IF(Ticket_Table[[#This Row],[resolution_hrs]]&lt;=48,"Slow","Very Slow")))</f>
        <v>Normal</v>
      </c>
      <c r="Q2625" s="3">
        <f>YEAR(Ticket_Table[[#This Row],[raised_date]])</f>
        <v>2021</v>
      </c>
    </row>
    <row r="2626" spans="1:17">
      <c r="A2626" t="s">
        <v>3187</v>
      </c>
      <c r="B2626" t="s">
        <v>1760</v>
      </c>
      <c r="C2626" t="s">
        <v>50</v>
      </c>
      <c r="D2626" t="s">
        <v>29</v>
      </c>
      <c r="E2626" t="s">
        <v>51</v>
      </c>
      <c r="F2626" t="s">
        <v>38</v>
      </c>
      <c r="G2626" t="s">
        <v>23</v>
      </c>
      <c r="H2626" s="1">
        <v>44655</v>
      </c>
      <c r="I2626" s="2">
        <v>44655.6916666667</v>
      </c>
      <c r="J2626">
        <v>16.6</v>
      </c>
      <c r="K2626" t="s">
        <v>24</v>
      </c>
      <c r="L2626">
        <v>0</v>
      </c>
      <c r="M2626">
        <v>5</v>
      </c>
      <c r="N2626" t="s">
        <v>460</v>
      </c>
      <c r="O2626" s="3" t="str">
        <f>TEXT(Ticket_Table[[#This Row],[raised_date]],"YYYY-MM")</f>
        <v>2022-04</v>
      </c>
      <c r="P2626" s="3" t="str">
        <f>IF(Ticket_Table[[#This Row],[resolution_hrs]]&lt;=4,"Fast",IF(Ticket_Table[[#This Row],[resolution_hrs]]&lt;=24,"Normal",IF(Ticket_Table[[#This Row],[resolution_hrs]]&lt;=48,"Slow","Very Slow")))</f>
        <v>Normal</v>
      </c>
      <c r="Q2626" s="3">
        <f>YEAR(Ticket_Table[[#This Row],[raised_date]])</f>
        <v>2022</v>
      </c>
    </row>
    <row r="2627" spans="1:17">
      <c r="A2627" t="s">
        <v>3188</v>
      </c>
      <c r="B2627" t="s">
        <v>1356</v>
      </c>
      <c r="C2627" t="s">
        <v>102</v>
      </c>
      <c r="D2627" t="s">
        <v>36</v>
      </c>
      <c r="E2627" t="s">
        <v>21</v>
      </c>
      <c r="F2627" t="s">
        <v>22</v>
      </c>
      <c r="G2627" t="s">
        <v>46</v>
      </c>
      <c r="H2627" s="1">
        <v>44713</v>
      </c>
      <c r="I2627" s="2">
        <v>44713.5583333333</v>
      </c>
      <c r="J2627">
        <v>13.4</v>
      </c>
      <c r="K2627" t="s">
        <v>24</v>
      </c>
      <c r="L2627">
        <v>0</v>
      </c>
      <c r="M2627">
        <v>3</v>
      </c>
      <c r="N2627" t="s">
        <v>350</v>
      </c>
      <c r="O2627" s="3" t="str">
        <f>TEXT(Ticket_Table[[#This Row],[raised_date]],"YYYY-MM")</f>
        <v>2022-06</v>
      </c>
      <c r="P2627" s="3" t="str">
        <f>IF(Ticket_Table[[#This Row],[resolution_hrs]]&lt;=4,"Fast",IF(Ticket_Table[[#This Row],[resolution_hrs]]&lt;=24,"Normal",IF(Ticket_Table[[#This Row],[resolution_hrs]]&lt;=48,"Slow","Very Slow")))</f>
        <v>Normal</v>
      </c>
      <c r="Q2627" s="3">
        <f>YEAR(Ticket_Table[[#This Row],[raised_date]])</f>
        <v>2022</v>
      </c>
    </row>
    <row r="2628" spans="1:17">
      <c r="A2628" t="s">
        <v>3189</v>
      </c>
      <c r="B2628" t="s">
        <v>429</v>
      </c>
      <c r="C2628" t="s">
        <v>95</v>
      </c>
      <c r="D2628" t="s">
        <v>20</v>
      </c>
      <c r="E2628" t="s">
        <v>37</v>
      </c>
      <c r="F2628" t="s">
        <v>38</v>
      </c>
      <c r="G2628" t="s">
        <v>46</v>
      </c>
      <c r="H2628" s="1">
        <v>44822</v>
      </c>
      <c r="I2628" s="2">
        <v>44823.0083333333</v>
      </c>
      <c r="J2628">
        <v>24.2</v>
      </c>
      <c r="K2628" t="s">
        <v>32</v>
      </c>
      <c r="L2628">
        <v>0</v>
      </c>
      <c r="M2628">
        <v>5</v>
      </c>
      <c r="N2628" t="s">
        <v>849</v>
      </c>
      <c r="O2628" s="3" t="str">
        <f>TEXT(Ticket_Table[[#This Row],[raised_date]],"YYYY-MM")</f>
        <v>2022-09</v>
      </c>
      <c r="P2628" s="3" t="str">
        <f>IF(Ticket_Table[[#This Row],[resolution_hrs]]&lt;=4,"Fast",IF(Ticket_Table[[#This Row],[resolution_hrs]]&lt;=24,"Normal",IF(Ticket_Table[[#This Row],[resolution_hrs]]&lt;=48,"Slow","Very Slow")))</f>
        <v>Slow</v>
      </c>
      <c r="Q2628" s="3">
        <f>YEAR(Ticket_Table[[#This Row],[raised_date]])</f>
        <v>2022</v>
      </c>
    </row>
    <row r="2629" spans="1:17">
      <c r="A2629" t="s">
        <v>3190</v>
      </c>
      <c r="B2629" t="s">
        <v>937</v>
      </c>
      <c r="C2629" t="s">
        <v>117</v>
      </c>
      <c r="D2629" t="s">
        <v>20</v>
      </c>
      <c r="E2629" t="s">
        <v>21</v>
      </c>
      <c r="F2629" t="s">
        <v>45</v>
      </c>
      <c r="G2629" t="s">
        <v>23</v>
      </c>
      <c r="H2629" s="1">
        <v>44760</v>
      </c>
      <c r="I2629" s="2">
        <v>44760.0916666667</v>
      </c>
      <c r="J2629">
        <v>2.2</v>
      </c>
      <c r="K2629" t="s">
        <v>24</v>
      </c>
      <c r="L2629">
        <v>0</v>
      </c>
      <c r="M2629">
        <v>4</v>
      </c>
      <c r="N2629" t="s">
        <v>880</v>
      </c>
      <c r="O2629" s="3" t="str">
        <f>TEXT(Ticket_Table[[#This Row],[raised_date]],"YYYY-MM")</f>
        <v>2022-07</v>
      </c>
      <c r="P2629" s="3" t="str">
        <f>IF(Ticket_Table[[#This Row],[resolution_hrs]]&lt;=4,"Fast",IF(Ticket_Table[[#This Row],[resolution_hrs]]&lt;=24,"Normal",IF(Ticket_Table[[#This Row],[resolution_hrs]]&lt;=48,"Slow","Very Slow")))</f>
        <v>Fast</v>
      </c>
      <c r="Q2629" s="3">
        <f>YEAR(Ticket_Table[[#This Row],[raised_date]])</f>
        <v>2022</v>
      </c>
    </row>
    <row r="2630" spans="1:17">
      <c r="A2630" t="s">
        <v>3191</v>
      </c>
      <c r="B2630" t="s">
        <v>185</v>
      </c>
      <c r="C2630" t="s">
        <v>78</v>
      </c>
      <c r="D2630" t="s">
        <v>90</v>
      </c>
      <c r="E2630" t="s">
        <v>51</v>
      </c>
      <c r="F2630" t="s">
        <v>22</v>
      </c>
      <c r="G2630" t="s">
        <v>23</v>
      </c>
      <c r="H2630" s="1">
        <v>45064</v>
      </c>
      <c r="I2630" s="2">
        <v>45064.9833333333</v>
      </c>
      <c r="J2630">
        <v>23.6</v>
      </c>
      <c r="K2630" t="s">
        <v>24</v>
      </c>
      <c r="L2630">
        <v>0</v>
      </c>
      <c r="M2630">
        <v>4</v>
      </c>
      <c r="N2630" t="s">
        <v>853</v>
      </c>
      <c r="O2630" s="3" t="str">
        <f>TEXT(Ticket_Table[[#This Row],[raised_date]],"YYYY-MM")</f>
        <v>2023-05</v>
      </c>
      <c r="P2630" s="3" t="str">
        <f>IF(Ticket_Table[[#This Row],[resolution_hrs]]&lt;=4,"Fast",IF(Ticket_Table[[#This Row],[resolution_hrs]]&lt;=24,"Normal",IF(Ticket_Table[[#This Row],[resolution_hrs]]&lt;=48,"Slow","Very Slow")))</f>
        <v>Normal</v>
      </c>
      <c r="Q2630" s="3">
        <f>YEAR(Ticket_Table[[#This Row],[raised_date]])</f>
        <v>2023</v>
      </c>
    </row>
    <row r="2631" spans="1:17">
      <c r="A2631" t="s">
        <v>3192</v>
      </c>
      <c r="B2631" t="s">
        <v>172</v>
      </c>
      <c r="C2631" t="s">
        <v>213</v>
      </c>
      <c r="D2631" t="s">
        <v>43</v>
      </c>
      <c r="E2631" t="s">
        <v>44</v>
      </c>
      <c r="F2631" t="s">
        <v>70</v>
      </c>
      <c r="G2631" t="s">
        <v>31</v>
      </c>
      <c r="H2631" s="1">
        <v>44968</v>
      </c>
      <c r="I2631" s="2">
        <v>44970.2708333333</v>
      </c>
      <c r="J2631">
        <v>54.5</v>
      </c>
      <c r="K2631" t="s">
        <v>32</v>
      </c>
      <c r="L2631">
        <v>0</v>
      </c>
      <c r="M2631">
        <v>4</v>
      </c>
      <c r="N2631" t="s">
        <v>344</v>
      </c>
      <c r="O2631" s="3" t="str">
        <f>TEXT(Ticket_Table[[#This Row],[raised_date]],"YYYY-MM")</f>
        <v>2023-02</v>
      </c>
      <c r="P2631" s="3" t="str">
        <f>IF(Ticket_Table[[#This Row],[resolution_hrs]]&lt;=4,"Fast",IF(Ticket_Table[[#This Row],[resolution_hrs]]&lt;=24,"Normal",IF(Ticket_Table[[#This Row],[resolution_hrs]]&lt;=48,"Slow","Very Slow")))</f>
        <v>Very Slow</v>
      </c>
      <c r="Q2631" s="3">
        <f>YEAR(Ticket_Table[[#This Row],[raised_date]])</f>
        <v>2023</v>
      </c>
    </row>
    <row r="2632" spans="1:17">
      <c r="A2632" t="s">
        <v>3193</v>
      </c>
      <c r="B2632" t="s">
        <v>853</v>
      </c>
      <c r="C2632" t="s">
        <v>42</v>
      </c>
      <c r="D2632" t="s">
        <v>43</v>
      </c>
      <c r="E2632" t="s">
        <v>37</v>
      </c>
      <c r="F2632" t="s">
        <v>70</v>
      </c>
      <c r="G2632" t="s">
        <v>23</v>
      </c>
      <c r="H2632" s="1">
        <v>44911</v>
      </c>
      <c r="I2632" s="2">
        <v>44912.9916666667</v>
      </c>
      <c r="J2632">
        <v>47.8</v>
      </c>
      <c r="K2632" t="s">
        <v>24</v>
      </c>
      <c r="L2632">
        <v>0</v>
      </c>
      <c r="M2632">
        <v>3</v>
      </c>
      <c r="N2632" t="s">
        <v>302</v>
      </c>
      <c r="O2632" s="3" t="str">
        <f>TEXT(Ticket_Table[[#This Row],[raised_date]],"YYYY-MM")</f>
        <v>2022-12</v>
      </c>
      <c r="P2632" s="3" t="str">
        <f>IF(Ticket_Table[[#This Row],[resolution_hrs]]&lt;=4,"Fast",IF(Ticket_Table[[#This Row],[resolution_hrs]]&lt;=24,"Normal",IF(Ticket_Table[[#This Row],[resolution_hrs]]&lt;=48,"Slow","Very Slow")))</f>
        <v>Slow</v>
      </c>
      <c r="Q2632" s="3">
        <f>YEAR(Ticket_Table[[#This Row],[raised_date]])</f>
        <v>2022</v>
      </c>
    </row>
    <row r="2633" spans="1:17">
      <c r="A2633" t="s">
        <v>3194</v>
      </c>
      <c r="B2633" t="s">
        <v>1226</v>
      </c>
      <c r="C2633" t="s">
        <v>68</v>
      </c>
      <c r="D2633" t="s">
        <v>43</v>
      </c>
      <c r="E2633" t="s">
        <v>56</v>
      </c>
      <c r="F2633" t="s">
        <v>38</v>
      </c>
      <c r="G2633" t="s">
        <v>23</v>
      </c>
      <c r="H2633" s="1">
        <v>45137</v>
      </c>
      <c r="I2633" s="2">
        <v>45137.1708333333</v>
      </c>
      <c r="J2633">
        <v>4.1</v>
      </c>
      <c r="K2633" t="s">
        <v>24</v>
      </c>
      <c r="L2633">
        <v>1</v>
      </c>
      <c r="M2633">
        <v>4</v>
      </c>
      <c r="N2633" t="s">
        <v>107</v>
      </c>
      <c r="O2633" s="3" t="str">
        <f>TEXT(Ticket_Table[[#This Row],[raised_date]],"YYYY-MM")</f>
        <v>2023-07</v>
      </c>
      <c r="P2633" s="3" t="str">
        <f>IF(Ticket_Table[[#This Row],[resolution_hrs]]&lt;=4,"Fast",IF(Ticket_Table[[#This Row],[resolution_hrs]]&lt;=24,"Normal",IF(Ticket_Table[[#This Row],[resolution_hrs]]&lt;=48,"Slow","Very Slow")))</f>
        <v>Normal</v>
      </c>
      <c r="Q2633" s="3">
        <f>YEAR(Ticket_Table[[#This Row],[raised_date]])</f>
        <v>2023</v>
      </c>
    </row>
    <row r="2634" spans="1:17">
      <c r="A2634" t="s">
        <v>3195</v>
      </c>
      <c r="B2634" t="s">
        <v>1857</v>
      </c>
      <c r="C2634" t="s">
        <v>50</v>
      </c>
      <c r="D2634" t="s">
        <v>20</v>
      </c>
      <c r="E2634" t="s">
        <v>166</v>
      </c>
      <c r="F2634" t="s">
        <v>45</v>
      </c>
      <c r="G2634" t="s">
        <v>23</v>
      </c>
      <c r="H2634" s="1">
        <v>44713</v>
      </c>
      <c r="I2634" s="2">
        <v>44713.1333333333</v>
      </c>
      <c r="J2634">
        <v>3.2</v>
      </c>
      <c r="K2634" t="s">
        <v>24</v>
      </c>
      <c r="L2634">
        <v>0</v>
      </c>
      <c r="M2634">
        <v>3</v>
      </c>
      <c r="N2634" t="s">
        <v>284</v>
      </c>
      <c r="O2634" s="3" t="str">
        <f>TEXT(Ticket_Table[[#This Row],[raised_date]],"YYYY-MM")</f>
        <v>2022-06</v>
      </c>
      <c r="P2634" s="3" t="str">
        <f>IF(Ticket_Table[[#This Row],[resolution_hrs]]&lt;=4,"Fast",IF(Ticket_Table[[#This Row],[resolution_hrs]]&lt;=24,"Normal",IF(Ticket_Table[[#This Row],[resolution_hrs]]&lt;=48,"Slow","Very Slow")))</f>
        <v>Fast</v>
      </c>
      <c r="Q2634" s="3">
        <f>YEAR(Ticket_Table[[#This Row],[raised_date]])</f>
        <v>2022</v>
      </c>
    </row>
    <row r="2635" spans="1:17">
      <c r="A2635" t="s">
        <v>3196</v>
      </c>
      <c r="B2635" t="s">
        <v>1039</v>
      </c>
      <c r="C2635" t="s">
        <v>82</v>
      </c>
      <c r="D2635" t="s">
        <v>43</v>
      </c>
      <c r="E2635" t="s">
        <v>83</v>
      </c>
      <c r="F2635" t="s">
        <v>38</v>
      </c>
      <c r="G2635" t="s">
        <v>31</v>
      </c>
      <c r="H2635" s="1">
        <v>44643</v>
      </c>
      <c r="I2635" s="2">
        <v>44644.0875</v>
      </c>
      <c r="J2635">
        <v>26.1</v>
      </c>
      <c r="K2635" t="s">
        <v>32</v>
      </c>
      <c r="L2635">
        <v>1</v>
      </c>
      <c r="M2635">
        <v>3</v>
      </c>
      <c r="N2635" t="s">
        <v>542</v>
      </c>
      <c r="O2635" s="3" t="str">
        <f>TEXT(Ticket_Table[[#This Row],[raised_date]],"YYYY-MM")</f>
        <v>2022-03</v>
      </c>
      <c r="P2635" s="3" t="str">
        <f>IF(Ticket_Table[[#This Row],[resolution_hrs]]&lt;=4,"Fast",IF(Ticket_Table[[#This Row],[resolution_hrs]]&lt;=24,"Normal",IF(Ticket_Table[[#This Row],[resolution_hrs]]&lt;=48,"Slow","Very Slow")))</f>
        <v>Slow</v>
      </c>
      <c r="Q2635" s="3">
        <f>YEAR(Ticket_Table[[#This Row],[raised_date]])</f>
        <v>2022</v>
      </c>
    </row>
    <row r="2636" spans="1:17">
      <c r="A2636" t="s">
        <v>3197</v>
      </c>
      <c r="B2636" t="s">
        <v>438</v>
      </c>
      <c r="C2636" t="s">
        <v>201</v>
      </c>
      <c r="D2636" t="s">
        <v>20</v>
      </c>
      <c r="E2636" t="s">
        <v>83</v>
      </c>
      <c r="F2636" t="s">
        <v>22</v>
      </c>
      <c r="G2636" t="s">
        <v>23</v>
      </c>
      <c r="H2636" s="1">
        <v>45152</v>
      </c>
      <c r="I2636" s="2">
        <v>45152.7541666667</v>
      </c>
      <c r="J2636">
        <v>18.1</v>
      </c>
      <c r="K2636" t="s">
        <v>24</v>
      </c>
      <c r="L2636">
        <v>0</v>
      </c>
      <c r="M2636">
        <v>4</v>
      </c>
      <c r="N2636" t="s">
        <v>367</v>
      </c>
      <c r="O2636" s="3" t="str">
        <f>TEXT(Ticket_Table[[#This Row],[raised_date]],"YYYY-MM")</f>
        <v>2023-08</v>
      </c>
      <c r="P2636" s="3" t="str">
        <f>IF(Ticket_Table[[#This Row],[resolution_hrs]]&lt;=4,"Fast",IF(Ticket_Table[[#This Row],[resolution_hrs]]&lt;=24,"Normal",IF(Ticket_Table[[#This Row],[resolution_hrs]]&lt;=48,"Slow","Very Slow")))</f>
        <v>Normal</v>
      </c>
      <c r="Q2636" s="3">
        <f>YEAR(Ticket_Table[[#This Row],[raised_date]])</f>
        <v>2023</v>
      </c>
    </row>
    <row r="2637" spans="1:17">
      <c r="A2637" t="s">
        <v>3198</v>
      </c>
      <c r="B2637" t="s">
        <v>947</v>
      </c>
      <c r="C2637" t="s">
        <v>42</v>
      </c>
      <c r="D2637" t="s">
        <v>90</v>
      </c>
      <c r="E2637" t="s">
        <v>83</v>
      </c>
      <c r="F2637" t="s">
        <v>38</v>
      </c>
      <c r="G2637" t="s">
        <v>46</v>
      </c>
      <c r="H2637" s="1">
        <v>44815</v>
      </c>
      <c r="I2637" s="2">
        <v>44816.3958333333</v>
      </c>
      <c r="J2637">
        <v>33.5</v>
      </c>
      <c r="K2637" t="s">
        <v>32</v>
      </c>
      <c r="L2637">
        <v>2</v>
      </c>
      <c r="M2637">
        <v>3</v>
      </c>
      <c r="N2637" t="s">
        <v>653</v>
      </c>
      <c r="O2637" s="3" t="str">
        <f>TEXT(Ticket_Table[[#This Row],[raised_date]],"YYYY-MM")</f>
        <v>2022-09</v>
      </c>
      <c r="P2637" s="3" t="str">
        <f>IF(Ticket_Table[[#This Row],[resolution_hrs]]&lt;=4,"Fast",IF(Ticket_Table[[#This Row],[resolution_hrs]]&lt;=24,"Normal",IF(Ticket_Table[[#This Row],[resolution_hrs]]&lt;=48,"Slow","Very Slow")))</f>
        <v>Slow</v>
      </c>
      <c r="Q2637" s="3">
        <f>YEAR(Ticket_Table[[#This Row],[raised_date]])</f>
        <v>2022</v>
      </c>
    </row>
    <row r="2638" spans="1:17">
      <c r="A2638" t="s">
        <v>3199</v>
      </c>
      <c r="B2638" t="s">
        <v>504</v>
      </c>
      <c r="C2638" t="s">
        <v>213</v>
      </c>
      <c r="D2638" t="s">
        <v>29</v>
      </c>
      <c r="E2638" t="s">
        <v>44</v>
      </c>
      <c r="F2638" t="s">
        <v>70</v>
      </c>
      <c r="G2638" t="s">
        <v>46</v>
      </c>
      <c r="H2638" s="1">
        <v>45263</v>
      </c>
      <c r="I2638" s="2">
        <v>45265.7125</v>
      </c>
      <c r="J2638">
        <v>65.1</v>
      </c>
      <c r="K2638" t="s">
        <v>32</v>
      </c>
      <c r="L2638">
        <v>0</v>
      </c>
      <c r="M2638">
        <v>3</v>
      </c>
      <c r="N2638" t="s">
        <v>712</v>
      </c>
      <c r="O2638" s="3" t="str">
        <f>TEXT(Ticket_Table[[#This Row],[raised_date]],"YYYY-MM")</f>
        <v>2023-12</v>
      </c>
      <c r="P2638" s="3" t="str">
        <f>IF(Ticket_Table[[#This Row],[resolution_hrs]]&lt;=4,"Fast",IF(Ticket_Table[[#This Row],[resolution_hrs]]&lt;=24,"Normal",IF(Ticket_Table[[#This Row],[resolution_hrs]]&lt;=48,"Slow","Very Slow")))</f>
        <v>Very Slow</v>
      </c>
      <c r="Q2638" s="3">
        <f>YEAR(Ticket_Table[[#This Row],[raised_date]])</f>
        <v>2023</v>
      </c>
    </row>
    <row r="2639" spans="1:17">
      <c r="A2639" t="s">
        <v>3200</v>
      </c>
      <c r="B2639" t="s">
        <v>358</v>
      </c>
      <c r="C2639" t="s">
        <v>28</v>
      </c>
      <c r="D2639" t="s">
        <v>36</v>
      </c>
      <c r="E2639" t="s">
        <v>166</v>
      </c>
      <c r="F2639" t="s">
        <v>70</v>
      </c>
      <c r="G2639" t="s">
        <v>23</v>
      </c>
      <c r="H2639" s="1">
        <v>45010</v>
      </c>
      <c r="I2639" s="2">
        <v>45012.3083333333</v>
      </c>
      <c r="J2639">
        <v>55.4</v>
      </c>
      <c r="K2639" t="s">
        <v>32</v>
      </c>
      <c r="L2639">
        <v>0</v>
      </c>
      <c r="M2639">
        <v>5</v>
      </c>
      <c r="N2639" t="s">
        <v>18</v>
      </c>
      <c r="O2639" s="3" t="str">
        <f>TEXT(Ticket_Table[[#This Row],[raised_date]],"YYYY-MM")</f>
        <v>2023-03</v>
      </c>
      <c r="P2639" s="3" t="str">
        <f>IF(Ticket_Table[[#This Row],[resolution_hrs]]&lt;=4,"Fast",IF(Ticket_Table[[#This Row],[resolution_hrs]]&lt;=24,"Normal",IF(Ticket_Table[[#This Row],[resolution_hrs]]&lt;=48,"Slow","Very Slow")))</f>
        <v>Very Slow</v>
      </c>
      <c r="Q2639" s="3">
        <f>YEAR(Ticket_Table[[#This Row],[raised_date]])</f>
        <v>2023</v>
      </c>
    </row>
    <row r="2640" spans="1:17">
      <c r="A2640" t="s">
        <v>3201</v>
      </c>
      <c r="B2640" t="s">
        <v>1291</v>
      </c>
      <c r="C2640" t="s">
        <v>28</v>
      </c>
      <c r="D2640" t="s">
        <v>90</v>
      </c>
      <c r="E2640" t="s">
        <v>51</v>
      </c>
      <c r="F2640" t="s">
        <v>22</v>
      </c>
      <c r="G2640" t="s">
        <v>31</v>
      </c>
      <c r="H2640" s="1">
        <v>44406</v>
      </c>
      <c r="I2640" s="2">
        <v>44407.025</v>
      </c>
      <c r="J2640">
        <v>24.6</v>
      </c>
      <c r="K2640" t="s">
        <v>24</v>
      </c>
      <c r="L2640">
        <v>0</v>
      </c>
      <c r="M2640">
        <v>5</v>
      </c>
      <c r="N2640" t="s">
        <v>312</v>
      </c>
      <c r="O2640" s="3" t="str">
        <f>TEXT(Ticket_Table[[#This Row],[raised_date]],"YYYY-MM")</f>
        <v>2021-07</v>
      </c>
      <c r="P2640" s="3" t="str">
        <f>IF(Ticket_Table[[#This Row],[resolution_hrs]]&lt;=4,"Fast",IF(Ticket_Table[[#This Row],[resolution_hrs]]&lt;=24,"Normal",IF(Ticket_Table[[#This Row],[resolution_hrs]]&lt;=48,"Slow","Very Slow")))</f>
        <v>Slow</v>
      </c>
      <c r="Q2640" s="3">
        <f>YEAR(Ticket_Table[[#This Row],[raised_date]])</f>
        <v>2021</v>
      </c>
    </row>
    <row r="2641" spans="1:17">
      <c r="A2641" t="s">
        <v>3202</v>
      </c>
      <c r="B2641" t="s">
        <v>426</v>
      </c>
      <c r="C2641" t="s">
        <v>28</v>
      </c>
      <c r="D2641" t="s">
        <v>20</v>
      </c>
      <c r="E2641" t="s">
        <v>44</v>
      </c>
      <c r="F2641" t="s">
        <v>22</v>
      </c>
      <c r="G2641" t="s">
        <v>23</v>
      </c>
      <c r="H2641" s="1">
        <v>44212</v>
      </c>
      <c r="I2641" s="2">
        <v>44213.1916666667</v>
      </c>
      <c r="J2641">
        <v>28.6</v>
      </c>
      <c r="K2641" t="s">
        <v>24</v>
      </c>
      <c r="L2641">
        <v>2</v>
      </c>
      <c r="M2641">
        <v>4</v>
      </c>
      <c r="N2641" t="s">
        <v>703</v>
      </c>
      <c r="O2641" s="3" t="str">
        <f>TEXT(Ticket_Table[[#This Row],[raised_date]],"YYYY-MM")</f>
        <v>2021-01</v>
      </c>
      <c r="P2641" s="3" t="str">
        <f>IF(Ticket_Table[[#This Row],[resolution_hrs]]&lt;=4,"Fast",IF(Ticket_Table[[#This Row],[resolution_hrs]]&lt;=24,"Normal",IF(Ticket_Table[[#This Row],[resolution_hrs]]&lt;=48,"Slow","Very Slow")))</f>
        <v>Slow</v>
      </c>
      <c r="Q2641" s="3">
        <f>YEAR(Ticket_Table[[#This Row],[raised_date]])</f>
        <v>2021</v>
      </c>
    </row>
    <row r="2642" spans="1:17">
      <c r="A2642" t="s">
        <v>3203</v>
      </c>
      <c r="B2642" t="s">
        <v>640</v>
      </c>
      <c r="C2642" t="s">
        <v>64</v>
      </c>
      <c r="D2642" t="s">
        <v>90</v>
      </c>
      <c r="E2642" t="s">
        <v>83</v>
      </c>
      <c r="F2642" t="s">
        <v>38</v>
      </c>
      <c r="G2642" t="s">
        <v>23</v>
      </c>
      <c r="H2642" s="1">
        <v>45244</v>
      </c>
      <c r="I2642" s="2">
        <v>45244.7375</v>
      </c>
      <c r="J2642">
        <v>17.7</v>
      </c>
      <c r="K2642" t="s">
        <v>24</v>
      </c>
      <c r="L2642">
        <v>0</v>
      </c>
      <c r="M2642">
        <v>5</v>
      </c>
      <c r="N2642" t="s">
        <v>438</v>
      </c>
      <c r="O2642" s="3" t="str">
        <f>TEXT(Ticket_Table[[#This Row],[raised_date]],"YYYY-MM")</f>
        <v>2023-11</v>
      </c>
      <c r="P2642" s="3" t="str">
        <f>IF(Ticket_Table[[#This Row],[resolution_hrs]]&lt;=4,"Fast",IF(Ticket_Table[[#This Row],[resolution_hrs]]&lt;=24,"Normal",IF(Ticket_Table[[#This Row],[resolution_hrs]]&lt;=48,"Slow","Very Slow")))</f>
        <v>Normal</v>
      </c>
      <c r="Q2642" s="3">
        <f>YEAR(Ticket_Table[[#This Row],[raised_date]])</f>
        <v>2023</v>
      </c>
    </row>
    <row r="2643" spans="1:17">
      <c r="A2643" t="s">
        <v>3204</v>
      </c>
      <c r="B2643" t="s">
        <v>347</v>
      </c>
      <c r="C2643" t="s">
        <v>140</v>
      </c>
      <c r="D2643" t="s">
        <v>36</v>
      </c>
      <c r="E2643" t="s">
        <v>83</v>
      </c>
      <c r="F2643" t="s">
        <v>70</v>
      </c>
      <c r="G2643" t="s">
        <v>23</v>
      </c>
      <c r="H2643" s="1">
        <v>44963</v>
      </c>
      <c r="I2643" s="2">
        <v>44965.6958333333</v>
      </c>
      <c r="J2643">
        <v>64.7</v>
      </c>
      <c r="K2643" t="s">
        <v>32</v>
      </c>
      <c r="L2643">
        <v>1</v>
      </c>
      <c r="M2643">
        <v>5</v>
      </c>
      <c r="N2643" t="s">
        <v>161</v>
      </c>
      <c r="O2643" s="3" t="str">
        <f>TEXT(Ticket_Table[[#This Row],[raised_date]],"YYYY-MM")</f>
        <v>2023-02</v>
      </c>
      <c r="P2643" s="3" t="str">
        <f>IF(Ticket_Table[[#This Row],[resolution_hrs]]&lt;=4,"Fast",IF(Ticket_Table[[#This Row],[resolution_hrs]]&lt;=24,"Normal",IF(Ticket_Table[[#This Row],[resolution_hrs]]&lt;=48,"Slow","Very Slow")))</f>
        <v>Very Slow</v>
      </c>
      <c r="Q2643" s="3">
        <f>YEAR(Ticket_Table[[#This Row],[raised_date]])</f>
        <v>2023</v>
      </c>
    </row>
    <row r="2644" spans="1:17">
      <c r="A2644" t="s">
        <v>3205</v>
      </c>
      <c r="B2644" t="s">
        <v>172</v>
      </c>
      <c r="C2644" t="s">
        <v>213</v>
      </c>
      <c r="D2644" t="s">
        <v>29</v>
      </c>
      <c r="E2644" t="s">
        <v>106</v>
      </c>
      <c r="F2644" t="s">
        <v>70</v>
      </c>
      <c r="G2644" t="s">
        <v>23</v>
      </c>
      <c r="H2644" s="1">
        <v>44775</v>
      </c>
      <c r="I2644" s="2">
        <v>44775.4041666667</v>
      </c>
      <c r="J2644">
        <v>9.7</v>
      </c>
      <c r="K2644" t="s">
        <v>24</v>
      </c>
      <c r="L2644">
        <v>0</v>
      </c>
      <c r="M2644">
        <v>4</v>
      </c>
      <c r="N2644" t="s">
        <v>337</v>
      </c>
      <c r="O2644" s="3" t="str">
        <f>TEXT(Ticket_Table[[#This Row],[raised_date]],"YYYY-MM")</f>
        <v>2022-08</v>
      </c>
      <c r="P2644" s="3" t="str">
        <f>IF(Ticket_Table[[#This Row],[resolution_hrs]]&lt;=4,"Fast",IF(Ticket_Table[[#This Row],[resolution_hrs]]&lt;=24,"Normal",IF(Ticket_Table[[#This Row],[resolution_hrs]]&lt;=48,"Slow","Very Slow")))</f>
        <v>Normal</v>
      </c>
      <c r="Q2644" s="3">
        <f>YEAR(Ticket_Table[[#This Row],[raised_date]])</f>
        <v>2022</v>
      </c>
    </row>
    <row r="2645" spans="1:17">
      <c r="A2645" t="s">
        <v>3206</v>
      </c>
      <c r="B2645" t="s">
        <v>698</v>
      </c>
      <c r="C2645" t="s">
        <v>287</v>
      </c>
      <c r="D2645" t="s">
        <v>36</v>
      </c>
      <c r="E2645" t="s">
        <v>21</v>
      </c>
      <c r="F2645" t="s">
        <v>70</v>
      </c>
      <c r="G2645" t="s">
        <v>46</v>
      </c>
      <c r="H2645" s="1">
        <v>44808</v>
      </c>
      <c r="I2645" s="2">
        <v>44808.4416666667</v>
      </c>
      <c r="J2645">
        <v>10.6</v>
      </c>
      <c r="K2645" t="s">
        <v>24</v>
      </c>
      <c r="L2645">
        <v>1</v>
      </c>
      <c r="M2645">
        <v>5</v>
      </c>
      <c r="N2645" t="s">
        <v>220</v>
      </c>
      <c r="O2645" s="3" t="str">
        <f>TEXT(Ticket_Table[[#This Row],[raised_date]],"YYYY-MM")</f>
        <v>2022-09</v>
      </c>
      <c r="P2645" s="3" t="str">
        <f>IF(Ticket_Table[[#This Row],[resolution_hrs]]&lt;=4,"Fast",IF(Ticket_Table[[#This Row],[resolution_hrs]]&lt;=24,"Normal",IF(Ticket_Table[[#This Row],[resolution_hrs]]&lt;=48,"Slow","Very Slow")))</f>
        <v>Normal</v>
      </c>
      <c r="Q2645" s="3">
        <f>YEAR(Ticket_Table[[#This Row],[raised_date]])</f>
        <v>2022</v>
      </c>
    </row>
    <row r="2646" spans="1:17">
      <c r="A2646" t="s">
        <v>3207</v>
      </c>
      <c r="B2646" t="s">
        <v>504</v>
      </c>
      <c r="C2646" t="s">
        <v>19</v>
      </c>
      <c r="D2646" t="s">
        <v>20</v>
      </c>
      <c r="E2646" t="s">
        <v>21</v>
      </c>
      <c r="F2646" t="s">
        <v>38</v>
      </c>
      <c r="G2646" t="s">
        <v>31</v>
      </c>
      <c r="H2646" s="1">
        <v>44418</v>
      </c>
      <c r="I2646" s="2">
        <v>44418.8208333333</v>
      </c>
      <c r="J2646">
        <v>19.7</v>
      </c>
      <c r="K2646" t="s">
        <v>24</v>
      </c>
      <c r="L2646">
        <v>1</v>
      </c>
      <c r="M2646">
        <v>3</v>
      </c>
      <c r="N2646" t="s">
        <v>592</v>
      </c>
      <c r="O2646" s="3" t="str">
        <f>TEXT(Ticket_Table[[#This Row],[raised_date]],"YYYY-MM")</f>
        <v>2021-08</v>
      </c>
      <c r="P2646" s="3" t="str">
        <f>IF(Ticket_Table[[#This Row],[resolution_hrs]]&lt;=4,"Fast",IF(Ticket_Table[[#This Row],[resolution_hrs]]&lt;=24,"Normal",IF(Ticket_Table[[#This Row],[resolution_hrs]]&lt;=48,"Slow","Very Slow")))</f>
        <v>Normal</v>
      </c>
      <c r="Q2646" s="3">
        <f>YEAR(Ticket_Table[[#This Row],[raised_date]])</f>
        <v>2021</v>
      </c>
    </row>
    <row r="2647" spans="1:17">
      <c r="A2647" t="s">
        <v>3208</v>
      </c>
      <c r="B2647" t="s">
        <v>758</v>
      </c>
      <c r="C2647" t="s">
        <v>133</v>
      </c>
      <c r="D2647" t="s">
        <v>36</v>
      </c>
      <c r="E2647" t="s">
        <v>106</v>
      </c>
      <c r="F2647" t="s">
        <v>38</v>
      </c>
      <c r="G2647" t="s">
        <v>23</v>
      </c>
      <c r="H2647" s="1">
        <v>45183</v>
      </c>
      <c r="I2647" s="2">
        <v>45184.1</v>
      </c>
      <c r="J2647">
        <v>26.4</v>
      </c>
      <c r="K2647" t="s">
        <v>32</v>
      </c>
      <c r="L2647">
        <v>3</v>
      </c>
      <c r="M2647">
        <v>4</v>
      </c>
      <c r="N2647" t="s">
        <v>474</v>
      </c>
      <c r="O2647" s="3" t="str">
        <f>TEXT(Ticket_Table[[#This Row],[raised_date]],"YYYY-MM")</f>
        <v>2023-09</v>
      </c>
      <c r="P2647" s="3" t="str">
        <f>IF(Ticket_Table[[#This Row],[resolution_hrs]]&lt;=4,"Fast",IF(Ticket_Table[[#This Row],[resolution_hrs]]&lt;=24,"Normal",IF(Ticket_Table[[#This Row],[resolution_hrs]]&lt;=48,"Slow","Very Slow")))</f>
        <v>Slow</v>
      </c>
      <c r="Q2647" s="3">
        <f>YEAR(Ticket_Table[[#This Row],[raised_date]])</f>
        <v>2023</v>
      </c>
    </row>
    <row r="2648" spans="1:17">
      <c r="A2648" t="s">
        <v>3209</v>
      </c>
      <c r="B2648" t="s">
        <v>344</v>
      </c>
      <c r="C2648" t="s">
        <v>95</v>
      </c>
      <c r="D2648" t="s">
        <v>90</v>
      </c>
      <c r="E2648" t="s">
        <v>30</v>
      </c>
      <c r="F2648" t="s">
        <v>22</v>
      </c>
      <c r="G2648" t="s">
        <v>31</v>
      </c>
      <c r="H2648" s="1">
        <v>44327</v>
      </c>
      <c r="I2648" s="2">
        <v>44327.4458333333</v>
      </c>
      <c r="J2648">
        <v>10.7</v>
      </c>
      <c r="K2648" t="s">
        <v>24</v>
      </c>
      <c r="L2648">
        <v>1</v>
      </c>
      <c r="M2648">
        <v>2</v>
      </c>
      <c r="N2648" t="s">
        <v>458</v>
      </c>
      <c r="O2648" s="3" t="str">
        <f>TEXT(Ticket_Table[[#This Row],[raised_date]],"YYYY-MM")</f>
        <v>2021-05</v>
      </c>
      <c r="P2648" s="3" t="str">
        <f>IF(Ticket_Table[[#This Row],[resolution_hrs]]&lt;=4,"Fast",IF(Ticket_Table[[#This Row],[resolution_hrs]]&lt;=24,"Normal",IF(Ticket_Table[[#This Row],[resolution_hrs]]&lt;=48,"Slow","Very Slow")))</f>
        <v>Normal</v>
      </c>
      <c r="Q2648" s="3">
        <f>YEAR(Ticket_Table[[#This Row],[raised_date]])</f>
        <v>2021</v>
      </c>
    </row>
    <row r="2649" spans="1:17">
      <c r="A2649" t="s">
        <v>3210</v>
      </c>
      <c r="B2649" t="s">
        <v>129</v>
      </c>
      <c r="C2649" t="s">
        <v>28</v>
      </c>
      <c r="D2649" t="s">
        <v>43</v>
      </c>
      <c r="E2649" t="s">
        <v>106</v>
      </c>
      <c r="F2649" t="s">
        <v>22</v>
      </c>
      <c r="G2649" t="s">
        <v>23</v>
      </c>
      <c r="H2649" s="1">
        <v>44885</v>
      </c>
      <c r="I2649" s="2">
        <v>44888.125</v>
      </c>
      <c r="J2649">
        <v>75</v>
      </c>
      <c r="K2649" t="s">
        <v>32</v>
      </c>
      <c r="L2649">
        <v>0</v>
      </c>
      <c r="M2649">
        <v>4</v>
      </c>
      <c r="N2649" t="s">
        <v>487</v>
      </c>
      <c r="O2649" s="3" t="str">
        <f>TEXT(Ticket_Table[[#This Row],[raised_date]],"YYYY-MM")</f>
        <v>2022-11</v>
      </c>
      <c r="P2649" s="3" t="str">
        <f>IF(Ticket_Table[[#This Row],[resolution_hrs]]&lt;=4,"Fast",IF(Ticket_Table[[#This Row],[resolution_hrs]]&lt;=24,"Normal",IF(Ticket_Table[[#This Row],[resolution_hrs]]&lt;=48,"Slow","Very Slow")))</f>
        <v>Very Slow</v>
      </c>
      <c r="Q2649" s="3">
        <f>YEAR(Ticket_Table[[#This Row],[raised_date]])</f>
        <v>2022</v>
      </c>
    </row>
    <row r="2650" spans="1:17">
      <c r="A2650" t="s">
        <v>3211</v>
      </c>
      <c r="B2650" t="s">
        <v>204</v>
      </c>
      <c r="C2650" t="s">
        <v>133</v>
      </c>
      <c r="D2650" t="s">
        <v>90</v>
      </c>
      <c r="E2650" t="s">
        <v>21</v>
      </c>
      <c r="F2650" t="s">
        <v>22</v>
      </c>
      <c r="G2650" t="s">
        <v>91</v>
      </c>
      <c r="H2650" s="1">
        <v>44763</v>
      </c>
      <c r="I2650" s="2">
        <v>44766.9291666667</v>
      </c>
      <c r="J2650">
        <v>94.3</v>
      </c>
      <c r="K2650" t="s">
        <v>32</v>
      </c>
      <c r="L2650">
        <v>0</v>
      </c>
      <c r="M2650">
        <v>5</v>
      </c>
      <c r="N2650" t="s">
        <v>1019</v>
      </c>
      <c r="O2650" s="3" t="str">
        <f>TEXT(Ticket_Table[[#This Row],[raised_date]],"YYYY-MM")</f>
        <v>2022-07</v>
      </c>
      <c r="P2650" s="3" t="str">
        <f>IF(Ticket_Table[[#This Row],[resolution_hrs]]&lt;=4,"Fast",IF(Ticket_Table[[#This Row],[resolution_hrs]]&lt;=24,"Normal",IF(Ticket_Table[[#This Row],[resolution_hrs]]&lt;=48,"Slow","Very Slow")))</f>
        <v>Very Slow</v>
      </c>
      <c r="Q2650" s="3">
        <f>YEAR(Ticket_Table[[#This Row],[raised_date]])</f>
        <v>2022</v>
      </c>
    </row>
    <row r="2651" spans="1:17">
      <c r="A2651" t="s">
        <v>3212</v>
      </c>
      <c r="B2651" t="s">
        <v>355</v>
      </c>
      <c r="C2651" t="s">
        <v>50</v>
      </c>
      <c r="D2651" t="s">
        <v>20</v>
      </c>
      <c r="E2651" t="s">
        <v>83</v>
      </c>
      <c r="F2651" t="s">
        <v>45</v>
      </c>
      <c r="G2651" t="s">
        <v>23</v>
      </c>
      <c r="H2651" s="1">
        <v>44862</v>
      </c>
      <c r="I2651" s="2">
        <v>44862.2375</v>
      </c>
      <c r="J2651">
        <v>5.7</v>
      </c>
      <c r="K2651" t="s">
        <v>32</v>
      </c>
      <c r="L2651">
        <v>0</v>
      </c>
      <c r="M2651">
        <v>4</v>
      </c>
      <c r="N2651" t="s">
        <v>372</v>
      </c>
      <c r="O2651" s="3" t="str">
        <f>TEXT(Ticket_Table[[#This Row],[raised_date]],"YYYY-MM")</f>
        <v>2022-10</v>
      </c>
      <c r="P2651" s="3" t="str">
        <f>IF(Ticket_Table[[#This Row],[resolution_hrs]]&lt;=4,"Fast",IF(Ticket_Table[[#This Row],[resolution_hrs]]&lt;=24,"Normal",IF(Ticket_Table[[#This Row],[resolution_hrs]]&lt;=48,"Slow","Very Slow")))</f>
        <v>Normal</v>
      </c>
      <c r="Q2651" s="3">
        <f>YEAR(Ticket_Table[[#This Row],[raised_date]])</f>
        <v>2022</v>
      </c>
    </row>
    <row r="2652" spans="1:17">
      <c r="A2652" t="s">
        <v>3213</v>
      </c>
      <c r="B2652" t="s">
        <v>207</v>
      </c>
      <c r="C2652" t="s">
        <v>55</v>
      </c>
      <c r="D2652" t="s">
        <v>29</v>
      </c>
      <c r="E2652" t="s">
        <v>56</v>
      </c>
      <c r="F2652" t="s">
        <v>70</v>
      </c>
      <c r="G2652" t="s">
        <v>23</v>
      </c>
      <c r="H2652" s="1">
        <v>44764</v>
      </c>
      <c r="I2652" s="2">
        <v>44766.3083333333</v>
      </c>
      <c r="J2652">
        <v>55.4</v>
      </c>
      <c r="K2652" t="s">
        <v>32</v>
      </c>
      <c r="L2652">
        <v>0</v>
      </c>
      <c r="M2652">
        <v>4</v>
      </c>
      <c r="N2652" t="s">
        <v>165</v>
      </c>
      <c r="O2652" s="3" t="str">
        <f>TEXT(Ticket_Table[[#This Row],[raised_date]],"YYYY-MM")</f>
        <v>2022-07</v>
      </c>
      <c r="P2652" s="3" t="str">
        <f>IF(Ticket_Table[[#This Row],[resolution_hrs]]&lt;=4,"Fast",IF(Ticket_Table[[#This Row],[resolution_hrs]]&lt;=24,"Normal",IF(Ticket_Table[[#This Row],[resolution_hrs]]&lt;=48,"Slow","Very Slow")))</f>
        <v>Very Slow</v>
      </c>
      <c r="Q2652" s="3">
        <f>YEAR(Ticket_Table[[#This Row],[raised_date]])</f>
        <v>2022</v>
      </c>
    </row>
    <row r="2653" spans="1:17">
      <c r="A2653" t="s">
        <v>3214</v>
      </c>
      <c r="B2653" t="s">
        <v>1643</v>
      </c>
      <c r="C2653" t="s">
        <v>64</v>
      </c>
      <c r="D2653" t="s">
        <v>36</v>
      </c>
      <c r="E2653" t="s">
        <v>21</v>
      </c>
      <c r="F2653" t="s">
        <v>70</v>
      </c>
      <c r="G2653" t="s">
        <v>23</v>
      </c>
      <c r="H2653" s="1">
        <v>44731</v>
      </c>
      <c r="I2653" s="2">
        <v>44732.8166666667</v>
      </c>
      <c r="J2653">
        <v>43.6</v>
      </c>
      <c r="K2653" t="s">
        <v>24</v>
      </c>
      <c r="L2653">
        <v>0</v>
      </c>
      <c r="M2653">
        <v>5</v>
      </c>
      <c r="N2653" t="s">
        <v>647</v>
      </c>
      <c r="O2653" s="3" t="str">
        <f>TEXT(Ticket_Table[[#This Row],[raised_date]],"YYYY-MM")</f>
        <v>2022-06</v>
      </c>
      <c r="P2653" s="3" t="str">
        <f>IF(Ticket_Table[[#This Row],[resolution_hrs]]&lt;=4,"Fast",IF(Ticket_Table[[#This Row],[resolution_hrs]]&lt;=24,"Normal",IF(Ticket_Table[[#This Row],[resolution_hrs]]&lt;=48,"Slow","Very Slow")))</f>
        <v>Slow</v>
      </c>
      <c r="Q2653" s="3">
        <f>YEAR(Ticket_Table[[#This Row],[raised_date]])</f>
        <v>2022</v>
      </c>
    </row>
    <row r="2654" spans="1:17">
      <c r="A2654" t="s">
        <v>3215</v>
      </c>
      <c r="B2654" t="s">
        <v>143</v>
      </c>
      <c r="C2654" t="s">
        <v>201</v>
      </c>
      <c r="D2654" t="s">
        <v>29</v>
      </c>
      <c r="E2654" t="s">
        <v>166</v>
      </c>
      <c r="F2654" t="s">
        <v>70</v>
      </c>
      <c r="G2654" t="s">
        <v>23</v>
      </c>
      <c r="H2654" s="1">
        <v>44808</v>
      </c>
      <c r="I2654" s="2">
        <v>44809.9458333333</v>
      </c>
      <c r="J2654">
        <v>46.7</v>
      </c>
      <c r="K2654" t="s">
        <v>24</v>
      </c>
      <c r="L2654">
        <v>0</v>
      </c>
      <c r="M2654">
        <v>5</v>
      </c>
      <c r="N2654" t="s">
        <v>878</v>
      </c>
      <c r="O2654" s="3" t="str">
        <f>TEXT(Ticket_Table[[#This Row],[raised_date]],"YYYY-MM")</f>
        <v>2022-09</v>
      </c>
      <c r="P2654" s="3" t="str">
        <f>IF(Ticket_Table[[#This Row],[resolution_hrs]]&lt;=4,"Fast",IF(Ticket_Table[[#This Row],[resolution_hrs]]&lt;=24,"Normal",IF(Ticket_Table[[#This Row],[resolution_hrs]]&lt;=48,"Slow","Very Slow")))</f>
        <v>Slow</v>
      </c>
      <c r="Q2654" s="3">
        <f>YEAR(Ticket_Table[[#This Row],[raised_date]])</f>
        <v>2022</v>
      </c>
    </row>
    <row r="2655" spans="1:17">
      <c r="A2655" t="s">
        <v>3216</v>
      </c>
      <c r="B2655" t="s">
        <v>529</v>
      </c>
      <c r="C2655" t="s">
        <v>213</v>
      </c>
      <c r="D2655" t="s">
        <v>20</v>
      </c>
      <c r="E2655" t="s">
        <v>56</v>
      </c>
      <c r="F2655" t="s">
        <v>70</v>
      </c>
      <c r="G2655" t="s">
        <v>23</v>
      </c>
      <c r="H2655" s="1">
        <v>44582</v>
      </c>
      <c r="I2655" s="2">
        <v>44583.1583333333</v>
      </c>
      <c r="J2655">
        <v>27.8</v>
      </c>
      <c r="K2655" t="s">
        <v>24</v>
      </c>
      <c r="L2655">
        <v>1</v>
      </c>
      <c r="M2655">
        <v>2</v>
      </c>
      <c r="N2655" t="s">
        <v>630</v>
      </c>
      <c r="O2655" s="3" t="str">
        <f>TEXT(Ticket_Table[[#This Row],[raised_date]],"YYYY-MM")</f>
        <v>2022-01</v>
      </c>
      <c r="P2655" s="3" t="str">
        <f>IF(Ticket_Table[[#This Row],[resolution_hrs]]&lt;=4,"Fast",IF(Ticket_Table[[#This Row],[resolution_hrs]]&lt;=24,"Normal",IF(Ticket_Table[[#This Row],[resolution_hrs]]&lt;=48,"Slow","Very Slow")))</f>
        <v>Slow</v>
      </c>
      <c r="Q2655" s="3">
        <f>YEAR(Ticket_Table[[#This Row],[raised_date]])</f>
        <v>2022</v>
      </c>
    </row>
    <row r="2656" spans="1:17">
      <c r="A2656" t="s">
        <v>3217</v>
      </c>
      <c r="B2656" t="s">
        <v>637</v>
      </c>
      <c r="C2656" t="s">
        <v>64</v>
      </c>
      <c r="D2656" t="s">
        <v>36</v>
      </c>
      <c r="E2656" t="s">
        <v>44</v>
      </c>
      <c r="F2656" t="s">
        <v>38</v>
      </c>
      <c r="G2656" t="s">
        <v>91</v>
      </c>
      <c r="H2656" s="1">
        <v>44504</v>
      </c>
      <c r="I2656" s="2">
        <v>44505.0875</v>
      </c>
      <c r="J2656">
        <v>26.1</v>
      </c>
      <c r="K2656" t="s">
        <v>32</v>
      </c>
      <c r="L2656">
        <v>0</v>
      </c>
      <c r="M2656">
        <v>5</v>
      </c>
      <c r="N2656" t="s">
        <v>937</v>
      </c>
      <c r="O2656" s="3" t="str">
        <f>TEXT(Ticket_Table[[#This Row],[raised_date]],"YYYY-MM")</f>
        <v>2021-11</v>
      </c>
      <c r="P2656" s="3" t="str">
        <f>IF(Ticket_Table[[#This Row],[resolution_hrs]]&lt;=4,"Fast",IF(Ticket_Table[[#This Row],[resolution_hrs]]&lt;=24,"Normal",IF(Ticket_Table[[#This Row],[resolution_hrs]]&lt;=48,"Slow","Very Slow")))</f>
        <v>Slow</v>
      </c>
      <c r="Q2656" s="3">
        <f>YEAR(Ticket_Table[[#This Row],[raised_date]])</f>
        <v>2021</v>
      </c>
    </row>
    <row r="2657" spans="1:17">
      <c r="A2657" t="s">
        <v>3218</v>
      </c>
      <c r="B2657" t="s">
        <v>653</v>
      </c>
      <c r="C2657" t="s">
        <v>68</v>
      </c>
      <c r="D2657" t="s">
        <v>90</v>
      </c>
      <c r="E2657" t="s">
        <v>21</v>
      </c>
      <c r="F2657" t="s">
        <v>70</v>
      </c>
      <c r="G2657" t="s">
        <v>31</v>
      </c>
      <c r="H2657" s="1">
        <v>45256</v>
      </c>
      <c r="I2657" s="2">
        <v>45258.2208333333</v>
      </c>
      <c r="J2657">
        <v>53.3</v>
      </c>
      <c r="K2657" t="s">
        <v>32</v>
      </c>
      <c r="L2657">
        <v>0</v>
      </c>
      <c r="M2657">
        <v>3</v>
      </c>
      <c r="N2657" t="s">
        <v>610</v>
      </c>
      <c r="O2657" s="3" t="str">
        <f>TEXT(Ticket_Table[[#This Row],[raised_date]],"YYYY-MM")</f>
        <v>2023-11</v>
      </c>
      <c r="P2657" s="3" t="str">
        <f>IF(Ticket_Table[[#This Row],[resolution_hrs]]&lt;=4,"Fast",IF(Ticket_Table[[#This Row],[resolution_hrs]]&lt;=24,"Normal",IF(Ticket_Table[[#This Row],[resolution_hrs]]&lt;=48,"Slow","Very Slow")))</f>
        <v>Very Slow</v>
      </c>
      <c r="Q2657" s="3">
        <f>YEAR(Ticket_Table[[#This Row],[raised_date]])</f>
        <v>2023</v>
      </c>
    </row>
    <row r="2658" spans="1:17">
      <c r="A2658" t="s">
        <v>3219</v>
      </c>
      <c r="B2658" t="s">
        <v>395</v>
      </c>
      <c r="C2658" t="s">
        <v>28</v>
      </c>
      <c r="D2658" t="s">
        <v>90</v>
      </c>
      <c r="E2658" t="s">
        <v>51</v>
      </c>
      <c r="F2658" t="s">
        <v>22</v>
      </c>
      <c r="G2658" t="s">
        <v>23</v>
      </c>
      <c r="H2658" s="1">
        <v>44689</v>
      </c>
      <c r="I2658" s="2">
        <v>44690.7416666667</v>
      </c>
      <c r="J2658">
        <v>41.8</v>
      </c>
      <c r="K2658" t="s">
        <v>24</v>
      </c>
      <c r="L2658">
        <v>0</v>
      </c>
      <c r="M2658">
        <v>4</v>
      </c>
      <c r="N2658" t="s">
        <v>339</v>
      </c>
      <c r="O2658" s="3" t="str">
        <f>TEXT(Ticket_Table[[#This Row],[raised_date]],"YYYY-MM")</f>
        <v>2022-05</v>
      </c>
      <c r="P2658" s="3" t="str">
        <f>IF(Ticket_Table[[#This Row],[resolution_hrs]]&lt;=4,"Fast",IF(Ticket_Table[[#This Row],[resolution_hrs]]&lt;=24,"Normal",IF(Ticket_Table[[#This Row],[resolution_hrs]]&lt;=48,"Slow","Very Slow")))</f>
        <v>Slow</v>
      </c>
      <c r="Q2658" s="3">
        <f>YEAR(Ticket_Table[[#This Row],[raised_date]])</f>
        <v>2022</v>
      </c>
    </row>
    <row r="2659" spans="1:17">
      <c r="A2659" t="s">
        <v>3220</v>
      </c>
      <c r="B2659" t="s">
        <v>772</v>
      </c>
      <c r="C2659" t="s">
        <v>95</v>
      </c>
      <c r="D2659" t="s">
        <v>20</v>
      </c>
      <c r="E2659" t="s">
        <v>37</v>
      </c>
      <c r="F2659" t="s">
        <v>22</v>
      </c>
      <c r="G2659" t="s">
        <v>23</v>
      </c>
      <c r="H2659" s="1">
        <v>44313</v>
      </c>
      <c r="I2659" s="2">
        <v>44315.9041666667</v>
      </c>
      <c r="J2659">
        <v>69.7</v>
      </c>
      <c r="K2659" t="s">
        <v>24</v>
      </c>
      <c r="L2659">
        <v>1</v>
      </c>
      <c r="M2659">
        <v>3</v>
      </c>
      <c r="N2659" t="s">
        <v>442</v>
      </c>
      <c r="O2659" s="3" t="str">
        <f>TEXT(Ticket_Table[[#This Row],[raised_date]],"YYYY-MM")</f>
        <v>2021-04</v>
      </c>
      <c r="P2659" s="3" t="str">
        <f>IF(Ticket_Table[[#This Row],[resolution_hrs]]&lt;=4,"Fast",IF(Ticket_Table[[#This Row],[resolution_hrs]]&lt;=24,"Normal",IF(Ticket_Table[[#This Row],[resolution_hrs]]&lt;=48,"Slow","Very Slow")))</f>
        <v>Very Slow</v>
      </c>
      <c r="Q2659" s="3">
        <f>YEAR(Ticket_Table[[#This Row],[raised_date]])</f>
        <v>2021</v>
      </c>
    </row>
    <row r="2660" spans="1:17">
      <c r="A2660" t="s">
        <v>3221</v>
      </c>
      <c r="B2660" t="s">
        <v>468</v>
      </c>
      <c r="C2660" t="s">
        <v>55</v>
      </c>
      <c r="D2660" t="s">
        <v>36</v>
      </c>
      <c r="E2660" t="s">
        <v>37</v>
      </c>
      <c r="F2660" t="s">
        <v>70</v>
      </c>
      <c r="G2660" t="s">
        <v>46</v>
      </c>
      <c r="H2660" s="1">
        <v>45024</v>
      </c>
      <c r="I2660" s="2">
        <v>45025.7041666667</v>
      </c>
      <c r="J2660">
        <v>40.9</v>
      </c>
      <c r="K2660" t="s">
        <v>24</v>
      </c>
      <c r="L2660">
        <v>0</v>
      </c>
      <c r="M2660">
        <v>2</v>
      </c>
      <c r="N2660" t="s">
        <v>344</v>
      </c>
      <c r="O2660" s="3" t="str">
        <f>TEXT(Ticket_Table[[#This Row],[raised_date]],"YYYY-MM")</f>
        <v>2023-04</v>
      </c>
      <c r="P2660" s="3" t="str">
        <f>IF(Ticket_Table[[#This Row],[resolution_hrs]]&lt;=4,"Fast",IF(Ticket_Table[[#This Row],[resolution_hrs]]&lt;=24,"Normal",IF(Ticket_Table[[#This Row],[resolution_hrs]]&lt;=48,"Slow","Very Slow")))</f>
        <v>Slow</v>
      </c>
      <c r="Q2660" s="3">
        <f>YEAR(Ticket_Table[[#This Row],[raised_date]])</f>
        <v>2023</v>
      </c>
    </row>
    <row r="2661" spans="1:17">
      <c r="A2661" t="s">
        <v>3222</v>
      </c>
      <c r="B2661" t="s">
        <v>47</v>
      </c>
      <c r="C2661" t="s">
        <v>213</v>
      </c>
      <c r="D2661" t="s">
        <v>90</v>
      </c>
      <c r="E2661" t="s">
        <v>166</v>
      </c>
      <c r="F2661" t="s">
        <v>45</v>
      </c>
      <c r="G2661" t="s">
        <v>31</v>
      </c>
      <c r="H2661" s="1">
        <v>44851</v>
      </c>
      <c r="I2661" s="2">
        <v>44851.2208333333</v>
      </c>
      <c r="J2661">
        <v>5.3</v>
      </c>
      <c r="K2661" t="s">
        <v>32</v>
      </c>
      <c r="L2661">
        <v>0</v>
      </c>
      <c r="M2661">
        <v>3</v>
      </c>
      <c r="N2661" t="s">
        <v>858</v>
      </c>
      <c r="O2661" s="3" t="str">
        <f>TEXT(Ticket_Table[[#This Row],[raised_date]],"YYYY-MM")</f>
        <v>2022-10</v>
      </c>
      <c r="P2661" s="3" t="str">
        <f>IF(Ticket_Table[[#This Row],[resolution_hrs]]&lt;=4,"Fast",IF(Ticket_Table[[#This Row],[resolution_hrs]]&lt;=24,"Normal",IF(Ticket_Table[[#This Row],[resolution_hrs]]&lt;=48,"Slow","Very Slow")))</f>
        <v>Normal</v>
      </c>
      <c r="Q2661" s="3">
        <f>YEAR(Ticket_Table[[#This Row],[raised_date]])</f>
        <v>2022</v>
      </c>
    </row>
    <row r="2662" spans="1:17">
      <c r="A2662" t="s">
        <v>3223</v>
      </c>
      <c r="B2662" t="s">
        <v>192</v>
      </c>
      <c r="C2662" t="s">
        <v>78</v>
      </c>
      <c r="D2662" t="s">
        <v>20</v>
      </c>
      <c r="E2662" t="s">
        <v>69</v>
      </c>
      <c r="F2662" t="s">
        <v>70</v>
      </c>
      <c r="G2662" t="s">
        <v>23</v>
      </c>
      <c r="H2662" s="1">
        <v>44483</v>
      </c>
      <c r="I2662" s="2">
        <v>44485.4333333333</v>
      </c>
      <c r="J2662">
        <v>58.4</v>
      </c>
      <c r="K2662" t="s">
        <v>32</v>
      </c>
      <c r="L2662">
        <v>3</v>
      </c>
      <c r="M2662">
        <v>4</v>
      </c>
      <c r="N2662" t="s">
        <v>871</v>
      </c>
      <c r="O2662" s="3" t="str">
        <f>TEXT(Ticket_Table[[#This Row],[raised_date]],"YYYY-MM")</f>
        <v>2021-10</v>
      </c>
      <c r="P2662" s="3" t="str">
        <f>IF(Ticket_Table[[#This Row],[resolution_hrs]]&lt;=4,"Fast",IF(Ticket_Table[[#This Row],[resolution_hrs]]&lt;=24,"Normal",IF(Ticket_Table[[#This Row],[resolution_hrs]]&lt;=48,"Slow","Very Slow")))</f>
        <v>Very Slow</v>
      </c>
      <c r="Q2662" s="3">
        <f>YEAR(Ticket_Table[[#This Row],[raised_date]])</f>
        <v>2021</v>
      </c>
    </row>
    <row r="2663" spans="1:17">
      <c r="A2663" t="s">
        <v>3224</v>
      </c>
      <c r="B2663" t="s">
        <v>1061</v>
      </c>
      <c r="C2663" t="s">
        <v>95</v>
      </c>
      <c r="D2663" t="s">
        <v>20</v>
      </c>
      <c r="E2663" t="s">
        <v>37</v>
      </c>
      <c r="F2663" t="s">
        <v>38</v>
      </c>
      <c r="G2663" t="s">
        <v>23</v>
      </c>
      <c r="H2663" s="1">
        <v>44249</v>
      </c>
      <c r="I2663" s="2">
        <v>44249.3666666667</v>
      </c>
      <c r="J2663">
        <v>8.8</v>
      </c>
      <c r="K2663" t="s">
        <v>24</v>
      </c>
      <c r="L2663">
        <v>0</v>
      </c>
      <c r="M2663">
        <v>4</v>
      </c>
      <c r="N2663" t="s">
        <v>581</v>
      </c>
      <c r="O2663" s="3" t="str">
        <f>TEXT(Ticket_Table[[#This Row],[raised_date]],"YYYY-MM")</f>
        <v>2021-02</v>
      </c>
      <c r="P2663" s="3" t="str">
        <f>IF(Ticket_Table[[#This Row],[resolution_hrs]]&lt;=4,"Fast",IF(Ticket_Table[[#This Row],[resolution_hrs]]&lt;=24,"Normal",IF(Ticket_Table[[#This Row],[resolution_hrs]]&lt;=48,"Slow","Very Slow")))</f>
        <v>Normal</v>
      </c>
      <c r="Q2663" s="3">
        <f>YEAR(Ticket_Table[[#This Row],[raised_date]])</f>
        <v>2021</v>
      </c>
    </row>
    <row r="2664" spans="1:17">
      <c r="A2664" t="s">
        <v>3225</v>
      </c>
      <c r="B2664" t="s">
        <v>618</v>
      </c>
      <c r="C2664" t="s">
        <v>68</v>
      </c>
      <c r="D2664" t="s">
        <v>29</v>
      </c>
      <c r="E2664" t="s">
        <v>166</v>
      </c>
      <c r="F2664" t="s">
        <v>38</v>
      </c>
      <c r="G2664" t="s">
        <v>31</v>
      </c>
      <c r="H2664" s="1">
        <v>45215</v>
      </c>
      <c r="I2664" s="2">
        <v>45215.2083333333</v>
      </c>
      <c r="J2664">
        <v>5</v>
      </c>
      <c r="K2664" t="s">
        <v>24</v>
      </c>
      <c r="L2664">
        <v>1</v>
      </c>
      <c r="M2664">
        <v>2</v>
      </c>
      <c r="N2664" t="s">
        <v>220</v>
      </c>
      <c r="O2664" s="3" t="str">
        <f>TEXT(Ticket_Table[[#This Row],[raised_date]],"YYYY-MM")</f>
        <v>2023-10</v>
      </c>
      <c r="P2664" s="3" t="str">
        <f>IF(Ticket_Table[[#This Row],[resolution_hrs]]&lt;=4,"Fast",IF(Ticket_Table[[#This Row],[resolution_hrs]]&lt;=24,"Normal",IF(Ticket_Table[[#This Row],[resolution_hrs]]&lt;=48,"Slow","Very Slow")))</f>
        <v>Normal</v>
      </c>
      <c r="Q2664" s="3">
        <f>YEAR(Ticket_Table[[#This Row],[raised_date]])</f>
        <v>2023</v>
      </c>
    </row>
    <row r="2665" spans="1:17">
      <c r="A2665" t="s">
        <v>3226</v>
      </c>
      <c r="B2665" t="s">
        <v>824</v>
      </c>
      <c r="C2665" t="s">
        <v>50</v>
      </c>
      <c r="D2665" t="s">
        <v>90</v>
      </c>
      <c r="E2665" t="s">
        <v>69</v>
      </c>
      <c r="F2665" t="s">
        <v>22</v>
      </c>
      <c r="G2665" t="s">
        <v>23</v>
      </c>
      <c r="H2665" s="1">
        <v>44802</v>
      </c>
      <c r="I2665" s="2">
        <v>44802.4333333333</v>
      </c>
      <c r="J2665">
        <v>10.4</v>
      </c>
      <c r="K2665" t="s">
        <v>24</v>
      </c>
      <c r="L2665">
        <v>1</v>
      </c>
      <c r="M2665">
        <v>5</v>
      </c>
      <c r="N2665" t="s">
        <v>112</v>
      </c>
      <c r="O2665" s="3" t="str">
        <f>TEXT(Ticket_Table[[#This Row],[raised_date]],"YYYY-MM")</f>
        <v>2022-08</v>
      </c>
      <c r="P2665" s="3" t="str">
        <f>IF(Ticket_Table[[#This Row],[resolution_hrs]]&lt;=4,"Fast",IF(Ticket_Table[[#This Row],[resolution_hrs]]&lt;=24,"Normal",IF(Ticket_Table[[#This Row],[resolution_hrs]]&lt;=48,"Slow","Very Slow")))</f>
        <v>Normal</v>
      </c>
      <c r="Q2665" s="3">
        <f>YEAR(Ticket_Table[[#This Row],[raised_date]])</f>
        <v>2022</v>
      </c>
    </row>
    <row r="2666" spans="1:17">
      <c r="A2666" t="s">
        <v>3227</v>
      </c>
      <c r="B2666" t="s">
        <v>1136</v>
      </c>
      <c r="C2666" t="s">
        <v>55</v>
      </c>
      <c r="D2666" t="s">
        <v>36</v>
      </c>
      <c r="E2666" t="s">
        <v>44</v>
      </c>
      <c r="F2666" t="s">
        <v>22</v>
      </c>
      <c r="G2666" t="s">
        <v>31</v>
      </c>
      <c r="H2666" s="1">
        <v>44728</v>
      </c>
      <c r="I2666" s="2">
        <v>44728.4375</v>
      </c>
      <c r="J2666">
        <v>10.5</v>
      </c>
      <c r="K2666" t="s">
        <v>24</v>
      </c>
      <c r="L2666">
        <v>0</v>
      </c>
      <c r="M2666">
        <v>5</v>
      </c>
      <c r="N2666" t="s">
        <v>558</v>
      </c>
      <c r="O2666" s="3" t="str">
        <f>TEXT(Ticket_Table[[#This Row],[raised_date]],"YYYY-MM")</f>
        <v>2022-06</v>
      </c>
      <c r="P2666" s="3" t="str">
        <f>IF(Ticket_Table[[#This Row],[resolution_hrs]]&lt;=4,"Fast",IF(Ticket_Table[[#This Row],[resolution_hrs]]&lt;=24,"Normal",IF(Ticket_Table[[#This Row],[resolution_hrs]]&lt;=48,"Slow","Very Slow")))</f>
        <v>Normal</v>
      </c>
      <c r="Q2666" s="3">
        <f>YEAR(Ticket_Table[[#This Row],[raised_date]])</f>
        <v>2022</v>
      </c>
    </row>
    <row r="2667" spans="1:17">
      <c r="A2667" t="s">
        <v>3228</v>
      </c>
      <c r="B2667" t="s">
        <v>1195</v>
      </c>
      <c r="C2667" t="s">
        <v>140</v>
      </c>
      <c r="D2667" t="s">
        <v>90</v>
      </c>
      <c r="E2667" t="s">
        <v>69</v>
      </c>
      <c r="F2667" t="s">
        <v>22</v>
      </c>
      <c r="G2667" t="s">
        <v>23</v>
      </c>
      <c r="H2667" s="1">
        <v>45054</v>
      </c>
      <c r="I2667" s="2">
        <v>45057.3416666667</v>
      </c>
      <c r="J2667">
        <v>80.2</v>
      </c>
      <c r="K2667" t="s">
        <v>32</v>
      </c>
      <c r="L2667">
        <v>3</v>
      </c>
      <c r="M2667">
        <v>4</v>
      </c>
      <c r="N2667" t="s">
        <v>944</v>
      </c>
      <c r="O2667" s="3" t="str">
        <f>TEXT(Ticket_Table[[#This Row],[raised_date]],"YYYY-MM")</f>
        <v>2023-05</v>
      </c>
      <c r="P2667" s="3" t="str">
        <f>IF(Ticket_Table[[#This Row],[resolution_hrs]]&lt;=4,"Fast",IF(Ticket_Table[[#This Row],[resolution_hrs]]&lt;=24,"Normal",IF(Ticket_Table[[#This Row],[resolution_hrs]]&lt;=48,"Slow","Very Slow")))</f>
        <v>Very Slow</v>
      </c>
      <c r="Q2667" s="3">
        <f>YEAR(Ticket_Table[[#This Row],[raised_date]])</f>
        <v>2023</v>
      </c>
    </row>
    <row r="2668" spans="1:17">
      <c r="A2668" t="s">
        <v>3229</v>
      </c>
      <c r="B2668" t="s">
        <v>241</v>
      </c>
      <c r="C2668" t="s">
        <v>261</v>
      </c>
      <c r="D2668" t="s">
        <v>90</v>
      </c>
      <c r="E2668" t="s">
        <v>51</v>
      </c>
      <c r="F2668" t="s">
        <v>38</v>
      </c>
      <c r="G2668" t="s">
        <v>31</v>
      </c>
      <c r="H2668" s="1">
        <v>45025</v>
      </c>
      <c r="I2668" s="2">
        <v>45026.4083333333</v>
      </c>
      <c r="J2668">
        <v>33.8</v>
      </c>
      <c r="K2668" t="s">
        <v>32</v>
      </c>
      <c r="L2668">
        <v>1</v>
      </c>
      <c r="M2668">
        <v>4</v>
      </c>
      <c r="N2668" t="s">
        <v>246</v>
      </c>
      <c r="O2668" s="3" t="str">
        <f>TEXT(Ticket_Table[[#This Row],[raised_date]],"YYYY-MM")</f>
        <v>2023-04</v>
      </c>
      <c r="P2668" s="3" t="str">
        <f>IF(Ticket_Table[[#This Row],[resolution_hrs]]&lt;=4,"Fast",IF(Ticket_Table[[#This Row],[resolution_hrs]]&lt;=24,"Normal",IF(Ticket_Table[[#This Row],[resolution_hrs]]&lt;=48,"Slow","Very Slow")))</f>
        <v>Slow</v>
      </c>
      <c r="Q2668" s="3">
        <f>YEAR(Ticket_Table[[#This Row],[raised_date]])</f>
        <v>2023</v>
      </c>
    </row>
    <row r="2669" spans="1:17">
      <c r="A2669" t="s">
        <v>3230</v>
      </c>
      <c r="B2669" t="s">
        <v>127</v>
      </c>
      <c r="C2669" t="s">
        <v>140</v>
      </c>
      <c r="D2669" t="s">
        <v>90</v>
      </c>
      <c r="E2669" t="s">
        <v>21</v>
      </c>
      <c r="F2669" t="s">
        <v>22</v>
      </c>
      <c r="G2669" t="s">
        <v>23</v>
      </c>
      <c r="H2669" s="1">
        <v>44992</v>
      </c>
      <c r="I2669" s="2">
        <v>44995.3625</v>
      </c>
      <c r="J2669">
        <v>80.7</v>
      </c>
      <c r="K2669" t="s">
        <v>32</v>
      </c>
      <c r="L2669">
        <v>0</v>
      </c>
      <c r="M2669">
        <v>4</v>
      </c>
      <c r="N2669" t="s">
        <v>550</v>
      </c>
      <c r="O2669" s="3" t="str">
        <f>TEXT(Ticket_Table[[#This Row],[raised_date]],"YYYY-MM")</f>
        <v>2023-03</v>
      </c>
      <c r="P2669" s="3" t="str">
        <f>IF(Ticket_Table[[#This Row],[resolution_hrs]]&lt;=4,"Fast",IF(Ticket_Table[[#This Row],[resolution_hrs]]&lt;=24,"Normal",IF(Ticket_Table[[#This Row],[resolution_hrs]]&lt;=48,"Slow","Very Slow")))</f>
        <v>Very Slow</v>
      </c>
      <c r="Q2669" s="3">
        <f>YEAR(Ticket_Table[[#This Row],[raised_date]])</f>
        <v>2023</v>
      </c>
    </row>
    <row r="2670" spans="1:17">
      <c r="A2670" t="s">
        <v>3231</v>
      </c>
      <c r="B2670" t="s">
        <v>970</v>
      </c>
      <c r="C2670" t="s">
        <v>82</v>
      </c>
      <c r="D2670" t="s">
        <v>20</v>
      </c>
      <c r="E2670" t="s">
        <v>37</v>
      </c>
      <c r="F2670" t="s">
        <v>70</v>
      </c>
      <c r="G2670" t="s">
        <v>23</v>
      </c>
      <c r="H2670" s="1">
        <v>44269</v>
      </c>
      <c r="I2670" s="2">
        <v>44269.3833333333</v>
      </c>
      <c r="J2670">
        <v>9.2</v>
      </c>
      <c r="K2670" t="s">
        <v>24</v>
      </c>
      <c r="L2670">
        <v>0</v>
      </c>
      <c r="M2670">
        <v>1</v>
      </c>
      <c r="N2670" t="s">
        <v>334</v>
      </c>
      <c r="O2670" s="3" t="str">
        <f>TEXT(Ticket_Table[[#This Row],[raised_date]],"YYYY-MM")</f>
        <v>2021-03</v>
      </c>
      <c r="P2670" s="3" t="str">
        <f>IF(Ticket_Table[[#This Row],[resolution_hrs]]&lt;=4,"Fast",IF(Ticket_Table[[#This Row],[resolution_hrs]]&lt;=24,"Normal",IF(Ticket_Table[[#This Row],[resolution_hrs]]&lt;=48,"Slow","Very Slow")))</f>
        <v>Normal</v>
      </c>
      <c r="Q2670" s="3">
        <f>YEAR(Ticket_Table[[#This Row],[raised_date]])</f>
        <v>2021</v>
      </c>
    </row>
    <row r="2671" spans="1:17">
      <c r="A2671" t="s">
        <v>3232</v>
      </c>
      <c r="B2671" t="s">
        <v>804</v>
      </c>
      <c r="C2671" t="s">
        <v>19</v>
      </c>
      <c r="D2671" t="s">
        <v>43</v>
      </c>
      <c r="E2671" t="s">
        <v>83</v>
      </c>
      <c r="F2671" t="s">
        <v>70</v>
      </c>
      <c r="G2671" t="s">
        <v>91</v>
      </c>
      <c r="H2671" s="1">
        <v>44585</v>
      </c>
      <c r="I2671" s="2">
        <v>44586.1291666667</v>
      </c>
      <c r="J2671">
        <v>27.1</v>
      </c>
      <c r="K2671" t="s">
        <v>24</v>
      </c>
      <c r="L2671">
        <v>0</v>
      </c>
      <c r="M2671">
        <v>3</v>
      </c>
      <c r="N2671" t="s">
        <v>33</v>
      </c>
      <c r="O2671" s="3" t="str">
        <f>TEXT(Ticket_Table[[#This Row],[raised_date]],"YYYY-MM")</f>
        <v>2022-01</v>
      </c>
      <c r="P2671" s="3" t="str">
        <f>IF(Ticket_Table[[#This Row],[resolution_hrs]]&lt;=4,"Fast",IF(Ticket_Table[[#This Row],[resolution_hrs]]&lt;=24,"Normal",IF(Ticket_Table[[#This Row],[resolution_hrs]]&lt;=48,"Slow","Very Slow")))</f>
        <v>Slow</v>
      </c>
      <c r="Q2671" s="3">
        <f>YEAR(Ticket_Table[[#This Row],[raised_date]])</f>
        <v>2022</v>
      </c>
    </row>
    <row r="2672" spans="1:17">
      <c r="A2672" t="s">
        <v>3233</v>
      </c>
      <c r="B2672" t="s">
        <v>2204</v>
      </c>
      <c r="C2672" t="s">
        <v>287</v>
      </c>
      <c r="D2672" t="s">
        <v>43</v>
      </c>
      <c r="E2672" t="s">
        <v>106</v>
      </c>
      <c r="F2672" t="s">
        <v>38</v>
      </c>
      <c r="G2672" t="s">
        <v>23</v>
      </c>
      <c r="H2672" s="1">
        <v>44899</v>
      </c>
      <c r="I2672" s="2">
        <v>44900.2875</v>
      </c>
      <c r="J2672">
        <v>30.9</v>
      </c>
      <c r="K2672" t="s">
        <v>32</v>
      </c>
      <c r="L2672">
        <v>1</v>
      </c>
      <c r="M2672">
        <v>5</v>
      </c>
      <c r="N2672" t="s">
        <v>194</v>
      </c>
      <c r="O2672" s="3" t="str">
        <f>TEXT(Ticket_Table[[#This Row],[raised_date]],"YYYY-MM")</f>
        <v>2022-12</v>
      </c>
      <c r="P2672" s="3" t="str">
        <f>IF(Ticket_Table[[#This Row],[resolution_hrs]]&lt;=4,"Fast",IF(Ticket_Table[[#This Row],[resolution_hrs]]&lt;=24,"Normal",IF(Ticket_Table[[#This Row],[resolution_hrs]]&lt;=48,"Slow","Very Slow")))</f>
        <v>Slow</v>
      </c>
      <c r="Q2672" s="3">
        <f>YEAR(Ticket_Table[[#This Row],[raised_date]])</f>
        <v>2022</v>
      </c>
    </row>
    <row r="2673" spans="1:17">
      <c r="A2673" t="s">
        <v>3234</v>
      </c>
      <c r="B2673" t="s">
        <v>955</v>
      </c>
      <c r="C2673" t="s">
        <v>64</v>
      </c>
      <c r="D2673" t="s">
        <v>29</v>
      </c>
      <c r="E2673" t="s">
        <v>21</v>
      </c>
      <c r="F2673" t="s">
        <v>22</v>
      </c>
      <c r="G2673" t="s">
        <v>23</v>
      </c>
      <c r="H2673" s="1">
        <v>44652</v>
      </c>
      <c r="I2673" s="2">
        <v>44656.2958333333</v>
      </c>
      <c r="J2673">
        <v>103.1</v>
      </c>
      <c r="K2673" t="s">
        <v>32</v>
      </c>
      <c r="L2673">
        <v>0</v>
      </c>
      <c r="M2673">
        <v>1</v>
      </c>
      <c r="N2673" t="s">
        <v>176</v>
      </c>
      <c r="O2673" s="3" t="str">
        <f>TEXT(Ticket_Table[[#This Row],[raised_date]],"YYYY-MM")</f>
        <v>2022-04</v>
      </c>
      <c r="P2673" s="3" t="str">
        <f>IF(Ticket_Table[[#This Row],[resolution_hrs]]&lt;=4,"Fast",IF(Ticket_Table[[#This Row],[resolution_hrs]]&lt;=24,"Normal",IF(Ticket_Table[[#This Row],[resolution_hrs]]&lt;=48,"Slow","Very Slow")))</f>
        <v>Very Slow</v>
      </c>
      <c r="Q2673" s="3">
        <f>YEAR(Ticket_Table[[#This Row],[raised_date]])</f>
        <v>2022</v>
      </c>
    </row>
    <row r="2674" spans="1:17">
      <c r="A2674" t="s">
        <v>3235</v>
      </c>
      <c r="B2674" t="s">
        <v>343</v>
      </c>
      <c r="C2674" t="s">
        <v>175</v>
      </c>
      <c r="D2674" t="s">
        <v>90</v>
      </c>
      <c r="E2674" t="s">
        <v>44</v>
      </c>
      <c r="F2674" t="s">
        <v>70</v>
      </c>
      <c r="G2674" t="s">
        <v>23</v>
      </c>
      <c r="H2674" s="1">
        <v>45291</v>
      </c>
      <c r="I2674" s="2">
        <v>45292.75</v>
      </c>
      <c r="J2674">
        <v>42</v>
      </c>
      <c r="K2674" t="s">
        <v>24</v>
      </c>
      <c r="L2674">
        <v>1</v>
      </c>
      <c r="M2674">
        <v>5</v>
      </c>
      <c r="N2674" t="s">
        <v>544</v>
      </c>
      <c r="O2674" s="3" t="str">
        <f>TEXT(Ticket_Table[[#This Row],[raised_date]],"YYYY-MM")</f>
        <v>2023-12</v>
      </c>
      <c r="P2674" s="3" t="str">
        <f>IF(Ticket_Table[[#This Row],[resolution_hrs]]&lt;=4,"Fast",IF(Ticket_Table[[#This Row],[resolution_hrs]]&lt;=24,"Normal",IF(Ticket_Table[[#This Row],[resolution_hrs]]&lt;=48,"Slow","Very Slow")))</f>
        <v>Slow</v>
      </c>
      <c r="Q2674" s="3">
        <f>YEAR(Ticket_Table[[#This Row],[raised_date]])</f>
        <v>2023</v>
      </c>
    </row>
    <row r="2675" spans="1:17">
      <c r="A2675" t="s">
        <v>3236</v>
      </c>
      <c r="B2675" t="s">
        <v>985</v>
      </c>
      <c r="C2675" t="s">
        <v>201</v>
      </c>
      <c r="D2675" t="s">
        <v>43</v>
      </c>
      <c r="E2675" t="s">
        <v>44</v>
      </c>
      <c r="F2675" t="s">
        <v>70</v>
      </c>
      <c r="G2675" t="s">
        <v>74</v>
      </c>
      <c r="H2675" s="1">
        <v>45171</v>
      </c>
      <c r="I2675" s="2">
        <v>45171.0458333333</v>
      </c>
      <c r="J2675">
        <v>1.1</v>
      </c>
      <c r="K2675" t="s">
        <v>24</v>
      </c>
      <c r="L2675">
        <v>0</v>
      </c>
      <c r="M2675">
        <v>2</v>
      </c>
      <c r="N2675" t="s">
        <v>129</v>
      </c>
      <c r="O2675" s="3" t="str">
        <f>TEXT(Ticket_Table[[#This Row],[raised_date]],"YYYY-MM")</f>
        <v>2023-09</v>
      </c>
      <c r="P2675" s="3" t="str">
        <f>IF(Ticket_Table[[#This Row],[resolution_hrs]]&lt;=4,"Fast",IF(Ticket_Table[[#This Row],[resolution_hrs]]&lt;=24,"Normal",IF(Ticket_Table[[#This Row],[resolution_hrs]]&lt;=48,"Slow","Very Slow")))</f>
        <v>Fast</v>
      </c>
      <c r="Q2675" s="3">
        <f>YEAR(Ticket_Table[[#This Row],[raised_date]])</f>
        <v>2023</v>
      </c>
    </row>
    <row r="2676" spans="1:17">
      <c r="A2676" t="s">
        <v>3237</v>
      </c>
      <c r="B2676" t="s">
        <v>740</v>
      </c>
      <c r="C2676" t="s">
        <v>117</v>
      </c>
      <c r="D2676" t="s">
        <v>29</v>
      </c>
      <c r="E2676" t="s">
        <v>166</v>
      </c>
      <c r="F2676" t="s">
        <v>70</v>
      </c>
      <c r="G2676" t="s">
        <v>31</v>
      </c>
      <c r="H2676" s="1">
        <v>44931</v>
      </c>
      <c r="I2676" s="2">
        <v>44931.225</v>
      </c>
      <c r="J2676">
        <v>5.4</v>
      </c>
      <c r="K2676" t="s">
        <v>24</v>
      </c>
      <c r="L2676">
        <v>1</v>
      </c>
      <c r="M2676">
        <v>2</v>
      </c>
      <c r="N2676" t="s">
        <v>588</v>
      </c>
      <c r="O2676" s="3" t="str">
        <f>TEXT(Ticket_Table[[#This Row],[raised_date]],"YYYY-MM")</f>
        <v>2023-01</v>
      </c>
      <c r="P2676" s="3" t="str">
        <f>IF(Ticket_Table[[#This Row],[resolution_hrs]]&lt;=4,"Fast",IF(Ticket_Table[[#This Row],[resolution_hrs]]&lt;=24,"Normal",IF(Ticket_Table[[#This Row],[resolution_hrs]]&lt;=48,"Slow","Very Slow")))</f>
        <v>Normal</v>
      </c>
      <c r="Q2676" s="3">
        <f>YEAR(Ticket_Table[[#This Row],[raised_date]])</f>
        <v>2023</v>
      </c>
    </row>
    <row r="2677" spans="1:17">
      <c r="A2677" t="s">
        <v>3238</v>
      </c>
      <c r="B2677" t="s">
        <v>858</v>
      </c>
      <c r="C2677" t="s">
        <v>133</v>
      </c>
      <c r="D2677" t="s">
        <v>20</v>
      </c>
      <c r="E2677" t="s">
        <v>30</v>
      </c>
      <c r="F2677" t="s">
        <v>38</v>
      </c>
      <c r="G2677" t="s">
        <v>23</v>
      </c>
      <c r="H2677" s="1">
        <v>45235</v>
      </c>
      <c r="I2677" s="2">
        <v>45235.8208333333</v>
      </c>
      <c r="J2677">
        <v>19.7</v>
      </c>
      <c r="K2677" t="s">
        <v>24</v>
      </c>
      <c r="L2677">
        <v>0</v>
      </c>
      <c r="M2677">
        <v>3</v>
      </c>
      <c r="N2677" t="s">
        <v>39</v>
      </c>
      <c r="O2677" s="3" t="str">
        <f>TEXT(Ticket_Table[[#This Row],[raised_date]],"YYYY-MM")</f>
        <v>2023-11</v>
      </c>
      <c r="P2677" s="3" t="str">
        <f>IF(Ticket_Table[[#This Row],[resolution_hrs]]&lt;=4,"Fast",IF(Ticket_Table[[#This Row],[resolution_hrs]]&lt;=24,"Normal",IF(Ticket_Table[[#This Row],[resolution_hrs]]&lt;=48,"Slow","Very Slow")))</f>
        <v>Normal</v>
      </c>
      <c r="Q2677" s="3">
        <f>YEAR(Ticket_Table[[#This Row],[raised_date]])</f>
        <v>2023</v>
      </c>
    </row>
    <row r="2678" spans="1:17">
      <c r="A2678" t="s">
        <v>3239</v>
      </c>
      <c r="B2678" t="s">
        <v>107</v>
      </c>
      <c r="C2678" t="s">
        <v>50</v>
      </c>
      <c r="D2678" t="s">
        <v>90</v>
      </c>
      <c r="E2678" t="s">
        <v>69</v>
      </c>
      <c r="F2678" t="s">
        <v>22</v>
      </c>
      <c r="G2678" t="s">
        <v>31</v>
      </c>
      <c r="H2678" s="1">
        <v>44811</v>
      </c>
      <c r="I2678" s="2">
        <v>44814.8166666667</v>
      </c>
      <c r="J2678">
        <v>91.6</v>
      </c>
      <c r="K2678" t="s">
        <v>32</v>
      </c>
      <c r="L2678">
        <v>0</v>
      </c>
      <c r="M2678">
        <v>4</v>
      </c>
      <c r="N2678" t="s">
        <v>1474</v>
      </c>
      <c r="O2678" s="3" t="str">
        <f>TEXT(Ticket_Table[[#This Row],[raised_date]],"YYYY-MM")</f>
        <v>2022-09</v>
      </c>
      <c r="P2678" s="3" t="str">
        <f>IF(Ticket_Table[[#This Row],[resolution_hrs]]&lt;=4,"Fast",IF(Ticket_Table[[#This Row],[resolution_hrs]]&lt;=24,"Normal",IF(Ticket_Table[[#This Row],[resolution_hrs]]&lt;=48,"Slow","Very Slow")))</f>
        <v>Very Slow</v>
      </c>
      <c r="Q2678" s="3">
        <f>YEAR(Ticket_Table[[#This Row],[raised_date]])</f>
        <v>2022</v>
      </c>
    </row>
    <row r="2679" spans="1:17">
      <c r="A2679" t="s">
        <v>3240</v>
      </c>
      <c r="B2679" t="s">
        <v>107</v>
      </c>
      <c r="C2679" t="s">
        <v>55</v>
      </c>
      <c r="D2679" t="s">
        <v>36</v>
      </c>
      <c r="E2679" t="s">
        <v>69</v>
      </c>
      <c r="F2679" t="s">
        <v>38</v>
      </c>
      <c r="G2679" t="s">
        <v>23</v>
      </c>
      <c r="H2679" s="1">
        <v>44545</v>
      </c>
      <c r="I2679" s="2">
        <v>44546.4708333333</v>
      </c>
      <c r="J2679">
        <v>35.3</v>
      </c>
      <c r="K2679" t="s">
        <v>32</v>
      </c>
      <c r="L2679">
        <v>0</v>
      </c>
      <c r="M2679">
        <v>4</v>
      </c>
      <c r="N2679" t="s">
        <v>817</v>
      </c>
      <c r="O2679" s="3" t="str">
        <f>TEXT(Ticket_Table[[#This Row],[raised_date]],"YYYY-MM")</f>
        <v>2021-12</v>
      </c>
      <c r="P2679" s="3" t="str">
        <f>IF(Ticket_Table[[#This Row],[resolution_hrs]]&lt;=4,"Fast",IF(Ticket_Table[[#This Row],[resolution_hrs]]&lt;=24,"Normal",IF(Ticket_Table[[#This Row],[resolution_hrs]]&lt;=48,"Slow","Very Slow")))</f>
        <v>Slow</v>
      </c>
      <c r="Q2679" s="3">
        <f>YEAR(Ticket_Table[[#This Row],[raised_date]])</f>
        <v>2021</v>
      </c>
    </row>
    <row r="2680" spans="1:17">
      <c r="A2680" t="s">
        <v>3241</v>
      </c>
      <c r="B2680" t="s">
        <v>118</v>
      </c>
      <c r="C2680" t="s">
        <v>28</v>
      </c>
      <c r="D2680" t="s">
        <v>20</v>
      </c>
      <c r="E2680" t="s">
        <v>166</v>
      </c>
      <c r="F2680" t="s">
        <v>38</v>
      </c>
      <c r="G2680" t="s">
        <v>23</v>
      </c>
      <c r="H2680" s="1">
        <v>44567</v>
      </c>
      <c r="I2680" s="2">
        <v>44567.5083333333</v>
      </c>
      <c r="J2680">
        <v>12.2</v>
      </c>
      <c r="K2680" t="s">
        <v>24</v>
      </c>
      <c r="L2680">
        <v>1</v>
      </c>
      <c r="M2680">
        <v>2</v>
      </c>
      <c r="N2680" t="s">
        <v>1154</v>
      </c>
      <c r="O2680" s="3" t="str">
        <f>TEXT(Ticket_Table[[#This Row],[raised_date]],"YYYY-MM")</f>
        <v>2022-01</v>
      </c>
      <c r="P2680" s="3" t="str">
        <f>IF(Ticket_Table[[#This Row],[resolution_hrs]]&lt;=4,"Fast",IF(Ticket_Table[[#This Row],[resolution_hrs]]&lt;=24,"Normal",IF(Ticket_Table[[#This Row],[resolution_hrs]]&lt;=48,"Slow","Very Slow")))</f>
        <v>Normal</v>
      </c>
      <c r="Q2680" s="3">
        <f>YEAR(Ticket_Table[[#This Row],[raised_date]])</f>
        <v>2022</v>
      </c>
    </row>
    <row r="2681" spans="1:17">
      <c r="A2681" t="s">
        <v>3242</v>
      </c>
      <c r="B2681" t="s">
        <v>398</v>
      </c>
      <c r="C2681" t="s">
        <v>28</v>
      </c>
      <c r="D2681" t="s">
        <v>29</v>
      </c>
      <c r="E2681" t="s">
        <v>106</v>
      </c>
      <c r="F2681" t="s">
        <v>70</v>
      </c>
      <c r="G2681" t="s">
        <v>31</v>
      </c>
      <c r="H2681" s="1">
        <v>44798</v>
      </c>
      <c r="I2681" s="2">
        <v>44799.1208333333</v>
      </c>
      <c r="J2681">
        <v>26.9</v>
      </c>
      <c r="K2681" t="s">
        <v>24</v>
      </c>
      <c r="L2681">
        <v>0</v>
      </c>
      <c r="M2681">
        <v>4</v>
      </c>
      <c r="N2681" t="s">
        <v>321</v>
      </c>
      <c r="O2681" s="3" t="str">
        <f>TEXT(Ticket_Table[[#This Row],[raised_date]],"YYYY-MM")</f>
        <v>2022-08</v>
      </c>
      <c r="P2681" s="3" t="str">
        <f>IF(Ticket_Table[[#This Row],[resolution_hrs]]&lt;=4,"Fast",IF(Ticket_Table[[#This Row],[resolution_hrs]]&lt;=24,"Normal",IF(Ticket_Table[[#This Row],[resolution_hrs]]&lt;=48,"Slow","Very Slow")))</f>
        <v>Slow</v>
      </c>
      <c r="Q2681" s="3">
        <f>YEAR(Ticket_Table[[#This Row],[raised_date]])</f>
        <v>2022</v>
      </c>
    </row>
    <row r="2682" spans="1:17">
      <c r="A2682" t="s">
        <v>3243</v>
      </c>
      <c r="B2682" t="s">
        <v>368</v>
      </c>
      <c r="C2682" t="s">
        <v>64</v>
      </c>
      <c r="D2682" t="s">
        <v>20</v>
      </c>
      <c r="E2682" t="s">
        <v>83</v>
      </c>
      <c r="F2682" t="s">
        <v>38</v>
      </c>
      <c r="G2682" t="s">
        <v>23</v>
      </c>
      <c r="H2682" s="1">
        <v>44396</v>
      </c>
      <c r="I2682" s="2">
        <v>44397.0333333333</v>
      </c>
      <c r="J2682">
        <v>24.8</v>
      </c>
      <c r="K2682" t="s">
        <v>32</v>
      </c>
      <c r="L2682">
        <v>1</v>
      </c>
      <c r="M2682">
        <v>5</v>
      </c>
      <c r="N2682" t="s">
        <v>760</v>
      </c>
      <c r="O2682" s="3" t="str">
        <f>TEXT(Ticket_Table[[#This Row],[raised_date]],"YYYY-MM")</f>
        <v>2021-07</v>
      </c>
      <c r="P2682" s="3" t="str">
        <f>IF(Ticket_Table[[#This Row],[resolution_hrs]]&lt;=4,"Fast",IF(Ticket_Table[[#This Row],[resolution_hrs]]&lt;=24,"Normal",IF(Ticket_Table[[#This Row],[resolution_hrs]]&lt;=48,"Slow","Very Slow")))</f>
        <v>Slow</v>
      </c>
      <c r="Q2682" s="3">
        <f>YEAR(Ticket_Table[[#This Row],[raised_date]])</f>
        <v>2021</v>
      </c>
    </row>
    <row r="2683" spans="1:17">
      <c r="A2683" t="s">
        <v>3244</v>
      </c>
      <c r="B2683" t="s">
        <v>155</v>
      </c>
      <c r="C2683" t="s">
        <v>213</v>
      </c>
      <c r="D2683" t="s">
        <v>36</v>
      </c>
      <c r="E2683" t="s">
        <v>44</v>
      </c>
      <c r="F2683" t="s">
        <v>70</v>
      </c>
      <c r="G2683" t="s">
        <v>31</v>
      </c>
      <c r="H2683" s="1">
        <v>45161</v>
      </c>
      <c r="I2683" s="2">
        <v>45163.4</v>
      </c>
      <c r="J2683">
        <v>57.6</v>
      </c>
      <c r="K2683" t="s">
        <v>32</v>
      </c>
      <c r="L2683">
        <v>0</v>
      </c>
      <c r="M2683">
        <v>4</v>
      </c>
      <c r="N2683" t="s">
        <v>710</v>
      </c>
      <c r="O2683" s="3" t="str">
        <f>TEXT(Ticket_Table[[#This Row],[raised_date]],"YYYY-MM")</f>
        <v>2023-08</v>
      </c>
      <c r="P2683" s="3" t="str">
        <f>IF(Ticket_Table[[#This Row],[resolution_hrs]]&lt;=4,"Fast",IF(Ticket_Table[[#This Row],[resolution_hrs]]&lt;=24,"Normal",IF(Ticket_Table[[#This Row],[resolution_hrs]]&lt;=48,"Slow","Very Slow")))</f>
        <v>Very Slow</v>
      </c>
      <c r="Q2683" s="3">
        <f>YEAR(Ticket_Table[[#This Row],[raised_date]])</f>
        <v>2023</v>
      </c>
    </row>
    <row r="2684" spans="1:17">
      <c r="A2684" t="s">
        <v>3245</v>
      </c>
      <c r="B2684" t="s">
        <v>764</v>
      </c>
      <c r="C2684" t="s">
        <v>201</v>
      </c>
      <c r="D2684" t="s">
        <v>20</v>
      </c>
      <c r="E2684" t="s">
        <v>21</v>
      </c>
      <c r="F2684" t="s">
        <v>22</v>
      </c>
      <c r="G2684" t="s">
        <v>23</v>
      </c>
      <c r="H2684" s="1">
        <v>44459</v>
      </c>
      <c r="I2684" s="2">
        <v>44461.3583333333</v>
      </c>
      <c r="J2684">
        <v>56.6</v>
      </c>
      <c r="K2684" t="s">
        <v>24</v>
      </c>
      <c r="L2684">
        <v>1</v>
      </c>
      <c r="M2684">
        <v>2</v>
      </c>
      <c r="N2684" t="s">
        <v>1112</v>
      </c>
      <c r="O2684" s="3" t="str">
        <f>TEXT(Ticket_Table[[#This Row],[raised_date]],"YYYY-MM")</f>
        <v>2021-09</v>
      </c>
      <c r="P2684" s="3" t="str">
        <f>IF(Ticket_Table[[#This Row],[resolution_hrs]]&lt;=4,"Fast",IF(Ticket_Table[[#This Row],[resolution_hrs]]&lt;=24,"Normal",IF(Ticket_Table[[#This Row],[resolution_hrs]]&lt;=48,"Slow","Very Slow")))</f>
        <v>Very Slow</v>
      </c>
      <c r="Q2684" s="3">
        <f>YEAR(Ticket_Table[[#This Row],[raised_date]])</f>
        <v>2021</v>
      </c>
    </row>
    <row r="2685" spans="1:17">
      <c r="A2685" t="s">
        <v>3246</v>
      </c>
      <c r="B2685" t="s">
        <v>712</v>
      </c>
      <c r="C2685" t="s">
        <v>60</v>
      </c>
      <c r="D2685" t="s">
        <v>29</v>
      </c>
      <c r="E2685" t="s">
        <v>106</v>
      </c>
      <c r="F2685" t="s">
        <v>38</v>
      </c>
      <c r="G2685" t="s">
        <v>46</v>
      </c>
      <c r="H2685" s="1">
        <v>44726</v>
      </c>
      <c r="I2685" s="2">
        <v>44726.9208333333</v>
      </c>
      <c r="J2685">
        <v>22.1</v>
      </c>
      <c r="K2685" t="s">
        <v>24</v>
      </c>
      <c r="L2685">
        <v>1</v>
      </c>
      <c r="M2685">
        <v>2</v>
      </c>
      <c r="N2685" t="s">
        <v>141</v>
      </c>
      <c r="O2685" s="3" t="str">
        <f>TEXT(Ticket_Table[[#This Row],[raised_date]],"YYYY-MM")</f>
        <v>2022-06</v>
      </c>
      <c r="P2685" s="3" t="str">
        <f>IF(Ticket_Table[[#This Row],[resolution_hrs]]&lt;=4,"Fast",IF(Ticket_Table[[#This Row],[resolution_hrs]]&lt;=24,"Normal",IF(Ticket_Table[[#This Row],[resolution_hrs]]&lt;=48,"Slow","Very Slow")))</f>
        <v>Normal</v>
      </c>
      <c r="Q2685" s="3">
        <f>YEAR(Ticket_Table[[#This Row],[raised_date]])</f>
        <v>2022</v>
      </c>
    </row>
    <row r="2686" spans="1:17">
      <c r="A2686" t="s">
        <v>3247</v>
      </c>
      <c r="B2686" t="s">
        <v>183</v>
      </c>
      <c r="C2686" t="s">
        <v>60</v>
      </c>
      <c r="D2686" t="s">
        <v>36</v>
      </c>
      <c r="E2686" t="s">
        <v>83</v>
      </c>
      <c r="F2686" t="s">
        <v>70</v>
      </c>
      <c r="G2686" t="s">
        <v>23</v>
      </c>
      <c r="H2686" s="1">
        <v>44571</v>
      </c>
      <c r="I2686" s="2">
        <v>44571.7</v>
      </c>
      <c r="J2686">
        <v>16.8</v>
      </c>
      <c r="K2686" t="s">
        <v>24</v>
      </c>
      <c r="L2686">
        <v>0</v>
      </c>
      <c r="M2686">
        <v>4</v>
      </c>
      <c r="N2686" t="s">
        <v>529</v>
      </c>
      <c r="O2686" s="3" t="str">
        <f>TEXT(Ticket_Table[[#This Row],[raised_date]],"YYYY-MM")</f>
        <v>2022-01</v>
      </c>
      <c r="P2686" s="3" t="str">
        <f>IF(Ticket_Table[[#This Row],[resolution_hrs]]&lt;=4,"Fast",IF(Ticket_Table[[#This Row],[resolution_hrs]]&lt;=24,"Normal",IF(Ticket_Table[[#This Row],[resolution_hrs]]&lt;=48,"Slow","Very Slow")))</f>
        <v>Normal</v>
      </c>
      <c r="Q2686" s="3">
        <f>YEAR(Ticket_Table[[#This Row],[raised_date]])</f>
        <v>2022</v>
      </c>
    </row>
    <row r="2687" spans="1:17">
      <c r="A2687" t="s">
        <v>3248</v>
      </c>
      <c r="B2687" t="s">
        <v>200</v>
      </c>
      <c r="C2687" t="s">
        <v>42</v>
      </c>
      <c r="D2687" t="s">
        <v>36</v>
      </c>
      <c r="E2687" t="s">
        <v>30</v>
      </c>
      <c r="F2687" t="s">
        <v>70</v>
      </c>
      <c r="G2687" t="s">
        <v>74</v>
      </c>
      <c r="H2687" s="1">
        <v>44884</v>
      </c>
      <c r="I2687" s="2">
        <v>44885.2125</v>
      </c>
      <c r="J2687">
        <v>29.1</v>
      </c>
      <c r="K2687" t="s">
        <v>24</v>
      </c>
      <c r="L2687">
        <v>1</v>
      </c>
      <c r="M2687">
        <v>4</v>
      </c>
      <c r="N2687" t="s">
        <v>1582</v>
      </c>
      <c r="O2687" s="3" t="str">
        <f>TEXT(Ticket_Table[[#This Row],[raised_date]],"YYYY-MM")</f>
        <v>2022-11</v>
      </c>
      <c r="P2687" s="3" t="str">
        <f>IF(Ticket_Table[[#This Row],[resolution_hrs]]&lt;=4,"Fast",IF(Ticket_Table[[#This Row],[resolution_hrs]]&lt;=24,"Normal",IF(Ticket_Table[[#This Row],[resolution_hrs]]&lt;=48,"Slow","Very Slow")))</f>
        <v>Slow</v>
      </c>
      <c r="Q2687" s="3">
        <f>YEAR(Ticket_Table[[#This Row],[raised_date]])</f>
        <v>2022</v>
      </c>
    </row>
    <row r="2688" spans="1:17">
      <c r="A2688" t="s">
        <v>3249</v>
      </c>
      <c r="B2688" t="s">
        <v>647</v>
      </c>
      <c r="C2688" t="s">
        <v>117</v>
      </c>
      <c r="D2688" t="s">
        <v>20</v>
      </c>
      <c r="E2688" t="s">
        <v>21</v>
      </c>
      <c r="F2688" t="s">
        <v>70</v>
      </c>
      <c r="G2688" t="s">
        <v>23</v>
      </c>
      <c r="H2688" s="1">
        <v>44379</v>
      </c>
      <c r="I2688" s="2">
        <v>44380.6333333333</v>
      </c>
      <c r="J2688">
        <v>39.2</v>
      </c>
      <c r="K2688" t="s">
        <v>24</v>
      </c>
      <c r="L2688">
        <v>0</v>
      </c>
      <c r="M2688">
        <v>5</v>
      </c>
      <c r="N2688" t="s">
        <v>105</v>
      </c>
      <c r="O2688" s="3" t="str">
        <f>TEXT(Ticket_Table[[#This Row],[raised_date]],"YYYY-MM")</f>
        <v>2021-07</v>
      </c>
      <c r="P2688" s="3" t="str">
        <f>IF(Ticket_Table[[#This Row],[resolution_hrs]]&lt;=4,"Fast",IF(Ticket_Table[[#This Row],[resolution_hrs]]&lt;=24,"Normal",IF(Ticket_Table[[#This Row],[resolution_hrs]]&lt;=48,"Slow","Very Slow")))</f>
        <v>Slow</v>
      </c>
      <c r="Q2688" s="3">
        <f>YEAR(Ticket_Table[[#This Row],[raised_date]])</f>
        <v>2021</v>
      </c>
    </row>
    <row r="2689" spans="1:17">
      <c r="A2689" t="s">
        <v>3250</v>
      </c>
      <c r="B2689" t="s">
        <v>530</v>
      </c>
      <c r="C2689" t="s">
        <v>102</v>
      </c>
      <c r="D2689" t="s">
        <v>36</v>
      </c>
      <c r="E2689" t="s">
        <v>166</v>
      </c>
      <c r="F2689" t="s">
        <v>45</v>
      </c>
      <c r="G2689" t="s">
        <v>46</v>
      </c>
      <c r="H2689" s="1">
        <v>44652</v>
      </c>
      <c r="I2689" s="2">
        <v>44652.1375</v>
      </c>
      <c r="J2689">
        <v>3.3</v>
      </c>
      <c r="K2689" t="s">
        <v>24</v>
      </c>
      <c r="L2689">
        <v>2</v>
      </c>
      <c r="M2689">
        <v>4</v>
      </c>
      <c r="N2689" t="s">
        <v>405</v>
      </c>
      <c r="O2689" s="3" t="str">
        <f>TEXT(Ticket_Table[[#This Row],[raised_date]],"YYYY-MM")</f>
        <v>2022-04</v>
      </c>
      <c r="P2689" s="3" t="str">
        <f>IF(Ticket_Table[[#This Row],[resolution_hrs]]&lt;=4,"Fast",IF(Ticket_Table[[#This Row],[resolution_hrs]]&lt;=24,"Normal",IF(Ticket_Table[[#This Row],[resolution_hrs]]&lt;=48,"Slow","Very Slow")))</f>
        <v>Fast</v>
      </c>
      <c r="Q2689" s="3">
        <f>YEAR(Ticket_Table[[#This Row],[raised_date]])</f>
        <v>2022</v>
      </c>
    </row>
    <row r="2690" spans="1:17">
      <c r="A2690" t="s">
        <v>3251</v>
      </c>
      <c r="B2690" t="s">
        <v>94</v>
      </c>
      <c r="C2690" t="s">
        <v>95</v>
      </c>
      <c r="D2690" t="s">
        <v>20</v>
      </c>
      <c r="E2690" t="s">
        <v>21</v>
      </c>
      <c r="F2690" t="s">
        <v>70</v>
      </c>
      <c r="G2690" t="s">
        <v>31</v>
      </c>
      <c r="H2690" s="1">
        <v>44924</v>
      </c>
      <c r="I2690" s="2">
        <v>44924.4708333333</v>
      </c>
      <c r="J2690">
        <v>11.3</v>
      </c>
      <c r="K2690" t="s">
        <v>24</v>
      </c>
      <c r="L2690">
        <v>0</v>
      </c>
      <c r="M2690">
        <v>2</v>
      </c>
      <c r="N2690" t="s">
        <v>471</v>
      </c>
      <c r="O2690" s="3" t="str">
        <f>TEXT(Ticket_Table[[#This Row],[raised_date]],"YYYY-MM")</f>
        <v>2022-12</v>
      </c>
      <c r="P2690" s="3" t="str">
        <f>IF(Ticket_Table[[#This Row],[resolution_hrs]]&lt;=4,"Fast",IF(Ticket_Table[[#This Row],[resolution_hrs]]&lt;=24,"Normal",IF(Ticket_Table[[#This Row],[resolution_hrs]]&lt;=48,"Slow","Very Slow")))</f>
        <v>Normal</v>
      </c>
      <c r="Q2690" s="3">
        <f>YEAR(Ticket_Table[[#This Row],[raised_date]])</f>
        <v>2022</v>
      </c>
    </row>
    <row r="2691" spans="1:17">
      <c r="A2691" t="s">
        <v>3252</v>
      </c>
      <c r="B2691" t="s">
        <v>18</v>
      </c>
      <c r="C2691" t="s">
        <v>117</v>
      </c>
      <c r="D2691" t="s">
        <v>90</v>
      </c>
      <c r="E2691" t="s">
        <v>51</v>
      </c>
      <c r="F2691" t="s">
        <v>22</v>
      </c>
      <c r="G2691" t="s">
        <v>46</v>
      </c>
      <c r="H2691" s="1">
        <v>44654</v>
      </c>
      <c r="I2691" s="2">
        <v>44658.2458333333</v>
      </c>
      <c r="J2691">
        <v>101.9</v>
      </c>
      <c r="K2691" t="s">
        <v>32</v>
      </c>
      <c r="L2691">
        <v>0</v>
      </c>
      <c r="M2691">
        <v>4</v>
      </c>
      <c r="N2691" t="s">
        <v>182</v>
      </c>
      <c r="O2691" s="3" t="str">
        <f>TEXT(Ticket_Table[[#This Row],[raised_date]],"YYYY-MM")</f>
        <v>2022-04</v>
      </c>
      <c r="P2691" s="3" t="str">
        <f>IF(Ticket_Table[[#This Row],[resolution_hrs]]&lt;=4,"Fast",IF(Ticket_Table[[#This Row],[resolution_hrs]]&lt;=24,"Normal",IF(Ticket_Table[[#This Row],[resolution_hrs]]&lt;=48,"Slow","Very Slow")))</f>
        <v>Very Slow</v>
      </c>
      <c r="Q2691" s="3">
        <f>YEAR(Ticket_Table[[#This Row],[raised_date]])</f>
        <v>2022</v>
      </c>
    </row>
    <row r="2692" spans="1:17">
      <c r="A2692" t="s">
        <v>3253</v>
      </c>
      <c r="B2692" t="s">
        <v>988</v>
      </c>
      <c r="C2692" t="s">
        <v>19</v>
      </c>
      <c r="D2692" t="s">
        <v>36</v>
      </c>
      <c r="E2692" t="s">
        <v>30</v>
      </c>
      <c r="F2692" t="s">
        <v>70</v>
      </c>
      <c r="G2692" t="s">
        <v>23</v>
      </c>
      <c r="H2692" s="1">
        <v>44825</v>
      </c>
      <c r="I2692" s="2">
        <v>44827.5166666667</v>
      </c>
      <c r="J2692">
        <v>60.4</v>
      </c>
      <c r="K2692" t="s">
        <v>32</v>
      </c>
      <c r="L2692">
        <v>1</v>
      </c>
      <c r="M2692">
        <v>4</v>
      </c>
      <c r="N2692" t="s">
        <v>277</v>
      </c>
      <c r="O2692" s="3" t="str">
        <f>TEXT(Ticket_Table[[#This Row],[raised_date]],"YYYY-MM")</f>
        <v>2022-09</v>
      </c>
      <c r="P2692" s="3" t="str">
        <f>IF(Ticket_Table[[#This Row],[resolution_hrs]]&lt;=4,"Fast",IF(Ticket_Table[[#This Row],[resolution_hrs]]&lt;=24,"Normal",IF(Ticket_Table[[#This Row],[resolution_hrs]]&lt;=48,"Slow","Very Slow")))</f>
        <v>Very Slow</v>
      </c>
      <c r="Q2692" s="3">
        <f>YEAR(Ticket_Table[[#This Row],[raised_date]])</f>
        <v>2022</v>
      </c>
    </row>
    <row r="2693" spans="1:17">
      <c r="A2693" t="s">
        <v>3254</v>
      </c>
      <c r="B2693" t="s">
        <v>420</v>
      </c>
      <c r="C2693" t="s">
        <v>102</v>
      </c>
      <c r="D2693" t="s">
        <v>20</v>
      </c>
      <c r="E2693" t="s">
        <v>166</v>
      </c>
      <c r="F2693" t="s">
        <v>38</v>
      </c>
      <c r="G2693" t="s">
        <v>23</v>
      </c>
      <c r="H2693" s="1">
        <v>45058</v>
      </c>
      <c r="I2693" s="2">
        <v>45058.7708333333</v>
      </c>
      <c r="J2693">
        <v>18.5</v>
      </c>
      <c r="K2693" t="s">
        <v>24</v>
      </c>
      <c r="L2693">
        <v>1</v>
      </c>
      <c r="M2693">
        <v>3</v>
      </c>
      <c r="N2693" t="s">
        <v>49</v>
      </c>
      <c r="O2693" s="3" t="str">
        <f>TEXT(Ticket_Table[[#This Row],[raised_date]],"YYYY-MM")</f>
        <v>2023-05</v>
      </c>
      <c r="P2693" s="3" t="str">
        <f>IF(Ticket_Table[[#This Row],[resolution_hrs]]&lt;=4,"Fast",IF(Ticket_Table[[#This Row],[resolution_hrs]]&lt;=24,"Normal",IF(Ticket_Table[[#This Row],[resolution_hrs]]&lt;=48,"Slow","Very Slow")))</f>
        <v>Normal</v>
      </c>
      <c r="Q2693" s="3">
        <f>YEAR(Ticket_Table[[#This Row],[raised_date]])</f>
        <v>2023</v>
      </c>
    </row>
    <row r="2694" spans="1:17">
      <c r="A2694" t="s">
        <v>3255</v>
      </c>
      <c r="B2694" t="s">
        <v>1164</v>
      </c>
      <c r="C2694" t="s">
        <v>287</v>
      </c>
      <c r="D2694" t="s">
        <v>90</v>
      </c>
      <c r="E2694" t="s">
        <v>166</v>
      </c>
      <c r="F2694" t="s">
        <v>38</v>
      </c>
      <c r="G2694" t="s">
        <v>74</v>
      </c>
      <c r="H2694" s="1">
        <v>44875</v>
      </c>
      <c r="I2694" s="2">
        <v>44875.7083333333</v>
      </c>
      <c r="J2694">
        <v>17</v>
      </c>
      <c r="K2694" t="s">
        <v>24</v>
      </c>
      <c r="L2694">
        <v>0</v>
      </c>
      <c r="M2694">
        <v>5</v>
      </c>
      <c r="N2694" t="s">
        <v>712</v>
      </c>
      <c r="O2694" s="3" t="str">
        <f>TEXT(Ticket_Table[[#This Row],[raised_date]],"YYYY-MM")</f>
        <v>2022-11</v>
      </c>
      <c r="P2694" s="3" t="str">
        <f>IF(Ticket_Table[[#This Row],[resolution_hrs]]&lt;=4,"Fast",IF(Ticket_Table[[#This Row],[resolution_hrs]]&lt;=24,"Normal",IF(Ticket_Table[[#This Row],[resolution_hrs]]&lt;=48,"Slow","Very Slow")))</f>
        <v>Normal</v>
      </c>
      <c r="Q2694" s="3">
        <f>YEAR(Ticket_Table[[#This Row],[raised_date]])</f>
        <v>2022</v>
      </c>
    </row>
    <row r="2695" spans="1:17">
      <c r="A2695" t="s">
        <v>3256</v>
      </c>
      <c r="B2695" t="s">
        <v>491</v>
      </c>
      <c r="C2695" t="s">
        <v>50</v>
      </c>
      <c r="D2695" t="s">
        <v>36</v>
      </c>
      <c r="E2695" t="s">
        <v>166</v>
      </c>
      <c r="F2695" t="s">
        <v>70</v>
      </c>
      <c r="G2695" t="s">
        <v>74</v>
      </c>
      <c r="H2695" s="1">
        <v>44958</v>
      </c>
      <c r="I2695" s="2">
        <v>44959.8208333333</v>
      </c>
      <c r="J2695">
        <v>43.7</v>
      </c>
      <c r="K2695" t="s">
        <v>24</v>
      </c>
      <c r="L2695">
        <v>2</v>
      </c>
      <c r="M2695">
        <v>4</v>
      </c>
      <c r="N2695" t="s">
        <v>259</v>
      </c>
      <c r="O2695" s="3" t="str">
        <f>TEXT(Ticket_Table[[#This Row],[raised_date]],"YYYY-MM")</f>
        <v>2023-02</v>
      </c>
      <c r="P2695" s="3" t="str">
        <f>IF(Ticket_Table[[#This Row],[resolution_hrs]]&lt;=4,"Fast",IF(Ticket_Table[[#This Row],[resolution_hrs]]&lt;=24,"Normal",IF(Ticket_Table[[#This Row],[resolution_hrs]]&lt;=48,"Slow","Very Slow")))</f>
        <v>Slow</v>
      </c>
      <c r="Q2695" s="3">
        <f>YEAR(Ticket_Table[[#This Row],[raised_date]])</f>
        <v>2023</v>
      </c>
    </row>
    <row r="2696" spans="1:17">
      <c r="A2696" t="s">
        <v>3257</v>
      </c>
      <c r="B2696" t="s">
        <v>349</v>
      </c>
      <c r="C2696" t="s">
        <v>60</v>
      </c>
      <c r="D2696" t="s">
        <v>90</v>
      </c>
      <c r="E2696" t="s">
        <v>37</v>
      </c>
      <c r="F2696" t="s">
        <v>38</v>
      </c>
      <c r="G2696" t="s">
        <v>23</v>
      </c>
      <c r="H2696" s="1">
        <v>44730</v>
      </c>
      <c r="I2696" s="2">
        <v>44730.2541666667</v>
      </c>
      <c r="J2696">
        <v>6.1</v>
      </c>
      <c r="K2696" t="s">
        <v>24</v>
      </c>
      <c r="L2696">
        <v>0</v>
      </c>
      <c r="M2696">
        <v>4</v>
      </c>
      <c r="N2696" t="s">
        <v>293</v>
      </c>
      <c r="O2696" s="3" t="str">
        <f>TEXT(Ticket_Table[[#This Row],[raised_date]],"YYYY-MM")</f>
        <v>2022-06</v>
      </c>
      <c r="P2696" s="3" t="str">
        <f>IF(Ticket_Table[[#This Row],[resolution_hrs]]&lt;=4,"Fast",IF(Ticket_Table[[#This Row],[resolution_hrs]]&lt;=24,"Normal",IF(Ticket_Table[[#This Row],[resolution_hrs]]&lt;=48,"Slow","Very Slow")))</f>
        <v>Normal</v>
      </c>
      <c r="Q2696" s="3">
        <f>YEAR(Ticket_Table[[#This Row],[raised_date]])</f>
        <v>2022</v>
      </c>
    </row>
    <row r="2697" spans="1:17">
      <c r="A2697" t="s">
        <v>3258</v>
      </c>
      <c r="B2697" t="s">
        <v>241</v>
      </c>
      <c r="C2697" t="s">
        <v>82</v>
      </c>
      <c r="D2697" t="s">
        <v>36</v>
      </c>
      <c r="E2697" t="s">
        <v>106</v>
      </c>
      <c r="F2697" t="s">
        <v>22</v>
      </c>
      <c r="G2697" t="s">
        <v>46</v>
      </c>
      <c r="H2697" s="1">
        <v>44799</v>
      </c>
      <c r="I2697" s="2">
        <v>44802.0083333333</v>
      </c>
      <c r="J2697">
        <v>72.2</v>
      </c>
      <c r="K2697" t="s">
        <v>32</v>
      </c>
      <c r="L2697">
        <v>3</v>
      </c>
      <c r="M2697">
        <v>3</v>
      </c>
      <c r="N2697" t="s">
        <v>1180</v>
      </c>
      <c r="O2697" s="3" t="str">
        <f>TEXT(Ticket_Table[[#This Row],[raised_date]],"YYYY-MM")</f>
        <v>2022-08</v>
      </c>
      <c r="P2697" s="3" t="str">
        <f>IF(Ticket_Table[[#This Row],[resolution_hrs]]&lt;=4,"Fast",IF(Ticket_Table[[#This Row],[resolution_hrs]]&lt;=24,"Normal",IF(Ticket_Table[[#This Row],[resolution_hrs]]&lt;=48,"Slow","Very Slow")))</f>
        <v>Very Slow</v>
      </c>
      <c r="Q2697" s="3">
        <f>YEAR(Ticket_Table[[#This Row],[raised_date]])</f>
        <v>2022</v>
      </c>
    </row>
    <row r="2698" spans="1:17">
      <c r="A2698" t="s">
        <v>3259</v>
      </c>
      <c r="B2698" t="s">
        <v>61</v>
      </c>
      <c r="C2698" t="s">
        <v>102</v>
      </c>
      <c r="D2698" t="s">
        <v>29</v>
      </c>
      <c r="E2698" t="s">
        <v>83</v>
      </c>
      <c r="F2698" t="s">
        <v>70</v>
      </c>
      <c r="G2698" t="s">
        <v>46</v>
      </c>
      <c r="H2698" s="1">
        <v>45146</v>
      </c>
      <c r="I2698" s="2">
        <v>45148.4125</v>
      </c>
      <c r="J2698">
        <v>57.9</v>
      </c>
      <c r="K2698" t="s">
        <v>32</v>
      </c>
      <c r="L2698">
        <v>0</v>
      </c>
      <c r="M2698">
        <v>3</v>
      </c>
      <c r="N2698" t="s">
        <v>1039</v>
      </c>
      <c r="O2698" s="3" t="str">
        <f>TEXT(Ticket_Table[[#This Row],[raised_date]],"YYYY-MM")</f>
        <v>2023-08</v>
      </c>
      <c r="P2698" s="3" t="str">
        <f>IF(Ticket_Table[[#This Row],[resolution_hrs]]&lt;=4,"Fast",IF(Ticket_Table[[#This Row],[resolution_hrs]]&lt;=24,"Normal",IF(Ticket_Table[[#This Row],[resolution_hrs]]&lt;=48,"Slow","Very Slow")))</f>
        <v>Very Slow</v>
      </c>
      <c r="Q2698" s="3">
        <f>YEAR(Ticket_Table[[#This Row],[raised_date]])</f>
        <v>2023</v>
      </c>
    </row>
    <row r="2699" spans="1:17">
      <c r="A2699" t="s">
        <v>3260</v>
      </c>
      <c r="B2699" t="s">
        <v>188</v>
      </c>
      <c r="C2699" t="s">
        <v>55</v>
      </c>
      <c r="D2699" t="s">
        <v>29</v>
      </c>
      <c r="E2699" t="s">
        <v>69</v>
      </c>
      <c r="F2699" t="s">
        <v>38</v>
      </c>
      <c r="G2699" t="s">
        <v>46</v>
      </c>
      <c r="H2699" s="1">
        <v>44438</v>
      </c>
      <c r="I2699" s="2">
        <v>44439.0666666667</v>
      </c>
      <c r="J2699">
        <v>25.6</v>
      </c>
      <c r="K2699" t="s">
        <v>32</v>
      </c>
      <c r="L2699">
        <v>0</v>
      </c>
      <c r="M2699">
        <v>4</v>
      </c>
      <c r="N2699" t="s">
        <v>884</v>
      </c>
      <c r="O2699" s="3" t="str">
        <f>TEXT(Ticket_Table[[#This Row],[raised_date]],"YYYY-MM")</f>
        <v>2021-08</v>
      </c>
      <c r="P2699" s="3" t="str">
        <f>IF(Ticket_Table[[#This Row],[resolution_hrs]]&lt;=4,"Fast",IF(Ticket_Table[[#This Row],[resolution_hrs]]&lt;=24,"Normal",IF(Ticket_Table[[#This Row],[resolution_hrs]]&lt;=48,"Slow","Very Slow")))</f>
        <v>Slow</v>
      </c>
      <c r="Q2699" s="3">
        <f>YEAR(Ticket_Table[[#This Row],[raised_date]])</f>
        <v>2021</v>
      </c>
    </row>
    <row r="2700" spans="1:17">
      <c r="A2700" t="s">
        <v>3261</v>
      </c>
      <c r="B2700" t="s">
        <v>696</v>
      </c>
      <c r="C2700" t="s">
        <v>261</v>
      </c>
      <c r="D2700" t="s">
        <v>20</v>
      </c>
      <c r="E2700" t="s">
        <v>44</v>
      </c>
      <c r="F2700" t="s">
        <v>38</v>
      </c>
      <c r="G2700" t="s">
        <v>31</v>
      </c>
      <c r="H2700" s="1">
        <v>45160</v>
      </c>
      <c r="I2700" s="2">
        <v>45160.9166666667</v>
      </c>
      <c r="J2700">
        <v>22</v>
      </c>
      <c r="K2700" t="s">
        <v>24</v>
      </c>
      <c r="L2700">
        <v>0</v>
      </c>
      <c r="M2700">
        <v>4</v>
      </c>
      <c r="N2700" t="s">
        <v>413</v>
      </c>
      <c r="O2700" s="3" t="str">
        <f>TEXT(Ticket_Table[[#This Row],[raised_date]],"YYYY-MM")</f>
        <v>2023-08</v>
      </c>
      <c r="P2700" s="3" t="str">
        <f>IF(Ticket_Table[[#This Row],[resolution_hrs]]&lt;=4,"Fast",IF(Ticket_Table[[#This Row],[resolution_hrs]]&lt;=24,"Normal",IF(Ticket_Table[[#This Row],[resolution_hrs]]&lt;=48,"Slow","Very Slow")))</f>
        <v>Normal</v>
      </c>
      <c r="Q2700" s="3">
        <f>YEAR(Ticket_Table[[#This Row],[raised_date]])</f>
        <v>2023</v>
      </c>
    </row>
    <row r="2701" spans="1:17">
      <c r="A2701" t="s">
        <v>3262</v>
      </c>
      <c r="B2701" t="s">
        <v>924</v>
      </c>
      <c r="C2701" t="s">
        <v>42</v>
      </c>
      <c r="D2701" t="s">
        <v>43</v>
      </c>
      <c r="E2701" t="s">
        <v>44</v>
      </c>
      <c r="F2701" t="s">
        <v>38</v>
      </c>
      <c r="G2701" t="s">
        <v>31</v>
      </c>
      <c r="H2701" s="1">
        <v>44306</v>
      </c>
      <c r="I2701" s="2">
        <v>44306.4916666667</v>
      </c>
      <c r="J2701">
        <v>11.8</v>
      </c>
      <c r="K2701" t="s">
        <v>24</v>
      </c>
      <c r="L2701">
        <v>3</v>
      </c>
      <c r="M2701">
        <v>1</v>
      </c>
      <c r="N2701" t="s">
        <v>49</v>
      </c>
      <c r="O2701" s="3" t="str">
        <f>TEXT(Ticket_Table[[#This Row],[raised_date]],"YYYY-MM")</f>
        <v>2021-04</v>
      </c>
      <c r="P2701" s="3" t="str">
        <f>IF(Ticket_Table[[#This Row],[resolution_hrs]]&lt;=4,"Fast",IF(Ticket_Table[[#This Row],[resolution_hrs]]&lt;=24,"Normal",IF(Ticket_Table[[#This Row],[resolution_hrs]]&lt;=48,"Slow","Very Slow")))</f>
        <v>Normal</v>
      </c>
      <c r="Q2701" s="3">
        <f>YEAR(Ticket_Table[[#This Row],[raised_date]])</f>
        <v>2021</v>
      </c>
    </row>
    <row r="2702" spans="1:17">
      <c r="A2702" t="s">
        <v>3263</v>
      </c>
      <c r="B2702" t="s">
        <v>942</v>
      </c>
      <c r="C2702" t="s">
        <v>60</v>
      </c>
      <c r="D2702" t="s">
        <v>29</v>
      </c>
      <c r="E2702" t="s">
        <v>51</v>
      </c>
      <c r="F2702" t="s">
        <v>38</v>
      </c>
      <c r="G2702" t="s">
        <v>23</v>
      </c>
      <c r="H2702" s="1">
        <v>44342</v>
      </c>
      <c r="I2702" s="2">
        <v>44343.4875</v>
      </c>
      <c r="J2702">
        <v>35.7</v>
      </c>
      <c r="K2702" t="s">
        <v>32</v>
      </c>
      <c r="L2702">
        <v>0</v>
      </c>
      <c r="M2702">
        <v>3</v>
      </c>
      <c r="N2702" t="s">
        <v>124</v>
      </c>
      <c r="O2702" s="3" t="str">
        <f>TEXT(Ticket_Table[[#This Row],[raised_date]],"YYYY-MM")</f>
        <v>2021-05</v>
      </c>
      <c r="P2702" s="3" t="str">
        <f>IF(Ticket_Table[[#This Row],[resolution_hrs]]&lt;=4,"Fast",IF(Ticket_Table[[#This Row],[resolution_hrs]]&lt;=24,"Normal",IF(Ticket_Table[[#This Row],[resolution_hrs]]&lt;=48,"Slow","Very Slow")))</f>
        <v>Slow</v>
      </c>
      <c r="Q2702" s="3">
        <f>YEAR(Ticket_Table[[#This Row],[raised_date]])</f>
        <v>2021</v>
      </c>
    </row>
    <row r="2703" spans="1:17">
      <c r="A2703" t="s">
        <v>3264</v>
      </c>
      <c r="B2703" t="s">
        <v>1578</v>
      </c>
      <c r="C2703" t="s">
        <v>102</v>
      </c>
      <c r="D2703" t="s">
        <v>43</v>
      </c>
      <c r="E2703" t="s">
        <v>51</v>
      </c>
      <c r="F2703" t="s">
        <v>22</v>
      </c>
      <c r="G2703" t="s">
        <v>31</v>
      </c>
      <c r="H2703" s="1">
        <v>45164</v>
      </c>
      <c r="I2703" s="2">
        <v>45164.5916666667</v>
      </c>
      <c r="J2703">
        <v>14.2</v>
      </c>
      <c r="K2703" t="s">
        <v>24</v>
      </c>
      <c r="L2703">
        <v>2</v>
      </c>
      <c r="M2703">
        <v>4</v>
      </c>
      <c r="N2703" t="s">
        <v>835</v>
      </c>
      <c r="O2703" s="3" t="str">
        <f>TEXT(Ticket_Table[[#This Row],[raised_date]],"YYYY-MM")</f>
        <v>2023-08</v>
      </c>
      <c r="P2703" s="3" t="str">
        <f>IF(Ticket_Table[[#This Row],[resolution_hrs]]&lt;=4,"Fast",IF(Ticket_Table[[#This Row],[resolution_hrs]]&lt;=24,"Normal",IF(Ticket_Table[[#This Row],[resolution_hrs]]&lt;=48,"Slow","Very Slow")))</f>
        <v>Normal</v>
      </c>
      <c r="Q2703" s="3">
        <f>YEAR(Ticket_Table[[#This Row],[raised_date]])</f>
        <v>2023</v>
      </c>
    </row>
    <row r="2704" spans="1:17">
      <c r="A2704" t="s">
        <v>3265</v>
      </c>
      <c r="B2704" t="s">
        <v>41</v>
      </c>
      <c r="C2704" t="s">
        <v>140</v>
      </c>
      <c r="D2704" t="s">
        <v>90</v>
      </c>
      <c r="E2704" t="s">
        <v>51</v>
      </c>
      <c r="F2704" t="s">
        <v>38</v>
      </c>
      <c r="G2704" t="s">
        <v>74</v>
      </c>
      <c r="H2704" s="1">
        <v>44595</v>
      </c>
      <c r="I2704" s="2">
        <v>44596.4958333333</v>
      </c>
      <c r="J2704">
        <v>35.9</v>
      </c>
      <c r="K2704" t="s">
        <v>32</v>
      </c>
      <c r="L2704">
        <v>1</v>
      </c>
      <c r="M2704">
        <v>5</v>
      </c>
      <c r="N2704" t="s">
        <v>824</v>
      </c>
      <c r="O2704" s="3" t="str">
        <f>TEXT(Ticket_Table[[#This Row],[raised_date]],"YYYY-MM")</f>
        <v>2022-02</v>
      </c>
      <c r="P2704" s="3" t="str">
        <f>IF(Ticket_Table[[#This Row],[resolution_hrs]]&lt;=4,"Fast",IF(Ticket_Table[[#This Row],[resolution_hrs]]&lt;=24,"Normal",IF(Ticket_Table[[#This Row],[resolution_hrs]]&lt;=48,"Slow","Very Slow")))</f>
        <v>Slow</v>
      </c>
      <c r="Q2704" s="3">
        <f>YEAR(Ticket_Table[[#This Row],[raised_date]])</f>
        <v>2022</v>
      </c>
    </row>
    <row r="2705" spans="1:17">
      <c r="A2705" t="s">
        <v>3266</v>
      </c>
      <c r="B2705" t="s">
        <v>542</v>
      </c>
      <c r="C2705" t="s">
        <v>64</v>
      </c>
      <c r="D2705" t="s">
        <v>90</v>
      </c>
      <c r="E2705" t="s">
        <v>56</v>
      </c>
      <c r="F2705" t="s">
        <v>70</v>
      </c>
      <c r="G2705" t="s">
        <v>23</v>
      </c>
      <c r="H2705" s="1">
        <v>45221</v>
      </c>
      <c r="I2705" s="2">
        <v>45223.1333333333</v>
      </c>
      <c r="J2705">
        <v>51.2</v>
      </c>
      <c r="K2705" t="s">
        <v>32</v>
      </c>
      <c r="L2705">
        <v>0</v>
      </c>
      <c r="M2705">
        <v>3</v>
      </c>
      <c r="N2705" t="s">
        <v>1252</v>
      </c>
      <c r="O2705" s="3" t="str">
        <f>TEXT(Ticket_Table[[#This Row],[raised_date]],"YYYY-MM")</f>
        <v>2023-10</v>
      </c>
      <c r="P2705" s="3" t="str">
        <f>IF(Ticket_Table[[#This Row],[resolution_hrs]]&lt;=4,"Fast",IF(Ticket_Table[[#This Row],[resolution_hrs]]&lt;=24,"Normal",IF(Ticket_Table[[#This Row],[resolution_hrs]]&lt;=48,"Slow","Very Slow")))</f>
        <v>Very Slow</v>
      </c>
      <c r="Q2705" s="3">
        <f>YEAR(Ticket_Table[[#This Row],[raised_date]])</f>
        <v>2023</v>
      </c>
    </row>
    <row r="2706" spans="1:17">
      <c r="A2706" t="s">
        <v>3267</v>
      </c>
      <c r="B2706" t="s">
        <v>270</v>
      </c>
      <c r="C2706" t="s">
        <v>28</v>
      </c>
      <c r="D2706" t="s">
        <v>43</v>
      </c>
      <c r="E2706" t="s">
        <v>51</v>
      </c>
      <c r="F2706" t="s">
        <v>22</v>
      </c>
      <c r="G2706" t="s">
        <v>31</v>
      </c>
      <c r="H2706" s="1">
        <v>44442</v>
      </c>
      <c r="I2706" s="2">
        <v>44444.175</v>
      </c>
      <c r="J2706">
        <v>52.2</v>
      </c>
      <c r="K2706" t="s">
        <v>24</v>
      </c>
      <c r="L2706">
        <v>0</v>
      </c>
      <c r="M2706">
        <v>4</v>
      </c>
      <c r="N2706" t="s">
        <v>143</v>
      </c>
      <c r="O2706" s="3" t="str">
        <f>TEXT(Ticket_Table[[#This Row],[raised_date]],"YYYY-MM")</f>
        <v>2021-09</v>
      </c>
      <c r="P2706" s="3" t="str">
        <f>IF(Ticket_Table[[#This Row],[resolution_hrs]]&lt;=4,"Fast",IF(Ticket_Table[[#This Row],[resolution_hrs]]&lt;=24,"Normal",IF(Ticket_Table[[#This Row],[resolution_hrs]]&lt;=48,"Slow","Very Slow")))</f>
        <v>Very Slow</v>
      </c>
      <c r="Q2706" s="3">
        <f>YEAR(Ticket_Table[[#This Row],[raised_date]])</f>
        <v>2021</v>
      </c>
    </row>
    <row r="2707" spans="1:17">
      <c r="A2707" t="s">
        <v>3268</v>
      </c>
      <c r="B2707" t="s">
        <v>92</v>
      </c>
      <c r="C2707" t="s">
        <v>42</v>
      </c>
      <c r="D2707" t="s">
        <v>20</v>
      </c>
      <c r="E2707" t="s">
        <v>44</v>
      </c>
      <c r="F2707" t="s">
        <v>22</v>
      </c>
      <c r="G2707" t="s">
        <v>23</v>
      </c>
      <c r="H2707" s="1">
        <v>44978</v>
      </c>
      <c r="I2707" s="2">
        <v>44981.7375</v>
      </c>
      <c r="J2707">
        <v>89.7</v>
      </c>
      <c r="K2707" t="s">
        <v>32</v>
      </c>
      <c r="L2707">
        <v>0</v>
      </c>
      <c r="M2707">
        <v>3</v>
      </c>
      <c r="N2707" t="s">
        <v>178</v>
      </c>
      <c r="O2707" s="3" t="str">
        <f>TEXT(Ticket_Table[[#This Row],[raised_date]],"YYYY-MM")</f>
        <v>2023-02</v>
      </c>
      <c r="P2707" s="3" t="str">
        <f>IF(Ticket_Table[[#This Row],[resolution_hrs]]&lt;=4,"Fast",IF(Ticket_Table[[#This Row],[resolution_hrs]]&lt;=24,"Normal",IF(Ticket_Table[[#This Row],[resolution_hrs]]&lt;=48,"Slow","Very Slow")))</f>
        <v>Very Slow</v>
      </c>
      <c r="Q2707" s="3">
        <f>YEAR(Ticket_Table[[#This Row],[raised_date]])</f>
        <v>2023</v>
      </c>
    </row>
    <row r="2708" spans="1:17">
      <c r="A2708" t="s">
        <v>3269</v>
      </c>
      <c r="B2708" t="s">
        <v>1582</v>
      </c>
      <c r="C2708" t="s">
        <v>55</v>
      </c>
      <c r="D2708" t="s">
        <v>36</v>
      </c>
      <c r="E2708" t="s">
        <v>30</v>
      </c>
      <c r="F2708" t="s">
        <v>70</v>
      </c>
      <c r="G2708" t="s">
        <v>91</v>
      </c>
      <c r="H2708" s="1">
        <v>45282</v>
      </c>
      <c r="I2708" s="2">
        <v>45283.5041666667</v>
      </c>
      <c r="J2708">
        <v>36.1</v>
      </c>
      <c r="K2708" t="s">
        <v>24</v>
      </c>
      <c r="L2708">
        <v>0</v>
      </c>
      <c r="M2708">
        <v>4</v>
      </c>
      <c r="N2708" t="s">
        <v>372</v>
      </c>
      <c r="O2708" s="3" t="str">
        <f>TEXT(Ticket_Table[[#This Row],[raised_date]],"YYYY-MM")</f>
        <v>2023-12</v>
      </c>
      <c r="P2708" s="3" t="str">
        <f>IF(Ticket_Table[[#This Row],[resolution_hrs]]&lt;=4,"Fast",IF(Ticket_Table[[#This Row],[resolution_hrs]]&lt;=24,"Normal",IF(Ticket_Table[[#This Row],[resolution_hrs]]&lt;=48,"Slow","Very Slow")))</f>
        <v>Slow</v>
      </c>
      <c r="Q2708" s="3">
        <f>YEAR(Ticket_Table[[#This Row],[raised_date]])</f>
        <v>2023</v>
      </c>
    </row>
    <row r="2709" spans="1:17">
      <c r="A2709" t="s">
        <v>3270</v>
      </c>
      <c r="B2709" t="s">
        <v>523</v>
      </c>
      <c r="C2709" t="s">
        <v>50</v>
      </c>
      <c r="D2709" t="s">
        <v>43</v>
      </c>
      <c r="E2709" t="s">
        <v>83</v>
      </c>
      <c r="F2709" t="s">
        <v>22</v>
      </c>
      <c r="G2709" t="s">
        <v>31</v>
      </c>
      <c r="H2709" s="1">
        <v>44808</v>
      </c>
      <c r="I2709" s="2">
        <v>44811.1791666667</v>
      </c>
      <c r="J2709">
        <v>76.3</v>
      </c>
      <c r="K2709" t="s">
        <v>32</v>
      </c>
      <c r="L2709">
        <v>0</v>
      </c>
      <c r="M2709">
        <v>4</v>
      </c>
      <c r="N2709" t="s">
        <v>853</v>
      </c>
      <c r="O2709" s="3" t="str">
        <f>TEXT(Ticket_Table[[#This Row],[raised_date]],"YYYY-MM")</f>
        <v>2022-09</v>
      </c>
      <c r="P2709" s="3" t="str">
        <f>IF(Ticket_Table[[#This Row],[resolution_hrs]]&lt;=4,"Fast",IF(Ticket_Table[[#This Row],[resolution_hrs]]&lt;=24,"Normal",IF(Ticket_Table[[#This Row],[resolution_hrs]]&lt;=48,"Slow","Very Slow")))</f>
        <v>Very Slow</v>
      </c>
      <c r="Q2709" s="3">
        <f>YEAR(Ticket_Table[[#This Row],[raised_date]])</f>
        <v>2022</v>
      </c>
    </row>
    <row r="2710" spans="1:17">
      <c r="A2710" t="s">
        <v>3271</v>
      </c>
      <c r="B2710" t="s">
        <v>321</v>
      </c>
      <c r="C2710" t="s">
        <v>175</v>
      </c>
      <c r="D2710" t="s">
        <v>43</v>
      </c>
      <c r="E2710" t="s">
        <v>51</v>
      </c>
      <c r="F2710" t="s">
        <v>70</v>
      </c>
      <c r="G2710" t="s">
        <v>46</v>
      </c>
      <c r="H2710" s="1">
        <v>45043</v>
      </c>
      <c r="I2710" s="2">
        <v>45044.1541666667</v>
      </c>
      <c r="J2710">
        <v>27.7</v>
      </c>
      <c r="K2710" t="s">
        <v>24</v>
      </c>
      <c r="L2710">
        <v>2</v>
      </c>
      <c r="M2710">
        <v>2</v>
      </c>
      <c r="N2710" t="s">
        <v>646</v>
      </c>
      <c r="O2710" s="3" t="str">
        <f>TEXT(Ticket_Table[[#This Row],[raised_date]],"YYYY-MM")</f>
        <v>2023-04</v>
      </c>
      <c r="P2710" s="3" t="str">
        <f>IF(Ticket_Table[[#This Row],[resolution_hrs]]&lt;=4,"Fast",IF(Ticket_Table[[#This Row],[resolution_hrs]]&lt;=24,"Normal",IF(Ticket_Table[[#This Row],[resolution_hrs]]&lt;=48,"Slow","Very Slow")))</f>
        <v>Slow</v>
      </c>
      <c r="Q2710" s="3">
        <f>YEAR(Ticket_Table[[#This Row],[raised_date]])</f>
        <v>2023</v>
      </c>
    </row>
    <row r="2711" spans="1:17">
      <c r="A2711" t="s">
        <v>3272</v>
      </c>
      <c r="B2711" t="s">
        <v>353</v>
      </c>
      <c r="C2711" t="s">
        <v>201</v>
      </c>
      <c r="D2711" t="s">
        <v>43</v>
      </c>
      <c r="E2711" t="s">
        <v>30</v>
      </c>
      <c r="F2711" t="s">
        <v>22</v>
      </c>
      <c r="G2711" t="s">
        <v>91</v>
      </c>
      <c r="H2711" s="1">
        <v>44307</v>
      </c>
      <c r="I2711" s="2">
        <v>44311.4166666667</v>
      </c>
      <c r="J2711">
        <v>106</v>
      </c>
      <c r="K2711" t="s">
        <v>32</v>
      </c>
      <c r="L2711">
        <v>0</v>
      </c>
      <c r="M2711">
        <v>4</v>
      </c>
      <c r="N2711" t="s">
        <v>484</v>
      </c>
      <c r="O2711" s="3" t="str">
        <f>TEXT(Ticket_Table[[#This Row],[raised_date]],"YYYY-MM")</f>
        <v>2021-04</v>
      </c>
      <c r="P2711" s="3" t="str">
        <f>IF(Ticket_Table[[#This Row],[resolution_hrs]]&lt;=4,"Fast",IF(Ticket_Table[[#This Row],[resolution_hrs]]&lt;=24,"Normal",IF(Ticket_Table[[#This Row],[resolution_hrs]]&lt;=48,"Slow","Very Slow")))</f>
        <v>Very Slow</v>
      </c>
      <c r="Q2711" s="3">
        <f>YEAR(Ticket_Table[[#This Row],[raised_date]])</f>
        <v>2021</v>
      </c>
    </row>
    <row r="2712" spans="1:17">
      <c r="A2712" t="s">
        <v>3273</v>
      </c>
      <c r="B2712" t="s">
        <v>283</v>
      </c>
      <c r="C2712" t="s">
        <v>55</v>
      </c>
      <c r="D2712" t="s">
        <v>43</v>
      </c>
      <c r="E2712" t="s">
        <v>56</v>
      </c>
      <c r="F2712" t="s">
        <v>22</v>
      </c>
      <c r="G2712" t="s">
        <v>31</v>
      </c>
      <c r="H2712" s="1">
        <v>44505</v>
      </c>
      <c r="I2712" s="2">
        <v>44506.525</v>
      </c>
      <c r="J2712">
        <v>36.6</v>
      </c>
      <c r="K2712" t="s">
        <v>24</v>
      </c>
      <c r="L2712">
        <v>2</v>
      </c>
      <c r="M2712">
        <v>3</v>
      </c>
      <c r="N2712" t="s">
        <v>107</v>
      </c>
      <c r="O2712" s="3" t="str">
        <f>TEXT(Ticket_Table[[#This Row],[raised_date]],"YYYY-MM")</f>
        <v>2021-11</v>
      </c>
      <c r="P2712" s="3" t="str">
        <f>IF(Ticket_Table[[#This Row],[resolution_hrs]]&lt;=4,"Fast",IF(Ticket_Table[[#This Row],[resolution_hrs]]&lt;=24,"Normal",IF(Ticket_Table[[#This Row],[resolution_hrs]]&lt;=48,"Slow","Very Slow")))</f>
        <v>Slow</v>
      </c>
      <c r="Q2712" s="3">
        <f>YEAR(Ticket_Table[[#This Row],[raised_date]])</f>
        <v>2021</v>
      </c>
    </row>
    <row r="2713" spans="1:17">
      <c r="A2713" t="s">
        <v>3274</v>
      </c>
      <c r="B2713" t="s">
        <v>1022</v>
      </c>
      <c r="C2713" t="s">
        <v>287</v>
      </c>
      <c r="D2713" t="s">
        <v>43</v>
      </c>
      <c r="E2713" t="s">
        <v>56</v>
      </c>
      <c r="F2713" t="s">
        <v>70</v>
      </c>
      <c r="G2713" t="s">
        <v>23</v>
      </c>
      <c r="H2713" s="1">
        <v>44478</v>
      </c>
      <c r="I2713" s="2">
        <v>44480.4916666667</v>
      </c>
      <c r="J2713">
        <v>59.8</v>
      </c>
      <c r="K2713" t="s">
        <v>32</v>
      </c>
      <c r="L2713">
        <v>0</v>
      </c>
      <c r="M2713">
        <v>3</v>
      </c>
      <c r="N2713" t="s">
        <v>248</v>
      </c>
      <c r="O2713" s="3" t="str">
        <f>TEXT(Ticket_Table[[#This Row],[raised_date]],"YYYY-MM")</f>
        <v>2021-10</v>
      </c>
      <c r="P2713" s="3" t="str">
        <f>IF(Ticket_Table[[#This Row],[resolution_hrs]]&lt;=4,"Fast",IF(Ticket_Table[[#This Row],[resolution_hrs]]&lt;=24,"Normal",IF(Ticket_Table[[#This Row],[resolution_hrs]]&lt;=48,"Slow","Very Slow")))</f>
        <v>Very Slow</v>
      </c>
      <c r="Q2713" s="3">
        <f>YEAR(Ticket_Table[[#This Row],[raised_date]])</f>
        <v>2021</v>
      </c>
    </row>
    <row r="2714" spans="1:17">
      <c r="A2714" t="s">
        <v>3275</v>
      </c>
      <c r="B2714" t="s">
        <v>647</v>
      </c>
      <c r="C2714" t="s">
        <v>64</v>
      </c>
      <c r="D2714" t="s">
        <v>20</v>
      </c>
      <c r="E2714" t="s">
        <v>69</v>
      </c>
      <c r="F2714" t="s">
        <v>70</v>
      </c>
      <c r="G2714" t="s">
        <v>91</v>
      </c>
      <c r="H2714" s="1">
        <v>44607</v>
      </c>
      <c r="I2714" s="2">
        <v>44607.6666666667</v>
      </c>
      <c r="J2714">
        <v>16</v>
      </c>
      <c r="K2714" t="s">
        <v>24</v>
      </c>
      <c r="L2714">
        <v>0</v>
      </c>
      <c r="M2714">
        <v>4</v>
      </c>
      <c r="N2714" t="s">
        <v>120</v>
      </c>
      <c r="O2714" s="3" t="str">
        <f>TEXT(Ticket_Table[[#This Row],[raised_date]],"YYYY-MM")</f>
        <v>2022-02</v>
      </c>
      <c r="P2714" s="3" t="str">
        <f>IF(Ticket_Table[[#This Row],[resolution_hrs]]&lt;=4,"Fast",IF(Ticket_Table[[#This Row],[resolution_hrs]]&lt;=24,"Normal",IF(Ticket_Table[[#This Row],[resolution_hrs]]&lt;=48,"Slow","Very Slow")))</f>
        <v>Normal</v>
      </c>
      <c r="Q2714" s="3">
        <f>YEAR(Ticket_Table[[#This Row],[raised_date]])</f>
        <v>2022</v>
      </c>
    </row>
    <row r="2715" spans="1:17">
      <c r="A2715" t="s">
        <v>3276</v>
      </c>
      <c r="B2715" t="s">
        <v>1067</v>
      </c>
      <c r="C2715" t="s">
        <v>175</v>
      </c>
      <c r="D2715" t="s">
        <v>29</v>
      </c>
      <c r="E2715" t="s">
        <v>37</v>
      </c>
      <c r="F2715" t="s">
        <v>70</v>
      </c>
      <c r="G2715" t="s">
        <v>74</v>
      </c>
      <c r="H2715" s="1">
        <v>44898</v>
      </c>
      <c r="I2715" s="2">
        <v>44900.2083333333</v>
      </c>
      <c r="J2715">
        <v>53</v>
      </c>
      <c r="K2715" t="s">
        <v>32</v>
      </c>
      <c r="L2715">
        <v>0</v>
      </c>
      <c r="M2715">
        <v>4</v>
      </c>
      <c r="N2715" t="s">
        <v>600</v>
      </c>
      <c r="O2715" s="3" t="str">
        <f>TEXT(Ticket_Table[[#This Row],[raised_date]],"YYYY-MM")</f>
        <v>2022-12</v>
      </c>
      <c r="P2715" s="3" t="str">
        <f>IF(Ticket_Table[[#This Row],[resolution_hrs]]&lt;=4,"Fast",IF(Ticket_Table[[#This Row],[resolution_hrs]]&lt;=24,"Normal",IF(Ticket_Table[[#This Row],[resolution_hrs]]&lt;=48,"Slow","Very Slow")))</f>
        <v>Very Slow</v>
      </c>
      <c r="Q2715" s="3">
        <f>YEAR(Ticket_Table[[#This Row],[raised_date]])</f>
        <v>2022</v>
      </c>
    </row>
    <row r="2716" spans="1:17">
      <c r="A2716" t="s">
        <v>3277</v>
      </c>
      <c r="B2716" t="s">
        <v>802</v>
      </c>
      <c r="C2716" t="s">
        <v>82</v>
      </c>
      <c r="D2716" t="s">
        <v>36</v>
      </c>
      <c r="E2716" t="s">
        <v>37</v>
      </c>
      <c r="F2716" t="s">
        <v>38</v>
      </c>
      <c r="G2716" t="s">
        <v>31</v>
      </c>
      <c r="H2716" s="1">
        <v>45035</v>
      </c>
      <c r="I2716" s="2">
        <v>45036.225</v>
      </c>
      <c r="J2716">
        <v>29.4</v>
      </c>
      <c r="K2716" t="s">
        <v>32</v>
      </c>
      <c r="L2716">
        <v>1</v>
      </c>
      <c r="M2716">
        <v>4</v>
      </c>
      <c r="N2716" t="s">
        <v>438</v>
      </c>
      <c r="O2716" s="3" t="str">
        <f>TEXT(Ticket_Table[[#This Row],[raised_date]],"YYYY-MM")</f>
        <v>2023-04</v>
      </c>
      <c r="P2716" s="3" t="str">
        <f>IF(Ticket_Table[[#This Row],[resolution_hrs]]&lt;=4,"Fast",IF(Ticket_Table[[#This Row],[resolution_hrs]]&lt;=24,"Normal",IF(Ticket_Table[[#This Row],[resolution_hrs]]&lt;=48,"Slow","Very Slow")))</f>
        <v>Slow</v>
      </c>
      <c r="Q2716" s="3">
        <f>YEAR(Ticket_Table[[#This Row],[raised_date]])</f>
        <v>2023</v>
      </c>
    </row>
    <row r="2717" spans="1:17">
      <c r="A2717" t="s">
        <v>3278</v>
      </c>
      <c r="B2717" t="s">
        <v>270</v>
      </c>
      <c r="C2717" t="s">
        <v>95</v>
      </c>
      <c r="D2717" t="s">
        <v>29</v>
      </c>
      <c r="E2717" t="s">
        <v>21</v>
      </c>
      <c r="F2717" t="s">
        <v>38</v>
      </c>
      <c r="G2717" t="s">
        <v>23</v>
      </c>
      <c r="H2717" s="1">
        <v>45134</v>
      </c>
      <c r="I2717" s="2">
        <v>45135.0625</v>
      </c>
      <c r="J2717">
        <v>25.5</v>
      </c>
      <c r="K2717" t="s">
        <v>32</v>
      </c>
      <c r="L2717">
        <v>0</v>
      </c>
      <c r="M2717">
        <v>2</v>
      </c>
      <c r="N2717" t="s">
        <v>41</v>
      </c>
      <c r="O2717" s="3" t="str">
        <f>TEXT(Ticket_Table[[#This Row],[raised_date]],"YYYY-MM")</f>
        <v>2023-07</v>
      </c>
      <c r="P2717" s="3" t="str">
        <f>IF(Ticket_Table[[#This Row],[resolution_hrs]]&lt;=4,"Fast",IF(Ticket_Table[[#This Row],[resolution_hrs]]&lt;=24,"Normal",IF(Ticket_Table[[#This Row],[resolution_hrs]]&lt;=48,"Slow","Very Slow")))</f>
        <v>Slow</v>
      </c>
      <c r="Q2717" s="3">
        <f>YEAR(Ticket_Table[[#This Row],[raised_date]])</f>
        <v>2023</v>
      </c>
    </row>
    <row r="2718" spans="1:17">
      <c r="A2718" t="s">
        <v>3279</v>
      </c>
      <c r="B2718" t="s">
        <v>794</v>
      </c>
      <c r="C2718" t="s">
        <v>95</v>
      </c>
      <c r="D2718" t="s">
        <v>43</v>
      </c>
      <c r="E2718" t="s">
        <v>37</v>
      </c>
      <c r="F2718" t="s">
        <v>38</v>
      </c>
      <c r="G2718" t="s">
        <v>46</v>
      </c>
      <c r="H2718" s="1">
        <v>44490</v>
      </c>
      <c r="I2718" s="2">
        <v>44490.1166666667</v>
      </c>
      <c r="J2718">
        <v>2.8</v>
      </c>
      <c r="K2718" t="s">
        <v>24</v>
      </c>
      <c r="L2718">
        <v>2</v>
      </c>
      <c r="M2718">
        <v>4</v>
      </c>
      <c r="N2718" t="s">
        <v>71</v>
      </c>
      <c r="O2718" s="3" t="str">
        <f>TEXT(Ticket_Table[[#This Row],[raised_date]],"YYYY-MM")</f>
        <v>2021-10</v>
      </c>
      <c r="P2718" s="3" t="str">
        <f>IF(Ticket_Table[[#This Row],[resolution_hrs]]&lt;=4,"Fast",IF(Ticket_Table[[#This Row],[resolution_hrs]]&lt;=24,"Normal",IF(Ticket_Table[[#This Row],[resolution_hrs]]&lt;=48,"Slow","Very Slow")))</f>
        <v>Fast</v>
      </c>
      <c r="Q2718" s="3">
        <f>YEAR(Ticket_Table[[#This Row],[raised_date]])</f>
        <v>2021</v>
      </c>
    </row>
    <row r="2719" spans="1:17">
      <c r="A2719" t="s">
        <v>3280</v>
      </c>
      <c r="B2719" t="s">
        <v>123</v>
      </c>
      <c r="C2719" t="s">
        <v>213</v>
      </c>
      <c r="D2719" t="s">
        <v>29</v>
      </c>
      <c r="E2719" t="s">
        <v>21</v>
      </c>
      <c r="F2719" t="s">
        <v>70</v>
      </c>
      <c r="G2719" t="s">
        <v>23</v>
      </c>
      <c r="H2719" s="1">
        <v>44844</v>
      </c>
      <c r="I2719" s="2">
        <v>44846.6</v>
      </c>
      <c r="J2719">
        <v>62.4</v>
      </c>
      <c r="K2719" t="s">
        <v>32</v>
      </c>
      <c r="L2719">
        <v>0</v>
      </c>
      <c r="M2719">
        <v>2</v>
      </c>
      <c r="N2719" t="s">
        <v>216</v>
      </c>
      <c r="O2719" s="3" t="str">
        <f>TEXT(Ticket_Table[[#This Row],[raised_date]],"YYYY-MM")</f>
        <v>2022-10</v>
      </c>
      <c r="P2719" s="3" t="str">
        <f>IF(Ticket_Table[[#This Row],[resolution_hrs]]&lt;=4,"Fast",IF(Ticket_Table[[#This Row],[resolution_hrs]]&lt;=24,"Normal",IF(Ticket_Table[[#This Row],[resolution_hrs]]&lt;=48,"Slow","Very Slow")))</f>
        <v>Very Slow</v>
      </c>
      <c r="Q2719" s="3">
        <f>YEAR(Ticket_Table[[#This Row],[raised_date]])</f>
        <v>2022</v>
      </c>
    </row>
    <row r="2720" spans="1:17">
      <c r="A2720" t="s">
        <v>3281</v>
      </c>
      <c r="B2720" t="s">
        <v>255</v>
      </c>
      <c r="C2720" t="s">
        <v>68</v>
      </c>
      <c r="D2720" t="s">
        <v>20</v>
      </c>
      <c r="E2720" t="s">
        <v>106</v>
      </c>
      <c r="F2720" t="s">
        <v>38</v>
      </c>
      <c r="G2720" t="s">
        <v>23</v>
      </c>
      <c r="H2720" s="1">
        <v>44566</v>
      </c>
      <c r="I2720" s="2">
        <v>44566.3041666667</v>
      </c>
      <c r="J2720">
        <v>7.3</v>
      </c>
      <c r="K2720" t="s">
        <v>24</v>
      </c>
      <c r="L2720">
        <v>2</v>
      </c>
      <c r="M2720">
        <v>3</v>
      </c>
      <c r="N2720" t="s">
        <v>1382</v>
      </c>
      <c r="O2720" s="3" t="str">
        <f>TEXT(Ticket_Table[[#This Row],[raised_date]],"YYYY-MM")</f>
        <v>2022-01</v>
      </c>
      <c r="P2720" s="3" t="str">
        <f>IF(Ticket_Table[[#This Row],[resolution_hrs]]&lt;=4,"Fast",IF(Ticket_Table[[#This Row],[resolution_hrs]]&lt;=24,"Normal",IF(Ticket_Table[[#This Row],[resolution_hrs]]&lt;=48,"Slow","Very Slow")))</f>
        <v>Normal</v>
      </c>
      <c r="Q2720" s="3">
        <f>YEAR(Ticket_Table[[#This Row],[raised_date]])</f>
        <v>2022</v>
      </c>
    </row>
    <row r="2721" spans="1:17">
      <c r="A2721" t="s">
        <v>3282</v>
      </c>
      <c r="B2721" t="s">
        <v>618</v>
      </c>
      <c r="C2721" t="s">
        <v>95</v>
      </c>
      <c r="D2721" t="s">
        <v>90</v>
      </c>
      <c r="E2721" t="s">
        <v>37</v>
      </c>
      <c r="F2721" t="s">
        <v>22</v>
      </c>
      <c r="G2721" t="s">
        <v>31</v>
      </c>
      <c r="H2721" s="1">
        <v>44362</v>
      </c>
      <c r="I2721" s="2">
        <v>44364.2166666667</v>
      </c>
      <c r="J2721">
        <v>53.2</v>
      </c>
      <c r="K2721" t="s">
        <v>24</v>
      </c>
      <c r="L2721">
        <v>1</v>
      </c>
      <c r="M2721">
        <v>4</v>
      </c>
      <c r="N2721" t="s">
        <v>138</v>
      </c>
      <c r="O2721" s="3" t="str">
        <f>TEXT(Ticket_Table[[#This Row],[raised_date]],"YYYY-MM")</f>
        <v>2021-06</v>
      </c>
      <c r="P2721" s="3" t="str">
        <f>IF(Ticket_Table[[#This Row],[resolution_hrs]]&lt;=4,"Fast",IF(Ticket_Table[[#This Row],[resolution_hrs]]&lt;=24,"Normal",IF(Ticket_Table[[#This Row],[resolution_hrs]]&lt;=48,"Slow","Very Slow")))</f>
        <v>Very Slow</v>
      </c>
      <c r="Q2721" s="3">
        <f>YEAR(Ticket_Table[[#This Row],[raised_date]])</f>
        <v>2021</v>
      </c>
    </row>
    <row r="2722" spans="1:17">
      <c r="A2722" t="s">
        <v>3283</v>
      </c>
      <c r="B2722" t="s">
        <v>710</v>
      </c>
      <c r="C2722" t="s">
        <v>213</v>
      </c>
      <c r="D2722" t="s">
        <v>29</v>
      </c>
      <c r="E2722" t="s">
        <v>56</v>
      </c>
      <c r="F2722" t="s">
        <v>22</v>
      </c>
      <c r="G2722" t="s">
        <v>23</v>
      </c>
      <c r="H2722" s="1">
        <v>45195</v>
      </c>
      <c r="I2722" s="2">
        <v>45196.7875</v>
      </c>
      <c r="J2722">
        <v>42.9</v>
      </c>
      <c r="K2722" t="s">
        <v>24</v>
      </c>
      <c r="L2722">
        <v>1</v>
      </c>
      <c r="M2722">
        <v>4</v>
      </c>
      <c r="N2722" t="s">
        <v>1533</v>
      </c>
      <c r="O2722" s="3" t="str">
        <f>TEXT(Ticket_Table[[#This Row],[raised_date]],"YYYY-MM")</f>
        <v>2023-09</v>
      </c>
      <c r="P2722" s="3" t="str">
        <f>IF(Ticket_Table[[#This Row],[resolution_hrs]]&lt;=4,"Fast",IF(Ticket_Table[[#This Row],[resolution_hrs]]&lt;=24,"Normal",IF(Ticket_Table[[#This Row],[resolution_hrs]]&lt;=48,"Slow","Very Slow")))</f>
        <v>Slow</v>
      </c>
      <c r="Q2722" s="3">
        <f>YEAR(Ticket_Table[[#This Row],[raised_date]])</f>
        <v>2023</v>
      </c>
    </row>
    <row r="2723" spans="1:17">
      <c r="A2723" t="s">
        <v>3284</v>
      </c>
      <c r="B2723" t="s">
        <v>339</v>
      </c>
      <c r="C2723" t="s">
        <v>175</v>
      </c>
      <c r="D2723" t="s">
        <v>36</v>
      </c>
      <c r="E2723" t="s">
        <v>69</v>
      </c>
      <c r="F2723" t="s">
        <v>70</v>
      </c>
      <c r="G2723" t="s">
        <v>23</v>
      </c>
      <c r="H2723" s="1">
        <v>44878</v>
      </c>
      <c r="I2723" s="2">
        <v>44880.9541666667</v>
      </c>
      <c r="J2723">
        <v>70.9</v>
      </c>
      <c r="K2723" t="s">
        <v>32</v>
      </c>
      <c r="L2723">
        <v>0</v>
      </c>
      <c r="M2723">
        <v>5</v>
      </c>
      <c r="N2723" t="s">
        <v>985</v>
      </c>
      <c r="O2723" s="3" t="str">
        <f>TEXT(Ticket_Table[[#This Row],[raised_date]],"YYYY-MM")</f>
        <v>2022-11</v>
      </c>
      <c r="P2723" s="3" t="str">
        <f>IF(Ticket_Table[[#This Row],[resolution_hrs]]&lt;=4,"Fast",IF(Ticket_Table[[#This Row],[resolution_hrs]]&lt;=24,"Normal",IF(Ticket_Table[[#This Row],[resolution_hrs]]&lt;=48,"Slow","Very Slow")))</f>
        <v>Very Slow</v>
      </c>
      <c r="Q2723" s="3">
        <f>YEAR(Ticket_Table[[#This Row],[raised_date]])</f>
        <v>2022</v>
      </c>
    </row>
    <row r="2724" spans="1:17">
      <c r="A2724" t="s">
        <v>3285</v>
      </c>
      <c r="B2724" t="s">
        <v>189</v>
      </c>
      <c r="C2724" t="s">
        <v>117</v>
      </c>
      <c r="D2724" t="s">
        <v>20</v>
      </c>
      <c r="E2724" t="s">
        <v>30</v>
      </c>
      <c r="F2724" t="s">
        <v>38</v>
      </c>
      <c r="G2724" t="s">
        <v>46</v>
      </c>
      <c r="H2724" s="1">
        <v>44559</v>
      </c>
      <c r="I2724" s="2">
        <v>44560.0041666667</v>
      </c>
      <c r="J2724">
        <v>24.1</v>
      </c>
      <c r="K2724" t="s">
        <v>32</v>
      </c>
      <c r="L2724">
        <v>0</v>
      </c>
      <c r="M2724">
        <v>4</v>
      </c>
      <c r="N2724" t="s">
        <v>670</v>
      </c>
      <c r="O2724" s="3" t="str">
        <f>TEXT(Ticket_Table[[#This Row],[raised_date]],"YYYY-MM")</f>
        <v>2021-12</v>
      </c>
      <c r="P2724" s="3" t="str">
        <f>IF(Ticket_Table[[#This Row],[resolution_hrs]]&lt;=4,"Fast",IF(Ticket_Table[[#This Row],[resolution_hrs]]&lt;=24,"Normal",IF(Ticket_Table[[#This Row],[resolution_hrs]]&lt;=48,"Slow","Very Slow")))</f>
        <v>Slow</v>
      </c>
      <c r="Q2724" s="3">
        <f>YEAR(Ticket_Table[[#This Row],[raised_date]])</f>
        <v>2021</v>
      </c>
    </row>
    <row r="2725" spans="1:17">
      <c r="A2725" t="s">
        <v>3286</v>
      </c>
      <c r="B2725" t="s">
        <v>646</v>
      </c>
      <c r="C2725" t="s">
        <v>201</v>
      </c>
      <c r="D2725" t="s">
        <v>90</v>
      </c>
      <c r="E2725" t="s">
        <v>51</v>
      </c>
      <c r="F2725" t="s">
        <v>22</v>
      </c>
      <c r="G2725" t="s">
        <v>23</v>
      </c>
      <c r="H2725" s="1">
        <v>44838</v>
      </c>
      <c r="I2725" s="2">
        <v>44841.825</v>
      </c>
      <c r="J2725">
        <v>91.8</v>
      </c>
      <c r="K2725" t="s">
        <v>32</v>
      </c>
      <c r="L2725">
        <v>1</v>
      </c>
      <c r="M2725">
        <v>3</v>
      </c>
      <c r="N2725" t="s">
        <v>105</v>
      </c>
      <c r="O2725" s="3" t="str">
        <f>TEXT(Ticket_Table[[#This Row],[raised_date]],"YYYY-MM")</f>
        <v>2022-10</v>
      </c>
      <c r="P2725" s="3" t="str">
        <f>IF(Ticket_Table[[#This Row],[resolution_hrs]]&lt;=4,"Fast",IF(Ticket_Table[[#This Row],[resolution_hrs]]&lt;=24,"Normal",IF(Ticket_Table[[#This Row],[resolution_hrs]]&lt;=48,"Slow","Very Slow")))</f>
        <v>Very Slow</v>
      </c>
      <c r="Q2725" s="3">
        <f>YEAR(Ticket_Table[[#This Row],[raised_date]])</f>
        <v>2022</v>
      </c>
    </row>
    <row r="2726" spans="1:17">
      <c r="A2726" t="s">
        <v>3287</v>
      </c>
      <c r="B2726" t="s">
        <v>981</v>
      </c>
      <c r="C2726" t="s">
        <v>95</v>
      </c>
      <c r="D2726" t="s">
        <v>20</v>
      </c>
      <c r="E2726" t="s">
        <v>37</v>
      </c>
      <c r="F2726" t="s">
        <v>22</v>
      </c>
      <c r="G2726" t="s">
        <v>31</v>
      </c>
      <c r="H2726" s="1">
        <v>44315</v>
      </c>
      <c r="I2726" s="2">
        <v>44319.4583333333</v>
      </c>
      <c r="J2726">
        <v>107</v>
      </c>
      <c r="K2726" t="s">
        <v>32</v>
      </c>
      <c r="L2726">
        <v>0</v>
      </c>
      <c r="M2726">
        <v>5</v>
      </c>
      <c r="N2726" t="s">
        <v>129</v>
      </c>
      <c r="O2726" s="3" t="str">
        <f>TEXT(Ticket_Table[[#This Row],[raised_date]],"YYYY-MM")</f>
        <v>2021-04</v>
      </c>
      <c r="P2726" s="3" t="str">
        <f>IF(Ticket_Table[[#This Row],[resolution_hrs]]&lt;=4,"Fast",IF(Ticket_Table[[#This Row],[resolution_hrs]]&lt;=24,"Normal",IF(Ticket_Table[[#This Row],[resolution_hrs]]&lt;=48,"Slow","Very Slow")))</f>
        <v>Very Slow</v>
      </c>
      <c r="Q2726" s="3">
        <f>YEAR(Ticket_Table[[#This Row],[raised_date]])</f>
        <v>2021</v>
      </c>
    </row>
    <row r="2727" spans="1:17">
      <c r="A2727" t="s">
        <v>3288</v>
      </c>
      <c r="B2727" t="s">
        <v>800</v>
      </c>
      <c r="C2727" t="s">
        <v>55</v>
      </c>
      <c r="D2727" t="s">
        <v>43</v>
      </c>
      <c r="E2727" t="s">
        <v>21</v>
      </c>
      <c r="F2727" t="s">
        <v>22</v>
      </c>
      <c r="G2727" t="s">
        <v>23</v>
      </c>
      <c r="H2727" s="1">
        <v>44206</v>
      </c>
      <c r="I2727" s="2">
        <v>44208.4833333333</v>
      </c>
      <c r="J2727">
        <v>59.6</v>
      </c>
      <c r="K2727" t="s">
        <v>24</v>
      </c>
      <c r="L2727">
        <v>1</v>
      </c>
      <c r="M2727">
        <v>3</v>
      </c>
      <c r="N2727" t="s">
        <v>1136</v>
      </c>
      <c r="O2727" s="3" t="str">
        <f>TEXT(Ticket_Table[[#This Row],[raised_date]],"YYYY-MM")</f>
        <v>2021-01</v>
      </c>
      <c r="P2727" s="3" t="str">
        <f>IF(Ticket_Table[[#This Row],[resolution_hrs]]&lt;=4,"Fast",IF(Ticket_Table[[#This Row],[resolution_hrs]]&lt;=24,"Normal",IF(Ticket_Table[[#This Row],[resolution_hrs]]&lt;=48,"Slow","Very Slow")))</f>
        <v>Very Slow</v>
      </c>
      <c r="Q2727" s="3">
        <f>YEAR(Ticket_Table[[#This Row],[raised_date]])</f>
        <v>2021</v>
      </c>
    </row>
    <row r="2728" spans="1:17">
      <c r="A2728" t="s">
        <v>3289</v>
      </c>
      <c r="B2728" t="s">
        <v>47</v>
      </c>
      <c r="C2728" t="s">
        <v>28</v>
      </c>
      <c r="D2728" t="s">
        <v>90</v>
      </c>
      <c r="E2728" t="s">
        <v>30</v>
      </c>
      <c r="F2728" t="s">
        <v>38</v>
      </c>
      <c r="G2728" t="s">
        <v>23</v>
      </c>
      <c r="H2728" s="1">
        <v>45122</v>
      </c>
      <c r="I2728" s="2">
        <v>45122.5333333333</v>
      </c>
      <c r="J2728">
        <v>12.8</v>
      </c>
      <c r="K2728" t="s">
        <v>24</v>
      </c>
      <c r="L2728">
        <v>1</v>
      </c>
      <c r="M2728">
        <v>3</v>
      </c>
      <c r="N2728" t="s">
        <v>751</v>
      </c>
      <c r="O2728" s="3" t="str">
        <f>TEXT(Ticket_Table[[#This Row],[raised_date]],"YYYY-MM")</f>
        <v>2023-07</v>
      </c>
      <c r="P2728" s="3" t="str">
        <f>IF(Ticket_Table[[#This Row],[resolution_hrs]]&lt;=4,"Fast",IF(Ticket_Table[[#This Row],[resolution_hrs]]&lt;=24,"Normal",IF(Ticket_Table[[#This Row],[resolution_hrs]]&lt;=48,"Slow","Very Slow")))</f>
        <v>Normal</v>
      </c>
      <c r="Q2728" s="3">
        <f>YEAR(Ticket_Table[[#This Row],[raised_date]])</f>
        <v>2023</v>
      </c>
    </row>
    <row r="2729" spans="1:17">
      <c r="A2729" t="s">
        <v>3290</v>
      </c>
      <c r="B2729" t="s">
        <v>484</v>
      </c>
      <c r="C2729" t="s">
        <v>42</v>
      </c>
      <c r="D2729" t="s">
        <v>36</v>
      </c>
      <c r="E2729" t="s">
        <v>166</v>
      </c>
      <c r="F2729" t="s">
        <v>70</v>
      </c>
      <c r="G2729" t="s">
        <v>23</v>
      </c>
      <c r="H2729" s="1">
        <v>44757</v>
      </c>
      <c r="I2729" s="2">
        <v>44759.0458333333</v>
      </c>
      <c r="J2729">
        <v>49.1</v>
      </c>
      <c r="K2729" t="s">
        <v>32</v>
      </c>
      <c r="L2729">
        <v>0</v>
      </c>
      <c r="M2729">
        <v>4</v>
      </c>
      <c r="N2729" t="s">
        <v>89</v>
      </c>
      <c r="O2729" s="3" t="str">
        <f>TEXT(Ticket_Table[[#This Row],[raised_date]],"YYYY-MM")</f>
        <v>2022-07</v>
      </c>
      <c r="P2729" s="3" t="str">
        <f>IF(Ticket_Table[[#This Row],[resolution_hrs]]&lt;=4,"Fast",IF(Ticket_Table[[#This Row],[resolution_hrs]]&lt;=24,"Normal",IF(Ticket_Table[[#This Row],[resolution_hrs]]&lt;=48,"Slow","Very Slow")))</f>
        <v>Very Slow</v>
      </c>
      <c r="Q2729" s="3">
        <f>YEAR(Ticket_Table[[#This Row],[raised_date]])</f>
        <v>2022</v>
      </c>
    </row>
    <row r="2730" spans="1:17">
      <c r="A2730" t="s">
        <v>3291</v>
      </c>
      <c r="B2730" t="s">
        <v>1291</v>
      </c>
      <c r="C2730" t="s">
        <v>82</v>
      </c>
      <c r="D2730" t="s">
        <v>90</v>
      </c>
      <c r="E2730" t="s">
        <v>44</v>
      </c>
      <c r="F2730" t="s">
        <v>22</v>
      </c>
      <c r="G2730" t="s">
        <v>23</v>
      </c>
      <c r="H2730" s="1">
        <v>44625</v>
      </c>
      <c r="I2730" s="2">
        <v>44629.4583333333</v>
      </c>
      <c r="J2730">
        <v>107</v>
      </c>
      <c r="K2730" t="s">
        <v>32</v>
      </c>
      <c r="L2730">
        <v>0</v>
      </c>
      <c r="M2730">
        <v>5</v>
      </c>
      <c r="N2730" t="s">
        <v>701</v>
      </c>
      <c r="O2730" s="3" t="str">
        <f>TEXT(Ticket_Table[[#This Row],[raised_date]],"YYYY-MM")</f>
        <v>2022-03</v>
      </c>
      <c r="P2730" s="3" t="str">
        <f>IF(Ticket_Table[[#This Row],[resolution_hrs]]&lt;=4,"Fast",IF(Ticket_Table[[#This Row],[resolution_hrs]]&lt;=24,"Normal",IF(Ticket_Table[[#This Row],[resolution_hrs]]&lt;=48,"Slow","Very Slow")))</f>
        <v>Very Slow</v>
      </c>
      <c r="Q2730" s="3">
        <f>YEAR(Ticket_Table[[#This Row],[raised_date]])</f>
        <v>2022</v>
      </c>
    </row>
    <row r="2731" spans="1:17">
      <c r="A2731" t="s">
        <v>3292</v>
      </c>
      <c r="B2731" t="s">
        <v>129</v>
      </c>
      <c r="C2731" t="s">
        <v>261</v>
      </c>
      <c r="D2731" t="s">
        <v>36</v>
      </c>
      <c r="E2731" t="s">
        <v>37</v>
      </c>
      <c r="F2731" t="s">
        <v>70</v>
      </c>
      <c r="G2731" t="s">
        <v>23</v>
      </c>
      <c r="H2731" s="1">
        <v>44542</v>
      </c>
      <c r="I2731" s="2">
        <v>44544.2833333333</v>
      </c>
      <c r="J2731">
        <v>54.8</v>
      </c>
      <c r="K2731" t="s">
        <v>32</v>
      </c>
      <c r="L2731">
        <v>0</v>
      </c>
      <c r="M2731">
        <v>4</v>
      </c>
      <c r="N2731" t="s">
        <v>822</v>
      </c>
      <c r="O2731" s="3" t="str">
        <f>TEXT(Ticket_Table[[#This Row],[raised_date]],"YYYY-MM")</f>
        <v>2021-12</v>
      </c>
      <c r="P2731" s="3" t="str">
        <f>IF(Ticket_Table[[#This Row],[resolution_hrs]]&lt;=4,"Fast",IF(Ticket_Table[[#This Row],[resolution_hrs]]&lt;=24,"Normal",IF(Ticket_Table[[#This Row],[resolution_hrs]]&lt;=48,"Slow","Very Slow")))</f>
        <v>Very Slow</v>
      </c>
      <c r="Q2731" s="3">
        <f>YEAR(Ticket_Table[[#This Row],[raised_date]])</f>
        <v>2021</v>
      </c>
    </row>
    <row r="2732" spans="1:17">
      <c r="A2732" t="s">
        <v>3293</v>
      </c>
      <c r="B2732" t="s">
        <v>250</v>
      </c>
      <c r="C2732" t="s">
        <v>95</v>
      </c>
      <c r="D2732" t="s">
        <v>43</v>
      </c>
      <c r="E2732" t="s">
        <v>44</v>
      </c>
      <c r="F2732" t="s">
        <v>70</v>
      </c>
      <c r="G2732" t="s">
        <v>91</v>
      </c>
      <c r="H2732" s="1">
        <v>44521</v>
      </c>
      <c r="I2732" s="2">
        <v>44522.2</v>
      </c>
      <c r="J2732">
        <v>28.8</v>
      </c>
      <c r="K2732" t="s">
        <v>24</v>
      </c>
      <c r="L2732">
        <v>0</v>
      </c>
      <c r="M2732">
        <v>4</v>
      </c>
      <c r="N2732" t="s">
        <v>929</v>
      </c>
      <c r="O2732" s="3" t="str">
        <f>TEXT(Ticket_Table[[#This Row],[raised_date]],"YYYY-MM")</f>
        <v>2021-11</v>
      </c>
      <c r="P2732" s="3" t="str">
        <f>IF(Ticket_Table[[#This Row],[resolution_hrs]]&lt;=4,"Fast",IF(Ticket_Table[[#This Row],[resolution_hrs]]&lt;=24,"Normal",IF(Ticket_Table[[#This Row],[resolution_hrs]]&lt;=48,"Slow","Very Slow")))</f>
        <v>Slow</v>
      </c>
      <c r="Q2732" s="3">
        <f>YEAR(Ticket_Table[[#This Row],[raised_date]])</f>
        <v>2021</v>
      </c>
    </row>
    <row r="2733" spans="1:17">
      <c r="A2733" t="s">
        <v>3294</v>
      </c>
      <c r="B2733" t="s">
        <v>189</v>
      </c>
      <c r="C2733" t="s">
        <v>117</v>
      </c>
      <c r="D2733" t="s">
        <v>36</v>
      </c>
      <c r="E2733" t="s">
        <v>37</v>
      </c>
      <c r="F2733" t="s">
        <v>38</v>
      </c>
      <c r="G2733" t="s">
        <v>31</v>
      </c>
      <c r="H2733" s="1">
        <v>45199</v>
      </c>
      <c r="I2733" s="2">
        <v>45199.8125</v>
      </c>
      <c r="J2733">
        <v>19.5</v>
      </c>
      <c r="K2733" t="s">
        <v>24</v>
      </c>
      <c r="L2733">
        <v>2</v>
      </c>
      <c r="M2733">
        <v>4</v>
      </c>
      <c r="N2733" t="s">
        <v>981</v>
      </c>
      <c r="O2733" s="3" t="str">
        <f>TEXT(Ticket_Table[[#This Row],[raised_date]],"YYYY-MM")</f>
        <v>2023-09</v>
      </c>
      <c r="P2733" s="3" t="str">
        <f>IF(Ticket_Table[[#This Row],[resolution_hrs]]&lt;=4,"Fast",IF(Ticket_Table[[#This Row],[resolution_hrs]]&lt;=24,"Normal",IF(Ticket_Table[[#This Row],[resolution_hrs]]&lt;=48,"Slow","Very Slow")))</f>
        <v>Normal</v>
      </c>
      <c r="Q2733" s="3">
        <f>YEAR(Ticket_Table[[#This Row],[raised_date]])</f>
        <v>2023</v>
      </c>
    </row>
    <row r="2734" spans="1:17">
      <c r="A2734" t="s">
        <v>3295</v>
      </c>
      <c r="B2734" t="s">
        <v>487</v>
      </c>
      <c r="C2734" t="s">
        <v>201</v>
      </c>
      <c r="D2734" t="s">
        <v>20</v>
      </c>
      <c r="E2734" t="s">
        <v>166</v>
      </c>
      <c r="F2734" t="s">
        <v>22</v>
      </c>
      <c r="G2734" t="s">
        <v>23</v>
      </c>
      <c r="H2734" s="1">
        <v>44377</v>
      </c>
      <c r="I2734" s="2">
        <v>44378.3041666667</v>
      </c>
      <c r="J2734">
        <v>31.3</v>
      </c>
      <c r="K2734" t="s">
        <v>24</v>
      </c>
      <c r="L2734">
        <v>1</v>
      </c>
      <c r="M2734">
        <v>4</v>
      </c>
      <c r="N2734" t="s">
        <v>935</v>
      </c>
      <c r="O2734" s="3" t="str">
        <f>TEXT(Ticket_Table[[#This Row],[raised_date]],"YYYY-MM")</f>
        <v>2021-06</v>
      </c>
      <c r="P2734" s="3" t="str">
        <f>IF(Ticket_Table[[#This Row],[resolution_hrs]]&lt;=4,"Fast",IF(Ticket_Table[[#This Row],[resolution_hrs]]&lt;=24,"Normal",IF(Ticket_Table[[#This Row],[resolution_hrs]]&lt;=48,"Slow","Very Slow")))</f>
        <v>Slow</v>
      </c>
      <c r="Q2734" s="3">
        <f>YEAR(Ticket_Table[[#This Row],[raised_date]])</f>
        <v>2021</v>
      </c>
    </row>
    <row r="2735" spans="1:17">
      <c r="A2735" t="s">
        <v>3296</v>
      </c>
      <c r="B2735" t="s">
        <v>476</v>
      </c>
      <c r="C2735" t="s">
        <v>19</v>
      </c>
      <c r="D2735" t="s">
        <v>29</v>
      </c>
      <c r="E2735" t="s">
        <v>51</v>
      </c>
      <c r="F2735" t="s">
        <v>38</v>
      </c>
      <c r="G2735" t="s">
        <v>23</v>
      </c>
      <c r="H2735" s="1">
        <v>44462</v>
      </c>
      <c r="I2735" s="2">
        <v>44463.0583333333</v>
      </c>
      <c r="J2735">
        <v>25.4</v>
      </c>
      <c r="K2735" t="s">
        <v>32</v>
      </c>
      <c r="L2735">
        <v>0</v>
      </c>
      <c r="M2735">
        <v>4</v>
      </c>
      <c r="N2735" t="s">
        <v>616</v>
      </c>
      <c r="O2735" s="3" t="str">
        <f>TEXT(Ticket_Table[[#This Row],[raised_date]],"YYYY-MM")</f>
        <v>2021-09</v>
      </c>
      <c r="P2735" s="3" t="str">
        <f>IF(Ticket_Table[[#This Row],[resolution_hrs]]&lt;=4,"Fast",IF(Ticket_Table[[#This Row],[resolution_hrs]]&lt;=24,"Normal",IF(Ticket_Table[[#This Row],[resolution_hrs]]&lt;=48,"Slow","Very Slow")))</f>
        <v>Slow</v>
      </c>
      <c r="Q2735" s="3">
        <f>YEAR(Ticket_Table[[#This Row],[raised_date]])</f>
        <v>2021</v>
      </c>
    </row>
    <row r="2736" spans="1:17">
      <c r="A2736" t="s">
        <v>3297</v>
      </c>
      <c r="B2736" t="s">
        <v>284</v>
      </c>
      <c r="C2736" t="s">
        <v>175</v>
      </c>
      <c r="D2736" t="s">
        <v>20</v>
      </c>
      <c r="E2736" t="s">
        <v>106</v>
      </c>
      <c r="F2736" t="s">
        <v>70</v>
      </c>
      <c r="G2736" t="s">
        <v>23</v>
      </c>
      <c r="H2736" s="1">
        <v>45085</v>
      </c>
      <c r="I2736" s="2">
        <v>45085.6208333333</v>
      </c>
      <c r="J2736">
        <v>14.9</v>
      </c>
      <c r="K2736" t="s">
        <v>24</v>
      </c>
      <c r="L2736">
        <v>1</v>
      </c>
      <c r="M2736">
        <v>3</v>
      </c>
      <c r="N2736" t="s">
        <v>630</v>
      </c>
      <c r="O2736" s="3" t="str">
        <f>TEXT(Ticket_Table[[#This Row],[raised_date]],"YYYY-MM")</f>
        <v>2023-06</v>
      </c>
      <c r="P2736" s="3" t="str">
        <f>IF(Ticket_Table[[#This Row],[resolution_hrs]]&lt;=4,"Fast",IF(Ticket_Table[[#This Row],[resolution_hrs]]&lt;=24,"Normal",IF(Ticket_Table[[#This Row],[resolution_hrs]]&lt;=48,"Slow","Very Slow")))</f>
        <v>Normal</v>
      </c>
      <c r="Q2736" s="3">
        <f>YEAR(Ticket_Table[[#This Row],[raised_date]])</f>
        <v>2023</v>
      </c>
    </row>
    <row r="2737" spans="1:17">
      <c r="A2737" t="s">
        <v>3298</v>
      </c>
      <c r="B2737" t="s">
        <v>603</v>
      </c>
      <c r="C2737" t="s">
        <v>78</v>
      </c>
      <c r="D2737" t="s">
        <v>20</v>
      </c>
      <c r="E2737" t="s">
        <v>83</v>
      </c>
      <c r="F2737" t="s">
        <v>38</v>
      </c>
      <c r="G2737" t="s">
        <v>31</v>
      </c>
      <c r="H2737" s="1">
        <v>45076</v>
      </c>
      <c r="I2737" s="2">
        <v>45077.2916666667</v>
      </c>
      <c r="J2737">
        <v>31</v>
      </c>
      <c r="K2737" t="s">
        <v>32</v>
      </c>
      <c r="L2737">
        <v>0</v>
      </c>
      <c r="M2737">
        <v>3</v>
      </c>
      <c r="N2737" t="s">
        <v>733</v>
      </c>
      <c r="O2737" s="3" t="str">
        <f>TEXT(Ticket_Table[[#This Row],[raised_date]],"YYYY-MM")</f>
        <v>2023-05</v>
      </c>
      <c r="P2737" s="3" t="str">
        <f>IF(Ticket_Table[[#This Row],[resolution_hrs]]&lt;=4,"Fast",IF(Ticket_Table[[#This Row],[resolution_hrs]]&lt;=24,"Normal",IF(Ticket_Table[[#This Row],[resolution_hrs]]&lt;=48,"Slow","Very Slow")))</f>
        <v>Slow</v>
      </c>
      <c r="Q2737" s="3">
        <f>YEAR(Ticket_Table[[#This Row],[raised_date]])</f>
        <v>2023</v>
      </c>
    </row>
    <row r="2738" spans="1:17">
      <c r="A2738" t="s">
        <v>3299</v>
      </c>
      <c r="B2738" t="s">
        <v>145</v>
      </c>
      <c r="C2738" t="s">
        <v>64</v>
      </c>
      <c r="D2738" t="s">
        <v>90</v>
      </c>
      <c r="E2738" t="s">
        <v>30</v>
      </c>
      <c r="F2738" t="s">
        <v>22</v>
      </c>
      <c r="G2738" t="s">
        <v>23</v>
      </c>
      <c r="H2738" s="1">
        <v>45023</v>
      </c>
      <c r="I2738" s="2">
        <v>45024.7958333333</v>
      </c>
      <c r="J2738">
        <v>43.1</v>
      </c>
      <c r="K2738" t="s">
        <v>24</v>
      </c>
      <c r="L2738">
        <v>0</v>
      </c>
      <c r="M2738">
        <v>3</v>
      </c>
      <c r="N2738" t="s">
        <v>2654</v>
      </c>
      <c r="O2738" s="3" t="str">
        <f>TEXT(Ticket_Table[[#This Row],[raised_date]],"YYYY-MM")</f>
        <v>2023-04</v>
      </c>
      <c r="P2738" s="3" t="str">
        <f>IF(Ticket_Table[[#This Row],[resolution_hrs]]&lt;=4,"Fast",IF(Ticket_Table[[#This Row],[resolution_hrs]]&lt;=24,"Normal",IF(Ticket_Table[[#This Row],[resolution_hrs]]&lt;=48,"Slow","Very Slow")))</f>
        <v>Slow</v>
      </c>
      <c r="Q2738" s="3">
        <f>YEAR(Ticket_Table[[#This Row],[raised_date]])</f>
        <v>2023</v>
      </c>
    </row>
    <row r="2739" spans="1:17">
      <c r="A2739" t="s">
        <v>3300</v>
      </c>
      <c r="B2739" t="s">
        <v>267</v>
      </c>
      <c r="C2739" t="s">
        <v>140</v>
      </c>
      <c r="D2739" t="s">
        <v>43</v>
      </c>
      <c r="E2739" t="s">
        <v>30</v>
      </c>
      <c r="F2739" t="s">
        <v>70</v>
      </c>
      <c r="G2739" t="s">
        <v>31</v>
      </c>
      <c r="H2739" s="1">
        <v>45075</v>
      </c>
      <c r="I2739" s="2">
        <v>45075.4291666667</v>
      </c>
      <c r="J2739">
        <v>10.3</v>
      </c>
      <c r="K2739" t="s">
        <v>24</v>
      </c>
      <c r="L2739">
        <v>0</v>
      </c>
      <c r="M2739">
        <v>5</v>
      </c>
      <c r="N2739" t="s">
        <v>1107</v>
      </c>
      <c r="O2739" s="3" t="str">
        <f>TEXT(Ticket_Table[[#This Row],[raised_date]],"YYYY-MM")</f>
        <v>2023-05</v>
      </c>
      <c r="P2739" s="3" t="str">
        <f>IF(Ticket_Table[[#This Row],[resolution_hrs]]&lt;=4,"Fast",IF(Ticket_Table[[#This Row],[resolution_hrs]]&lt;=24,"Normal",IF(Ticket_Table[[#This Row],[resolution_hrs]]&lt;=48,"Slow","Very Slow")))</f>
        <v>Normal</v>
      </c>
      <c r="Q2739" s="3">
        <f>YEAR(Ticket_Table[[#This Row],[raised_date]])</f>
        <v>2023</v>
      </c>
    </row>
    <row r="2740" spans="1:17">
      <c r="A2740" t="s">
        <v>3301</v>
      </c>
      <c r="B2740" t="s">
        <v>99</v>
      </c>
      <c r="C2740" t="s">
        <v>261</v>
      </c>
      <c r="D2740" t="s">
        <v>29</v>
      </c>
      <c r="E2740" t="s">
        <v>51</v>
      </c>
      <c r="F2740" t="s">
        <v>70</v>
      </c>
      <c r="G2740" t="s">
        <v>23</v>
      </c>
      <c r="H2740" s="1">
        <v>45174</v>
      </c>
      <c r="I2740" s="2">
        <v>45176.2666666667</v>
      </c>
      <c r="J2740">
        <v>54.4</v>
      </c>
      <c r="K2740" t="s">
        <v>32</v>
      </c>
      <c r="L2740">
        <v>2</v>
      </c>
      <c r="M2740">
        <v>4</v>
      </c>
      <c r="N2740" t="s">
        <v>778</v>
      </c>
      <c r="O2740" s="3" t="str">
        <f>TEXT(Ticket_Table[[#This Row],[raised_date]],"YYYY-MM")</f>
        <v>2023-09</v>
      </c>
      <c r="P2740" s="3" t="str">
        <f>IF(Ticket_Table[[#This Row],[resolution_hrs]]&lt;=4,"Fast",IF(Ticket_Table[[#This Row],[resolution_hrs]]&lt;=24,"Normal",IF(Ticket_Table[[#This Row],[resolution_hrs]]&lt;=48,"Slow","Very Slow")))</f>
        <v>Very Slow</v>
      </c>
      <c r="Q2740" s="3">
        <f>YEAR(Ticket_Table[[#This Row],[raised_date]])</f>
        <v>2023</v>
      </c>
    </row>
    <row r="2741" spans="1:17">
      <c r="A2741" t="s">
        <v>3302</v>
      </c>
      <c r="B2741" t="s">
        <v>935</v>
      </c>
      <c r="C2741" t="s">
        <v>140</v>
      </c>
      <c r="D2741" t="s">
        <v>36</v>
      </c>
      <c r="E2741" t="s">
        <v>69</v>
      </c>
      <c r="F2741" t="s">
        <v>70</v>
      </c>
      <c r="G2741" t="s">
        <v>23</v>
      </c>
      <c r="H2741" s="1">
        <v>44982</v>
      </c>
      <c r="I2741" s="2">
        <v>44983.7583333333</v>
      </c>
      <c r="J2741">
        <v>42.2</v>
      </c>
      <c r="K2741" t="s">
        <v>24</v>
      </c>
      <c r="L2741">
        <v>3</v>
      </c>
      <c r="M2741">
        <v>4</v>
      </c>
      <c r="N2741" t="s">
        <v>94</v>
      </c>
      <c r="O2741" s="3" t="str">
        <f>TEXT(Ticket_Table[[#This Row],[raised_date]],"YYYY-MM")</f>
        <v>2023-02</v>
      </c>
      <c r="P2741" s="3" t="str">
        <f>IF(Ticket_Table[[#This Row],[resolution_hrs]]&lt;=4,"Fast",IF(Ticket_Table[[#This Row],[resolution_hrs]]&lt;=24,"Normal",IF(Ticket_Table[[#This Row],[resolution_hrs]]&lt;=48,"Slow","Very Slow")))</f>
        <v>Slow</v>
      </c>
      <c r="Q2741" s="3">
        <f>YEAR(Ticket_Table[[#This Row],[raised_date]])</f>
        <v>2023</v>
      </c>
    </row>
    <row r="2742" spans="1:17">
      <c r="A2742" t="s">
        <v>3303</v>
      </c>
      <c r="B2742" t="s">
        <v>597</v>
      </c>
      <c r="C2742" t="s">
        <v>201</v>
      </c>
      <c r="D2742" t="s">
        <v>90</v>
      </c>
      <c r="E2742" t="s">
        <v>56</v>
      </c>
      <c r="F2742" t="s">
        <v>22</v>
      </c>
      <c r="G2742" t="s">
        <v>31</v>
      </c>
      <c r="H2742" s="1">
        <v>44206</v>
      </c>
      <c r="I2742" s="2">
        <v>44209.6291666667</v>
      </c>
      <c r="J2742">
        <v>87.1</v>
      </c>
      <c r="K2742" t="s">
        <v>32</v>
      </c>
      <c r="L2742">
        <v>0</v>
      </c>
      <c r="M2742">
        <v>1</v>
      </c>
      <c r="N2742" t="s">
        <v>484</v>
      </c>
      <c r="O2742" s="3" t="str">
        <f>TEXT(Ticket_Table[[#This Row],[raised_date]],"YYYY-MM")</f>
        <v>2021-01</v>
      </c>
      <c r="P2742" s="3" t="str">
        <f>IF(Ticket_Table[[#This Row],[resolution_hrs]]&lt;=4,"Fast",IF(Ticket_Table[[#This Row],[resolution_hrs]]&lt;=24,"Normal",IF(Ticket_Table[[#This Row],[resolution_hrs]]&lt;=48,"Slow","Very Slow")))</f>
        <v>Very Slow</v>
      </c>
      <c r="Q2742" s="3">
        <f>YEAR(Ticket_Table[[#This Row],[raised_date]])</f>
        <v>2021</v>
      </c>
    </row>
    <row r="2743" spans="1:17">
      <c r="A2743" t="s">
        <v>3304</v>
      </c>
      <c r="B2743" t="s">
        <v>358</v>
      </c>
      <c r="C2743" t="s">
        <v>140</v>
      </c>
      <c r="D2743" t="s">
        <v>43</v>
      </c>
      <c r="E2743" t="s">
        <v>37</v>
      </c>
      <c r="F2743" t="s">
        <v>38</v>
      </c>
      <c r="G2743" t="s">
        <v>23</v>
      </c>
      <c r="H2743" s="1">
        <v>44274</v>
      </c>
      <c r="I2743" s="2">
        <v>44275.2791666667</v>
      </c>
      <c r="J2743">
        <v>30.7</v>
      </c>
      <c r="K2743" t="s">
        <v>32</v>
      </c>
      <c r="L2743">
        <v>0</v>
      </c>
      <c r="M2743">
        <v>3</v>
      </c>
      <c r="N2743" t="s">
        <v>419</v>
      </c>
      <c r="O2743" s="3" t="str">
        <f>TEXT(Ticket_Table[[#This Row],[raised_date]],"YYYY-MM")</f>
        <v>2021-03</v>
      </c>
      <c r="P2743" s="3" t="str">
        <f>IF(Ticket_Table[[#This Row],[resolution_hrs]]&lt;=4,"Fast",IF(Ticket_Table[[#This Row],[resolution_hrs]]&lt;=24,"Normal",IF(Ticket_Table[[#This Row],[resolution_hrs]]&lt;=48,"Slow","Very Slow")))</f>
        <v>Slow</v>
      </c>
      <c r="Q2743" s="3">
        <f>YEAR(Ticket_Table[[#This Row],[raised_date]])</f>
        <v>2021</v>
      </c>
    </row>
    <row r="2744" spans="1:17">
      <c r="A2744" t="s">
        <v>3305</v>
      </c>
      <c r="B2744" t="s">
        <v>394</v>
      </c>
      <c r="C2744" t="s">
        <v>55</v>
      </c>
      <c r="D2744" t="s">
        <v>29</v>
      </c>
      <c r="E2744" t="s">
        <v>83</v>
      </c>
      <c r="F2744" t="s">
        <v>22</v>
      </c>
      <c r="G2744" t="s">
        <v>91</v>
      </c>
      <c r="H2744" s="1">
        <v>45290</v>
      </c>
      <c r="I2744" s="2">
        <v>45293.2041666667</v>
      </c>
      <c r="J2744">
        <v>76.9</v>
      </c>
      <c r="K2744" t="s">
        <v>32</v>
      </c>
      <c r="L2744">
        <v>0</v>
      </c>
      <c r="M2744">
        <v>5</v>
      </c>
      <c r="N2744" t="s">
        <v>332</v>
      </c>
      <c r="O2744" s="3" t="str">
        <f>TEXT(Ticket_Table[[#This Row],[raised_date]],"YYYY-MM")</f>
        <v>2023-12</v>
      </c>
      <c r="P2744" s="3" t="str">
        <f>IF(Ticket_Table[[#This Row],[resolution_hrs]]&lt;=4,"Fast",IF(Ticket_Table[[#This Row],[resolution_hrs]]&lt;=24,"Normal",IF(Ticket_Table[[#This Row],[resolution_hrs]]&lt;=48,"Slow","Very Slow")))</f>
        <v>Very Slow</v>
      </c>
      <c r="Q2744" s="3">
        <f>YEAR(Ticket_Table[[#This Row],[raised_date]])</f>
        <v>2023</v>
      </c>
    </row>
    <row r="2745" spans="1:17">
      <c r="A2745" t="s">
        <v>3306</v>
      </c>
      <c r="B2745" t="s">
        <v>2204</v>
      </c>
      <c r="C2745" t="s">
        <v>82</v>
      </c>
      <c r="D2745" t="s">
        <v>20</v>
      </c>
      <c r="E2745" t="s">
        <v>69</v>
      </c>
      <c r="F2745" t="s">
        <v>38</v>
      </c>
      <c r="G2745" t="s">
        <v>46</v>
      </c>
      <c r="H2745" s="1">
        <v>44605</v>
      </c>
      <c r="I2745" s="2">
        <v>44605.7083333333</v>
      </c>
      <c r="J2745">
        <v>17</v>
      </c>
      <c r="K2745" t="s">
        <v>24</v>
      </c>
      <c r="L2745">
        <v>1</v>
      </c>
      <c r="M2745">
        <v>3</v>
      </c>
      <c r="N2745" t="s">
        <v>886</v>
      </c>
      <c r="O2745" s="3" t="str">
        <f>TEXT(Ticket_Table[[#This Row],[raised_date]],"YYYY-MM")</f>
        <v>2022-02</v>
      </c>
      <c r="P2745" s="3" t="str">
        <f>IF(Ticket_Table[[#This Row],[resolution_hrs]]&lt;=4,"Fast",IF(Ticket_Table[[#This Row],[resolution_hrs]]&lt;=24,"Normal",IF(Ticket_Table[[#This Row],[resolution_hrs]]&lt;=48,"Slow","Very Slow")))</f>
        <v>Normal</v>
      </c>
      <c r="Q2745" s="3">
        <f>YEAR(Ticket_Table[[#This Row],[raised_date]])</f>
        <v>2022</v>
      </c>
    </row>
    <row r="2746" spans="1:17">
      <c r="A2746" t="s">
        <v>3307</v>
      </c>
      <c r="B2746" t="s">
        <v>610</v>
      </c>
      <c r="C2746" t="s">
        <v>95</v>
      </c>
      <c r="D2746" t="s">
        <v>43</v>
      </c>
      <c r="E2746" t="s">
        <v>83</v>
      </c>
      <c r="F2746" t="s">
        <v>38</v>
      </c>
      <c r="G2746" t="s">
        <v>46</v>
      </c>
      <c r="H2746" s="1">
        <v>44961</v>
      </c>
      <c r="I2746" s="2">
        <v>44961.2791666667</v>
      </c>
      <c r="J2746">
        <v>6.7</v>
      </c>
      <c r="K2746" t="s">
        <v>24</v>
      </c>
      <c r="L2746">
        <v>0</v>
      </c>
      <c r="M2746">
        <v>4</v>
      </c>
      <c r="N2746" t="s">
        <v>372</v>
      </c>
      <c r="O2746" s="3" t="str">
        <f>TEXT(Ticket_Table[[#This Row],[raised_date]],"YYYY-MM")</f>
        <v>2023-02</v>
      </c>
      <c r="P2746" s="3" t="str">
        <f>IF(Ticket_Table[[#This Row],[resolution_hrs]]&lt;=4,"Fast",IF(Ticket_Table[[#This Row],[resolution_hrs]]&lt;=24,"Normal",IF(Ticket_Table[[#This Row],[resolution_hrs]]&lt;=48,"Slow","Very Slow")))</f>
        <v>Normal</v>
      </c>
      <c r="Q2746" s="3">
        <f>YEAR(Ticket_Table[[#This Row],[raised_date]])</f>
        <v>2023</v>
      </c>
    </row>
    <row r="2747" spans="1:17">
      <c r="A2747" t="s">
        <v>3308</v>
      </c>
      <c r="B2747" t="s">
        <v>412</v>
      </c>
      <c r="C2747" t="s">
        <v>201</v>
      </c>
      <c r="D2747" t="s">
        <v>43</v>
      </c>
      <c r="E2747" t="s">
        <v>56</v>
      </c>
      <c r="F2747" t="s">
        <v>70</v>
      </c>
      <c r="G2747" t="s">
        <v>23</v>
      </c>
      <c r="H2747" s="1">
        <v>44225</v>
      </c>
      <c r="I2747" s="2">
        <v>44225.45</v>
      </c>
      <c r="J2747">
        <v>10.8</v>
      </c>
      <c r="K2747" t="s">
        <v>24</v>
      </c>
      <c r="L2747">
        <v>0</v>
      </c>
      <c r="M2747">
        <v>3</v>
      </c>
      <c r="N2747" t="s">
        <v>308</v>
      </c>
      <c r="O2747" s="3" t="str">
        <f>TEXT(Ticket_Table[[#This Row],[raised_date]],"YYYY-MM")</f>
        <v>2021-01</v>
      </c>
      <c r="P2747" s="3" t="str">
        <f>IF(Ticket_Table[[#This Row],[resolution_hrs]]&lt;=4,"Fast",IF(Ticket_Table[[#This Row],[resolution_hrs]]&lt;=24,"Normal",IF(Ticket_Table[[#This Row],[resolution_hrs]]&lt;=48,"Slow","Very Slow")))</f>
        <v>Normal</v>
      </c>
      <c r="Q2747" s="3">
        <f>YEAR(Ticket_Table[[#This Row],[raised_date]])</f>
        <v>2021</v>
      </c>
    </row>
    <row r="2748" spans="1:17">
      <c r="A2748" t="s">
        <v>3309</v>
      </c>
      <c r="B2748" t="s">
        <v>157</v>
      </c>
      <c r="C2748" t="s">
        <v>19</v>
      </c>
      <c r="D2748" t="s">
        <v>43</v>
      </c>
      <c r="E2748" t="s">
        <v>44</v>
      </c>
      <c r="F2748" t="s">
        <v>38</v>
      </c>
      <c r="G2748" t="s">
        <v>31</v>
      </c>
      <c r="H2748" s="1">
        <v>44856</v>
      </c>
      <c r="I2748" s="2">
        <v>44857.0583333333</v>
      </c>
      <c r="J2748">
        <v>25.4</v>
      </c>
      <c r="K2748" t="s">
        <v>32</v>
      </c>
      <c r="L2748">
        <v>1</v>
      </c>
      <c r="M2748">
        <v>4</v>
      </c>
      <c r="N2748" t="s">
        <v>233</v>
      </c>
      <c r="O2748" s="3" t="str">
        <f>TEXT(Ticket_Table[[#This Row],[raised_date]],"YYYY-MM")</f>
        <v>2022-10</v>
      </c>
      <c r="P2748" s="3" t="str">
        <f>IF(Ticket_Table[[#This Row],[resolution_hrs]]&lt;=4,"Fast",IF(Ticket_Table[[#This Row],[resolution_hrs]]&lt;=24,"Normal",IF(Ticket_Table[[#This Row],[resolution_hrs]]&lt;=48,"Slow","Very Slow")))</f>
        <v>Slow</v>
      </c>
      <c r="Q2748" s="3">
        <f>YEAR(Ticket_Table[[#This Row],[raised_date]])</f>
        <v>2022</v>
      </c>
    </row>
    <row r="2749" spans="1:17">
      <c r="A2749" t="s">
        <v>3310</v>
      </c>
      <c r="B2749" t="s">
        <v>279</v>
      </c>
      <c r="C2749" t="s">
        <v>261</v>
      </c>
      <c r="D2749" t="s">
        <v>20</v>
      </c>
      <c r="E2749" t="s">
        <v>37</v>
      </c>
      <c r="F2749" t="s">
        <v>38</v>
      </c>
      <c r="G2749" t="s">
        <v>31</v>
      </c>
      <c r="H2749" s="1">
        <v>45284</v>
      </c>
      <c r="I2749" s="2">
        <v>45284.4666666667</v>
      </c>
      <c r="J2749">
        <v>11.2</v>
      </c>
      <c r="K2749" t="s">
        <v>24</v>
      </c>
      <c r="L2749">
        <v>0</v>
      </c>
      <c r="M2749">
        <v>4</v>
      </c>
      <c r="N2749" t="s">
        <v>668</v>
      </c>
      <c r="O2749" s="3" t="str">
        <f>TEXT(Ticket_Table[[#This Row],[raised_date]],"YYYY-MM")</f>
        <v>2023-12</v>
      </c>
      <c r="P2749" s="3" t="str">
        <f>IF(Ticket_Table[[#This Row],[resolution_hrs]]&lt;=4,"Fast",IF(Ticket_Table[[#This Row],[resolution_hrs]]&lt;=24,"Normal",IF(Ticket_Table[[#This Row],[resolution_hrs]]&lt;=48,"Slow","Very Slow")))</f>
        <v>Normal</v>
      </c>
      <c r="Q2749" s="3">
        <f>YEAR(Ticket_Table[[#This Row],[raised_date]])</f>
        <v>2023</v>
      </c>
    </row>
    <row r="2750" spans="1:17">
      <c r="A2750" t="s">
        <v>3311</v>
      </c>
      <c r="B2750" t="s">
        <v>485</v>
      </c>
      <c r="C2750" t="s">
        <v>68</v>
      </c>
      <c r="D2750" t="s">
        <v>36</v>
      </c>
      <c r="E2750" t="s">
        <v>56</v>
      </c>
      <c r="F2750" t="s">
        <v>70</v>
      </c>
      <c r="G2750" t="s">
        <v>46</v>
      </c>
      <c r="H2750" s="1">
        <v>44587</v>
      </c>
      <c r="I2750" s="2">
        <v>44587.4708333333</v>
      </c>
      <c r="J2750">
        <v>11.3</v>
      </c>
      <c r="K2750" t="s">
        <v>24</v>
      </c>
      <c r="L2750">
        <v>0</v>
      </c>
      <c r="M2750">
        <v>4</v>
      </c>
      <c r="N2750" t="s">
        <v>950</v>
      </c>
      <c r="O2750" s="3" t="str">
        <f>TEXT(Ticket_Table[[#This Row],[raised_date]],"YYYY-MM")</f>
        <v>2022-01</v>
      </c>
      <c r="P2750" s="3" t="str">
        <f>IF(Ticket_Table[[#This Row],[resolution_hrs]]&lt;=4,"Fast",IF(Ticket_Table[[#This Row],[resolution_hrs]]&lt;=24,"Normal",IF(Ticket_Table[[#This Row],[resolution_hrs]]&lt;=48,"Slow","Very Slow")))</f>
        <v>Normal</v>
      </c>
      <c r="Q2750" s="3">
        <f>YEAR(Ticket_Table[[#This Row],[raised_date]])</f>
        <v>2022</v>
      </c>
    </row>
    <row r="2751" spans="1:17">
      <c r="A2751" t="s">
        <v>3312</v>
      </c>
      <c r="B2751" t="s">
        <v>536</v>
      </c>
      <c r="C2751" t="s">
        <v>19</v>
      </c>
      <c r="D2751" t="s">
        <v>90</v>
      </c>
      <c r="E2751" t="s">
        <v>30</v>
      </c>
      <c r="F2751" t="s">
        <v>38</v>
      </c>
      <c r="G2751" t="s">
        <v>46</v>
      </c>
      <c r="H2751" s="1">
        <v>44233</v>
      </c>
      <c r="I2751" s="2">
        <v>44233.3583333333</v>
      </c>
      <c r="J2751">
        <v>8.6</v>
      </c>
      <c r="K2751" t="s">
        <v>24</v>
      </c>
      <c r="L2751">
        <v>0</v>
      </c>
      <c r="M2751">
        <v>4</v>
      </c>
      <c r="N2751" t="s">
        <v>662</v>
      </c>
      <c r="O2751" s="3" t="str">
        <f>TEXT(Ticket_Table[[#This Row],[raised_date]],"YYYY-MM")</f>
        <v>2021-02</v>
      </c>
      <c r="P2751" s="3" t="str">
        <f>IF(Ticket_Table[[#This Row],[resolution_hrs]]&lt;=4,"Fast",IF(Ticket_Table[[#This Row],[resolution_hrs]]&lt;=24,"Normal",IF(Ticket_Table[[#This Row],[resolution_hrs]]&lt;=48,"Slow","Very Slow")))</f>
        <v>Normal</v>
      </c>
      <c r="Q2751" s="3">
        <f>YEAR(Ticket_Table[[#This Row],[raised_date]])</f>
        <v>2021</v>
      </c>
    </row>
    <row r="2752" spans="1:17">
      <c r="A2752" t="s">
        <v>3313</v>
      </c>
      <c r="B2752" t="s">
        <v>370</v>
      </c>
      <c r="C2752" t="s">
        <v>140</v>
      </c>
      <c r="D2752" t="s">
        <v>36</v>
      </c>
      <c r="E2752" t="s">
        <v>30</v>
      </c>
      <c r="F2752" t="s">
        <v>22</v>
      </c>
      <c r="G2752" t="s">
        <v>23</v>
      </c>
      <c r="H2752" s="1">
        <v>44205</v>
      </c>
      <c r="I2752" s="2">
        <v>44208.3791666667</v>
      </c>
      <c r="J2752">
        <v>81.1</v>
      </c>
      <c r="K2752" t="s">
        <v>32</v>
      </c>
      <c r="L2752">
        <v>1</v>
      </c>
      <c r="M2752">
        <v>4</v>
      </c>
      <c r="N2752" t="s">
        <v>884</v>
      </c>
      <c r="O2752" s="3" t="str">
        <f>TEXT(Ticket_Table[[#This Row],[raised_date]],"YYYY-MM")</f>
        <v>2021-01</v>
      </c>
      <c r="P2752" s="3" t="str">
        <f>IF(Ticket_Table[[#This Row],[resolution_hrs]]&lt;=4,"Fast",IF(Ticket_Table[[#This Row],[resolution_hrs]]&lt;=24,"Normal",IF(Ticket_Table[[#This Row],[resolution_hrs]]&lt;=48,"Slow","Very Slow")))</f>
        <v>Very Slow</v>
      </c>
      <c r="Q2752" s="3">
        <f>YEAR(Ticket_Table[[#This Row],[raised_date]])</f>
        <v>2021</v>
      </c>
    </row>
    <row r="2753" spans="1:17">
      <c r="A2753" t="s">
        <v>3314</v>
      </c>
      <c r="B2753" t="s">
        <v>1019</v>
      </c>
      <c r="C2753" t="s">
        <v>117</v>
      </c>
      <c r="D2753" t="s">
        <v>29</v>
      </c>
      <c r="E2753" t="s">
        <v>37</v>
      </c>
      <c r="F2753" t="s">
        <v>70</v>
      </c>
      <c r="G2753" t="s">
        <v>23</v>
      </c>
      <c r="H2753" s="1">
        <v>44706</v>
      </c>
      <c r="I2753" s="2">
        <v>44708.2166666667</v>
      </c>
      <c r="J2753">
        <v>53.2</v>
      </c>
      <c r="K2753" t="s">
        <v>32</v>
      </c>
      <c r="L2753">
        <v>3</v>
      </c>
      <c r="M2753">
        <v>4</v>
      </c>
      <c r="N2753" t="s">
        <v>302</v>
      </c>
      <c r="O2753" s="3" t="str">
        <f>TEXT(Ticket_Table[[#This Row],[raised_date]],"YYYY-MM")</f>
        <v>2022-05</v>
      </c>
      <c r="P2753" s="3" t="str">
        <f>IF(Ticket_Table[[#This Row],[resolution_hrs]]&lt;=4,"Fast",IF(Ticket_Table[[#This Row],[resolution_hrs]]&lt;=24,"Normal",IF(Ticket_Table[[#This Row],[resolution_hrs]]&lt;=48,"Slow","Very Slow")))</f>
        <v>Very Slow</v>
      </c>
      <c r="Q2753" s="3">
        <f>YEAR(Ticket_Table[[#This Row],[raised_date]])</f>
        <v>2022</v>
      </c>
    </row>
    <row r="2754" spans="1:17">
      <c r="A2754" t="s">
        <v>3315</v>
      </c>
      <c r="B2754" t="s">
        <v>683</v>
      </c>
      <c r="C2754" t="s">
        <v>64</v>
      </c>
      <c r="D2754" t="s">
        <v>90</v>
      </c>
      <c r="E2754" t="s">
        <v>106</v>
      </c>
      <c r="F2754" t="s">
        <v>38</v>
      </c>
      <c r="G2754" t="s">
        <v>23</v>
      </c>
      <c r="H2754" s="1">
        <v>44660</v>
      </c>
      <c r="I2754" s="2">
        <v>44660.0541666667</v>
      </c>
      <c r="J2754">
        <v>1.3</v>
      </c>
      <c r="K2754" t="s">
        <v>24</v>
      </c>
      <c r="L2754">
        <v>0</v>
      </c>
      <c r="M2754">
        <v>5</v>
      </c>
      <c r="N2754" t="s">
        <v>290</v>
      </c>
      <c r="O2754" s="3" t="str">
        <f>TEXT(Ticket_Table[[#This Row],[raised_date]],"YYYY-MM")</f>
        <v>2022-04</v>
      </c>
      <c r="P2754" s="3" t="str">
        <f>IF(Ticket_Table[[#This Row],[resolution_hrs]]&lt;=4,"Fast",IF(Ticket_Table[[#This Row],[resolution_hrs]]&lt;=24,"Normal",IF(Ticket_Table[[#This Row],[resolution_hrs]]&lt;=48,"Slow","Very Slow")))</f>
        <v>Fast</v>
      </c>
      <c r="Q2754" s="3">
        <f>YEAR(Ticket_Table[[#This Row],[raised_date]])</f>
        <v>2022</v>
      </c>
    </row>
    <row r="2755" spans="1:17">
      <c r="A2755" t="s">
        <v>3316</v>
      </c>
      <c r="B2755" t="s">
        <v>947</v>
      </c>
      <c r="C2755" t="s">
        <v>68</v>
      </c>
      <c r="D2755" t="s">
        <v>29</v>
      </c>
      <c r="E2755" t="s">
        <v>51</v>
      </c>
      <c r="F2755" t="s">
        <v>70</v>
      </c>
      <c r="G2755" t="s">
        <v>23</v>
      </c>
      <c r="H2755" s="1">
        <v>44902</v>
      </c>
      <c r="I2755" s="2">
        <v>44904.1875</v>
      </c>
      <c r="J2755">
        <v>52.5</v>
      </c>
      <c r="K2755" t="s">
        <v>32</v>
      </c>
      <c r="L2755">
        <v>0</v>
      </c>
      <c r="M2755">
        <v>4</v>
      </c>
      <c r="N2755" t="s">
        <v>780</v>
      </c>
      <c r="O2755" s="3" t="str">
        <f>TEXT(Ticket_Table[[#This Row],[raised_date]],"YYYY-MM")</f>
        <v>2022-12</v>
      </c>
      <c r="P2755" s="3" t="str">
        <f>IF(Ticket_Table[[#This Row],[resolution_hrs]]&lt;=4,"Fast",IF(Ticket_Table[[#This Row],[resolution_hrs]]&lt;=24,"Normal",IF(Ticket_Table[[#This Row],[resolution_hrs]]&lt;=48,"Slow","Very Slow")))</f>
        <v>Very Slow</v>
      </c>
      <c r="Q2755" s="3">
        <f>YEAR(Ticket_Table[[#This Row],[raised_date]])</f>
        <v>2022</v>
      </c>
    </row>
    <row r="2756" spans="1:17">
      <c r="A2756" t="s">
        <v>3317</v>
      </c>
      <c r="B2756" t="s">
        <v>1857</v>
      </c>
      <c r="C2756" t="s">
        <v>175</v>
      </c>
      <c r="D2756" t="s">
        <v>20</v>
      </c>
      <c r="E2756" t="s">
        <v>51</v>
      </c>
      <c r="F2756" t="s">
        <v>70</v>
      </c>
      <c r="G2756" t="s">
        <v>23</v>
      </c>
      <c r="H2756" s="1">
        <v>44836</v>
      </c>
      <c r="I2756" s="2">
        <v>44837.7458333333</v>
      </c>
      <c r="J2756">
        <v>41.9</v>
      </c>
      <c r="K2756" t="s">
        <v>24</v>
      </c>
      <c r="L2756">
        <v>0</v>
      </c>
      <c r="M2756">
        <v>3</v>
      </c>
      <c r="N2756" t="s">
        <v>854</v>
      </c>
      <c r="O2756" s="3" t="str">
        <f>TEXT(Ticket_Table[[#This Row],[raised_date]],"YYYY-MM")</f>
        <v>2022-10</v>
      </c>
      <c r="P2756" s="3" t="str">
        <f>IF(Ticket_Table[[#This Row],[resolution_hrs]]&lt;=4,"Fast",IF(Ticket_Table[[#This Row],[resolution_hrs]]&lt;=24,"Normal",IF(Ticket_Table[[#This Row],[resolution_hrs]]&lt;=48,"Slow","Very Slow")))</f>
        <v>Slow</v>
      </c>
      <c r="Q2756" s="3">
        <f>YEAR(Ticket_Table[[#This Row],[raised_date]])</f>
        <v>2022</v>
      </c>
    </row>
    <row r="2757" spans="1:17">
      <c r="A2757" t="s">
        <v>3318</v>
      </c>
      <c r="B2757" t="s">
        <v>1243</v>
      </c>
      <c r="C2757" t="s">
        <v>117</v>
      </c>
      <c r="D2757" t="s">
        <v>36</v>
      </c>
      <c r="E2757" t="s">
        <v>30</v>
      </c>
      <c r="F2757" t="s">
        <v>70</v>
      </c>
      <c r="G2757" t="s">
        <v>23</v>
      </c>
      <c r="H2757" s="1">
        <v>44461</v>
      </c>
      <c r="I2757" s="2">
        <v>44463.05</v>
      </c>
      <c r="J2757">
        <v>49.2</v>
      </c>
      <c r="K2757" t="s">
        <v>32</v>
      </c>
      <c r="L2757">
        <v>0</v>
      </c>
      <c r="M2757">
        <v>4</v>
      </c>
      <c r="N2757" t="s">
        <v>47</v>
      </c>
      <c r="O2757" s="3" t="str">
        <f>TEXT(Ticket_Table[[#This Row],[raised_date]],"YYYY-MM")</f>
        <v>2021-09</v>
      </c>
      <c r="P2757" s="3" t="str">
        <f>IF(Ticket_Table[[#This Row],[resolution_hrs]]&lt;=4,"Fast",IF(Ticket_Table[[#This Row],[resolution_hrs]]&lt;=24,"Normal",IF(Ticket_Table[[#This Row],[resolution_hrs]]&lt;=48,"Slow","Very Slow")))</f>
        <v>Very Slow</v>
      </c>
      <c r="Q2757" s="3">
        <f>YEAR(Ticket_Table[[#This Row],[raised_date]])</f>
        <v>2021</v>
      </c>
    </row>
    <row r="2758" spans="1:17">
      <c r="A2758" t="s">
        <v>3319</v>
      </c>
      <c r="B2758" t="s">
        <v>163</v>
      </c>
      <c r="C2758" t="s">
        <v>201</v>
      </c>
      <c r="D2758" t="s">
        <v>43</v>
      </c>
      <c r="E2758" t="s">
        <v>30</v>
      </c>
      <c r="F2758" t="s">
        <v>38</v>
      </c>
      <c r="G2758" t="s">
        <v>46</v>
      </c>
      <c r="H2758" s="1">
        <v>44407</v>
      </c>
      <c r="I2758" s="2">
        <v>44408.4833333333</v>
      </c>
      <c r="J2758">
        <v>35.6</v>
      </c>
      <c r="K2758" t="s">
        <v>32</v>
      </c>
      <c r="L2758">
        <v>0</v>
      </c>
      <c r="M2758">
        <v>4</v>
      </c>
      <c r="N2758" t="s">
        <v>620</v>
      </c>
      <c r="O2758" s="3" t="str">
        <f>TEXT(Ticket_Table[[#This Row],[raised_date]],"YYYY-MM")</f>
        <v>2021-07</v>
      </c>
      <c r="P2758" s="3" t="str">
        <f>IF(Ticket_Table[[#This Row],[resolution_hrs]]&lt;=4,"Fast",IF(Ticket_Table[[#This Row],[resolution_hrs]]&lt;=24,"Normal",IF(Ticket_Table[[#This Row],[resolution_hrs]]&lt;=48,"Slow","Very Slow")))</f>
        <v>Slow</v>
      </c>
      <c r="Q2758" s="3">
        <f>YEAR(Ticket_Table[[#This Row],[raised_date]])</f>
        <v>2021</v>
      </c>
    </row>
    <row r="2759" spans="1:17">
      <c r="A2759" t="s">
        <v>3320</v>
      </c>
      <c r="B2759" t="s">
        <v>302</v>
      </c>
      <c r="C2759" t="s">
        <v>261</v>
      </c>
      <c r="D2759" t="s">
        <v>90</v>
      </c>
      <c r="E2759" t="s">
        <v>56</v>
      </c>
      <c r="F2759" t="s">
        <v>45</v>
      </c>
      <c r="G2759" t="s">
        <v>23</v>
      </c>
      <c r="H2759" s="1">
        <v>44982</v>
      </c>
      <c r="I2759" s="2">
        <v>44982.0708333333</v>
      </c>
      <c r="J2759">
        <v>1.7</v>
      </c>
      <c r="K2759" t="s">
        <v>24</v>
      </c>
      <c r="L2759">
        <v>0</v>
      </c>
      <c r="M2759">
        <v>5</v>
      </c>
      <c r="N2759" t="s">
        <v>350</v>
      </c>
      <c r="O2759" s="3" t="str">
        <f>TEXT(Ticket_Table[[#This Row],[raised_date]],"YYYY-MM")</f>
        <v>2023-02</v>
      </c>
      <c r="P2759" s="3" t="str">
        <f>IF(Ticket_Table[[#This Row],[resolution_hrs]]&lt;=4,"Fast",IF(Ticket_Table[[#This Row],[resolution_hrs]]&lt;=24,"Normal",IF(Ticket_Table[[#This Row],[resolution_hrs]]&lt;=48,"Slow","Very Slow")))</f>
        <v>Fast</v>
      </c>
      <c r="Q2759" s="3">
        <f>YEAR(Ticket_Table[[#This Row],[raised_date]])</f>
        <v>2023</v>
      </c>
    </row>
    <row r="2760" spans="1:17">
      <c r="A2760" t="s">
        <v>3321</v>
      </c>
      <c r="B2760" t="s">
        <v>374</v>
      </c>
      <c r="C2760" t="s">
        <v>50</v>
      </c>
      <c r="D2760" t="s">
        <v>43</v>
      </c>
      <c r="E2760" t="s">
        <v>166</v>
      </c>
      <c r="F2760" t="s">
        <v>70</v>
      </c>
      <c r="G2760" t="s">
        <v>74</v>
      </c>
      <c r="H2760" s="1">
        <v>45227</v>
      </c>
      <c r="I2760" s="2">
        <v>45229.8541666667</v>
      </c>
      <c r="J2760">
        <v>68.5</v>
      </c>
      <c r="K2760" t="s">
        <v>32</v>
      </c>
      <c r="L2760">
        <v>0</v>
      </c>
      <c r="M2760">
        <v>3</v>
      </c>
      <c r="N2760" t="s">
        <v>54</v>
      </c>
      <c r="O2760" s="3" t="str">
        <f>TEXT(Ticket_Table[[#This Row],[raised_date]],"YYYY-MM")</f>
        <v>2023-10</v>
      </c>
      <c r="P2760" s="3" t="str">
        <f>IF(Ticket_Table[[#This Row],[resolution_hrs]]&lt;=4,"Fast",IF(Ticket_Table[[#This Row],[resolution_hrs]]&lt;=24,"Normal",IF(Ticket_Table[[#This Row],[resolution_hrs]]&lt;=48,"Slow","Very Slow")))</f>
        <v>Very Slow</v>
      </c>
      <c r="Q2760" s="3">
        <f>YEAR(Ticket_Table[[#This Row],[raised_date]])</f>
        <v>2023</v>
      </c>
    </row>
    <row r="2761" spans="1:17">
      <c r="A2761" t="s">
        <v>3322</v>
      </c>
      <c r="B2761" t="s">
        <v>264</v>
      </c>
      <c r="C2761" t="s">
        <v>55</v>
      </c>
      <c r="D2761" t="s">
        <v>29</v>
      </c>
      <c r="E2761" t="s">
        <v>21</v>
      </c>
      <c r="F2761" t="s">
        <v>38</v>
      </c>
      <c r="G2761" t="s">
        <v>23</v>
      </c>
      <c r="H2761" s="1">
        <v>44823</v>
      </c>
      <c r="I2761" s="2">
        <v>44823.6625</v>
      </c>
      <c r="J2761">
        <v>15.9</v>
      </c>
      <c r="K2761" t="s">
        <v>24</v>
      </c>
      <c r="L2761">
        <v>1</v>
      </c>
      <c r="M2761">
        <v>3</v>
      </c>
      <c r="N2761" t="s">
        <v>398</v>
      </c>
      <c r="O2761" s="3" t="str">
        <f>TEXT(Ticket_Table[[#This Row],[raised_date]],"YYYY-MM")</f>
        <v>2022-09</v>
      </c>
      <c r="P2761" s="3" t="str">
        <f>IF(Ticket_Table[[#This Row],[resolution_hrs]]&lt;=4,"Fast",IF(Ticket_Table[[#This Row],[resolution_hrs]]&lt;=24,"Normal",IF(Ticket_Table[[#This Row],[resolution_hrs]]&lt;=48,"Slow","Very Slow")))</f>
        <v>Normal</v>
      </c>
      <c r="Q2761" s="3">
        <f>YEAR(Ticket_Table[[#This Row],[raised_date]])</f>
        <v>2022</v>
      </c>
    </row>
    <row r="2762" spans="1:17">
      <c r="A2762" t="s">
        <v>3323</v>
      </c>
      <c r="B2762" t="s">
        <v>401</v>
      </c>
      <c r="C2762" t="s">
        <v>64</v>
      </c>
      <c r="D2762" t="s">
        <v>43</v>
      </c>
      <c r="E2762" t="s">
        <v>106</v>
      </c>
      <c r="F2762" t="s">
        <v>45</v>
      </c>
      <c r="G2762" t="s">
        <v>31</v>
      </c>
      <c r="H2762" s="1">
        <v>44539</v>
      </c>
      <c r="I2762" s="2">
        <v>44539.2166666667</v>
      </c>
      <c r="J2762">
        <v>5.2</v>
      </c>
      <c r="K2762" t="s">
        <v>32</v>
      </c>
      <c r="L2762">
        <v>0</v>
      </c>
      <c r="M2762">
        <v>5</v>
      </c>
      <c r="N2762" t="s">
        <v>621</v>
      </c>
      <c r="O2762" s="3" t="str">
        <f>TEXT(Ticket_Table[[#This Row],[raised_date]],"YYYY-MM")</f>
        <v>2021-12</v>
      </c>
      <c r="P2762" s="3" t="str">
        <f>IF(Ticket_Table[[#This Row],[resolution_hrs]]&lt;=4,"Fast",IF(Ticket_Table[[#This Row],[resolution_hrs]]&lt;=24,"Normal",IF(Ticket_Table[[#This Row],[resolution_hrs]]&lt;=48,"Slow","Very Slow")))</f>
        <v>Normal</v>
      </c>
      <c r="Q2762" s="3">
        <f>YEAR(Ticket_Table[[#This Row],[raised_date]])</f>
        <v>2021</v>
      </c>
    </row>
    <row r="2763" spans="1:17">
      <c r="A2763" t="s">
        <v>3324</v>
      </c>
      <c r="B2763" t="s">
        <v>1019</v>
      </c>
      <c r="C2763" t="s">
        <v>175</v>
      </c>
      <c r="D2763" t="s">
        <v>43</v>
      </c>
      <c r="E2763" t="s">
        <v>69</v>
      </c>
      <c r="F2763" t="s">
        <v>22</v>
      </c>
      <c r="G2763" t="s">
        <v>46</v>
      </c>
      <c r="H2763" s="1">
        <v>44330</v>
      </c>
      <c r="I2763" s="2">
        <v>44334.1708333333</v>
      </c>
      <c r="J2763">
        <v>100.1</v>
      </c>
      <c r="K2763" t="s">
        <v>32</v>
      </c>
      <c r="L2763">
        <v>3</v>
      </c>
      <c r="M2763">
        <v>5</v>
      </c>
      <c r="N2763" t="s">
        <v>429</v>
      </c>
      <c r="O2763" s="3" t="str">
        <f>TEXT(Ticket_Table[[#This Row],[raised_date]],"YYYY-MM")</f>
        <v>2021-05</v>
      </c>
      <c r="P2763" s="3" t="str">
        <f>IF(Ticket_Table[[#This Row],[resolution_hrs]]&lt;=4,"Fast",IF(Ticket_Table[[#This Row],[resolution_hrs]]&lt;=24,"Normal",IF(Ticket_Table[[#This Row],[resolution_hrs]]&lt;=48,"Slow","Very Slow")))</f>
        <v>Very Slow</v>
      </c>
      <c r="Q2763" s="3">
        <f>YEAR(Ticket_Table[[#This Row],[raised_date]])</f>
        <v>2021</v>
      </c>
    </row>
    <row r="2764" spans="1:17">
      <c r="A2764" t="s">
        <v>3325</v>
      </c>
      <c r="B2764" t="s">
        <v>272</v>
      </c>
      <c r="C2764" t="s">
        <v>102</v>
      </c>
      <c r="D2764" t="s">
        <v>20</v>
      </c>
      <c r="E2764" t="s">
        <v>21</v>
      </c>
      <c r="F2764" t="s">
        <v>22</v>
      </c>
      <c r="G2764" t="s">
        <v>46</v>
      </c>
      <c r="H2764" s="1">
        <v>44290</v>
      </c>
      <c r="I2764" s="2">
        <v>44290.4708333333</v>
      </c>
      <c r="J2764">
        <v>11.3</v>
      </c>
      <c r="K2764" t="s">
        <v>24</v>
      </c>
      <c r="L2764">
        <v>0</v>
      </c>
      <c r="M2764">
        <v>4</v>
      </c>
      <c r="N2764" t="s">
        <v>157</v>
      </c>
      <c r="O2764" s="3" t="str">
        <f>TEXT(Ticket_Table[[#This Row],[raised_date]],"YYYY-MM")</f>
        <v>2021-04</v>
      </c>
      <c r="P2764" s="3" t="str">
        <f>IF(Ticket_Table[[#This Row],[resolution_hrs]]&lt;=4,"Fast",IF(Ticket_Table[[#This Row],[resolution_hrs]]&lt;=24,"Normal",IF(Ticket_Table[[#This Row],[resolution_hrs]]&lt;=48,"Slow","Very Slow")))</f>
        <v>Normal</v>
      </c>
      <c r="Q2764" s="3">
        <f>YEAR(Ticket_Table[[#This Row],[raised_date]])</f>
        <v>2021</v>
      </c>
    </row>
    <row r="2765" spans="1:17">
      <c r="A2765" t="s">
        <v>3326</v>
      </c>
      <c r="B2765" t="s">
        <v>146</v>
      </c>
      <c r="C2765" t="s">
        <v>50</v>
      </c>
      <c r="D2765" t="s">
        <v>20</v>
      </c>
      <c r="E2765" t="s">
        <v>56</v>
      </c>
      <c r="F2765" t="s">
        <v>38</v>
      </c>
      <c r="G2765" t="s">
        <v>74</v>
      </c>
      <c r="H2765" s="1">
        <v>44807</v>
      </c>
      <c r="I2765" s="2">
        <v>44808.4625</v>
      </c>
      <c r="J2765">
        <v>35.1</v>
      </c>
      <c r="K2765" t="s">
        <v>32</v>
      </c>
      <c r="L2765">
        <v>0</v>
      </c>
      <c r="M2765">
        <v>1</v>
      </c>
      <c r="N2765" t="s">
        <v>240</v>
      </c>
      <c r="O2765" s="3" t="str">
        <f>TEXT(Ticket_Table[[#This Row],[raised_date]],"YYYY-MM")</f>
        <v>2022-09</v>
      </c>
      <c r="P2765" s="3" t="str">
        <f>IF(Ticket_Table[[#This Row],[resolution_hrs]]&lt;=4,"Fast",IF(Ticket_Table[[#This Row],[resolution_hrs]]&lt;=24,"Normal",IF(Ticket_Table[[#This Row],[resolution_hrs]]&lt;=48,"Slow","Very Slow")))</f>
        <v>Slow</v>
      </c>
      <c r="Q2765" s="3">
        <f>YEAR(Ticket_Table[[#This Row],[raised_date]])</f>
        <v>2022</v>
      </c>
    </row>
    <row r="2766" spans="1:17">
      <c r="A2766" t="s">
        <v>3327</v>
      </c>
      <c r="B2766" t="s">
        <v>1013</v>
      </c>
      <c r="C2766" t="s">
        <v>175</v>
      </c>
      <c r="D2766" t="s">
        <v>36</v>
      </c>
      <c r="E2766" t="s">
        <v>21</v>
      </c>
      <c r="F2766" t="s">
        <v>38</v>
      </c>
      <c r="G2766" t="s">
        <v>31</v>
      </c>
      <c r="H2766" s="1">
        <v>44792</v>
      </c>
      <c r="I2766" s="2">
        <v>44792.3041666667</v>
      </c>
      <c r="J2766">
        <v>7.3</v>
      </c>
      <c r="K2766" t="s">
        <v>24</v>
      </c>
      <c r="L2766">
        <v>0</v>
      </c>
      <c r="M2766">
        <v>3</v>
      </c>
      <c r="N2766" t="s">
        <v>420</v>
      </c>
      <c r="O2766" s="3" t="str">
        <f>TEXT(Ticket_Table[[#This Row],[raised_date]],"YYYY-MM")</f>
        <v>2022-08</v>
      </c>
      <c r="P2766" s="3" t="str">
        <f>IF(Ticket_Table[[#This Row],[resolution_hrs]]&lt;=4,"Fast",IF(Ticket_Table[[#This Row],[resolution_hrs]]&lt;=24,"Normal",IF(Ticket_Table[[#This Row],[resolution_hrs]]&lt;=48,"Slow","Very Slow")))</f>
        <v>Normal</v>
      </c>
      <c r="Q2766" s="3">
        <f>YEAR(Ticket_Table[[#This Row],[raised_date]])</f>
        <v>2022</v>
      </c>
    </row>
    <row r="2767" spans="1:17">
      <c r="A2767" t="s">
        <v>3328</v>
      </c>
      <c r="B2767" t="s">
        <v>552</v>
      </c>
      <c r="C2767" t="s">
        <v>140</v>
      </c>
      <c r="D2767" t="s">
        <v>29</v>
      </c>
      <c r="E2767" t="s">
        <v>21</v>
      </c>
      <c r="F2767" t="s">
        <v>38</v>
      </c>
      <c r="G2767" t="s">
        <v>74</v>
      </c>
      <c r="H2767" s="1">
        <v>45130</v>
      </c>
      <c r="I2767" s="2">
        <v>45130.1166666667</v>
      </c>
      <c r="J2767">
        <v>2.8</v>
      </c>
      <c r="K2767" t="s">
        <v>24</v>
      </c>
      <c r="L2767">
        <v>0</v>
      </c>
      <c r="M2767">
        <v>3</v>
      </c>
      <c r="N2767" t="s">
        <v>61</v>
      </c>
      <c r="O2767" s="3" t="str">
        <f>TEXT(Ticket_Table[[#This Row],[raised_date]],"YYYY-MM")</f>
        <v>2023-07</v>
      </c>
      <c r="P2767" s="3" t="str">
        <f>IF(Ticket_Table[[#This Row],[resolution_hrs]]&lt;=4,"Fast",IF(Ticket_Table[[#This Row],[resolution_hrs]]&lt;=24,"Normal",IF(Ticket_Table[[#This Row],[resolution_hrs]]&lt;=48,"Slow","Very Slow")))</f>
        <v>Fast</v>
      </c>
      <c r="Q2767" s="3">
        <f>YEAR(Ticket_Table[[#This Row],[raised_date]])</f>
        <v>2023</v>
      </c>
    </row>
    <row r="2768" spans="1:17">
      <c r="A2768" t="s">
        <v>3329</v>
      </c>
      <c r="B2768" t="s">
        <v>267</v>
      </c>
      <c r="C2768" t="s">
        <v>50</v>
      </c>
      <c r="D2768" t="s">
        <v>20</v>
      </c>
      <c r="E2768" t="s">
        <v>56</v>
      </c>
      <c r="F2768" t="s">
        <v>70</v>
      </c>
      <c r="G2768" t="s">
        <v>91</v>
      </c>
      <c r="H2768" s="1">
        <v>45262</v>
      </c>
      <c r="I2768" s="2">
        <v>45264.9416666667</v>
      </c>
      <c r="J2768">
        <v>70.6</v>
      </c>
      <c r="K2768" t="s">
        <v>32</v>
      </c>
      <c r="L2768">
        <v>2</v>
      </c>
      <c r="M2768">
        <v>4</v>
      </c>
      <c r="N2768" t="s">
        <v>1265</v>
      </c>
      <c r="O2768" s="3" t="str">
        <f>TEXT(Ticket_Table[[#This Row],[raised_date]],"YYYY-MM")</f>
        <v>2023-12</v>
      </c>
      <c r="P2768" s="3" t="str">
        <f>IF(Ticket_Table[[#This Row],[resolution_hrs]]&lt;=4,"Fast",IF(Ticket_Table[[#This Row],[resolution_hrs]]&lt;=24,"Normal",IF(Ticket_Table[[#This Row],[resolution_hrs]]&lt;=48,"Slow","Very Slow")))</f>
        <v>Very Slow</v>
      </c>
      <c r="Q2768" s="3">
        <f>YEAR(Ticket_Table[[#This Row],[raised_date]])</f>
        <v>2023</v>
      </c>
    </row>
    <row r="2769" spans="1:17">
      <c r="A2769" t="s">
        <v>3330</v>
      </c>
      <c r="B2769" t="s">
        <v>828</v>
      </c>
      <c r="C2769" t="s">
        <v>82</v>
      </c>
      <c r="D2769" t="s">
        <v>20</v>
      </c>
      <c r="E2769" t="s">
        <v>30</v>
      </c>
      <c r="F2769" t="s">
        <v>22</v>
      </c>
      <c r="G2769" t="s">
        <v>23</v>
      </c>
      <c r="H2769" s="1">
        <v>45270</v>
      </c>
      <c r="I2769" s="2">
        <v>45272.9416666667</v>
      </c>
      <c r="J2769">
        <v>70.6</v>
      </c>
      <c r="K2769" t="s">
        <v>24</v>
      </c>
      <c r="L2769">
        <v>1</v>
      </c>
      <c r="M2769">
        <v>3</v>
      </c>
      <c r="N2769" t="s">
        <v>238</v>
      </c>
      <c r="O2769" s="3" t="str">
        <f>TEXT(Ticket_Table[[#This Row],[raised_date]],"YYYY-MM")</f>
        <v>2023-12</v>
      </c>
      <c r="P2769" s="3" t="str">
        <f>IF(Ticket_Table[[#This Row],[resolution_hrs]]&lt;=4,"Fast",IF(Ticket_Table[[#This Row],[resolution_hrs]]&lt;=24,"Normal",IF(Ticket_Table[[#This Row],[resolution_hrs]]&lt;=48,"Slow","Very Slow")))</f>
        <v>Very Slow</v>
      </c>
      <c r="Q2769" s="3">
        <f>YEAR(Ticket_Table[[#This Row],[raised_date]])</f>
        <v>2023</v>
      </c>
    </row>
    <row r="2770" spans="1:17">
      <c r="A2770" t="s">
        <v>3331</v>
      </c>
      <c r="B2770" t="s">
        <v>248</v>
      </c>
      <c r="C2770" t="s">
        <v>287</v>
      </c>
      <c r="D2770" t="s">
        <v>36</v>
      </c>
      <c r="E2770" t="s">
        <v>30</v>
      </c>
      <c r="F2770" t="s">
        <v>70</v>
      </c>
      <c r="G2770" t="s">
        <v>23</v>
      </c>
      <c r="H2770" s="1">
        <v>44888</v>
      </c>
      <c r="I2770" s="2">
        <v>44889.7958333333</v>
      </c>
      <c r="J2770">
        <v>43.1</v>
      </c>
      <c r="K2770" t="s">
        <v>24</v>
      </c>
      <c r="L2770">
        <v>0</v>
      </c>
      <c r="M2770">
        <v>5</v>
      </c>
      <c r="N2770" t="s">
        <v>86</v>
      </c>
      <c r="O2770" s="3" t="str">
        <f>TEXT(Ticket_Table[[#This Row],[raised_date]],"YYYY-MM")</f>
        <v>2022-11</v>
      </c>
      <c r="P2770" s="3" t="str">
        <f>IF(Ticket_Table[[#This Row],[resolution_hrs]]&lt;=4,"Fast",IF(Ticket_Table[[#This Row],[resolution_hrs]]&lt;=24,"Normal",IF(Ticket_Table[[#This Row],[resolution_hrs]]&lt;=48,"Slow","Very Slow")))</f>
        <v>Slow</v>
      </c>
      <c r="Q2770" s="3">
        <f>YEAR(Ticket_Table[[#This Row],[raised_date]])</f>
        <v>2022</v>
      </c>
    </row>
    <row r="2771" spans="1:17">
      <c r="A2771" t="s">
        <v>3332</v>
      </c>
      <c r="B2771" t="s">
        <v>347</v>
      </c>
      <c r="C2771" t="s">
        <v>68</v>
      </c>
      <c r="D2771" t="s">
        <v>90</v>
      </c>
      <c r="E2771" t="s">
        <v>37</v>
      </c>
      <c r="F2771" t="s">
        <v>22</v>
      </c>
      <c r="G2771" t="s">
        <v>74</v>
      </c>
      <c r="H2771" s="1">
        <v>45085</v>
      </c>
      <c r="I2771" s="2">
        <v>45089.3666666667</v>
      </c>
      <c r="J2771">
        <v>104.8</v>
      </c>
      <c r="K2771" t="s">
        <v>32</v>
      </c>
      <c r="L2771">
        <v>1</v>
      </c>
      <c r="M2771">
        <v>1</v>
      </c>
      <c r="N2771" t="s">
        <v>737</v>
      </c>
      <c r="O2771" s="3" t="str">
        <f>TEXT(Ticket_Table[[#This Row],[raised_date]],"YYYY-MM")</f>
        <v>2023-06</v>
      </c>
      <c r="P2771" s="3" t="str">
        <f>IF(Ticket_Table[[#This Row],[resolution_hrs]]&lt;=4,"Fast",IF(Ticket_Table[[#This Row],[resolution_hrs]]&lt;=24,"Normal",IF(Ticket_Table[[#This Row],[resolution_hrs]]&lt;=48,"Slow","Very Slow")))</f>
        <v>Very Slow</v>
      </c>
      <c r="Q2771" s="3">
        <f>YEAR(Ticket_Table[[#This Row],[raised_date]])</f>
        <v>2023</v>
      </c>
    </row>
    <row r="2772" spans="1:17">
      <c r="A2772" t="s">
        <v>3333</v>
      </c>
      <c r="B2772" t="s">
        <v>529</v>
      </c>
      <c r="C2772" t="s">
        <v>133</v>
      </c>
      <c r="D2772" t="s">
        <v>36</v>
      </c>
      <c r="E2772" t="s">
        <v>21</v>
      </c>
      <c r="F2772" t="s">
        <v>22</v>
      </c>
      <c r="G2772" t="s">
        <v>23</v>
      </c>
      <c r="H2772" s="1">
        <v>44471</v>
      </c>
      <c r="I2772" s="2">
        <v>44473.8375</v>
      </c>
      <c r="J2772">
        <v>68.1</v>
      </c>
      <c r="K2772" t="s">
        <v>24</v>
      </c>
      <c r="L2772">
        <v>2</v>
      </c>
      <c r="M2772">
        <v>4</v>
      </c>
      <c r="N2772" t="s">
        <v>1051</v>
      </c>
      <c r="O2772" s="3" t="str">
        <f>TEXT(Ticket_Table[[#This Row],[raised_date]],"YYYY-MM")</f>
        <v>2021-10</v>
      </c>
      <c r="P2772" s="3" t="str">
        <f>IF(Ticket_Table[[#This Row],[resolution_hrs]]&lt;=4,"Fast",IF(Ticket_Table[[#This Row],[resolution_hrs]]&lt;=24,"Normal",IF(Ticket_Table[[#This Row],[resolution_hrs]]&lt;=48,"Slow","Very Slow")))</f>
        <v>Very Slow</v>
      </c>
      <c r="Q2772" s="3">
        <f>YEAR(Ticket_Table[[#This Row],[raised_date]])</f>
        <v>2021</v>
      </c>
    </row>
    <row r="2773" spans="1:17">
      <c r="A2773" t="s">
        <v>3334</v>
      </c>
      <c r="B2773" t="s">
        <v>1191</v>
      </c>
      <c r="C2773" t="s">
        <v>68</v>
      </c>
      <c r="D2773" t="s">
        <v>43</v>
      </c>
      <c r="E2773" t="s">
        <v>69</v>
      </c>
      <c r="F2773" t="s">
        <v>38</v>
      </c>
      <c r="G2773" t="s">
        <v>23</v>
      </c>
      <c r="H2773" s="1">
        <v>44898</v>
      </c>
      <c r="I2773" s="2">
        <v>44898.6291666667</v>
      </c>
      <c r="J2773">
        <v>15.1</v>
      </c>
      <c r="K2773" t="s">
        <v>24</v>
      </c>
      <c r="L2773">
        <v>0</v>
      </c>
      <c r="M2773">
        <v>4</v>
      </c>
      <c r="N2773" t="s">
        <v>63</v>
      </c>
      <c r="O2773" s="3" t="str">
        <f>TEXT(Ticket_Table[[#This Row],[raised_date]],"YYYY-MM")</f>
        <v>2022-12</v>
      </c>
      <c r="P2773" s="3" t="str">
        <f>IF(Ticket_Table[[#This Row],[resolution_hrs]]&lt;=4,"Fast",IF(Ticket_Table[[#This Row],[resolution_hrs]]&lt;=24,"Normal",IF(Ticket_Table[[#This Row],[resolution_hrs]]&lt;=48,"Slow","Very Slow")))</f>
        <v>Normal</v>
      </c>
      <c r="Q2773" s="3">
        <f>YEAR(Ticket_Table[[#This Row],[raised_date]])</f>
        <v>2022</v>
      </c>
    </row>
    <row r="2774" spans="1:17">
      <c r="A2774" t="s">
        <v>3335</v>
      </c>
      <c r="B2774" t="s">
        <v>308</v>
      </c>
      <c r="C2774" t="s">
        <v>50</v>
      </c>
      <c r="D2774" t="s">
        <v>43</v>
      </c>
      <c r="E2774" t="s">
        <v>56</v>
      </c>
      <c r="F2774" t="s">
        <v>22</v>
      </c>
      <c r="G2774" t="s">
        <v>23</v>
      </c>
      <c r="H2774" s="1">
        <v>45200</v>
      </c>
      <c r="I2774" s="2">
        <v>45200.1916666667</v>
      </c>
      <c r="J2774">
        <v>4.6</v>
      </c>
      <c r="K2774" t="s">
        <v>24</v>
      </c>
      <c r="L2774">
        <v>0</v>
      </c>
      <c r="M2774">
        <v>4</v>
      </c>
      <c r="N2774" t="s">
        <v>515</v>
      </c>
      <c r="O2774" s="3" t="str">
        <f>TEXT(Ticket_Table[[#This Row],[raised_date]],"YYYY-MM")</f>
        <v>2023-10</v>
      </c>
      <c r="P2774" s="3" t="str">
        <f>IF(Ticket_Table[[#This Row],[resolution_hrs]]&lt;=4,"Fast",IF(Ticket_Table[[#This Row],[resolution_hrs]]&lt;=24,"Normal",IF(Ticket_Table[[#This Row],[resolution_hrs]]&lt;=48,"Slow","Very Slow")))</f>
        <v>Normal</v>
      </c>
      <c r="Q2774" s="3">
        <f>YEAR(Ticket_Table[[#This Row],[raised_date]])</f>
        <v>2023</v>
      </c>
    </row>
    <row r="2775" spans="1:17">
      <c r="A2775" t="s">
        <v>3336</v>
      </c>
      <c r="B2775" t="s">
        <v>581</v>
      </c>
      <c r="C2775" t="s">
        <v>201</v>
      </c>
      <c r="D2775" t="s">
        <v>20</v>
      </c>
      <c r="E2775" t="s">
        <v>69</v>
      </c>
      <c r="F2775" t="s">
        <v>38</v>
      </c>
      <c r="G2775" t="s">
        <v>23</v>
      </c>
      <c r="H2775" s="1">
        <v>44932</v>
      </c>
      <c r="I2775" s="2">
        <v>44932.3916666667</v>
      </c>
      <c r="J2775">
        <v>9.4</v>
      </c>
      <c r="K2775" t="s">
        <v>24</v>
      </c>
      <c r="L2775">
        <v>0</v>
      </c>
      <c r="M2775">
        <v>4</v>
      </c>
      <c r="N2775" t="s">
        <v>189</v>
      </c>
      <c r="O2775" s="3" t="str">
        <f>TEXT(Ticket_Table[[#This Row],[raised_date]],"YYYY-MM")</f>
        <v>2023-01</v>
      </c>
      <c r="P2775" s="3" t="str">
        <f>IF(Ticket_Table[[#This Row],[resolution_hrs]]&lt;=4,"Fast",IF(Ticket_Table[[#This Row],[resolution_hrs]]&lt;=24,"Normal",IF(Ticket_Table[[#This Row],[resolution_hrs]]&lt;=48,"Slow","Very Slow")))</f>
        <v>Normal</v>
      </c>
      <c r="Q2775" s="3">
        <f>YEAR(Ticket_Table[[#This Row],[raised_date]])</f>
        <v>2023</v>
      </c>
    </row>
    <row r="2776" spans="1:17">
      <c r="A2776" t="s">
        <v>3337</v>
      </c>
      <c r="B2776" t="s">
        <v>917</v>
      </c>
      <c r="C2776" t="s">
        <v>287</v>
      </c>
      <c r="D2776" t="s">
        <v>20</v>
      </c>
      <c r="E2776" t="s">
        <v>83</v>
      </c>
      <c r="F2776" t="s">
        <v>70</v>
      </c>
      <c r="G2776" t="s">
        <v>23</v>
      </c>
      <c r="H2776" s="1">
        <v>44582</v>
      </c>
      <c r="I2776" s="2">
        <v>44583.4875</v>
      </c>
      <c r="J2776">
        <v>35.7</v>
      </c>
      <c r="K2776" t="s">
        <v>24</v>
      </c>
      <c r="L2776">
        <v>1</v>
      </c>
      <c r="M2776">
        <v>4</v>
      </c>
      <c r="N2776" t="s">
        <v>658</v>
      </c>
      <c r="O2776" s="3" t="str">
        <f>TEXT(Ticket_Table[[#This Row],[raised_date]],"YYYY-MM")</f>
        <v>2022-01</v>
      </c>
      <c r="P2776" s="3" t="str">
        <f>IF(Ticket_Table[[#This Row],[resolution_hrs]]&lt;=4,"Fast",IF(Ticket_Table[[#This Row],[resolution_hrs]]&lt;=24,"Normal",IF(Ticket_Table[[#This Row],[resolution_hrs]]&lt;=48,"Slow","Very Slow")))</f>
        <v>Slow</v>
      </c>
      <c r="Q2776" s="3">
        <f>YEAR(Ticket_Table[[#This Row],[raised_date]])</f>
        <v>2022</v>
      </c>
    </row>
    <row r="2777" spans="1:17">
      <c r="A2777" t="s">
        <v>3338</v>
      </c>
      <c r="B2777" t="s">
        <v>138</v>
      </c>
      <c r="C2777" t="s">
        <v>213</v>
      </c>
      <c r="D2777" t="s">
        <v>36</v>
      </c>
      <c r="E2777" t="s">
        <v>51</v>
      </c>
      <c r="F2777" t="s">
        <v>70</v>
      </c>
      <c r="G2777" t="s">
        <v>23</v>
      </c>
      <c r="H2777" s="1">
        <v>44534</v>
      </c>
      <c r="I2777" s="2">
        <v>44536.075</v>
      </c>
      <c r="J2777">
        <v>49.8</v>
      </c>
      <c r="K2777" t="s">
        <v>32</v>
      </c>
      <c r="L2777">
        <v>0</v>
      </c>
      <c r="M2777">
        <v>5</v>
      </c>
      <c r="N2777" t="s">
        <v>304</v>
      </c>
      <c r="O2777" s="3" t="str">
        <f>TEXT(Ticket_Table[[#This Row],[raised_date]],"YYYY-MM")</f>
        <v>2021-12</v>
      </c>
      <c r="P2777" s="3" t="str">
        <f>IF(Ticket_Table[[#This Row],[resolution_hrs]]&lt;=4,"Fast",IF(Ticket_Table[[#This Row],[resolution_hrs]]&lt;=24,"Normal",IF(Ticket_Table[[#This Row],[resolution_hrs]]&lt;=48,"Slow","Very Slow")))</f>
        <v>Very Slow</v>
      </c>
      <c r="Q2777" s="3">
        <f>YEAR(Ticket_Table[[#This Row],[raised_date]])</f>
        <v>2021</v>
      </c>
    </row>
    <row r="2778" spans="1:17">
      <c r="A2778" t="s">
        <v>3339</v>
      </c>
      <c r="B2778" t="s">
        <v>273</v>
      </c>
      <c r="C2778" t="s">
        <v>95</v>
      </c>
      <c r="D2778" t="s">
        <v>36</v>
      </c>
      <c r="E2778" t="s">
        <v>37</v>
      </c>
      <c r="F2778" t="s">
        <v>22</v>
      </c>
      <c r="G2778" t="s">
        <v>23</v>
      </c>
      <c r="H2778" s="1">
        <v>45023</v>
      </c>
      <c r="I2778" s="2">
        <v>45027.2958333333</v>
      </c>
      <c r="J2778">
        <v>103.1</v>
      </c>
      <c r="K2778" t="s">
        <v>32</v>
      </c>
      <c r="L2778">
        <v>0</v>
      </c>
      <c r="M2778">
        <v>4</v>
      </c>
      <c r="N2778" t="s">
        <v>1061</v>
      </c>
      <c r="O2778" s="3" t="str">
        <f>TEXT(Ticket_Table[[#This Row],[raised_date]],"YYYY-MM")</f>
        <v>2023-04</v>
      </c>
      <c r="P2778" s="3" t="str">
        <f>IF(Ticket_Table[[#This Row],[resolution_hrs]]&lt;=4,"Fast",IF(Ticket_Table[[#This Row],[resolution_hrs]]&lt;=24,"Normal",IF(Ticket_Table[[#This Row],[resolution_hrs]]&lt;=48,"Slow","Very Slow")))</f>
        <v>Very Slow</v>
      </c>
      <c r="Q2778" s="3">
        <f>YEAR(Ticket_Table[[#This Row],[raised_date]])</f>
        <v>2023</v>
      </c>
    </row>
    <row r="2779" spans="1:17">
      <c r="A2779" t="s">
        <v>3340</v>
      </c>
      <c r="B2779" t="s">
        <v>485</v>
      </c>
      <c r="C2779" t="s">
        <v>95</v>
      </c>
      <c r="D2779" t="s">
        <v>29</v>
      </c>
      <c r="E2779" t="s">
        <v>51</v>
      </c>
      <c r="F2779" t="s">
        <v>70</v>
      </c>
      <c r="G2779" t="s">
        <v>23</v>
      </c>
      <c r="H2779" s="1">
        <v>44236</v>
      </c>
      <c r="I2779" s="2">
        <v>44237.9708333333</v>
      </c>
      <c r="J2779">
        <v>47.3</v>
      </c>
      <c r="K2779" t="s">
        <v>24</v>
      </c>
      <c r="L2779">
        <v>0</v>
      </c>
      <c r="M2779">
        <v>1</v>
      </c>
      <c r="N2779" t="s">
        <v>605</v>
      </c>
      <c r="O2779" s="3" t="str">
        <f>TEXT(Ticket_Table[[#This Row],[raised_date]],"YYYY-MM")</f>
        <v>2021-02</v>
      </c>
      <c r="P2779" s="3" t="str">
        <f>IF(Ticket_Table[[#This Row],[resolution_hrs]]&lt;=4,"Fast",IF(Ticket_Table[[#This Row],[resolution_hrs]]&lt;=24,"Normal",IF(Ticket_Table[[#This Row],[resolution_hrs]]&lt;=48,"Slow","Very Slow")))</f>
        <v>Slow</v>
      </c>
      <c r="Q2779" s="3">
        <f>YEAR(Ticket_Table[[#This Row],[raised_date]])</f>
        <v>2021</v>
      </c>
    </row>
    <row r="2780" spans="1:17">
      <c r="A2780" t="s">
        <v>3341</v>
      </c>
      <c r="B2780" t="s">
        <v>302</v>
      </c>
      <c r="C2780" t="s">
        <v>140</v>
      </c>
      <c r="D2780" t="s">
        <v>43</v>
      </c>
      <c r="E2780" t="s">
        <v>37</v>
      </c>
      <c r="F2780" t="s">
        <v>22</v>
      </c>
      <c r="G2780" t="s">
        <v>31</v>
      </c>
      <c r="H2780" s="1">
        <v>44664</v>
      </c>
      <c r="I2780" s="2">
        <v>44665.7166666667</v>
      </c>
      <c r="J2780">
        <v>41.2</v>
      </c>
      <c r="K2780" t="s">
        <v>24</v>
      </c>
      <c r="L2780">
        <v>0</v>
      </c>
      <c r="M2780">
        <v>1</v>
      </c>
      <c r="N2780" t="s">
        <v>251</v>
      </c>
      <c r="O2780" s="3" t="str">
        <f>TEXT(Ticket_Table[[#This Row],[raised_date]],"YYYY-MM")</f>
        <v>2022-04</v>
      </c>
      <c r="P2780" s="3" t="str">
        <f>IF(Ticket_Table[[#This Row],[resolution_hrs]]&lt;=4,"Fast",IF(Ticket_Table[[#This Row],[resolution_hrs]]&lt;=24,"Normal",IF(Ticket_Table[[#This Row],[resolution_hrs]]&lt;=48,"Slow","Very Slow")))</f>
        <v>Slow</v>
      </c>
      <c r="Q2780" s="3">
        <f>YEAR(Ticket_Table[[#This Row],[raised_date]])</f>
        <v>2022</v>
      </c>
    </row>
    <row r="2781" spans="1:17">
      <c r="A2781" t="s">
        <v>3342</v>
      </c>
      <c r="B2781" t="s">
        <v>214</v>
      </c>
      <c r="C2781" t="s">
        <v>133</v>
      </c>
      <c r="D2781" t="s">
        <v>36</v>
      </c>
      <c r="E2781" t="s">
        <v>106</v>
      </c>
      <c r="F2781" t="s">
        <v>45</v>
      </c>
      <c r="G2781" t="s">
        <v>23</v>
      </c>
      <c r="H2781" s="1">
        <v>44656</v>
      </c>
      <c r="I2781" s="2">
        <v>44656.1875</v>
      </c>
      <c r="J2781">
        <v>4.5</v>
      </c>
      <c r="K2781" t="s">
        <v>32</v>
      </c>
      <c r="L2781">
        <v>1</v>
      </c>
      <c r="M2781">
        <v>5</v>
      </c>
      <c r="N2781" t="s">
        <v>1643</v>
      </c>
      <c r="O2781" s="3" t="str">
        <f>TEXT(Ticket_Table[[#This Row],[raised_date]],"YYYY-MM")</f>
        <v>2022-04</v>
      </c>
      <c r="P2781" s="3" t="str">
        <f>IF(Ticket_Table[[#This Row],[resolution_hrs]]&lt;=4,"Fast",IF(Ticket_Table[[#This Row],[resolution_hrs]]&lt;=24,"Normal",IF(Ticket_Table[[#This Row],[resolution_hrs]]&lt;=48,"Slow","Very Slow")))</f>
        <v>Normal</v>
      </c>
      <c r="Q2781" s="3">
        <f>YEAR(Ticket_Table[[#This Row],[raised_date]])</f>
        <v>2022</v>
      </c>
    </row>
    <row r="2782" spans="1:17">
      <c r="A2782" t="s">
        <v>3343</v>
      </c>
      <c r="B2782" t="s">
        <v>96</v>
      </c>
      <c r="C2782" t="s">
        <v>19</v>
      </c>
      <c r="D2782" t="s">
        <v>90</v>
      </c>
      <c r="E2782" t="s">
        <v>56</v>
      </c>
      <c r="F2782" t="s">
        <v>38</v>
      </c>
      <c r="G2782" t="s">
        <v>23</v>
      </c>
      <c r="H2782" s="1">
        <v>44465</v>
      </c>
      <c r="I2782" s="2">
        <v>44466.2</v>
      </c>
      <c r="J2782">
        <v>28.8</v>
      </c>
      <c r="K2782" t="s">
        <v>32</v>
      </c>
      <c r="L2782">
        <v>0</v>
      </c>
      <c r="M2782">
        <v>4</v>
      </c>
      <c r="N2782" t="s">
        <v>359</v>
      </c>
      <c r="O2782" s="3" t="str">
        <f>TEXT(Ticket_Table[[#This Row],[raised_date]],"YYYY-MM")</f>
        <v>2021-09</v>
      </c>
      <c r="P2782" s="3" t="str">
        <f>IF(Ticket_Table[[#This Row],[resolution_hrs]]&lt;=4,"Fast",IF(Ticket_Table[[#This Row],[resolution_hrs]]&lt;=24,"Normal",IF(Ticket_Table[[#This Row],[resolution_hrs]]&lt;=48,"Slow","Very Slow")))</f>
        <v>Slow</v>
      </c>
      <c r="Q2782" s="3">
        <f>YEAR(Ticket_Table[[#This Row],[raised_date]])</f>
        <v>2021</v>
      </c>
    </row>
    <row r="2783" spans="1:17">
      <c r="A2783" t="s">
        <v>3344</v>
      </c>
      <c r="B2783" t="s">
        <v>293</v>
      </c>
      <c r="C2783" t="s">
        <v>95</v>
      </c>
      <c r="D2783" t="s">
        <v>29</v>
      </c>
      <c r="E2783" t="s">
        <v>51</v>
      </c>
      <c r="F2783" t="s">
        <v>70</v>
      </c>
      <c r="G2783" t="s">
        <v>23</v>
      </c>
      <c r="H2783" s="1">
        <v>44629</v>
      </c>
      <c r="I2783" s="2">
        <v>44630.9916666667</v>
      </c>
      <c r="J2783">
        <v>47.8</v>
      </c>
      <c r="K2783" t="s">
        <v>24</v>
      </c>
      <c r="L2783">
        <v>0</v>
      </c>
      <c r="M2783">
        <v>5</v>
      </c>
      <c r="N2783" t="s">
        <v>1039</v>
      </c>
      <c r="O2783" s="3" t="str">
        <f>TEXT(Ticket_Table[[#This Row],[raised_date]],"YYYY-MM")</f>
        <v>2022-03</v>
      </c>
      <c r="P2783" s="3" t="str">
        <f>IF(Ticket_Table[[#This Row],[resolution_hrs]]&lt;=4,"Fast",IF(Ticket_Table[[#This Row],[resolution_hrs]]&lt;=24,"Normal",IF(Ticket_Table[[#This Row],[resolution_hrs]]&lt;=48,"Slow","Very Slow")))</f>
        <v>Slow</v>
      </c>
      <c r="Q2783" s="3">
        <f>YEAR(Ticket_Table[[#This Row],[raised_date]])</f>
        <v>2022</v>
      </c>
    </row>
    <row r="2784" spans="1:17">
      <c r="A2784" t="s">
        <v>3345</v>
      </c>
      <c r="B2784" t="s">
        <v>98</v>
      </c>
      <c r="C2784" t="s">
        <v>213</v>
      </c>
      <c r="D2784" t="s">
        <v>36</v>
      </c>
      <c r="E2784" t="s">
        <v>69</v>
      </c>
      <c r="F2784" t="s">
        <v>22</v>
      </c>
      <c r="G2784" t="s">
        <v>74</v>
      </c>
      <c r="H2784" s="1">
        <v>44241</v>
      </c>
      <c r="I2784" s="2">
        <v>44244.5083333333</v>
      </c>
      <c r="J2784">
        <v>84.2</v>
      </c>
      <c r="K2784" t="s">
        <v>32</v>
      </c>
      <c r="L2784">
        <v>2</v>
      </c>
      <c r="M2784">
        <v>4</v>
      </c>
      <c r="N2784" t="s">
        <v>92</v>
      </c>
      <c r="O2784" s="3" t="str">
        <f>TEXT(Ticket_Table[[#This Row],[raised_date]],"YYYY-MM")</f>
        <v>2021-02</v>
      </c>
      <c r="P2784" s="3" t="str">
        <f>IF(Ticket_Table[[#This Row],[resolution_hrs]]&lt;=4,"Fast",IF(Ticket_Table[[#This Row],[resolution_hrs]]&lt;=24,"Normal",IF(Ticket_Table[[#This Row],[resolution_hrs]]&lt;=48,"Slow","Very Slow")))</f>
        <v>Very Slow</v>
      </c>
      <c r="Q2784" s="3">
        <f>YEAR(Ticket_Table[[#This Row],[raised_date]])</f>
        <v>2021</v>
      </c>
    </row>
    <row r="2785" spans="1:17">
      <c r="A2785" t="s">
        <v>3346</v>
      </c>
      <c r="B2785" t="s">
        <v>529</v>
      </c>
      <c r="C2785" t="s">
        <v>50</v>
      </c>
      <c r="D2785" t="s">
        <v>20</v>
      </c>
      <c r="E2785" t="s">
        <v>56</v>
      </c>
      <c r="F2785" t="s">
        <v>45</v>
      </c>
      <c r="G2785" t="s">
        <v>23</v>
      </c>
      <c r="H2785" s="1">
        <v>45230</v>
      </c>
      <c r="I2785" s="2">
        <v>45230.2208333333</v>
      </c>
      <c r="J2785">
        <v>5.3</v>
      </c>
      <c r="K2785" t="s">
        <v>32</v>
      </c>
      <c r="L2785">
        <v>0</v>
      </c>
      <c r="M2785">
        <v>3</v>
      </c>
      <c r="N2785" t="s">
        <v>730</v>
      </c>
      <c r="O2785" s="3" t="str">
        <f>TEXT(Ticket_Table[[#This Row],[raised_date]],"YYYY-MM")</f>
        <v>2023-10</v>
      </c>
      <c r="P2785" s="3" t="str">
        <f>IF(Ticket_Table[[#This Row],[resolution_hrs]]&lt;=4,"Fast",IF(Ticket_Table[[#This Row],[resolution_hrs]]&lt;=24,"Normal",IF(Ticket_Table[[#This Row],[resolution_hrs]]&lt;=48,"Slow","Very Slow")))</f>
        <v>Normal</v>
      </c>
      <c r="Q2785" s="3">
        <f>YEAR(Ticket_Table[[#This Row],[raised_date]])</f>
        <v>2023</v>
      </c>
    </row>
    <row r="2786" spans="1:17">
      <c r="A2786" t="s">
        <v>3347</v>
      </c>
      <c r="B2786" t="s">
        <v>549</v>
      </c>
      <c r="C2786" t="s">
        <v>133</v>
      </c>
      <c r="D2786" t="s">
        <v>36</v>
      </c>
      <c r="E2786" t="s">
        <v>69</v>
      </c>
      <c r="F2786" t="s">
        <v>70</v>
      </c>
      <c r="G2786" t="s">
        <v>23</v>
      </c>
      <c r="H2786" s="1">
        <v>44543</v>
      </c>
      <c r="I2786" s="2">
        <v>44544.9666666667</v>
      </c>
      <c r="J2786">
        <v>47.2</v>
      </c>
      <c r="K2786" t="s">
        <v>24</v>
      </c>
      <c r="L2786">
        <v>0</v>
      </c>
      <c r="M2786">
        <v>4</v>
      </c>
      <c r="N2786" t="s">
        <v>243</v>
      </c>
      <c r="O2786" s="3" t="str">
        <f>TEXT(Ticket_Table[[#This Row],[raised_date]],"YYYY-MM")</f>
        <v>2021-12</v>
      </c>
      <c r="P2786" s="3" t="str">
        <f>IF(Ticket_Table[[#This Row],[resolution_hrs]]&lt;=4,"Fast",IF(Ticket_Table[[#This Row],[resolution_hrs]]&lt;=24,"Normal",IF(Ticket_Table[[#This Row],[resolution_hrs]]&lt;=48,"Slow","Very Slow")))</f>
        <v>Slow</v>
      </c>
      <c r="Q2786" s="3">
        <f>YEAR(Ticket_Table[[#This Row],[raised_date]])</f>
        <v>2021</v>
      </c>
    </row>
    <row r="2787" spans="1:17">
      <c r="A2787" t="s">
        <v>3348</v>
      </c>
      <c r="B2787" t="s">
        <v>578</v>
      </c>
      <c r="C2787" t="s">
        <v>68</v>
      </c>
      <c r="D2787" t="s">
        <v>20</v>
      </c>
      <c r="E2787" t="s">
        <v>21</v>
      </c>
      <c r="F2787" t="s">
        <v>22</v>
      </c>
      <c r="G2787" t="s">
        <v>74</v>
      </c>
      <c r="H2787" s="1">
        <v>44449</v>
      </c>
      <c r="I2787" s="2">
        <v>44450.2666666667</v>
      </c>
      <c r="J2787">
        <v>30.4</v>
      </c>
      <c r="K2787" t="s">
        <v>24</v>
      </c>
      <c r="L2787">
        <v>1</v>
      </c>
      <c r="M2787">
        <v>4</v>
      </c>
      <c r="N2787" t="s">
        <v>569</v>
      </c>
      <c r="O2787" s="3" t="str">
        <f>TEXT(Ticket_Table[[#This Row],[raised_date]],"YYYY-MM")</f>
        <v>2021-09</v>
      </c>
      <c r="P2787" s="3" t="str">
        <f>IF(Ticket_Table[[#This Row],[resolution_hrs]]&lt;=4,"Fast",IF(Ticket_Table[[#This Row],[resolution_hrs]]&lt;=24,"Normal",IF(Ticket_Table[[#This Row],[resolution_hrs]]&lt;=48,"Slow","Very Slow")))</f>
        <v>Slow</v>
      </c>
      <c r="Q2787" s="3">
        <f>YEAR(Ticket_Table[[#This Row],[raised_date]])</f>
        <v>2021</v>
      </c>
    </row>
    <row r="2788" spans="1:17">
      <c r="A2788" t="s">
        <v>3349</v>
      </c>
      <c r="B2788" t="s">
        <v>346</v>
      </c>
      <c r="C2788" t="s">
        <v>19</v>
      </c>
      <c r="D2788" t="s">
        <v>20</v>
      </c>
      <c r="E2788" t="s">
        <v>51</v>
      </c>
      <c r="F2788" t="s">
        <v>70</v>
      </c>
      <c r="G2788" t="s">
        <v>31</v>
      </c>
      <c r="H2788" s="1">
        <v>44947</v>
      </c>
      <c r="I2788" s="2">
        <v>44948.975</v>
      </c>
      <c r="J2788">
        <v>47.4</v>
      </c>
      <c r="K2788" t="s">
        <v>24</v>
      </c>
      <c r="L2788">
        <v>1</v>
      </c>
      <c r="M2788">
        <v>4</v>
      </c>
      <c r="N2788" t="s">
        <v>59</v>
      </c>
      <c r="O2788" s="3" t="str">
        <f>TEXT(Ticket_Table[[#This Row],[raised_date]],"YYYY-MM")</f>
        <v>2023-01</v>
      </c>
      <c r="P2788" s="3" t="str">
        <f>IF(Ticket_Table[[#This Row],[resolution_hrs]]&lt;=4,"Fast",IF(Ticket_Table[[#This Row],[resolution_hrs]]&lt;=24,"Normal",IF(Ticket_Table[[#This Row],[resolution_hrs]]&lt;=48,"Slow","Very Slow")))</f>
        <v>Slow</v>
      </c>
      <c r="Q2788" s="3">
        <f>YEAR(Ticket_Table[[#This Row],[raised_date]])</f>
        <v>2023</v>
      </c>
    </row>
    <row r="2789" spans="1:17">
      <c r="A2789" t="s">
        <v>3350</v>
      </c>
      <c r="B2789" t="s">
        <v>124</v>
      </c>
      <c r="C2789" t="s">
        <v>201</v>
      </c>
      <c r="D2789" t="s">
        <v>43</v>
      </c>
      <c r="E2789" t="s">
        <v>21</v>
      </c>
      <c r="F2789" t="s">
        <v>45</v>
      </c>
      <c r="G2789" t="s">
        <v>23</v>
      </c>
      <c r="H2789" s="1">
        <v>44273</v>
      </c>
      <c r="I2789" s="2">
        <v>44273.1166666667</v>
      </c>
      <c r="J2789">
        <v>2.8</v>
      </c>
      <c r="K2789" t="s">
        <v>24</v>
      </c>
      <c r="L2789">
        <v>0</v>
      </c>
      <c r="M2789">
        <v>5</v>
      </c>
      <c r="N2789" t="s">
        <v>643</v>
      </c>
      <c r="O2789" s="3" t="str">
        <f>TEXT(Ticket_Table[[#This Row],[raised_date]],"YYYY-MM")</f>
        <v>2021-03</v>
      </c>
      <c r="P2789" s="3" t="str">
        <f>IF(Ticket_Table[[#This Row],[resolution_hrs]]&lt;=4,"Fast",IF(Ticket_Table[[#This Row],[resolution_hrs]]&lt;=24,"Normal",IF(Ticket_Table[[#This Row],[resolution_hrs]]&lt;=48,"Slow","Very Slow")))</f>
        <v>Fast</v>
      </c>
      <c r="Q2789" s="3">
        <f>YEAR(Ticket_Table[[#This Row],[raised_date]])</f>
        <v>2021</v>
      </c>
    </row>
    <row r="2790" spans="1:17">
      <c r="A2790" t="s">
        <v>3351</v>
      </c>
      <c r="B2790" t="s">
        <v>77</v>
      </c>
      <c r="C2790" t="s">
        <v>64</v>
      </c>
      <c r="D2790" t="s">
        <v>43</v>
      </c>
      <c r="E2790" t="s">
        <v>30</v>
      </c>
      <c r="F2790" t="s">
        <v>22</v>
      </c>
      <c r="G2790" t="s">
        <v>23</v>
      </c>
      <c r="H2790" s="1">
        <v>44965</v>
      </c>
      <c r="I2790" s="2">
        <v>44965.575</v>
      </c>
      <c r="J2790">
        <v>13.8</v>
      </c>
      <c r="K2790" t="s">
        <v>24</v>
      </c>
      <c r="L2790">
        <v>0</v>
      </c>
      <c r="M2790">
        <v>4</v>
      </c>
      <c r="N2790" t="s">
        <v>680</v>
      </c>
      <c r="O2790" s="3" t="str">
        <f>TEXT(Ticket_Table[[#This Row],[raised_date]],"YYYY-MM")</f>
        <v>2023-02</v>
      </c>
      <c r="P2790" s="3" t="str">
        <f>IF(Ticket_Table[[#This Row],[resolution_hrs]]&lt;=4,"Fast",IF(Ticket_Table[[#This Row],[resolution_hrs]]&lt;=24,"Normal",IF(Ticket_Table[[#This Row],[resolution_hrs]]&lt;=48,"Slow","Very Slow")))</f>
        <v>Normal</v>
      </c>
      <c r="Q2790" s="3">
        <f>YEAR(Ticket_Table[[#This Row],[raised_date]])</f>
        <v>2023</v>
      </c>
    </row>
    <row r="2791" spans="1:17">
      <c r="A2791" t="s">
        <v>3352</v>
      </c>
      <c r="B2791" t="s">
        <v>286</v>
      </c>
      <c r="C2791" t="s">
        <v>55</v>
      </c>
      <c r="D2791" t="s">
        <v>36</v>
      </c>
      <c r="E2791" t="s">
        <v>83</v>
      </c>
      <c r="F2791" t="s">
        <v>22</v>
      </c>
      <c r="G2791" t="s">
        <v>31</v>
      </c>
      <c r="H2791" s="1">
        <v>44720</v>
      </c>
      <c r="I2791" s="2">
        <v>44720.4083333333</v>
      </c>
      <c r="J2791">
        <v>9.8</v>
      </c>
      <c r="K2791" t="s">
        <v>24</v>
      </c>
      <c r="L2791">
        <v>1</v>
      </c>
      <c r="M2791">
        <v>3</v>
      </c>
      <c r="N2791" t="s">
        <v>608</v>
      </c>
      <c r="O2791" s="3" t="str">
        <f>TEXT(Ticket_Table[[#This Row],[raised_date]],"YYYY-MM")</f>
        <v>2022-06</v>
      </c>
      <c r="P2791" s="3" t="str">
        <f>IF(Ticket_Table[[#This Row],[resolution_hrs]]&lt;=4,"Fast",IF(Ticket_Table[[#This Row],[resolution_hrs]]&lt;=24,"Normal",IF(Ticket_Table[[#This Row],[resolution_hrs]]&lt;=48,"Slow","Very Slow")))</f>
        <v>Normal</v>
      </c>
      <c r="Q2791" s="3">
        <f>YEAR(Ticket_Table[[#This Row],[raised_date]])</f>
        <v>2022</v>
      </c>
    </row>
    <row r="2792" spans="1:17">
      <c r="A2792" t="s">
        <v>3353</v>
      </c>
      <c r="B2792" t="s">
        <v>464</v>
      </c>
      <c r="C2792" t="s">
        <v>42</v>
      </c>
      <c r="D2792" t="s">
        <v>36</v>
      </c>
      <c r="E2792" t="s">
        <v>106</v>
      </c>
      <c r="F2792" t="s">
        <v>45</v>
      </c>
      <c r="G2792" t="s">
        <v>46</v>
      </c>
      <c r="H2792" s="1">
        <v>45292</v>
      </c>
      <c r="I2792" s="2">
        <v>45292.1416666667</v>
      </c>
      <c r="J2792">
        <v>3.4</v>
      </c>
      <c r="K2792" t="s">
        <v>24</v>
      </c>
      <c r="L2792">
        <v>0</v>
      </c>
      <c r="M2792">
        <v>4</v>
      </c>
      <c r="N2792" t="s">
        <v>221</v>
      </c>
      <c r="O2792" s="3" t="str">
        <f>TEXT(Ticket_Table[[#This Row],[raised_date]],"YYYY-MM")</f>
        <v>2024-01</v>
      </c>
      <c r="P2792" s="3" t="str">
        <f>IF(Ticket_Table[[#This Row],[resolution_hrs]]&lt;=4,"Fast",IF(Ticket_Table[[#This Row],[resolution_hrs]]&lt;=24,"Normal",IF(Ticket_Table[[#This Row],[resolution_hrs]]&lt;=48,"Slow","Very Slow")))</f>
        <v>Fast</v>
      </c>
      <c r="Q2792" s="3">
        <f>YEAR(Ticket_Table[[#This Row],[raised_date]])</f>
        <v>2024</v>
      </c>
    </row>
    <row r="2793" spans="1:17">
      <c r="A2793" t="s">
        <v>3354</v>
      </c>
      <c r="B2793" t="s">
        <v>802</v>
      </c>
      <c r="C2793" t="s">
        <v>50</v>
      </c>
      <c r="D2793" t="s">
        <v>90</v>
      </c>
      <c r="E2793" t="s">
        <v>106</v>
      </c>
      <c r="F2793" t="s">
        <v>22</v>
      </c>
      <c r="G2793" t="s">
        <v>31</v>
      </c>
      <c r="H2793" s="1">
        <v>44296</v>
      </c>
      <c r="I2793" s="2">
        <v>44299.025</v>
      </c>
      <c r="J2793">
        <v>72.6</v>
      </c>
      <c r="K2793" t="s">
        <v>32</v>
      </c>
      <c r="L2793">
        <v>1</v>
      </c>
      <c r="M2793">
        <v>4</v>
      </c>
      <c r="N2793" t="s">
        <v>296</v>
      </c>
      <c r="O2793" s="3" t="str">
        <f>TEXT(Ticket_Table[[#This Row],[raised_date]],"YYYY-MM")</f>
        <v>2021-04</v>
      </c>
      <c r="P2793" s="3" t="str">
        <f>IF(Ticket_Table[[#This Row],[resolution_hrs]]&lt;=4,"Fast",IF(Ticket_Table[[#This Row],[resolution_hrs]]&lt;=24,"Normal",IF(Ticket_Table[[#This Row],[resolution_hrs]]&lt;=48,"Slow","Very Slow")))</f>
        <v>Very Slow</v>
      </c>
      <c r="Q2793" s="3">
        <f>YEAR(Ticket_Table[[#This Row],[raised_date]])</f>
        <v>2021</v>
      </c>
    </row>
    <row r="2794" spans="1:17">
      <c r="A2794" t="s">
        <v>3355</v>
      </c>
      <c r="B2794" t="s">
        <v>1278</v>
      </c>
      <c r="C2794" t="s">
        <v>117</v>
      </c>
      <c r="D2794" t="s">
        <v>29</v>
      </c>
      <c r="E2794" t="s">
        <v>51</v>
      </c>
      <c r="F2794" t="s">
        <v>22</v>
      </c>
      <c r="G2794" t="s">
        <v>46</v>
      </c>
      <c r="H2794" s="1">
        <v>44295</v>
      </c>
      <c r="I2794" s="2">
        <v>44297.3125</v>
      </c>
      <c r="J2794">
        <v>55.5</v>
      </c>
      <c r="K2794" t="s">
        <v>24</v>
      </c>
      <c r="L2794">
        <v>1</v>
      </c>
      <c r="M2794">
        <v>4</v>
      </c>
      <c r="N2794" t="s">
        <v>272</v>
      </c>
      <c r="O2794" s="3" t="str">
        <f>TEXT(Ticket_Table[[#This Row],[raised_date]],"YYYY-MM")</f>
        <v>2021-04</v>
      </c>
      <c r="P2794" s="3" t="str">
        <f>IF(Ticket_Table[[#This Row],[resolution_hrs]]&lt;=4,"Fast",IF(Ticket_Table[[#This Row],[resolution_hrs]]&lt;=24,"Normal",IF(Ticket_Table[[#This Row],[resolution_hrs]]&lt;=48,"Slow","Very Slow")))</f>
        <v>Very Slow</v>
      </c>
      <c r="Q2794" s="3">
        <f>YEAR(Ticket_Table[[#This Row],[raised_date]])</f>
        <v>2021</v>
      </c>
    </row>
    <row r="2795" spans="1:17">
      <c r="A2795" t="s">
        <v>3356</v>
      </c>
      <c r="B2795" t="s">
        <v>1301</v>
      </c>
      <c r="C2795" t="s">
        <v>287</v>
      </c>
      <c r="D2795" t="s">
        <v>29</v>
      </c>
      <c r="E2795" t="s">
        <v>44</v>
      </c>
      <c r="F2795" t="s">
        <v>70</v>
      </c>
      <c r="G2795" t="s">
        <v>23</v>
      </c>
      <c r="H2795" s="1">
        <v>44418</v>
      </c>
      <c r="I2795" s="2">
        <v>44418.1083333333</v>
      </c>
      <c r="J2795">
        <v>2.6</v>
      </c>
      <c r="K2795" t="s">
        <v>24</v>
      </c>
      <c r="L2795">
        <v>0</v>
      </c>
      <c r="M2795">
        <v>4</v>
      </c>
      <c r="N2795" t="s">
        <v>512</v>
      </c>
      <c r="O2795" s="3" t="str">
        <f>TEXT(Ticket_Table[[#This Row],[raised_date]],"YYYY-MM")</f>
        <v>2021-08</v>
      </c>
      <c r="P2795" s="3" t="str">
        <f>IF(Ticket_Table[[#This Row],[resolution_hrs]]&lt;=4,"Fast",IF(Ticket_Table[[#This Row],[resolution_hrs]]&lt;=24,"Normal",IF(Ticket_Table[[#This Row],[resolution_hrs]]&lt;=48,"Slow","Very Slow")))</f>
        <v>Fast</v>
      </c>
      <c r="Q2795" s="3">
        <f>YEAR(Ticket_Table[[#This Row],[raised_date]])</f>
        <v>2021</v>
      </c>
    </row>
    <row r="2796" spans="1:17">
      <c r="A2796" t="s">
        <v>3357</v>
      </c>
      <c r="B2796" t="s">
        <v>678</v>
      </c>
      <c r="C2796" t="s">
        <v>213</v>
      </c>
      <c r="D2796" t="s">
        <v>36</v>
      </c>
      <c r="E2796" t="s">
        <v>83</v>
      </c>
      <c r="F2796" t="s">
        <v>38</v>
      </c>
      <c r="G2796" t="s">
        <v>31</v>
      </c>
      <c r="H2796" s="1">
        <v>44237</v>
      </c>
      <c r="I2796" s="2">
        <v>44237.8791666667</v>
      </c>
      <c r="J2796">
        <v>21.1</v>
      </c>
      <c r="K2796" t="s">
        <v>24</v>
      </c>
      <c r="L2796">
        <v>1</v>
      </c>
      <c r="M2796">
        <v>4</v>
      </c>
      <c r="N2796" t="s">
        <v>248</v>
      </c>
      <c r="O2796" s="3" t="str">
        <f>TEXT(Ticket_Table[[#This Row],[raised_date]],"YYYY-MM")</f>
        <v>2021-02</v>
      </c>
      <c r="P2796" s="3" t="str">
        <f>IF(Ticket_Table[[#This Row],[resolution_hrs]]&lt;=4,"Fast",IF(Ticket_Table[[#This Row],[resolution_hrs]]&lt;=24,"Normal",IF(Ticket_Table[[#This Row],[resolution_hrs]]&lt;=48,"Slow","Very Slow")))</f>
        <v>Normal</v>
      </c>
      <c r="Q2796" s="3">
        <f>YEAR(Ticket_Table[[#This Row],[raised_date]])</f>
        <v>2021</v>
      </c>
    </row>
    <row r="2797" spans="1:17">
      <c r="A2797" t="s">
        <v>3358</v>
      </c>
      <c r="B2797" t="s">
        <v>47</v>
      </c>
      <c r="C2797" t="s">
        <v>82</v>
      </c>
      <c r="D2797" t="s">
        <v>43</v>
      </c>
      <c r="E2797" t="s">
        <v>166</v>
      </c>
      <c r="F2797" t="s">
        <v>70</v>
      </c>
      <c r="G2797" t="s">
        <v>31</v>
      </c>
      <c r="H2797" s="1">
        <v>44295</v>
      </c>
      <c r="I2797" s="2">
        <v>44296.7375</v>
      </c>
      <c r="J2797">
        <v>41.7</v>
      </c>
      <c r="K2797" t="s">
        <v>24</v>
      </c>
      <c r="L2797">
        <v>0</v>
      </c>
      <c r="M2797">
        <v>4</v>
      </c>
      <c r="N2797" t="s">
        <v>372</v>
      </c>
      <c r="O2797" s="3" t="str">
        <f>TEXT(Ticket_Table[[#This Row],[raised_date]],"YYYY-MM")</f>
        <v>2021-04</v>
      </c>
      <c r="P2797" s="3" t="str">
        <f>IF(Ticket_Table[[#This Row],[resolution_hrs]]&lt;=4,"Fast",IF(Ticket_Table[[#This Row],[resolution_hrs]]&lt;=24,"Normal",IF(Ticket_Table[[#This Row],[resolution_hrs]]&lt;=48,"Slow","Very Slow")))</f>
        <v>Slow</v>
      </c>
      <c r="Q2797" s="3">
        <f>YEAR(Ticket_Table[[#This Row],[raised_date]])</f>
        <v>2021</v>
      </c>
    </row>
    <row r="2798" spans="1:17">
      <c r="A2798" t="s">
        <v>3359</v>
      </c>
      <c r="B2798" t="s">
        <v>445</v>
      </c>
      <c r="C2798" t="s">
        <v>95</v>
      </c>
      <c r="D2798" t="s">
        <v>90</v>
      </c>
      <c r="E2798" t="s">
        <v>37</v>
      </c>
      <c r="F2798" t="s">
        <v>45</v>
      </c>
      <c r="G2798" t="s">
        <v>23</v>
      </c>
      <c r="H2798" s="1">
        <v>44434</v>
      </c>
      <c r="I2798" s="2">
        <v>44434.1</v>
      </c>
      <c r="J2798">
        <v>2.4</v>
      </c>
      <c r="K2798" t="s">
        <v>24</v>
      </c>
      <c r="L2798">
        <v>1</v>
      </c>
      <c r="M2798">
        <v>4</v>
      </c>
      <c r="N2798" t="s">
        <v>937</v>
      </c>
      <c r="O2798" s="3" t="str">
        <f>TEXT(Ticket_Table[[#This Row],[raised_date]],"YYYY-MM")</f>
        <v>2021-08</v>
      </c>
      <c r="P2798" s="3" t="str">
        <f>IF(Ticket_Table[[#This Row],[resolution_hrs]]&lt;=4,"Fast",IF(Ticket_Table[[#This Row],[resolution_hrs]]&lt;=24,"Normal",IF(Ticket_Table[[#This Row],[resolution_hrs]]&lt;=48,"Slow","Very Slow")))</f>
        <v>Fast</v>
      </c>
      <c r="Q2798" s="3">
        <f>YEAR(Ticket_Table[[#This Row],[raised_date]])</f>
        <v>2021</v>
      </c>
    </row>
    <row r="2799" spans="1:17">
      <c r="A2799" t="s">
        <v>3360</v>
      </c>
      <c r="B2799" t="s">
        <v>1180</v>
      </c>
      <c r="C2799" t="s">
        <v>213</v>
      </c>
      <c r="D2799" t="s">
        <v>29</v>
      </c>
      <c r="E2799" t="s">
        <v>106</v>
      </c>
      <c r="F2799" t="s">
        <v>38</v>
      </c>
      <c r="G2799" t="s">
        <v>23</v>
      </c>
      <c r="H2799" s="1">
        <v>45050</v>
      </c>
      <c r="I2799" s="2">
        <v>45051.1291666667</v>
      </c>
      <c r="J2799">
        <v>27.1</v>
      </c>
      <c r="K2799" t="s">
        <v>32</v>
      </c>
      <c r="L2799">
        <v>1</v>
      </c>
      <c r="M2799">
        <v>4</v>
      </c>
      <c r="N2799" t="s">
        <v>385</v>
      </c>
      <c r="O2799" s="3" t="str">
        <f>TEXT(Ticket_Table[[#This Row],[raised_date]],"YYYY-MM")</f>
        <v>2023-05</v>
      </c>
      <c r="P2799" s="3" t="str">
        <f>IF(Ticket_Table[[#This Row],[resolution_hrs]]&lt;=4,"Fast",IF(Ticket_Table[[#This Row],[resolution_hrs]]&lt;=24,"Normal",IF(Ticket_Table[[#This Row],[resolution_hrs]]&lt;=48,"Slow","Very Slow")))</f>
        <v>Slow</v>
      </c>
      <c r="Q2799" s="3">
        <f>YEAR(Ticket_Table[[#This Row],[raised_date]])</f>
        <v>2023</v>
      </c>
    </row>
    <row r="2800" spans="1:17">
      <c r="A2800" t="s">
        <v>3361</v>
      </c>
      <c r="B2800" t="s">
        <v>1006</v>
      </c>
      <c r="C2800" t="s">
        <v>117</v>
      </c>
      <c r="D2800" t="s">
        <v>36</v>
      </c>
      <c r="E2800" t="s">
        <v>56</v>
      </c>
      <c r="F2800" t="s">
        <v>22</v>
      </c>
      <c r="G2800" t="s">
        <v>23</v>
      </c>
      <c r="H2800" s="1">
        <v>45106</v>
      </c>
      <c r="I2800" s="2">
        <v>45109.5833333333</v>
      </c>
      <c r="J2800">
        <v>86</v>
      </c>
      <c r="K2800" t="s">
        <v>32</v>
      </c>
      <c r="L2800">
        <v>0</v>
      </c>
      <c r="M2800">
        <v>3</v>
      </c>
      <c r="N2800" t="s">
        <v>678</v>
      </c>
      <c r="O2800" s="3" t="str">
        <f>TEXT(Ticket_Table[[#This Row],[raised_date]],"YYYY-MM")</f>
        <v>2023-06</v>
      </c>
      <c r="P2800" s="3" t="str">
        <f>IF(Ticket_Table[[#This Row],[resolution_hrs]]&lt;=4,"Fast",IF(Ticket_Table[[#This Row],[resolution_hrs]]&lt;=24,"Normal",IF(Ticket_Table[[#This Row],[resolution_hrs]]&lt;=48,"Slow","Very Slow")))</f>
        <v>Very Slow</v>
      </c>
      <c r="Q2800" s="3">
        <f>YEAR(Ticket_Table[[#This Row],[raised_date]])</f>
        <v>2023</v>
      </c>
    </row>
    <row r="2801" spans="1:17">
      <c r="A2801" t="s">
        <v>3362</v>
      </c>
      <c r="B2801" t="s">
        <v>897</v>
      </c>
      <c r="C2801" t="s">
        <v>287</v>
      </c>
      <c r="D2801" t="s">
        <v>43</v>
      </c>
      <c r="E2801" t="s">
        <v>30</v>
      </c>
      <c r="F2801" t="s">
        <v>45</v>
      </c>
      <c r="G2801" t="s">
        <v>46</v>
      </c>
      <c r="H2801" s="1">
        <v>44975</v>
      </c>
      <c r="I2801" s="2">
        <v>44975.0791666667</v>
      </c>
      <c r="J2801">
        <v>1.9</v>
      </c>
      <c r="K2801" t="s">
        <v>24</v>
      </c>
      <c r="L2801">
        <v>0</v>
      </c>
      <c r="M2801">
        <v>4</v>
      </c>
      <c r="N2801" t="s">
        <v>552</v>
      </c>
      <c r="O2801" s="3" t="str">
        <f>TEXT(Ticket_Table[[#This Row],[raised_date]],"YYYY-MM")</f>
        <v>2023-02</v>
      </c>
      <c r="P2801" s="3" t="str">
        <f>IF(Ticket_Table[[#This Row],[resolution_hrs]]&lt;=4,"Fast",IF(Ticket_Table[[#This Row],[resolution_hrs]]&lt;=24,"Normal",IF(Ticket_Table[[#This Row],[resolution_hrs]]&lt;=48,"Slow","Very Slow")))</f>
        <v>Fast</v>
      </c>
      <c r="Q2801" s="3">
        <f>YEAR(Ticket_Table[[#This Row],[raised_date]])</f>
        <v>2023</v>
      </c>
    </row>
    <row r="2802" spans="1:17">
      <c r="A2802" t="s">
        <v>3363</v>
      </c>
      <c r="B2802" t="s">
        <v>703</v>
      </c>
      <c r="C2802" t="s">
        <v>19</v>
      </c>
      <c r="D2802" t="s">
        <v>43</v>
      </c>
      <c r="E2802" t="s">
        <v>21</v>
      </c>
      <c r="F2802" t="s">
        <v>70</v>
      </c>
      <c r="G2802" t="s">
        <v>31</v>
      </c>
      <c r="H2802" s="1">
        <v>44450</v>
      </c>
      <c r="I2802" s="2">
        <v>44451.475</v>
      </c>
      <c r="J2802">
        <v>35.4</v>
      </c>
      <c r="K2802" t="s">
        <v>24</v>
      </c>
      <c r="L2802">
        <v>0</v>
      </c>
      <c r="M2802">
        <v>4</v>
      </c>
      <c r="N2802" t="s">
        <v>420</v>
      </c>
      <c r="O2802" s="3" t="str">
        <f>TEXT(Ticket_Table[[#This Row],[raised_date]],"YYYY-MM")</f>
        <v>2021-09</v>
      </c>
      <c r="P2802" s="3" t="str">
        <f>IF(Ticket_Table[[#This Row],[resolution_hrs]]&lt;=4,"Fast",IF(Ticket_Table[[#This Row],[resolution_hrs]]&lt;=24,"Normal",IF(Ticket_Table[[#This Row],[resolution_hrs]]&lt;=48,"Slow","Very Slow")))</f>
        <v>Slow</v>
      </c>
      <c r="Q2802" s="3">
        <f>YEAR(Ticket_Table[[#This Row],[raised_date]])</f>
        <v>2021</v>
      </c>
    </row>
    <row r="2803" spans="1:17">
      <c r="A2803" t="s">
        <v>3364</v>
      </c>
      <c r="B2803" t="s">
        <v>506</v>
      </c>
      <c r="C2803" t="s">
        <v>117</v>
      </c>
      <c r="D2803" t="s">
        <v>43</v>
      </c>
      <c r="E2803" t="s">
        <v>166</v>
      </c>
      <c r="F2803" t="s">
        <v>22</v>
      </c>
      <c r="G2803" t="s">
        <v>46</v>
      </c>
      <c r="H2803" s="1">
        <v>44714</v>
      </c>
      <c r="I2803" s="2">
        <v>44716.9166666667</v>
      </c>
      <c r="J2803">
        <v>70</v>
      </c>
      <c r="K2803" t="s">
        <v>24</v>
      </c>
      <c r="L2803">
        <v>0</v>
      </c>
      <c r="M2803">
        <v>1</v>
      </c>
      <c r="N2803" t="s">
        <v>103</v>
      </c>
      <c r="O2803" s="3" t="str">
        <f>TEXT(Ticket_Table[[#This Row],[raised_date]],"YYYY-MM")</f>
        <v>2022-06</v>
      </c>
      <c r="P2803" s="3" t="str">
        <f>IF(Ticket_Table[[#This Row],[resolution_hrs]]&lt;=4,"Fast",IF(Ticket_Table[[#This Row],[resolution_hrs]]&lt;=24,"Normal",IF(Ticket_Table[[#This Row],[resolution_hrs]]&lt;=48,"Slow","Very Slow")))</f>
        <v>Very Slow</v>
      </c>
      <c r="Q2803" s="3">
        <f>YEAR(Ticket_Table[[#This Row],[raised_date]])</f>
        <v>2022</v>
      </c>
    </row>
    <row r="2804" spans="1:17">
      <c r="A2804" t="s">
        <v>3365</v>
      </c>
      <c r="B2804" t="s">
        <v>310</v>
      </c>
      <c r="C2804" t="s">
        <v>50</v>
      </c>
      <c r="D2804" t="s">
        <v>20</v>
      </c>
      <c r="E2804" t="s">
        <v>56</v>
      </c>
      <c r="F2804" t="s">
        <v>70</v>
      </c>
      <c r="G2804" t="s">
        <v>23</v>
      </c>
      <c r="H2804" s="1">
        <v>45168</v>
      </c>
      <c r="I2804" s="2">
        <v>45169.325</v>
      </c>
      <c r="J2804">
        <v>31.8</v>
      </c>
      <c r="K2804" t="s">
        <v>24</v>
      </c>
      <c r="L2804">
        <v>0</v>
      </c>
      <c r="M2804">
        <v>5</v>
      </c>
      <c r="N2804" t="s">
        <v>454</v>
      </c>
      <c r="O2804" s="3" t="str">
        <f>TEXT(Ticket_Table[[#This Row],[raised_date]],"YYYY-MM")</f>
        <v>2023-08</v>
      </c>
      <c r="P2804" s="3" t="str">
        <f>IF(Ticket_Table[[#This Row],[resolution_hrs]]&lt;=4,"Fast",IF(Ticket_Table[[#This Row],[resolution_hrs]]&lt;=24,"Normal",IF(Ticket_Table[[#This Row],[resolution_hrs]]&lt;=48,"Slow","Very Slow")))</f>
        <v>Slow</v>
      </c>
      <c r="Q2804" s="3">
        <f>YEAR(Ticket_Table[[#This Row],[raised_date]])</f>
        <v>2023</v>
      </c>
    </row>
    <row r="2805" spans="1:17">
      <c r="A2805" t="s">
        <v>3366</v>
      </c>
      <c r="B2805" t="s">
        <v>1051</v>
      </c>
      <c r="C2805" t="s">
        <v>64</v>
      </c>
      <c r="D2805" t="s">
        <v>43</v>
      </c>
      <c r="E2805" t="s">
        <v>51</v>
      </c>
      <c r="F2805" t="s">
        <v>70</v>
      </c>
      <c r="G2805" t="s">
        <v>23</v>
      </c>
      <c r="H2805" s="1">
        <v>44510</v>
      </c>
      <c r="I2805" s="2">
        <v>44511.7333333333</v>
      </c>
      <c r="J2805">
        <v>41.6</v>
      </c>
      <c r="K2805" t="s">
        <v>24</v>
      </c>
      <c r="L2805">
        <v>1</v>
      </c>
      <c r="M2805">
        <v>3</v>
      </c>
      <c r="N2805" t="s">
        <v>262</v>
      </c>
      <c r="O2805" s="3" t="str">
        <f>TEXT(Ticket_Table[[#This Row],[raised_date]],"YYYY-MM")</f>
        <v>2021-11</v>
      </c>
      <c r="P2805" s="3" t="str">
        <f>IF(Ticket_Table[[#This Row],[resolution_hrs]]&lt;=4,"Fast",IF(Ticket_Table[[#This Row],[resolution_hrs]]&lt;=24,"Normal",IF(Ticket_Table[[#This Row],[resolution_hrs]]&lt;=48,"Slow","Very Slow")))</f>
        <v>Slow</v>
      </c>
      <c r="Q2805" s="3">
        <f>YEAR(Ticket_Table[[#This Row],[raised_date]])</f>
        <v>2021</v>
      </c>
    </row>
    <row r="2806" spans="1:17">
      <c r="A2806" t="s">
        <v>3367</v>
      </c>
      <c r="B2806" t="s">
        <v>75</v>
      </c>
      <c r="C2806" t="s">
        <v>78</v>
      </c>
      <c r="D2806" t="s">
        <v>36</v>
      </c>
      <c r="E2806" t="s">
        <v>83</v>
      </c>
      <c r="F2806" t="s">
        <v>22</v>
      </c>
      <c r="G2806" t="s">
        <v>31</v>
      </c>
      <c r="H2806" s="1">
        <v>44617</v>
      </c>
      <c r="I2806" s="2">
        <v>44617.4833333333</v>
      </c>
      <c r="J2806">
        <v>11.6</v>
      </c>
      <c r="K2806" t="s">
        <v>24</v>
      </c>
      <c r="L2806">
        <v>0</v>
      </c>
      <c r="M2806">
        <v>2</v>
      </c>
      <c r="N2806" t="s">
        <v>89</v>
      </c>
      <c r="O2806" s="3" t="str">
        <f>TEXT(Ticket_Table[[#This Row],[raised_date]],"YYYY-MM")</f>
        <v>2022-02</v>
      </c>
      <c r="P2806" s="3" t="str">
        <f>IF(Ticket_Table[[#This Row],[resolution_hrs]]&lt;=4,"Fast",IF(Ticket_Table[[#This Row],[resolution_hrs]]&lt;=24,"Normal",IF(Ticket_Table[[#This Row],[resolution_hrs]]&lt;=48,"Slow","Very Slow")))</f>
        <v>Normal</v>
      </c>
      <c r="Q2806" s="3">
        <f>YEAR(Ticket_Table[[#This Row],[raised_date]])</f>
        <v>2022</v>
      </c>
    </row>
    <row r="2807" spans="1:17">
      <c r="A2807" t="s">
        <v>3368</v>
      </c>
      <c r="B2807" t="s">
        <v>630</v>
      </c>
      <c r="C2807" t="s">
        <v>102</v>
      </c>
      <c r="D2807" t="s">
        <v>90</v>
      </c>
      <c r="E2807" t="s">
        <v>106</v>
      </c>
      <c r="F2807" t="s">
        <v>22</v>
      </c>
      <c r="G2807" t="s">
        <v>23</v>
      </c>
      <c r="H2807" s="1">
        <v>44216</v>
      </c>
      <c r="I2807" s="2">
        <v>44216.325</v>
      </c>
      <c r="J2807">
        <v>7.8</v>
      </c>
      <c r="K2807" t="s">
        <v>24</v>
      </c>
      <c r="L2807">
        <v>0</v>
      </c>
      <c r="M2807">
        <v>4</v>
      </c>
      <c r="N2807" t="s">
        <v>567</v>
      </c>
      <c r="O2807" s="3" t="str">
        <f>TEXT(Ticket_Table[[#This Row],[raised_date]],"YYYY-MM")</f>
        <v>2021-01</v>
      </c>
      <c r="P2807" s="3" t="str">
        <f>IF(Ticket_Table[[#This Row],[resolution_hrs]]&lt;=4,"Fast",IF(Ticket_Table[[#This Row],[resolution_hrs]]&lt;=24,"Normal",IF(Ticket_Table[[#This Row],[resolution_hrs]]&lt;=48,"Slow","Very Slow")))</f>
        <v>Normal</v>
      </c>
      <c r="Q2807" s="3">
        <f>YEAR(Ticket_Table[[#This Row],[raised_date]])</f>
        <v>2021</v>
      </c>
    </row>
    <row r="2808" spans="1:17">
      <c r="A2808" t="s">
        <v>3369</v>
      </c>
      <c r="B2808" t="s">
        <v>2654</v>
      </c>
      <c r="C2808" t="s">
        <v>201</v>
      </c>
      <c r="D2808" t="s">
        <v>36</v>
      </c>
      <c r="E2808" t="s">
        <v>37</v>
      </c>
      <c r="F2808" t="s">
        <v>70</v>
      </c>
      <c r="G2808" t="s">
        <v>31</v>
      </c>
      <c r="H2808" s="1">
        <v>44813</v>
      </c>
      <c r="I2808" s="2">
        <v>44815.7291666667</v>
      </c>
      <c r="J2808">
        <v>65.5</v>
      </c>
      <c r="K2808" t="s">
        <v>32</v>
      </c>
      <c r="L2808">
        <v>1</v>
      </c>
      <c r="M2808">
        <v>3</v>
      </c>
      <c r="N2808" t="s">
        <v>2654</v>
      </c>
      <c r="O2808" s="3" t="str">
        <f>TEXT(Ticket_Table[[#This Row],[raised_date]],"YYYY-MM")</f>
        <v>2022-09</v>
      </c>
      <c r="P2808" s="3" t="str">
        <f>IF(Ticket_Table[[#This Row],[resolution_hrs]]&lt;=4,"Fast",IF(Ticket_Table[[#This Row],[resolution_hrs]]&lt;=24,"Normal",IF(Ticket_Table[[#This Row],[resolution_hrs]]&lt;=48,"Slow","Very Slow")))</f>
        <v>Very Slow</v>
      </c>
      <c r="Q2808" s="3">
        <f>YEAR(Ticket_Table[[#This Row],[raised_date]])</f>
        <v>2022</v>
      </c>
    </row>
    <row r="2809" spans="1:17">
      <c r="A2809" t="s">
        <v>3370</v>
      </c>
      <c r="B2809" t="s">
        <v>844</v>
      </c>
      <c r="C2809" t="s">
        <v>117</v>
      </c>
      <c r="D2809" t="s">
        <v>43</v>
      </c>
      <c r="E2809" t="s">
        <v>166</v>
      </c>
      <c r="F2809" t="s">
        <v>38</v>
      </c>
      <c r="G2809" t="s">
        <v>46</v>
      </c>
      <c r="H2809" s="1">
        <v>45058</v>
      </c>
      <c r="I2809" s="2">
        <v>45059.2</v>
      </c>
      <c r="J2809">
        <v>28.8</v>
      </c>
      <c r="K2809" t="s">
        <v>32</v>
      </c>
      <c r="L2809">
        <v>0</v>
      </c>
      <c r="M2809">
        <v>4</v>
      </c>
      <c r="N2809" t="s">
        <v>1195</v>
      </c>
      <c r="O2809" s="3" t="str">
        <f>TEXT(Ticket_Table[[#This Row],[raised_date]],"YYYY-MM")</f>
        <v>2023-05</v>
      </c>
      <c r="P2809" s="3" t="str">
        <f>IF(Ticket_Table[[#This Row],[resolution_hrs]]&lt;=4,"Fast",IF(Ticket_Table[[#This Row],[resolution_hrs]]&lt;=24,"Normal",IF(Ticket_Table[[#This Row],[resolution_hrs]]&lt;=48,"Slow","Very Slow")))</f>
        <v>Slow</v>
      </c>
      <c r="Q2809" s="3">
        <f>YEAR(Ticket_Table[[#This Row],[raised_date]])</f>
        <v>2023</v>
      </c>
    </row>
    <row r="2810" spans="1:17">
      <c r="A2810" t="s">
        <v>3371</v>
      </c>
      <c r="B2810" t="s">
        <v>737</v>
      </c>
      <c r="C2810" t="s">
        <v>201</v>
      </c>
      <c r="D2810" t="s">
        <v>90</v>
      </c>
      <c r="E2810" t="s">
        <v>106</v>
      </c>
      <c r="F2810" t="s">
        <v>70</v>
      </c>
      <c r="G2810" t="s">
        <v>46</v>
      </c>
      <c r="H2810" s="1">
        <v>44403</v>
      </c>
      <c r="I2810" s="2">
        <v>44403.5875</v>
      </c>
      <c r="J2810">
        <v>14.1</v>
      </c>
      <c r="K2810" t="s">
        <v>24</v>
      </c>
      <c r="L2810">
        <v>1</v>
      </c>
      <c r="M2810">
        <v>4</v>
      </c>
      <c r="N2810" t="s">
        <v>135</v>
      </c>
      <c r="O2810" s="3" t="str">
        <f>TEXT(Ticket_Table[[#This Row],[raised_date]],"YYYY-MM")</f>
        <v>2021-07</v>
      </c>
      <c r="P2810" s="3" t="str">
        <f>IF(Ticket_Table[[#This Row],[resolution_hrs]]&lt;=4,"Fast",IF(Ticket_Table[[#This Row],[resolution_hrs]]&lt;=24,"Normal",IF(Ticket_Table[[#This Row],[resolution_hrs]]&lt;=48,"Slow","Very Slow")))</f>
        <v>Normal</v>
      </c>
      <c r="Q2810" s="3">
        <f>YEAR(Ticket_Table[[#This Row],[raised_date]])</f>
        <v>2021</v>
      </c>
    </row>
    <row r="2811" spans="1:17">
      <c r="A2811" t="s">
        <v>3372</v>
      </c>
      <c r="B2811" t="s">
        <v>471</v>
      </c>
      <c r="C2811" t="s">
        <v>42</v>
      </c>
      <c r="D2811" t="s">
        <v>29</v>
      </c>
      <c r="E2811" t="s">
        <v>44</v>
      </c>
      <c r="F2811" t="s">
        <v>45</v>
      </c>
      <c r="G2811" t="s">
        <v>23</v>
      </c>
      <c r="H2811" s="1">
        <v>45262</v>
      </c>
      <c r="I2811" s="2">
        <v>45262.2125</v>
      </c>
      <c r="J2811">
        <v>5.1</v>
      </c>
      <c r="K2811" t="s">
        <v>32</v>
      </c>
      <c r="L2811">
        <v>0</v>
      </c>
      <c r="M2811">
        <v>3</v>
      </c>
      <c r="N2811" t="s">
        <v>897</v>
      </c>
      <c r="O2811" s="3" t="str">
        <f>TEXT(Ticket_Table[[#This Row],[raised_date]],"YYYY-MM")</f>
        <v>2023-12</v>
      </c>
      <c r="P2811" s="3" t="str">
        <f>IF(Ticket_Table[[#This Row],[resolution_hrs]]&lt;=4,"Fast",IF(Ticket_Table[[#This Row],[resolution_hrs]]&lt;=24,"Normal",IF(Ticket_Table[[#This Row],[resolution_hrs]]&lt;=48,"Slow","Very Slow")))</f>
        <v>Normal</v>
      </c>
      <c r="Q2811" s="3">
        <f>YEAR(Ticket_Table[[#This Row],[raised_date]])</f>
        <v>2023</v>
      </c>
    </row>
    <row r="2812" spans="1:17">
      <c r="A2812" t="s">
        <v>3373</v>
      </c>
      <c r="B2812" t="s">
        <v>988</v>
      </c>
      <c r="C2812" t="s">
        <v>140</v>
      </c>
      <c r="D2812" t="s">
        <v>29</v>
      </c>
      <c r="E2812" t="s">
        <v>44</v>
      </c>
      <c r="F2812" t="s">
        <v>22</v>
      </c>
      <c r="G2812" t="s">
        <v>23</v>
      </c>
      <c r="H2812" s="1">
        <v>44749</v>
      </c>
      <c r="I2812" s="2">
        <v>44749.1291666667</v>
      </c>
      <c r="J2812">
        <v>3.1</v>
      </c>
      <c r="K2812" t="s">
        <v>24</v>
      </c>
      <c r="L2812">
        <v>0</v>
      </c>
      <c r="M2812">
        <v>5</v>
      </c>
      <c r="N2812" t="s">
        <v>527</v>
      </c>
      <c r="O2812" s="3" t="str">
        <f>TEXT(Ticket_Table[[#This Row],[raised_date]],"YYYY-MM")</f>
        <v>2022-07</v>
      </c>
      <c r="P2812" s="3" t="str">
        <f>IF(Ticket_Table[[#This Row],[resolution_hrs]]&lt;=4,"Fast",IF(Ticket_Table[[#This Row],[resolution_hrs]]&lt;=24,"Normal",IF(Ticket_Table[[#This Row],[resolution_hrs]]&lt;=48,"Slow","Very Slow")))</f>
        <v>Fast</v>
      </c>
      <c r="Q2812" s="3">
        <f>YEAR(Ticket_Table[[#This Row],[raised_date]])</f>
        <v>2022</v>
      </c>
    </row>
    <row r="2813" spans="1:17">
      <c r="A2813" t="s">
        <v>3374</v>
      </c>
      <c r="B2813" t="s">
        <v>532</v>
      </c>
      <c r="C2813" t="s">
        <v>261</v>
      </c>
      <c r="D2813" t="s">
        <v>36</v>
      </c>
      <c r="E2813" t="s">
        <v>44</v>
      </c>
      <c r="F2813" t="s">
        <v>22</v>
      </c>
      <c r="G2813" t="s">
        <v>23</v>
      </c>
      <c r="H2813" s="1">
        <v>44477</v>
      </c>
      <c r="I2813" s="2">
        <v>44479.5208333333</v>
      </c>
      <c r="J2813">
        <v>60.5</v>
      </c>
      <c r="K2813" t="s">
        <v>24</v>
      </c>
      <c r="L2813">
        <v>0</v>
      </c>
      <c r="M2813">
        <v>3</v>
      </c>
      <c r="N2813" t="s">
        <v>499</v>
      </c>
      <c r="O2813" s="3" t="str">
        <f>TEXT(Ticket_Table[[#This Row],[raised_date]],"YYYY-MM")</f>
        <v>2021-10</v>
      </c>
      <c r="P2813" s="3" t="str">
        <f>IF(Ticket_Table[[#This Row],[resolution_hrs]]&lt;=4,"Fast",IF(Ticket_Table[[#This Row],[resolution_hrs]]&lt;=24,"Normal",IF(Ticket_Table[[#This Row],[resolution_hrs]]&lt;=48,"Slow","Very Slow")))</f>
        <v>Very Slow</v>
      </c>
      <c r="Q2813" s="3">
        <f>YEAR(Ticket_Table[[#This Row],[raised_date]])</f>
        <v>2021</v>
      </c>
    </row>
    <row r="2814" spans="1:17">
      <c r="A2814" t="s">
        <v>3375</v>
      </c>
      <c r="B2814" t="s">
        <v>655</v>
      </c>
      <c r="C2814" t="s">
        <v>78</v>
      </c>
      <c r="D2814" t="s">
        <v>90</v>
      </c>
      <c r="E2814" t="s">
        <v>30</v>
      </c>
      <c r="F2814" t="s">
        <v>22</v>
      </c>
      <c r="G2814" t="s">
        <v>31</v>
      </c>
      <c r="H2814" s="1">
        <v>45054</v>
      </c>
      <c r="I2814" s="2">
        <v>45056.4333333333</v>
      </c>
      <c r="J2814">
        <v>58.4</v>
      </c>
      <c r="K2814" t="s">
        <v>24</v>
      </c>
      <c r="L2814">
        <v>2</v>
      </c>
      <c r="M2814">
        <v>4</v>
      </c>
      <c r="N2814" t="s">
        <v>96</v>
      </c>
      <c r="O2814" s="3" t="str">
        <f>TEXT(Ticket_Table[[#This Row],[raised_date]],"YYYY-MM")</f>
        <v>2023-05</v>
      </c>
      <c r="P2814" s="3" t="str">
        <f>IF(Ticket_Table[[#This Row],[resolution_hrs]]&lt;=4,"Fast",IF(Ticket_Table[[#This Row],[resolution_hrs]]&lt;=24,"Normal",IF(Ticket_Table[[#This Row],[resolution_hrs]]&lt;=48,"Slow","Very Slow")))</f>
        <v>Very Slow</v>
      </c>
      <c r="Q2814" s="3">
        <f>YEAR(Ticket_Table[[#This Row],[raised_date]])</f>
        <v>2023</v>
      </c>
    </row>
    <row r="2815" spans="1:17">
      <c r="A2815" t="s">
        <v>3376</v>
      </c>
      <c r="B2815" t="s">
        <v>525</v>
      </c>
      <c r="C2815" t="s">
        <v>78</v>
      </c>
      <c r="D2815" t="s">
        <v>36</v>
      </c>
      <c r="E2815" t="s">
        <v>21</v>
      </c>
      <c r="F2815" t="s">
        <v>22</v>
      </c>
      <c r="G2815" t="s">
        <v>23</v>
      </c>
      <c r="H2815" s="1">
        <v>44411</v>
      </c>
      <c r="I2815" s="2">
        <v>44414.6625</v>
      </c>
      <c r="J2815">
        <v>87.9</v>
      </c>
      <c r="K2815" t="s">
        <v>32</v>
      </c>
      <c r="L2815">
        <v>0</v>
      </c>
      <c r="M2815">
        <v>5</v>
      </c>
      <c r="N2815" t="s">
        <v>191</v>
      </c>
      <c r="O2815" s="3" t="str">
        <f>TEXT(Ticket_Table[[#This Row],[raised_date]],"YYYY-MM")</f>
        <v>2021-08</v>
      </c>
      <c r="P2815" s="3" t="str">
        <f>IF(Ticket_Table[[#This Row],[resolution_hrs]]&lt;=4,"Fast",IF(Ticket_Table[[#This Row],[resolution_hrs]]&lt;=24,"Normal",IF(Ticket_Table[[#This Row],[resolution_hrs]]&lt;=48,"Slow","Very Slow")))</f>
        <v>Very Slow</v>
      </c>
      <c r="Q2815" s="3">
        <f>YEAR(Ticket_Table[[#This Row],[raised_date]])</f>
        <v>2021</v>
      </c>
    </row>
    <row r="2816" spans="1:17">
      <c r="A2816" t="s">
        <v>3377</v>
      </c>
      <c r="B2816" t="s">
        <v>394</v>
      </c>
      <c r="C2816" t="s">
        <v>201</v>
      </c>
      <c r="D2816" t="s">
        <v>90</v>
      </c>
      <c r="E2816" t="s">
        <v>51</v>
      </c>
      <c r="F2816" t="s">
        <v>22</v>
      </c>
      <c r="G2816" t="s">
        <v>23</v>
      </c>
      <c r="H2816" s="1">
        <v>45244</v>
      </c>
      <c r="I2816" s="2">
        <v>45246.2208333333</v>
      </c>
      <c r="J2816">
        <v>53.3</v>
      </c>
      <c r="K2816" t="s">
        <v>24</v>
      </c>
      <c r="L2816">
        <v>0</v>
      </c>
      <c r="M2816">
        <v>4</v>
      </c>
      <c r="N2816" t="s">
        <v>101</v>
      </c>
      <c r="O2816" s="3" t="str">
        <f>TEXT(Ticket_Table[[#This Row],[raised_date]],"YYYY-MM")</f>
        <v>2023-11</v>
      </c>
      <c r="P2816" s="3" t="str">
        <f>IF(Ticket_Table[[#This Row],[resolution_hrs]]&lt;=4,"Fast",IF(Ticket_Table[[#This Row],[resolution_hrs]]&lt;=24,"Normal",IF(Ticket_Table[[#This Row],[resolution_hrs]]&lt;=48,"Slow","Very Slow")))</f>
        <v>Very Slow</v>
      </c>
      <c r="Q2816" s="3">
        <f>YEAR(Ticket_Table[[#This Row],[raised_date]])</f>
        <v>2023</v>
      </c>
    </row>
    <row r="2817" spans="1:17">
      <c r="A2817" t="s">
        <v>3378</v>
      </c>
      <c r="B2817" t="s">
        <v>33</v>
      </c>
      <c r="C2817" t="s">
        <v>60</v>
      </c>
      <c r="D2817" t="s">
        <v>90</v>
      </c>
      <c r="E2817" t="s">
        <v>56</v>
      </c>
      <c r="F2817" t="s">
        <v>38</v>
      </c>
      <c r="G2817" t="s">
        <v>46</v>
      </c>
      <c r="H2817" s="1">
        <v>44438</v>
      </c>
      <c r="I2817" s="2">
        <v>44438.8</v>
      </c>
      <c r="J2817">
        <v>19.2</v>
      </c>
      <c r="K2817" t="s">
        <v>24</v>
      </c>
      <c r="L2817">
        <v>0</v>
      </c>
      <c r="M2817">
        <v>5</v>
      </c>
      <c r="N2817" t="s">
        <v>383</v>
      </c>
      <c r="O2817" s="3" t="str">
        <f>TEXT(Ticket_Table[[#This Row],[raised_date]],"YYYY-MM")</f>
        <v>2021-08</v>
      </c>
      <c r="P2817" s="3" t="str">
        <f>IF(Ticket_Table[[#This Row],[resolution_hrs]]&lt;=4,"Fast",IF(Ticket_Table[[#This Row],[resolution_hrs]]&lt;=24,"Normal",IF(Ticket_Table[[#This Row],[resolution_hrs]]&lt;=48,"Slow","Very Slow")))</f>
        <v>Normal</v>
      </c>
      <c r="Q2817" s="3">
        <f>YEAR(Ticket_Table[[#This Row],[raised_date]])</f>
        <v>2021</v>
      </c>
    </row>
    <row r="2818" spans="1:17">
      <c r="A2818" t="s">
        <v>3379</v>
      </c>
      <c r="B2818" t="s">
        <v>899</v>
      </c>
      <c r="C2818" t="s">
        <v>201</v>
      </c>
      <c r="D2818" t="s">
        <v>36</v>
      </c>
      <c r="E2818" t="s">
        <v>106</v>
      </c>
      <c r="F2818" t="s">
        <v>45</v>
      </c>
      <c r="G2818" t="s">
        <v>46</v>
      </c>
      <c r="H2818" s="1">
        <v>44775</v>
      </c>
      <c r="I2818" s="2">
        <v>44775.1625</v>
      </c>
      <c r="J2818">
        <v>3.9</v>
      </c>
      <c r="K2818" t="s">
        <v>24</v>
      </c>
      <c r="L2818">
        <v>1</v>
      </c>
      <c r="M2818">
        <v>5</v>
      </c>
      <c r="N2818" t="s">
        <v>509</v>
      </c>
      <c r="O2818" s="3" t="str">
        <f>TEXT(Ticket_Table[[#This Row],[raised_date]],"YYYY-MM")</f>
        <v>2022-08</v>
      </c>
      <c r="P2818" s="3" t="str">
        <f>IF(Ticket_Table[[#This Row],[resolution_hrs]]&lt;=4,"Fast",IF(Ticket_Table[[#This Row],[resolution_hrs]]&lt;=24,"Normal",IF(Ticket_Table[[#This Row],[resolution_hrs]]&lt;=48,"Slow","Very Slow")))</f>
        <v>Fast</v>
      </c>
      <c r="Q2818" s="3">
        <f>YEAR(Ticket_Table[[#This Row],[raised_date]])</f>
        <v>2022</v>
      </c>
    </row>
    <row r="2819" spans="1:17">
      <c r="A2819" t="s">
        <v>3380</v>
      </c>
      <c r="B2819" t="s">
        <v>124</v>
      </c>
      <c r="C2819" t="s">
        <v>68</v>
      </c>
      <c r="D2819" t="s">
        <v>90</v>
      </c>
      <c r="E2819" t="s">
        <v>56</v>
      </c>
      <c r="F2819" t="s">
        <v>45</v>
      </c>
      <c r="G2819" t="s">
        <v>74</v>
      </c>
      <c r="H2819" s="1">
        <v>44430</v>
      </c>
      <c r="I2819" s="2">
        <v>44430.1916666667</v>
      </c>
      <c r="J2819">
        <v>4.6</v>
      </c>
      <c r="K2819" t="s">
        <v>32</v>
      </c>
      <c r="L2819">
        <v>0</v>
      </c>
      <c r="M2819">
        <v>5</v>
      </c>
      <c r="N2819" t="s">
        <v>708</v>
      </c>
      <c r="O2819" s="3" t="str">
        <f>TEXT(Ticket_Table[[#This Row],[raised_date]],"YYYY-MM")</f>
        <v>2021-08</v>
      </c>
      <c r="P2819" s="3" t="str">
        <f>IF(Ticket_Table[[#This Row],[resolution_hrs]]&lt;=4,"Fast",IF(Ticket_Table[[#This Row],[resolution_hrs]]&lt;=24,"Normal",IF(Ticket_Table[[#This Row],[resolution_hrs]]&lt;=48,"Slow","Very Slow")))</f>
        <v>Normal</v>
      </c>
      <c r="Q2819" s="3">
        <f>YEAR(Ticket_Table[[#This Row],[raised_date]])</f>
        <v>2021</v>
      </c>
    </row>
    <row r="2820" spans="1:17">
      <c r="A2820" t="s">
        <v>3381</v>
      </c>
      <c r="B2820" t="s">
        <v>676</v>
      </c>
      <c r="C2820" t="s">
        <v>95</v>
      </c>
      <c r="D2820" t="s">
        <v>43</v>
      </c>
      <c r="E2820" t="s">
        <v>56</v>
      </c>
      <c r="F2820" t="s">
        <v>22</v>
      </c>
      <c r="G2820" t="s">
        <v>31</v>
      </c>
      <c r="H2820" s="1">
        <v>44414</v>
      </c>
      <c r="I2820" s="2">
        <v>44417.5625</v>
      </c>
      <c r="J2820">
        <v>85.5</v>
      </c>
      <c r="K2820" t="s">
        <v>32</v>
      </c>
      <c r="L2820">
        <v>1</v>
      </c>
      <c r="M2820">
        <v>3</v>
      </c>
      <c r="N2820" t="s">
        <v>264</v>
      </c>
      <c r="O2820" s="3" t="str">
        <f>TEXT(Ticket_Table[[#This Row],[raised_date]],"YYYY-MM")</f>
        <v>2021-08</v>
      </c>
      <c r="P28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820" s="3">
        <f>YEAR(Ticket_Table[[#This Row],[raised_date]])</f>
        <v>2021</v>
      </c>
    </row>
    <row r="2821" spans="1:17">
      <c r="A2821" t="s">
        <v>3382</v>
      </c>
      <c r="B2821" t="s">
        <v>176</v>
      </c>
      <c r="C2821" t="s">
        <v>287</v>
      </c>
      <c r="D2821" t="s">
        <v>90</v>
      </c>
      <c r="E2821" t="s">
        <v>106</v>
      </c>
      <c r="F2821" t="s">
        <v>38</v>
      </c>
      <c r="G2821" t="s">
        <v>23</v>
      </c>
      <c r="H2821" s="1">
        <v>45216</v>
      </c>
      <c r="I2821" s="2">
        <v>45216.2208333333</v>
      </c>
      <c r="J2821">
        <v>5.3</v>
      </c>
      <c r="K2821" t="s">
        <v>24</v>
      </c>
      <c r="L2821">
        <v>1</v>
      </c>
      <c r="M2821">
        <v>4</v>
      </c>
      <c r="N2821" t="s">
        <v>283</v>
      </c>
      <c r="O2821" s="3" t="str">
        <f>TEXT(Ticket_Table[[#This Row],[raised_date]],"YYYY-MM")</f>
        <v>2023-10</v>
      </c>
      <c r="P2821" s="3" t="str">
        <f>IF(Ticket_Table[[#This Row],[resolution_hrs]]&lt;=4,"Fast",IF(Ticket_Table[[#This Row],[resolution_hrs]]&lt;=24,"Normal",IF(Ticket_Table[[#This Row],[resolution_hrs]]&lt;=48,"Slow","Very Slow")))</f>
        <v>Normal</v>
      </c>
      <c r="Q2821" s="3">
        <f>YEAR(Ticket_Table[[#This Row],[raised_date]])</f>
        <v>2023</v>
      </c>
    </row>
    <row r="2822" spans="1:17">
      <c r="A2822" t="s">
        <v>3383</v>
      </c>
      <c r="B2822" t="s">
        <v>59</v>
      </c>
      <c r="C2822" t="s">
        <v>102</v>
      </c>
      <c r="D2822" t="s">
        <v>90</v>
      </c>
      <c r="E2822" t="s">
        <v>21</v>
      </c>
      <c r="F2822" t="s">
        <v>70</v>
      </c>
      <c r="G2822" t="s">
        <v>46</v>
      </c>
      <c r="H2822" s="1">
        <v>44603</v>
      </c>
      <c r="I2822" s="2">
        <v>44605.2708333333</v>
      </c>
      <c r="J2822">
        <v>54.5</v>
      </c>
      <c r="K2822" t="s">
        <v>32</v>
      </c>
      <c r="L2822">
        <v>0</v>
      </c>
      <c r="M2822">
        <v>5</v>
      </c>
      <c r="N2822" t="s">
        <v>331</v>
      </c>
      <c r="O2822" s="3" t="str">
        <f>TEXT(Ticket_Table[[#This Row],[raised_date]],"YYYY-MM")</f>
        <v>2022-02</v>
      </c>
      <c r="P2822" s="3" t="str">
        <f>IF(Ticket_Table[[#This Row],[resolution_hrs]]&lt;=4,"Fast",IF(Ticket_Table[[#This Row],[resolution_hrs]]&lt;=24,"Normal",IF(Ticket_Table[[#This Row],[resolution_hrs]]&lt;=48,"Slow","Very Slow")))</f>
        <v>Very Slow</v>
      </c>
      <c r="Q2822" s="3">
        <f>YEAR(Ticket_Table[[#This Row],[raised_date]])</f>
        <v>2022</v>
      </c>
    </row>
    <row r="2823" spans="1:17">
      <c r="A2823" t="s">
        <v>3384</v>
      </c>
      <c r="B2823" t="s">
        <v>160</v>
      </c>
      <c r="C2823" t="s">
        <v>19</v>
      </c>
      <c r="D2823" t="s">
        <v>36</v>
      </c>
      <c r="E2823" t="s">
        <v>30</v>
      </c>
      <c r="F2823" t="s">
        <v>22</v>
      </c>
      <c r="G2823" t="s">
        <v>23</v>
      </c>
      <c r="H2823" s="1">
        <v>44606</v>
      </c>
      <c r="I2823" s="2">
        <v>44610.3458333333</v>
      </c>
      <c r="J2823">
        <v>104.3</v>
      </c>
      <c r="K2823" t="s">
        <v>32</v>
      </c>
      <c r="L2823">
        <v>0</v>
      </c>
      <c r="M2823">
        <v>5</v>
      </c>
      <c r="N2823" t="s">
        <v>77</v>
      </c>
      <c r="O2823" s="3" t="str">
        <f>TEXT(Ticket_Table[[#This Row],[raised_date]],"YYYY-MM")</f>
        <v>2022-02</v>
      </c>
      <c r="P2823" s="3" t="str">
        <f>IF(Ticket_Table[[#This Row],[resolution_hrs]]&lt;=4,"Fast",IF(Ticket_Table[[#This Row],[resolution_hrs]]&lt;=24,"Normal",IF(Ticket_Table[[#This Row],[resolution_hrs]]&lt;=48,"Slow","Very Slow")))</f>
        <v>Very Slow</v>
      </c>
      <c r="Q2823" s="3">
        <f>YEAR(Ticket_Table[[#This Row],[raised_date]])</f>
        <v>2022</v>
      </c>
    </row>
    <row r="2824" spans="1:17">
      <c r="A2824" t="s">
        <v>3385</v>
      </c>
      <c r="B2824" t="s">
        <v>790</v>
      </c>
      <c r="C2824" t="s">
        <v>102</v>
      </c>
      <c r="D2824" t="s">
        <v>29</v>
      </c>
      <c r="E2824" t="s">
        <v>30</v>
      </c>
      <c r="F2824" t="s">
        <v>38</v>
      </c>
      <c r="G2824" t="s">
        <v>23</v>
      </c>
      <c r="H2824" s="1">
        <v>44735</v>
      </c>
      <c r="I2824" s="2">
        <v>44736.35</v>
      </c>
      <c r="J2824">
        <v>32.4</v>
      </c>
      <c r="K2824" t="s">
        <v>32</v>
      </c>
      <c r="L2824">
        <v>0</v>
      </c>
      <c r="M2824">
        <v>5</v>
      </c>
      <c r="N2824" t="s">
        <v>560</v>
      </c>
      <c r="O2824" s="3" t="str">
        <f>TEXT(Ticket_Table[[#This Row],[raised_date]],"YYYY-MM")</f>
        <v>2022-06</v>
      </c>
      <c r="P2824" s="3" t="str">
        <f>IF(Ticket_Table[[#This Row],[resolution_hrs]]&lt;=4,"Fast",IF(Ticket_Table[[#This Row],[resolution_hrs]]&lt;=24,"Normal",IF(Ticket_Table[[#This Row],[resolution_hrs]]&lt;=48,"Slow","Very Slow")))</f>
        <v>Slow</v>
      </c>
      <c r="Q2824" s="3">
        <f>YEAR(Ticket_Table[[#This Row],[raised_date]])</f>
        <v>2022</v>
      </c>
    </row>
    <row r="2825" spans="1:17">
      <c r="A2825" t="s">
        <v>3386</v>
      </c>
      <c r="B2825" t="s">
        <v>640</v>
      </c>
      <c r="C2825" t="s">
        <v>78</v>
      </c>
      <c r="D2825" t="s">
        <v>20</v>
      </c>
      <c r="E2825" t="s">
        <v>83</v>
      </c>
      <c r="F2825" t="s">
        <v>70</v>
      </c>
      <c r="G2825" t="s">
        <v>31</v>
      </c>
      <c r="H2825" s="1">
        <v>45268</v>
      </c>
      <c r="I2825" s="2">
        <v>45268.575</v>
      </c>
      <c r="J2825">
        <v>13.8</v>
      </c>
      <c r="K2825" t="s">
        <v>24</v>
      </c>
      <c r="L2825">
        <v>0</v>
      </c>
      <c r="M2825">
        <v>5</v>
      </c>
      <c r="N2825" t="s">
        <v>73</v>
      </c>
      <c r="O2825" s="3" t="str">
        <f>TEXT(Ticket_Table[[#This Row],[raised_date]],"YYYY-MM")</f>
        <v>2023-12</v>
      </c>
      <c r="P2825" s="3" t="str">
        <f>IF(Ticket_Table[[#This Row],[resolution_hrs]]&lt;=4,"Fast",IF(Ticket_Table[[#This Row],[resolution_hrs]]&lt;=24,"Normal",IF(Ticket_Table[[#This Row],[resolution_hrs]]&lt;=48,"Slow","Very Slow")))</f>
        <v>Normal</v>
      </c>
      <c r="Q2825" s="3">
        <f>YEAR(Ticket_Table[[#This Row],[raised_date]])</f>
        <v>2023</v>
      </c>
    </row>
    <row r="2826" spans="1:17">
      <c r="A2826" t="s">
        <v>3387</v>
      </c>
      <c r="B2826" t="s">
        <v>1643</v>
      </c>
      <c r="C2826" t="s">
        <v>140</v>
      </c>
      <c r="D2826" t="s">
        <v>90</v>
      </c>
      <c r="E2826" t="s">
        <v>51</v>
      </c>
      <c r="F2826" t="s">
        <v>22</v>
      </c>
      <c r="G2826" t="s">
        <v>23</v>
      </c>
      <c r="H2826" s="1">
        <v>44610</v>
      </c>
      <c r="I2826" s="2">
        <v>44612.7125</v>
      </c>
      <c r="J2826">
        <v>65.1</v>
      </c>
      <c r="K2826" t="s">
        <v>24</v>
      </c>
      <c r="L2826">
        <v>0</v>
      </c>
      <c r="M2826">
        <v>4</v>
      </c>
      <c r="N2826" t="s">
        <v>1356</v>
      </c>
      <c r="O2826" s="3" t="str">
        <f>TEXT(Ticket_Table[[#This Row],[raised_date]],"YYYY-MM")</f>
        <v>2022-02</v>
      </c>
      <c r="P2826" s="3" t="str">
        <f>IF(Ticket_Table[[#This Row],[resolution_hrs]]&lt;=4,"Fast",IF(Ticket_Table[[#This Row],[resolution_hrs]]&lt;=24,"Normal",IF(Ticket_Table[[#This Row],[resolution_hrs]]&lt;=48,"Slow","Very Slow")))</f>
        <v>Very Slow</v>
      </c>
      <c r="Q2826" s="3">
        <f>YEAR(Ticket_Table[[#This Row],[raised_date]])</f>
        <v>2022</v>
      </c>
    </row>
    <row r="2827" spans="1:17">
      <c r="A2827" t="s">
        <v>3388</v>
      </c>
      <c r="B2827" t="s">
        <v>1154</v>
      </c>
      <c r="C2827" t="s">
        <v>201</v>
      </c>
      <c r="D2827" t="s">
        <v>20</v>
      </c>
      <c r="E2827" t="s">
        <v>83</v>
      </c>
      <c r="F2827" t="s">
        <v>70</v>
      </c>
      <c r="G2827" t="s">
        <v>74</v>
      </c>
      <c r="H2827" s="1">
        <v>44930</v>
      </c>
      <c r="I2827" s="2">
        <v>44930.575</v>
      </c>
      <c r="J2827">
        <v>13.8</v>
      </c>
      <c r="K2827" t="s">
        <v>24</v>
      </c>
      <c r="L2827">
        <v>0</v>
      </c>
      <c r="M2827">
        <v>1</v>
      </c>
      <c r="N2827" t="s">
        <v>857</v>
      </c>
      <c r="O2827" s="3" t="str">
        <f>TEXT(Ticket_Table[[#This Row],[raised_date]],"YYYY-MM")</f>
        <v>2023-01</v>
      </c>
      <c r="P2827" s="3" t="str">
        <f>IF(Ticket_Table[[#This Row],[resolution_hrs]]&lt;=4,"Fast",IF(Ticket_Table[[#This Row],[resolution_hrs]]&lt;=24,"Normal",IF(Ticket_Table[[#This Row],[resolution_hrs]]&lt;=48,"Slow","Very Slow")))</f>
        <v>Normal</v>
      </c>
      <c r="Q2827" s="3">
        <f>YEAR(Ticket_Table[[#This Row],[raised_date]])</f>
        <v>2023</v>
      </c>
    </row>
    <row r="2828" spans="1:17">
      <c r="A2828" t="s">
        <v>3389</v>
      </c>
      <c r="B2828" t="s">
        <v>344</v>
      </c>
      <c r="C2828" t="s">
        <v>261</v>
      </c>
      <c r="D2828" t="s">
        <v>90</v>
      </c>
      <c r="E2828" t="s">
        <v>21</v>
      </c>
      <c r="F2828" t="s">
        <v>22</v>
      </c>
      <c r="G2828" t="s">
        <v>91</v>
      </c>
      <c r="H2828" s="1">
        <v>45036</v>
      </c>
      <c r="I2828" s="2">
        <v>45038.5166666667</v>
      </c>
      <c r="J2828">
        <v>60.4</v>
      </c>
      <c r="K2828" t="s">
        <v>24</v>
      </c>
      <c r="L2828">
        <v>0</v>
      </c>
      <c r="M2828">
        <v>3</v>
      </c>
      <c r="N2828" t="s">
        <v>588</v>
      </c>
      <c r="O2828" s="3" t="str">
        <f>TEXT(Ticket_Table[[#This Row],[raised_date]],"YYYY-MM")</f>
        <v>2023-04</v>
      </c>
      <c r="P2828" s="3" t="str">
        <f>IF(Ticket_Table[[#This Row],[resolution_hrs]]&lt;=4,"Fast",IF(Ticket_Table[[#This Row],[resolution_hrs]]&lt;=24,"Normal",IF(Ticket_Table[[#This Row],[resolution_hrs]]&lt;=48,"Slow","Very Slow")))</f>
        <v>Very Slow</v>
      </c>
      <c r="Q2828" s="3">
        <f>YEAR(Ticket_Table[[#This Row],[raised_date]])</f>
        <v>2023</v>
      </c>
    </row>
    <row r="2829" spans="1:17">
      <c r="A2829" t="s">
        <v>3390</v>
      </c>
      <c r="B2829" t="s">
        <v>63</v>
      </c>
      <c r="C2829" t="s">
        <v>78</v>
      </c>
      <c r="D2829" t="s">
        <v>36</v>
      </c>
      <c r="E2829" t="s">
        <v>56</v>
      </c>
      <c r="F2829" t="s">
        <v>38</v>
      </c>
      <c r="G2829" t="s">
        <v>74</v>
      </c>
      <c r="H2829" s="1">
        <v>44801</v>
      </c>
      <c r="I2829" s="2">
        <v>44802.2083333333</v>
      </c>
      <c r="J2829">
        <v>29</v>
      </c>
      <c r="K2829" t="s">
        <v>32</v>
      </c>
      <c r="L2829">
        <v>0</v>
      </c>
      <c r="M2829">
        <v>2</v>
      </c>
      <c r="N2829" t="s">
        <v>198</v>
      </c>
      <c r="O2829" s="3" t="str">
        <f>TEXT(Ticket_Table[[#This Row],[raised_date]],"YYYY-MM")</f>
        <v>2022-08</v>
      </c>
      <c r="P2829" s="3" t="str">
        <f>IF(Ticket_Table[[#This Row],[resolution_hrs]]&lt;=4,"Fast",IF(Ticket_Table[[#This Row],[resolution_hrs]]&lt;=24,"Normal",IF(Ticket_Table[[#This Row],[resolution_hrs]]&lt;=48,"Slow","Very Slow")))</f>
        <v>Slow</v>
      </c>
      <c r="Q2829" s="3">
        <f>YEAR(Ticket_Table[[#This Row],[raised_date]])</f>
        <v>2022</v>
      </c>
    </row>
    <row r="2830" spans="1:17">
      <c r="A2830" t="s">
        <v>3391</v>
      </c>
      <c r="B2830" t="s">
        <v>47</v>
      </c>
      <c r="C2830" t="s">
        <v>42</v>
      </c>
      <c r="D2830" t="s">
        <v>36</v>
      </c>
      <c r="E2830" t="s">
        <v>51</v>
      </c>
      <c r="F2830" t="s">
        <v>70</v>
      </c>
      <c r="G2830" t="s">
        <v>31</v>
      </c>
      <c r="H2830" s="1">
        <v>44525</v>
      </c>
      <c r="I2830" s="2">
        <v>44525.4041666667</v>
      </c>
      <c r="J2830">
        <v>9.7</v>
      </c>
      <c r="K2830" t="s">
        <v>24</v>
      </c>
      <c r="L2830">
        <v>0</v>
      </c>
      <c r="M2830">
        <v>3</v>
      </c>
      <c r="N2830" t="s">
        <v>89</v>
      </c>
      <c r="O2830" s="3" t="str">
        <f>TEXT(Ticket_Table[[#This Row],[raised_date]],"YYYY-MM")</f>
        <v>2021-11</v>
      </c>
      <c r="P2830" s="3" t="str">
        <f>IF(Ticket_Table[[#This Row],[resolution_hrs]]&lt;=4,"Fast",IF(Ticket_Table[[#This Row],[resolution_hrs]]&lt;=24,"Normal",IF(Ticket_Table[[#This Row],[resolution_hrs]]&lt;=48,"Slow","Very Slow")))</f>
        <v>Normal</v>
      </c>
      <c r="Q2830" s="3">
        <f>YEAR(Ticket_Table[[#This Row],[raised_date]])</f>
        <v>2021</v>
      </c>
    </row>
    <row r="2831" spans="1:17">
      <c r="A2831" t="s">
        <v>3392</v>
      </c>
      <c r="B2831" t="s">
        <v>764</v>
      </c>
      <c r="C2831" t="s">
        <v>82</v>
      </c>
      <c r="D2831" t="s">
        <v>90</v>
      </c>
      <c r="E2831" t="s">
        <v>83</v>
      </c>
      <c r="F2831" t="s">
        <v>45</v>
      </c>
      <c r="G2831" t="s">
        <v>23</v>
      </c>
      <c r="H2831" s="1">
        <v>44277</v>
      </c>
      <c r="I2831" s="2">
        <v>44277.0666666667</v>
      </c>
      <c r="J2831">
        <v>1.6</v>
      </c>
      <c r="K2831" t="s">
        <v>24</v>
      </c>
      <c r="L2831">
        <v>0</v>
      </c>
      <c r="M2831">
        <v>3</v>
      </c>
      <c r="N2831" t="s">
        <v>71</v>
      </c>
      <c r="O2831" s="3" t="str">
        <f>TEXT(Ticket_Table[[#This Row],[raised_date]],"YYYY-MM")</f>
        <v>2021-03</v>
      </c>
      <c r="P2831" s="3" t="str">
        <f>IF(Ticket_Table[[#This Row],[resolution_hrs]]&lt;=4,"Fast",IF(Ticket_Table[[#This Row],[resolution_hrs]]&lt;=24,"Normal",IF(Ticket_Table[[#This Row],[resolution_hrs]]&lt;=48,"Slow","Very Slow")))</f>
        <v>Fast</v>
      </c>
      <c r="Q2831" s="3">
        <f>YEAR(Ticket_Table[[#This Row],[raised_date]])</f>
        <v>2021</v>
      </c>
    </row>
    <row r="2832" spans="1:17">
      <c r="A2832" t="s">
        <v>3393</v>
      </c>
      <c r="B2832" t="s">
        <v>523</v>
      </c>
      <c r="C2832" t="s">
        <v>60</v>
      </c>
      <c r="D2832" t="s">
        <v>36</v>
      </c>
      <c r="E2832" t="s">
        <v>83</v>
      </c>
      <c r="F2832" t="s">
        <v>22</v>
      </c>
      <c r="G2832" t="s">
        <v>46</v>
      </c>
      <c r="H2832" s="1">
        <v>45213</v>
      </c>
      <c r="I2832" s="2">
        <v>45213.9625</v>
      </c>
      <c r="J2832">
        <v>23.1</v>
      </c>
      <c r="K2832" t="s">
        <v>24</v>
      </c>
      <c r="L2832">
        <v>1</v>
      </c>
      <c r="M2832">
        <v>2</v>
      </c>
      <c r="N2832" t="s">
        <v>1502</v>
      </c>
      <c r="O2832" s="3" t="str">
        <f>TEXT(Ticket_Table[[#This Row],[raised_date]],"YYYY-MM")</f>
        <v>2023-10</v>
      </c>
      <c r="P2832" s="3" t="str">
        <f>IF(Ticket_Table[[#This Row],[resolution_hrs]]&lt;=4,"Fast",IF(Ticket_Table[[#This Row],[resolution_hrs]]&lt;=24,"Normal",IF(Ticket_Table[[#This Row],[resolution_hrs]]&lt;=48,"Slow","Very Slow")))</f>
        <v>Normal</v>
      </c>
      <c r="Q2832" s="3">
        <f>YEAR(Ticket_Table[[#This Row],[raised_date]])</f>
        <v>2023</v>
      </c>
    </row>
    <row r="2833" spans="1:17">
      <c r="A2833" t="s">
        <v>3394</v>
      </c>
      <c r="B2833" t="s">
        <v>307</v>
      </c>
      <c r="C2833" t="s">
        <v>287</v>
      </c>
      <c r="D2833" t="s">
        <v>36</v>
      </c>
      <c r="E2833" t="s">
        <v>44</v>
      </c>
      <c r="F2833" t="s">
        <v>70</v>
      </c>
      <c r="G2833" t="s">
        <v>31</v>
      </c>
      <c r="H2833" s="1">
        <v>44622</v>
      </c>
      <c r="I2833" s="2">
        <v>44622.5166666667</v>
      </c>
      <c r="J2833">
        <v>12.4</v>
      </c>
      <c r="K2833" t="s">
        <v>24</v>
      </c>
      <c r="L2833">
        <v>0</v>
      </c>
      <c r="M2833">
        <v>3</v>
      </c>
      <c r="N2833" t="s">
        <v>75</v>
      </c>
      <c r="O2833" s="3" t="str">
        <f>TEXT(Ticket_Table[[#This Row],[raised_date]],"YYYY-MM")</f>
        <v>2022-03</v>
      </c>
      <c r="P2833" s="3" t="str">
        <f>IF(Ticket_Table[[#This Row],[resolution_hrs]]&lt;=4,"Fast",IF(Ticket_Table[[#This Row],[resolution_hrs]]&lt;=24,"Normal",IF(Ticket_Table[[#This Row],[resolution_hrs]]&lt;=48,"Slow","Very Slow")))</f>
        <v>Normal</v>
      </c>
      <c r="Q2833" s="3">
        <f>YEAR(Ticket_Table[[#This Row],[raised_date]])</f>
        <v>2022</v>
      </c>
    </row>
    <row r="2834" spans="1:17">
      <c r="A2834" t="s">
        <v>3395</v>
      </c>
      <c r="B2834" t="s">
        <v>141</v>
      </c>
      <c r="C2834" t="s">
        <v>60</v>
      </c>
      <c r="D2834" t="s">
        <v>90</v>
      </c>
      <c r="E2834" t="s">
        <v>30</v>
      </c>
      <c r="F2834" t="s">
        <v>70</v>
      </c>
      <c r="G2834" t="s">
        <v>46</v>
      </c>
      <c r="H2834" s="1">
        <v>45181</v>
      </c>
      <c r="I2834" s="2">
        <v>45182.7041666667</v>
      </c>
      <c r="J2834">
        <v>40.9</v>
      </c>
      <c r="K2834" t="s">
        <v>24</v>
      </c>
      <c r="L2834">
        <v>0</v>
      </c>
      <c r="M2834">
        <v>5</v>
      </c>
      <c r="N2834" t="s">
        <v>903</v>
      </c>
      <c r="O2834" s="3" t="str">
        <f>TEXT(Ticket_Table[[#This Row],[raised_date]],"YYYY-MM")</f>
        <v>2023-09</v>
      </c>
      <c r="P2834" s="3" t="str">
        <f>IF(Ticket_Table[[#This Row],[resolution_hrs]]&lt;=4,"Fast",IF(Ticket_Table[[#This Row],[resolution_hrs]]&lt;=24,"Normal",IF(Ticket_Table[[#This Row],[resolution_hrs]]&lt;=48,"Slow","Very Slow")))</f>
        <v>Slow</v>
      </c>
      <c r="Q2834" s="3">
        <f>YEAR(Ticket_Table[[#This Row],[raised_date]])</f>
        <v>2023</v>
      </c>
    </row>
    <row r="2835" spans="1:17">
      <c r="A2835" t="s">
        <v>3396</v>
      </c>
      <c r="B2835" t="s">
        <v>218</v>
      </c>
      <c r="C2835" t="s">
        <v>78</v>
      </c>
      <c r="D2835" t="s">
        <v>29</v>
      </c>
      <c r="E2835" t="s">
        <v>69</v>
      </c>
      <c r="F2835" t="s">
        <v>70</v>
      </c>
      <c r="G2835" t="s">
        <v>31</v>
      </c>
      <c r="H2835" s="1">
        <v>44874</v>
      </c>
      <c r="I2835" s="2">
        <v>44876.5625</v>
      </c>
      <c r="J2835">
        <v>61.5</v>
      </c>
      <c r="K2835" t="s">
        <v>32</v>
      </c>
      <c r="L2835">
        <v>0</v>
      </c>
      <c r="M2835">
        <v>3</v>
      </c>
      <c r="N2835" t="s">
        <v>116</v>
      </c>
      <c r="O2835" s="3" t="str">
        <f>TEXT(Ticket_Table[[#This Row],[raised_date]],"YYYY-MM")</f>
        <v>2022-11</v>
      </c>
      <c r="P2835" s="3" t="str">
        <f>IF(Ticket_Table[[#This Row],[resolution_hrs]]&lt;=4,"Fast",IF(Ticket_Table[[#This Row],[resolution_hrs]]&lt;=24,"Normal",IF(Ticket_Table[[#This Row],[resolution_hrs]]&lt;=48,"Slow","Very Slow")))</f>
        <v>Very Slow</v>
      </c>
      <c r="Q2835" s="3">
        <f>YEAR(Ticket_Table[[#This Row],[raised_date]])</f>
        <v>2022</v>
      </c>
    </row>
    <row r="2836" spans="1:17">
      <c r="A2836" t="s">
        <v>3397</v>
      </c>
      <c r="B2836" t="s">
        <v>685</v>
      </c>
      <c r="C2836" t="s">
        <v>19</v>
      </c>
      <c r="D2836" t="s">
        <v>90</v>
      </c>
      <c r="E2836" t="s">
        <v>83</v>
      </c>
      <c r="F2836" t="s">
        <v>70</v>
      </c>
      <c r="G2836" t="s">
        <v>23</v>
      </c>
      <c r="H2836" s="1">
        <v>44677</v>
      </c>
      <c r="I2836" s="2">
        <v>44677.1458333333</v>
      </c>
      <c r="J2836">
        <v>3.5</v>
      </c>
      <c r="K2836" t="s">
        <v>24</v>
      </c>
      <c r="L2836">
        <v>0</v>
      </c>
      <c r="M2836">
        <v>3</v>
      </c>
      <c r="N2836" t="s">
        <v>599</v>
      </c>
      <c r="O2836" s="3" t="str">
        <f>TEXT(Ticket_Table[[#This Row],[raised_date]],"YYYY-MM")</f>
        <v>2022-04</v>
      </c>
      <c r="P2836" s="3" t="str">
        <f>IF(Ticket_Table[[#This Row],[resolution_hrs]]&lt;=4,"Fast",IF(Ticket_Table[[#This Row],[resolution_hrs]]&lt;=24,"Normal",IF(Ticket_Table[[#This Row],[resolution_hrs]]&lt;=48,"Slow","Very Slow")))</f>
        <v>Fast</v>
      </c>
      <c r="Q2836" s="3">
        <f>YEAR(Ticket_Table[[#This Row],[raised_date]])</f>
        <v>2022</v>
      </c>
    </row>
    <row r="2837" spans="1:17">
      <c r="A2837" t="s">
        <v>3398</v>
      </c>
      <c r="B2837" t="s">
        <v>1013</v>
      </c>
      <c r="C2837" t="s">
        <v>78</v>
      </c>
      <c r="D2837" t="s">
        <v>29</v>
      </c>
      <c r="E2837" t="s">
        <v>166</v>
      </c>
      <c r="F2837" t="s">
        <v>38</v>
      </c>
      <c r="G2837" t="s">
        <v>23</v>
      </c>
      <c r="H2837" s="1">
        <v>44202</v>
      </c>
      <c r="I2837" s="2">
        <v>44203.4708333333</v>
      </c>
      <c r="J2837">
        <v>35.3</v>
      </c>
      <c r="K2837" t="s">
        <v>32</v>
      </c>
      <c r="L2837">
        <v>0</v>
      </c>
      <c r="M2837">
        <v>4</v>
      </c>
      <c r="N2837" t="s">
        <v>592</v>
      </c>
      <c r="O2837" s="3" t="str">
        <f>TEXT(Ticket_Table[[#This Row],[raised_date]],"YYYY-MM")</f>
        <v>2021-01</v>
      </c>
      <c r="P2837" s="3" t="str">
        <f>IF(Ticket_Table[[#This Row],[resolution_hrs]]&lt;=4,"Fast",IF(Ticket_Table[[#This Row],[resolution_hrs]]&lt;=24,"Normal",IF(Ticket_Table[[#This Row],[resolution_hrs]]&lt;=48,"Slow","Very Slow")))</f>
        <v>Slow</v>
      </c>
      <c r="Q2837" s="3">
        <f>YEAR(Ticket_Table[[#This Row],[raised_date]])</f>
        <v>2021</v>
      </c>
    </row>
    <row r="2838" spans="1:17">
      <c r="A2838" t="s">
        <v>3399</v>
      </c>
      <c r="B2838" t="s">
        <v>968</v>
      </c>
      <c r="C2838" t="s">
        <v>82</v>
      </c>
      <c r="D2838" t="s">
        <v>36</v>
      </c>
      <c r="E2838" t="s">
        <v>44</v>
      </c>
      <c r="F2838" t="s">
        <v>38</v>
      </c>
      <c r="G2838" t="s">
        <v>23</v>
      </c>
      <c r="H2838" s="1">
        <v>44223</v>
      </c>
      <c r="I2838" s="2">
        <v>44223.7791666667</v>
      </c>
      <c r="J2838">
        <v>18.7</v>
      </c>
      <c r="K2838" t="s">
        <v>24</v>
      </c>
      <c r="L2838">
        <v>0</v>
      </c>
      <c r="M2838">
        <v>5</v>
      </c>
      <c r="N2838" t="s">
        <v>515</v>
      </c>
      <c r="O2838" s="3" t="str">
        <f>TEXT(Ticket_Table[[#This Row],[raised_date]],"YYYY-MM")</f>
        <v>2021-01</v>
      </c>
      <c r="P2838" s="3" t="str">
        <f>IF(Ticket_Table[[#This Row],[resolution_hrs]]&lt;=4,"Fast",IF(Ticket_Table[[#This Row],[resolution_hrs]]&lt;=24,"Normal",IF(Ticket_Table[[#This Row],[resolution_hrs]]&lt;=48,"Slow","Very Slow")))</f>
        <v>Normal</v>
      </c>
      <c r="Q2838" s="3">
        <f>YEAR(Ticket_Table[[#This Row],[raised_date]])</f>
        <v>2021</v>
      </c>
    </row>
    <row r="2839" spans="1:17">
      <c r="A2839" t="s">
        <v>3400</v>
      </c>
      <c r="B2839" t="s">
        <v>73</v>
      </c>
      <c r="C2839" t="s">
        <v>201</v>
      </c>
      <c r="D2839" t="s">
        <v>29</v>
      </c>
      <c r="E2839" t="s">
        <v>56</v>
      </c>
      <c r="F2839" t="s">
        <v>45</v>
      </c>
      <c r="G2839" t="s">
        <v>74</v>
      </c>
      <c r="H2839" s="1">
        <v>44379</v>
      </c>
      <c r="I2839" s="2">
        <v>44379.1166666667</v>
      </c>
      <c r="J2839">
        <v>2.8</v>
      </c>
      <c r="K2839" t="s">
        <v>24</v>
      </c>
      <c r="L2839">
        <v>0</v>
      </c>
      <c r="M2839">
        <v>3</v>
      </c>
      <c r="N2839" t="s">
        <v>209</v>
      </c>
      <c r="O2839" s="3" t="str">
        <f>TEXT(Ticket_Table[[#This Row],[raised_date]],"YYYY-MM")</f>
        <v>2021-07</v>
      </c>
      <c r="P2839" s="3" t="str">
        <f>IF(Ticket_Table[[#This Row],[resolution_hrs]]&lt;=4,"Fast",IF(Ticket_Table[[#This Row],[resolution_hrs]]&lt;=24,"Normal",IF(Ticket_Table[[#This Row],[resolution_hrs]]&lt;=48,"Slow","Very Slow")))</f>
        <v>Fast</v>
      </c>
      <c r="Q2839" s="3">
        <f>YEAR(Ticket_Table[[#This Row],[raised_date]])</f>
        <v>2021</v>
      </c>
    </row>
    <row r="2840" spans="1:17">
      <c r="A2840" t="s">
        <v>3401</v>
      </c>
      <c r="B2840" t="s">
        <v>218</v>
      </c>
      <c r="C2840" t="s">
        <v>213</v>
      </c>
      <c r="D2840" t="s">
        <v>36</v>
      </c>
      <c r="E2840" t="s">
        <v>37</v>
      </c>
      <c r="F2840" t="s">
        <v>38</v>
      </c>
      <c r="G2840" t="s">
        <v>23</v>
      </c>
      <c r="H2840" s="1">
        <v>44423</v>
      </c>
      <c r="I2840" s="2">
        <v>44423.8375</v>
      </c>
      <c r="J2840">
        <v>20.1</v>
      </c>
      <c r="K2840" t="s">
        <v>24</v>
      </c>
      <c r="L2840">
        <v>1</v>
      </c>
      <c r="M2840">
        <v>3</v>
      </c>
      <c r="N2840" t="s">
        <v>597</v>
      </c>
      <c r="O2840" s="3" t="str">
        <f>TEXT(Ticket_Table[[#This Row],[raised_date]],"YYYY-MM")</f>
        <v>2021-08</v>
      </c>
      <c r="P2840" s="3" t="str">
        <f>IF(Ticket_Table[[#This Row],[resolution_hrs]]&lt;=4,"Fast",IF(Ticket_Table[[#This Row],[resolution_hrs]]&lt;=24,"Normal",IF(Ticket_Table[[#This Row],[resolution_hrs]]&lt;=48,"Slow","Very Slow")))</f>
        <v>Normal</v>
      </c>
      <c r="Q2840" s="3">
        <f>YEAR(Ticket_Table[[#This Row],[raised_date]])</f>
        <v>2021</v>
      </c>
    </row>
    <row r="2841" spans="1:17">
      <c r="A2841" t="s">
        <v>3402</v>
      </c>
      <c r="B2841" t="s">
        <v>1297</v>
      </c>
      <c r="C2841" t="s">
        <v>213</v>
      </c>
      <c r="D2841" t="s">
        <v>29</v>
      </c>
      <c r="E2841" t="s">
        <v>30</v>
      </c>
      <c r="F2841" t="s">
        <v>38</v>
      </c>
      <c r="G2841" t="s">
        <v>31</v>
      </c>
      <c r="H2841" s="1">
        <v>45208</v>
      </c>
      <c r="I2841" s="2">
        <v>45208.6583333333</v>
      </c>
      <c r="J2841">
        <v>15.8</v>
      </c>
      <c r="K2841" t="s">
        <v>24</v>
      </c>
      <c r="L2841">
        <v>2</v>
      </c>
      <c r="M2841">
        <v>3</v>
      </c>
      <c r="N2841" t="s">
        <v>273</v>
      </c>
      <c r="O2841" s="3" t="str">
        <f>TEXT(Ticket_Table[[#This Row],[raised_date]],"YYYY-MM")</f>
        <v>2023-10</v>
      </c>
      <c r="P2841" s="3" t="str">
        <f>IF(Ticket_Table[[#This Row],[resolution_hrs]]&lt;=4,"Fast",IF(Ticket_Table[[#This Row],[resolution_hrs]]&lt;=24,"Normal",IF(Ticket_Table[[#This Row],[resolution_hrs]]&lt;=48,"Slow","Very Slow")))</f>
        <v>Normal</v>
      </c>
      <c r="Q2841" s="3">
        <f>YEAR(Ticket_Table[[#This Row],[raised_date]])</f>
        <v>2023</v>
      </c>
    </row>
    <row r="2842" spans="1:17">
      <c r="A2842" t="s">
        <v>3403</v>
      </c>
      <c r="B2842" t="s">
        <v>284</v>
      </c>
      <c r="C2842" t="s">
        <v>60</v>
      </c>
      <c r="D2842" t="s">
        <v>29</v>
      </c>
      <c r="E2842" t="s">
        <v>21</v>
      </c>
      <c r="F2842" t="s">
        <v>70</v>
      </c>
      <c r="G2842" t="s">
        <v>31</v>
      </c>
      <c r="H2842" s="1">
        <v>44502</v>
      </c>
      <c r="I2842" s="2">
        <v>44504.8375</v>
      </c>
      <c r="J2842">
        <v>68.1</v>
      </c>
      <c r="K2842" t="s">
        <v>32</v>
      </c>
      <c r="L2842">
        <v>0</v>
      </c>
      <c r="M2842">
        <v>3</v>
      </c>
      <c r="N2842" t="s">
        <v>919</v>
      </c>
      <c r="O2842" s="3" t="str">
        <f>TEXT(Ticket_Table[[#This Row],[raised_date]],"YYYY-MM")</f>
        <v>2021-11</v>
      </c>
      <c r="P2842" s="3" t="str">
        <f>IF(Ticket_Table[[#This Row],[resolution_hrs]]&lt;=4,"Fast",IF(Ticket_Table[[#This Row],[resolution_hrs]]&lt;=24,"Normal",IF(Ticket_Table[[#This Row],[resolution_hrs]]&lt;=48,"Slow","Very Slow")))</f>
        <v>Very Slow</v>
      </c>
      <c r="Q2842" s="3">
        <f>YEAR(Ticket_Table[[#This Row],[raised_date]])</f>
        <v>2021</v>
      </c>
    </row>
    <row r="2843" spans="1:17">
      <c r="A2843" t="s">
        <v>3404</v>
      </c>
      <c r="B2843" t="s">
        <v>397</v>
      </c>
      <c r="C2843" t="s">
        <v>133</v>
      </c>
      <c r="D2843" t="s">
        <v>90</v>
      </c>
      <c r="E2843" t="s">
        <v>106</v>
      </c>
      <c r="F2843" t="s">
        <v>38</v>
      </c>
      <c r="G2843" t="s">
        <v>23</v>
      </c>
      <c r="H2843" s="1">
        <v>44381</v>
      </c>
      <c r="I2843" s="2">
        <v>44381.0416666667</v>
      </c>
      <c r="J2843">
        <v>1</v>
      </c>
      <c r="K2843" t="s">
        <v>24</v>
      </c>
      <c r="L2843">
        <v>1</v>
      </c>
      <c r="M2843">
        <v>2</v>
      </c>
      <c r="N2843" t="s">
        <v>854</v>
      </c>
      <c r="O2843" s="3" t="str">
        <f>TEXT(Ticket_Table[[#This Row],[raised_date]],"YYYY-MM")</f>
        <v>2021-07</v>
      </c>
      <c r="P2843" s="3" t="str">
        <f>IF(Ticket_Table[[#This Row],[resolution_hrs]]&lt;=4,"Fast",IF(Ticket_Table[[#This Row],[resolution_hrs]]&lt;=24,"Normal",IF(Ticket_Table[[#This Row],[resolution_hrs]]&lt;=48,"Slow","Very Slow")))</f>
        <v>Fast</v>
      </c>
      <c r="Q2843" s="3">
        <f>YEAR(Ticket_Table[[#This Row],[raised_date]])</f>
        <v>2021</v>
      </c>
    </row>
    <row r="2844" spans="1:17">
      <c r="A2844" t="s">
        <v>3405</v>
      </c>
      <c r="B2844" t="s">
        <v>698</v>
      </c>
      <c r="C2844" t="s">
        <v>64</v>
      </c>
      <c r="D2844" t="s">
        <v>29</v>
      </c>
      <c r="E2844" t="s">
        <v>21</v>
      </c>
      <c r="F2844" t="s">
        <v>70</v>
      </c>
      <c r="G2844" t="s">
        <v>31</v>
      </c>
      <c r="H2844" s="1">
        <v>45244</v>
      </c>
      <c r="I2844" s="2">
        <v>45244.9291666667</v>
      </c>
      <c r="J2844">
        <v>22.3</v>
      </c>
      <c r="K2844" t="s">
        <v>24</v>
      </c>
      <c r="L2844">
        <v>0</v>
      </c>
      <c r="M2844">
        <v>4</v>
      </c>
      <c r="N2844" t="s">
        <v>485</v>
      </c>
      <c r="O2844" s="3" t="str">
        <f>TEXT(Ticket_Table[[#This Row],[raised_date]],"YYYY-MM")</f>
        <v>2023-11</v>
      </c>
      <c r="P2844" s="3" t="str">
        <f>IF(Ticket_Table[[#This Row],[resolution_hrs]]&lt;=4,"Fast",IF(Ticket_Table[[#This Row],[resolution_hrs]]&lt;=24,"Normal",IF(Ticket_Table[[#This Row],[resolution_hrs]]&lt;=48,"Slow","Very Slow")))</f>
        <v>Normal</v>
      </c>
      <c r="Q2844" s="3">
        <f>YEAR(Ticket_Table[[#This Row],[raised_date]])</f>
        <v>2023</v>
      </c>
    </row>
    <row r="2845" spans="1:17">
      <c r="A2845" t="s">
        <v>3406</v>
      </c>
      <c r="B2845" t="s">
        <v>903</v>
      </c>
      <c r="C2845" t="s">
        <v>201</v>
      </c>
      <c r="D2845" t="s">
        <v>36</v>
      </c>
      <c r="E2845" t="s">
        <v>44</v>
      </c>
      <c r="F2845" t="s">
        <v>70</v>
      </c>
      <c r="G2845" t="s">
        <v>31</v>
      </c>
      <c r="H2845" s="1">
        <v>44350</v>
      </c>
      <c r="I2845" s="2">
        <v>44352.8416666667</v>
      </c>
      <c r="J2845">
        <v>68.2</v>
      </c>
      <c r="K2845" t="s">
        <v>32</v>
      </c>
      <c r="L2845">
        <v>0</v>
      </c>
      <c r="M2845">
        <v>5</v>
      </c>
      <c r="N2845" t="s">
        <v>406</v>
      </c>
      <c r="O2845" s="3" t="str">
        <f>TEXT(Ticket_Table[[#This Row],[raised_date]],"YYYY-MM")</f>
        <v>2021-06</v>
      </c>
      <c r="P2845" s="3" t="str">
        <f>IF(Ticket_Table[[#This Row],[resolution_hrs]]&lt;=4,"Fast",IF(Ticket_Table[[#This Row],[resolution_hrs]]&lt;=24,"Normal",IF(Ticket_Table[[#This Row],[resolution_hrs]]&lt;=48,"Slow","Very Slow")))</f>
        <v>Very Slow</v>
      </c>
      <c r="Q2845" s="3">
        <f>YEAR(Ticket_Table[[#This Row],[raised_date]])</f>
        <v>2021</v>
      </c>
    </row>
    <row r="2846" spans="1:17">
      <c r="A2846" t="s">
        <v>3407</v>
      </c>
      <c r="B2846" t="s">
        <v>65</v>
      </c>
      <c r="C2846" t="s">
        <v>82</v>
      </c>
      <c r="D2846" t="s">
        <v>90</v>
      </c>
      <c r="E2846" t="s">
        <v>166</v>
      </c>
      <c r="F2846" t="s">
        <v>70</v>
      </c>
      <c r="G2846" t="s">
        <v>46</v>
      </c>
      <c r="H2846" s="1">
        <v>44404</v>
      </c>
      <c r="I2846" s="2">
        <v>44405.5791666667</v>
      </c>
      <c r="J2846">
        <v>37.9</v>
      </c>
      <c r="K2846" t="s">
        <v>24</v>
      </c>
      <c r="L2846">
        <v>0</v>
      </c>
      <c r="M2846">
        <v>4</v>
      </c>
      <c r="N2846" t="s">
        <v>218</v>
      </c>
      <c r="O2846" s="3" t="str">
        <f>TEXT(Ticket_Table[[#This Row],[raised_date]],"YYYY-MM")</f>
        <v>2021-07</v>
      </c>
      <c r="P2846" s="3" t="str">
        <f>IF(Ticket_Table[[#This Row],[resolution_hrs]]&lt;=4,"Fast",IF(Ticket_Table[[#This Row],[resolution_hrs]]&lt;=24,"Normal",IF(Ticket_Table[[#This Row],[resolution_hrs]]&lt;=48,"Slow","Very Slow")))</f>
        <v>Slow</v>
      </c>
      <c r="Q2846" s="3">
        <f>YEAR(Ticket_Table[[#This Row],[raised_date]])</f>
        <v>2021</v>
      </c>
    </row>
    <row r="2847" spans="1:17">
      <c r="A2847" t="s">
        <v>3408</v>
      </c>
      <c r="B2847" t="s">
        <v>308</v>
      </c>
      <c r="C2847" t="s">
        <v>64</v>
      </c>
      <c r="D2847" t="s">
        <v>29</v>
      </c>
      <c r="E2847" t="s">
        <v>21</v>
      </c>
      <c r="F2847" t="s">
        <v>70</v>
      </c>
      <c r="G2847" t="s">
        <v>23</v>
      </c>
      <c r="H2847" s="1">
        <v>44721</v>
      </c>
      <c r="I2847" s="2">
        <v>44723.3583333333</v>
      </c>
      <c r="J2847">
        <v>56.6</v>
      </c>
      <c r="K2847" t="s">
        <v>32</v>
      </c>
      <c r="L2847">
        <v>0</v>
      </c>
      <c r="M2847">
        <v>4</v>
      </c>
      <c r="N2847" t="s">
        <v>564</v>
      </c>
      <c r="O2847" s="3" t="str">
        <f>TEXT(Ticket_Table[[#This Row],[raised_date]],"YYYY-MM")</f>
        <v>2022-06</v>
      </c>
      <c r="P2847" s="3" t="str">
        <f>IF(Ticket_Table[[#This Row],[resolution_hrs]]&lt;=4,"Fast",IF(Ticket_Table[[#This Row],[resolution_hrs]]&lt;=24,"Normal",IF(Ticket_Table[[#This Row],[resolution_hrs]]&lt;=48,"Slow","Very Slow")))</f>
        <v>Very Slow</v>
      </c>
      <c r="Q2847" s="3">
        <f>YEAR(Ticket_Table[[#This Row],[raised_date]])</f>
        <v>2022</v>
      </c>
    </row>
    <row r="2848" spans="1:17">
      <c r="A2848" t="s">
        <v>3409</v>
      </c>
      <c r="B2848" t="s">
        <v>41</v>
      </c>
      <c r="C2848" t="s">
        <v>102</v>
      </c>
      <c r="D2848" t="s">
        <v>90</v>
      </c>
      <c r="E2848" t="s">
        <v>166</v>
      </c>
      <c r="F2848" t="s">
        <v>22</v>
      </c>
      <c r="G2848" t="s">
        <v>46</v>
      </c>
      <c r="H2848" s="1">
        <v>44670</v>
      </c>
      <c r="I2848" s="2">
        <v>44672.9791666667</v>
      </c>
      <c r="J2848">
        <v>71.5</v>
      </c>
      <c r="K2848" t="s">
        <v>24</v>
      </c>
      <c r="L2848">
        <v>0</v>
      </c>
      <c r="M2848">
        <v>3</v>
      </c>
      <c r="N2848" t="s">
        <v>931</v>
      </c>
      <c r="O2848" s="3" t="str">
        <f>TEXT(Ticket_Table[[#This Row],[raised_date]],"YYYY-MM")</f>
        <v>2022-04</v>
      </c>
      <c r="P2848" s="3" t="str">
        <f>IF(Ticket_Table[[#This Row],[resolution_hrs]]&lt;=4,"Fast",IF(Ticket_Table[[#This Row],[resolution_hrs]]&lt;=24,"Normal",IF(Ticket_Table[[#This Row],[resolution_hrs]]&lt;=48,"Slow","Very Slow")))</f>
        <v>Very Slow</v>
      </c>
      <c r="Q2848" s="3">
        <f>YEAR(Ticket_Table[[#This Row],[raised_date]])</f>
        <v>2022</v>
      </c>
    </row>
    <row r="2849" spans="1:17">
      <c r="A2849" t="s">
        <v>3410</v>
      </c>
      <c r="B2849" t="s">
        <v>286</v>
      </c>
      <c r="C2849" t="s">
        <v>64</v>
      </c>
      <c r="D2849" t="s">
        <v>20</v>
      </c>
      <c r="E2849" t="s">
        <v>106</v>
      </c>
      <c r="F2849" t="s">
        <v>45</v>
      </c>
      <c r="G2849" t="s">
        <v>31</v>
      </c>
      <c r="H2849" s="1">
        <v>45132</v>
      </c>
      <c r="I2849" s="2">
        <v>45132.1333333333</v>
      </c>
      <c r="J2849">
        <v>3.2</v>
      </c>
      <c r="K2849" t="s">
        <v>24</v>
      </c>
      <c r="L2849">
        <v>1</v>
      </c>
      <c r="M2849">
        <v>4</v>
      </c>
      <c r="N2849" t="s">
        <v>126</v>
      </c>
      <c r="O2849" s="3" t="str">
        <f>TEXT(Ticket_Table[[#This Row],[raised_date]],"YYYY-MM")</f>
        <v>2023-07</v>
      </c>
      <c r="P2849" s="3" t="str">
        <f>IF(Ticket_Table[[#This Row],[resolution_hrs]]&lt;=4,"Fast",IF(Ticket_Table[[#This Row],[resolution_hrs]]&lt;=24,"Normal",IF(Ticket_Table[[#This Row],[resolution_hrs]]&lt;=48,"Slow","Very Slow")))</f>
        <v>Fast</v>
      </c>
      <c r="Q2849" s="3">
        <f>YEAR(Ticket_Table[[#This Row],[raised_date]])</f>
        <v>2023</v>
      </c>
    </row>
    <row r="2850" spans="1:17">
      <c r="A2850" t="s">
        <v>3411</v>
      </c>
      <c r="B2850" t="s">
        <v>792</v>
      </c>
      <c r="C2850" t="s">
        <v>213</v>
      </c>
      <c r="D2850" t="s">
        <v>90</v>
      </c>
      <c r="E2850" t="s">
        <v>37</v>
      </c>
      <c r="F2850" t="s">
        <v>70</v>
      </c>
      <c r="G2850" t="s">
        <v>31</v>
      </c>
      <c r="H2850" s="1">
        <v>44803</v>
      </c>
      <c r="I2850" s="2">
        <v>44804.75</v>
      </c>
      <c r="J2850">
        <v>42</v>
      </c>
      <c r="K2850" t="s">
        <v>24</v>
      </c>
      <c r="L2850">
        <v>0</v>
      </c>
      <c r="M2850">
        <v>4</v>
      </c>
      <c r="N2850" t="s">
        <v>579</v>
      </c>
      <c r="O2850" s="3" t="str">
        <f>TEXT(Ticket_Table[[#This Row],[raised_date]],"YYYY-MM")</f>
        <v>2022-08</v>
      </c>
      <c r="P2850" s="3" t="str">
        <f>IF(Ticket_Table[[#This Row],[resolution_hrs]]&lt;=4,"Fast",IF(Ticket_Table[[#This Row],[resolution_hrs]]&lt;=24,"Normal",IF(Ticket_Table[[#This Row],[resolution_hrs]]&lt;=48,"Slow","Very Slow")))</f>
        <v>Slow</v>
      </c>
      <c r="Q2850" s="3">
        <f>YEAR(Ticket_Table[[#This Row],[raised_date]])</f>
        <v>2022</v>
      </c>
    </row>
    <row r="2851" spans="1:17">
      <c r="A2851" t="s">
        <v>3412</v>
      </c>
      <c r="B2851" t="s">
        <v>790</v>
      </c>
      <c r="C2851" t="s">
        <v>133</v>
      </c>
      <c r="D2851" t="s">
        <v>20</v>
      </c>
      <c r="E2851" t="s">
        <v>30</v>
      </c>
      <c r="F2851" t="s">
        <v>22</v>
      </c>
      <c r="G2851" t="s">
        <v>31</v>
      </c>
      <c r="H2851" s="1">
        <v>44737</v>
      </c>
      <c r="I2851" s="2">
        <v>44740.1416666667</v>
      </c>
      <c r="J2851">
        <v>75.4</v>
      </c>
      <c r="K2851" t="s">
        <v>32</v>
      </c>
      <c r="L2851">
        <v>0</v>
      </c>
      <c r="M2851">
        <v>4</v>
      </c>
      <c r="N2851" t="s">
        <v>919</v>
      </c>
      <c r="O2851" s="3" t="str">
        <f>TEXT(Ticket_Table[[#This Row],[raised_date]],"YYYY-MM")</f>
        <v>2022-06</v>
      </c>
      <c r="P2851" s="3" t="str">
        <f>IF(Ticket_Table[[#This Row],[resolution_hrs]]&lt;=4,"Fast",IF(Ticket_Table[[#This Row],[resolution_hrs]]&lt;=24,"Normal",IF(Ticket_Table[[#This Row],[resolution_hrs]]&lt;=48,"Slow","Very Slow")))</f>
        <v>Very Slow</v>
      </c>
      <c r="Q2851" s="3">
        <f>YEAR(Ticket_Table[[#This Row],[raised_date]])</f>
        <v>2022</v>
      </c>
    </row>
    <row r="2852" spans="1:17">
      <c r="A2852" t="s">
        <v>3413</v>
      </c>
      <c r="B2852" t="s">
        <v>1180</v>
      </c>
      <c r="C2852" t="s">
        <v>95</v>
      </c>
      <c r="D2852" t="s">
        <v>20</v>
      </c>
      <c r="E2852" t="s">
        <v>30</v>
      </c>
      <c r="F2852" t="s">
        <v>70</v>
      </c>
      <c r="G2852" t="s">
        <v>31</v>
      </c>
      <c r="H2852" s="1">
        <v>45147</v>
      </c>
      <c r="I2852" s="2">
        <v>45148.5875</v>
      </c>
      <c r="J2852">
        <v>38.1</v>
      </c>
      <c r="K2852" t="s">
        <v>24</v>
      </c>
      <c r="L2852">
        <v>0</v>
      </c>
      <c r="M2852">
        <v>5</v>
      </c>
      <c r="N2852" t="s">
        <v>227</v>
      </c>
      <c r="O2852" s="3" t="str">
        <f>TEXT(Ticket_Table[[#This Row],[raised_date]],"YYYY-MM")</f>
        <v>2023-08</v>
      </c>
      <c r="P2852" s="3" t="str">
        <f>IF(Ticket_Table[[#This Row],[resolution_hrs]]&lt;=4,"Fast",IF(Ticket_Table[[#This Row],[resolution_hrs]]&lt;=24,"Normal",IF(Ticket_Table[[#This Row],[resolution_hrs]]&lt;=48,"Slow","Very Slow")))</f>
        <v>Slow</v>
      </c>
      <c r="Q2852" s="3">
        <f>YEAR(Ticket_Table[[#This Row],[raised_date]])</f>
        <v>2023</v>
      </c>
    </row>
    <row r="2853" spans="1:17">
      <c r="A2853" t="s">
        <v>3414</v>
      </c>
      <c r="B2853" t="s">
        <v>464</v>
      </c>
      <c r="C2853" t="s">
        <v>140</v>
      </c>
      <c r="D2853" t="s">
        <v>90</v>
      </c>
      <c r="E2853" t="s">
        <v>69</v>
      </c>
      <c r="F2853" t="s">
        <v>22</v>
      </c>
      <c r="G2853" t="s">
        <v>46</v>
      </c>
      <c r="H2853" s="1">
        <v>44299</v>
      </c>
      <c r="I2853" s="2">
        <v>44303.4375</v>
      </c>
      <c r="J2853">
        <v>106.5</v>
      </c>
      <c r="K2853" t="s">
        <v>32</v>
      </c>
      <c r="L2853">
        <v>0</v>
      </c>
      <c r="M2853">
        <v>2</v>
      </c>
      <c r="N2853" t="s">
        <v>588</v>
      </c>
      <c r="O2853" s="3" t="str">
        <f>TEXT(Ticket_Table[[#This Row],[raised_date]],"YYYY-MM")</f>
        <v>2021-04</v>
      </c>
      <c r="P2853" s="3" t="str">
        <f>IF(Ticket_Table[[#This Row],[resolution_hrs]]&lt;=4,"Fast",IF(Ticket_Table[[#This Row],[resolution_hrs]]&lt;=24,"Normal",IF(Ticket_Table[[#This Row],[resolution_hrs]]&lt;=48,"Slow","Very Slow")))</f>
        <v>Very Slow</v>
      </c>
      <c r="Q2853" s="3">
        <f>YEAR(Ticket_Table[[#This Row],[raised_date]])</f>
        <v>2021</v>
      </c>
    </row>
    <row r="2854" spans="1:17">
      <c r="A2854" t="s">
        <v>3415</v>
      </c>
      <c r="B2854" t="s">
        <v>452</v>
      </c>
      <c r="C2854" t="s">
        <v>201</v>
      </c>
      <c r="D2854" t="s">
        <v>36</v>
      </c>
      <c r="E2854" t="s">
        <v>166</v>
      </c>
      <c r="F2854" t="s">
        <v>22</v>
      </c>
      <c r="G2854" t="s">
        <v>74</v>
      </c>
      <c r="H2854" s="1">
        <v>44401</v>
      </c>
      <c r="I2854" s="2">
        <v>44402.6125</v>
      </c>
      <c r="J2854">
        <v>38.7</v>
      </c>
      <c r="K2854" t="s">
        <v>24</v>
      </c>
      <c r="L2854">
        <v>0</v>
      </c>
      <c r="M2854">
        <v>5</v>
      </c>
      <c r="N2854" t="s">
        <v>496</v>
      </c>
      <c r="O2854" s="3" t="str">
        <f>TEXT(Ticket_Table[[#This Row],[raised_date]],"YYYY-MM")</f>
        <v>2021-07</v>
      </c>
      <c r="P2854" s="3" t="str">
        <f>IF(Ticket_Table[[#This Row],[resolution_hrs]]&lt;=4,"Fast",IF(Ticket_Table[[#This Row],[resolution_hrs]]&lt;=24,"Normal",IF(Ticket_Table[[#This Row],[resolution_hrs]]&lt;=48,"Slow","Very Slow")))</f>
        <v>Slow</v>
      </c>
      <c r="Q2854" s="3">
        <f>YEAR(Ticket_Table[[#This Row],[raised_date]])</f>
        <v>2021</v>
      </c>
    </row>
    <row r="2855" spans="1:17">
      <c r="A2855" t="s">
        <v>3416</v>
      </c>
      <c r="B2855" t="s">
        <v>671</v>
      </c>
      <c r="C2855" t="s">
        <v>50</v>
      </c>
      <c r="D2855" t="s">
        <v>36</v>
      </c>
      <c r="E2855" t="s">
        <v>106</v>
      </c>
      <c r="F2855" t="s">
        <v>22</v>
      </c>
      <c r="G2855" t="s">
        <v>23</v>
      </c>
      <c r="H2855" s="1">
        <v>44554</v>
      </c>
      <c r="I2855" s="2">
        <v>44556.4416666667</v>
      </c>
      <c r="J2855">
        <v>58.6</v>
      </c>
      <c r="K2855" t="s">
        <v>24</v>
      </c>
      <c r="L2855">
        <v>0</v>
      </c>
      <c r="M2855">
        <v>5</v>
      </c>
      <c r="N2855" t="s">
        <v>63</v>
      </c>
      <c r="O2855" s="3" t="str">
        <f>TEXT(Ticket_Table[[#This Row],[raised_date]],"YYYY-MM")</f>
        <v>2021-12</v>
      </c>
      <c r="P2855" s="3" t="str">
        <f>IF(Ticket_Table[[#This Row],[resolution_hrs]]&lt;=4,"Fast",IF(Ticket_Table[[#This Row],[resolution_hrs]]&lt;=24,"Normal",IF(Ticket_Table[[#This Row],[resolution_hrs]]&lt;=48,"Slow","Very Slow")))</f>
        <v>Very Slow</v>
      </c>
      <c r="Q2855" s="3">
        <f>YEAR(Ticket_Table[[#This Row],[raised_date]])</f>
        <v>2021</v>
      </c>
    </row>
    <row r="2856" spans="1:17">
      <c r="A2856" t="s">
        <v>3417</v>
      </c>
      <c r="B2856" t="s">
        <v>744</v>
      </c>
      <c r="C2856" t="s">
        <v>64</v>
      </c>
      <c r="D2856" t="s">
        <v>36</v>
      </c>
      <c r="E2856" t="s">
        <v>83</v>
      </c>
      <c r="F2856" t="s">
        <v>70</v>
      </c>
      <c r="G2856" t="s">
        <v>23</v>
      </c>
      <c r="H2856" s="1">
        <v>44277</v>
      </c>
      <c r="I2856" s="2">
        <v>44277.6625</v>
      </c>
      <c r="J2856">
        <v>15.9</v>
      </c>
      <c r="K2856" t="s">
        <v>24</v>
      </c>
      <c r="L2856">
        <v>0</v>
      </c>
      <c r="M2856">
        <v>2</v>
      </c>
      <c r="N2856" t="s">
        <v>558</v>
      </c>
      <c r="O2856" s="3" t="str">
        <f>TEXT(Ticket_Table[[#This Row],[raised_date]],"YYYY-MM")</f>
        <v>2021-03</v>
      </c>
      <c r="P2856" s="3" t="str">
        <f>IF(Ticket_Table[[#This Row],[resolution_hrs]]&lt;=4,"Fast",IF(Ticket_Table[[#This Row],[resolution_hrs]]&lt;=24,"Normal",IF(Ticket_Table[[#This Row],[resolution_hrs]]&lt;=48,"Slow","Very Slow")))</f>
        <v>Normal</v>
      </c>
      <c r="Q2856" s="3">
        <f>YEAR(Ticket_Table[[#This Row],[raised_date]])</f>
        <v>2021</v>
      </c>
    </row>
    <row r="2857" spans="1:17">
      <c r="A2857" t="s">
        <v>3418</v>
      </c>
      <c r="B2857" t="s">
        <v>926</v>
      </c>
      <c r="C2857" t="s">
        <v>50</v>
      </c>
      <c r="D2857" t="s">
        <v>43</v>
      </c>
      <c r="E2857" t="s">
        <v>83</v>
      </c>
      <c r="F2857" t="s">
        <v>70</v>
      </c>
      <c r="G2857" t="s">
        <v>23</v>
      </c>
      <c r="H2857" s="1">
        <v>44792</v>
      </c>
      <c r="I2857" s="2">
        <v>44792.3333333333</v>
      </c>
      <c r="J2857">
        <v>8</v>
      </c>
      <c r="K2857" t="s">
        <v>24</v>
      </c>
      <c r="L2857">
        <v>0</v>
      </c>
      <c r="M2857">
        <v>3</v>
      </c>
      <c r="N2857" t="s">
        <v>33</v>
      </c>
      <c r="O2857" s="3" t="str">
        <f>TEXT(Ticket_Table[[#This Row],[raised_date]],"YYYY-MM")</f>
        <v>2022-08</v>
      </c>
      <c r="P2857" s="3" t="str">
        <f>IF(Ticket_Table[[#This Row],[resolution_hrs]]&lt;=4,"Fast",IF(Ticket_Table[[#This Row],[resolution_hrs]]&lt;=24,"Normal",IF(Ticket_Table[[#This Row],[resolution_hrs]]&lt;=48,"Slow","Very Slow")))</f>
        <v>Normal</v>
      </c>
      <c r="Q2857" s="3">
        <f>YEAR(Ticket_Table[[#This Row],[raised_date]])</f>
        <v>2022</v>
      </c>
    </row>
    <row r="2858" spans="1:17">
      <c r="A2858" t="s">
        <v>3419</v>
      </c>
      <c r="B2858" t="s">
        <v>1011</v>
      </c>
      <c r="C2858" t="s">
        <v>175</v>
      </c>
      <c r="D2858" t="s">
        <v>20</v>
      </c>
      <c r="E2858" t="s">
        <v>56</v>
      </c>
      <c r="F2858" t="s">
        <v>38</v>
      </c>
      <c r="G2858" t="s">
        <v>31</v>
      </c>
      <c r="H2858" s="1">
        <v>44934</v>
      </c>
      <c r="I2858" s="2">
        <v>44935.2375</v>
      </c>
      <c r="J2858">
        <v>29.7</v>
      </c>
      <c r="K2858" t="s">
        <v>32</v>
      </c>
      <c r="L2858">
        <v>0</v>
      </c>
      <c r="M2858">
        <v>3</v>
      </c>
      <c r="N2858" t="s">
        <v>772</v>
      </c>
      <c r="O2858" s="3" t="str">
        <f>TEXT(Ticket_Table[[#This Row],[raised_date]],"YYYY-MM")</f>
        <v>2023-01</v>
      </c>
      <c r="P2858" s="3" t="str">
        <f>IF(Ticket_Table[[#This Row],[resolution_hrs]]&lt;=4,"Fast",IF(Ticket_Table[[#This Row],[resolution_hrs]]&lt;=24,"Normal",IF(Ticket_Table[[#This Row],[resolution_hrs]]&lt;=48,"Slow","Very Slow")))</f>
        <v>Slow</v>
      </c>
      <c r="Q2858" s="3">
        <f>YEAR(Ticket_Table[[#This Row],[raised_date]])</f>
        <v>2023</v>
      </c>
    </row>
    <row r="2859" spans="1:17">
      <c r="A2859" t="s">
        <v>3420</v>
      </c>
      <c r="B2859" t="s">
        <v>884</v>
      </c>
      <c r="C2859" t="s">
        <v>28</v>
      </c>
      <c r="D2859" t="s">
        <v>90</v>
      </c>
      <c r="E2859" t="s">
        <v>166</v>
      </c>
      <c r="F2859" t="s">
        <v>38</v>
      </c>
      <c r="G2859" t="s">
        <v>23</v>
      </c>
      <c r="H2859" s="1">
        <v>44837</v>
      </c>
      <c r="I2859" s="2">
        <v>44837.3875</v>
      </c>
      <c r="J2859">
        <v>9.3</v>
      </c>
      <c r="K2859" t="s">
        <v>24</v>
      </c>
      <c r="L2859">
        <v>0</v>
      </c>
      <c r="M2859">
        <v>4</v>
      </c>
      <c r="N2859" t="s">
        <v>610</v>
      </c>
      <c r="O2859" s="3" t="str">
        <f>TEXT(Ticket_Table[[#This Row],[raised_date]],"YYYY-MM")</f>
        <v>2022-10</v>
      </c>
      <c r="P2859" s="3" t="str">
        <f>IF(Ticket_Table[[#This Row],[resolution_hrs]]&lt;=4,"Fast",IF(Ticket_Table[[#This Row],[resolution_hrs]]&lt;=24,"Normal",IF(Ticket_Table[[#This Row],[resolution_hrs]]&lt;=48,"Slow","Very Slow")))</f>
        <v>Normal</v>
      </c>
      <c r="Q2859" s="3">
        <f>YEAR(Ticket_Table[[#This Row],[raised_date]])</f>
        <v>2022</v>
      </c>
    </row>
    <row r="2860" spans="1:17">
      <c r="A2860" t="s">
        <v>3421</v>
      </c>
      <c r="B2860" t="s">
        <v>485</v>
      </c>
      <c r="C2860" t="s">
        <v>201</v>
      </c>
      <c r="D2860" t="s">
        <v>36</v>
      </c>
      <c r="E2860" t="s">
        <v>51</v>
      </c>
      <c r="F2860" t="s">
        <v>70</v>
      </c>
      <c r="G2860" t="s">
        <v>23</v>
      </c>
      <c r="H2860" s="1">
        <v>45069</v>
      </c>
      <c r="I2860" s="2">
        <v>45069.6</v>
      </c>
      <c r="J2860">
        <v>14.4</v>
      </c>
      <c r="K2860" t="s">
        <v>24</v>
      </c>
      <c r="L2860">
        <v>0</v>
      </c>
      <c r="M2860">
        <v>2</v>
      </c>
      <c r="N2860" t="s">
        <v>974</v>
      </c>
      <c r="O2860" s="3" t="str">
        <f>TEXT(Ticket_Table[[#This Row],[raised_date]],"YYYY-MM")</f>
        <v>2023-05</v>
      </c>
      <c r="P2860" s="3" t="str">
        <f>IF(Ticket_Table[[#This Row],[resolution_hrs]]&lt;=4,"Fast",IF(Ticket_Table[[#This Row],[resolution_hrs]]&lt;=24,"Normal",IF(Ticket_Table[[#This Row],[resolution_hrs]]&lt;=48,"Slow","Very Slow")))</f>
        <v>Normal</v>
      </c>
      <c r="Q2860" s="3">
        <f>YEAR(Ticket_Table[[#This Row],[raised_date]])</f>
        <v>2023</v>
      </c>
    </row>
    <row r="2861" spans="1:17">
      <c r="A2861" t="s">
        <v>3422</v>
      </c>
      <c r="B2861" t="s">
        <v>277</v>
      </c>
      <c r="C2861" t="s">
        <v>95</v>
      </c>
      <c r="D2861" t="s">
        <v>36</v>
      </c>
      <c r="E2861" t="s">
        <v>21</v>
      </c>
      <c r="F2861" t="s">
        <v>70</v>
      </c>
      <c r="G2861" t="s">
        <v>31</v>
      </c>
      <c r="H2861" s="1">
        <v>44434</v>
      </c>
      <c r="I2861" s="2">
        <v>44434.9291666667</v>
      </c>
      <c r="J2861">
        <v>22.3</v>
      </c>
      <c r="K2861" t="s">
        <v>24</v>
      </c>
      <c r="L2861">
        <v>0</v>
      </c>
      <c r="M2861">
        <v>3</v>
      </c>
      <c r="N2861" t="s">
        <v>353</v>
      </c>
      <c r="O2861" s="3" t="str">
        <f>TEXT(Ticket_Table[[#This Row],[raised_date]],"YYYY-MM")</f>
        <v>2021-08</v>
      </c>
      <c r="P2861" s="3" t="str">
        <f>IF(Ticket_Table[[#This Row],[resolution_hrs]]&lt;=4,"Fast",IF(Ticket_Table[[#This Row],[resolution_hrs]]&lt;=24,"Normal",IF(Ticket_Table[[#This Row],[resolution_hrs]]&lt;=48,"Slow","Very Slow")))</f>
        <v>Normal</v>
      </c>
      <c r="Q2861" s="3">
        <f>YEAR(Ticket_Table[[#This Row],[raised_date]])</f>
        <v>2021</v>
      </c>
    </row>
    <row r="2862" spans="1:17">
      <c r="A2862" t="s">
        <v>3423</v>
      </c>
      <c r="B2862" t="s">
        <v>499</v>
      </c>
      <c r="C2862" t="s">
        <v>68</v>
      </c>
      <c r="D2862" t="s">
        <v>90</v>
      </c>
      <c r="E2862" t="s">
        <v>56</v>
      </c>
      <c r="F2862" t="s">
        <v>70</v>
      </c>
      <c r="G2862" t="s">
        <v>46</v>
      </c>
      <c r="H2862" s="1">
        <v>44391</v>
      </c>
      <c r="I2862" s="2">
        <v>44393.5041666667</v>
      </c>
      <c r="J2862">
        <v>60.1</v>
      </c>
      <c r="K2862" t="s">
        <v>32</v>
      </c>
      <c r="L2862">
        <v>0</v>
      </c>
      <c r="M2862">
        <v>5</v>
      </c>
      <c r="N2862" t="s">
        <v>92</v>
      </c>
      <c r="O2862" s="3" t="str">
        <f>TEXT(Ticket_Table[[#This Row],[raised_date]],"YYYY-MM")</f>
        <v>2021-07</v>
      </c>
      <c r="P2862" s="3" t="str">
        <f>IF(Ticket_Table[[#This Row],[resolution_hrs]]&lt;=4,"Fast",IF(Ticket_Table[[#This Row],[resolution_hrs]]&lt;=24,"Normal",IF(Ticket_Table[[#This Row],[resolution_hrs]]&lt;=48,"Slow","Very Slow")))</f>
        <v>Very Slow</v>
      </c>
      <c r="Q2862" s="3">
        <f>YEAR(Ticket_Table[[#This Row],[raised_date]])</f>
        <v>2021</v>
      </c>
    </row>
    <row r="2863" spans="1:17">
      <c r="A2863" t="s">
        <v>3424</v>
      </c>
      <c r="B2863" t="s">
        <v>603</v>
      </c>
      <c r="C2863" t="s">
        <v>78</v>
      </c>
      <c r="D2863" t="s">
        <v>20</v>
      </c>
      <c r="E2863" t="s">
        <v>56</v>
      </c>
      <c r="F2863" t="s">
        <v>38</v>
      </c>
      <c r="G2863" t="s">
        <v>46</v>
      </c>
      <c r="H2863" s="1">
        <v>44290</v>
      </c>
      <c r="I2863" s="2">
        <v>44291.4375</v>
      </c>
      <c r="J2863">
        <v>34.5</v>
      </c>
      <c r="K2863" t="s">
        <v>32</v>
      </c>
      <c r="L2863">
        <v>0</v>
      </c>
      <c r="M2863">
        <v>2</v>
      </c>
      <c r="N2863" t="s">
        <v>811</v>
      </c>
      <c r="O2863" s="3" t="str">
        <f>TEXT(Ticket_Table[[#This Row],[raised_date]],"YYYY-MM")</f>
        <v>2021-04</v>
      </c>
      <c r="P2863" s="3" t="str">
        <f>IF(Ticket_Table[[#This Row],[resolution_hrs]]&lt;=4,"Fast",IF(Ticket_Table[[#This Row],[resolution_hrs]]&lt;=24,"Normal",IF(Ticket_Table[[#This Row],[resolution_hrs]]&lt;=48,"Slow","Very Slow")))</f>
        <v>Slow</v>
      </c>
      <c r="Q2863" s="3">
        <f>YEAR(Ticket_Table[[#This Row],[raised_date]])</f>
        <v>2021</v>
      </c>
    </row>
    <row r="2864" spans="1:17">
      <c r="A2864" t="s">
        <v>3425</v>
      </c>
      <c r="B2864" t="s">
        <v>884</v>
      </c>
      <c r="C2864" t="s">
        <v>64</v>
      </c>
      <c r="D2864" t="s">
        <v>90</v>
      </c>
      <c r="E2864" t="s">
        <v>56</v>
      </c>
      <c r="F2864" t="s">
        <v>22</v>
      </c>
      <c r="G2864" t="s">
        <v>23</v>
      </c>
      <c r="H2864" s="1">
        <v>44216</v>
      </c>
      <c r="I2864" s="2">
        <v>44218.725</v>
      </c>
      <c r="J2864">
        <v>65.4</v>
      </c>
      <c r="K2864" t="s">
        <v>24</v>
      </c>
      <c r="L2864">
        <v>0</v>
      </c>
      <c r="M2864">
        <v>3</v>
      </c>
      <c r="N2864" t="s">
        <v>204</v>
      </c>
      <c r="O2864" s="3" t="str">
        <f>TEXT(Ticket_Table[[#This Row],[raised_date]],"YYYY-MM")</f>
        <v>2021-01</v>
      </c>
      <c r="P2864" s="3" t="str">
        <f>IF(Ticket_Table[[#This Row],[resolution_hrs]]&lt;=4,"Fast",IF(Ticket_Table[[#This Row],[resolution_hrs]]&lt;=24,"Normal",IF(Ticket_Table[[#This Row],[resolution_hrs]]&lt;=48,"Slow","Very Slow")))</f>
        <v>Very Slow</v>
      </c>
      <c r="Q2864" s="3">
        <f>YEAR(Ticket_Table[[#This Row],[raised_date]])</f>
        <v>2021</v>
      </c>
    </row>
    <row r="2865" spans="1:17">
      <c r="A2865" t="s">
        <v>3426</v>
      </c>
      <c r="B2865" t="s">
        <v>792</v>
      </c>
      <c r="C2865" t="s">
        <v>42</v>
      </c>
      <c r="D2865" t="s">
        <v>43</v>
      </c>
      <c r="E2865" t="s">
        <v>106</v>
      </c>
      <c r="F2865" t="s">
        <v>22</v>
      </c>
      <c r="G2865" t="s">
        <v>23</v>
      </c>
      <c r="H2865" s="1">
        <v>44480</v>
      </c>
      <c r="I2865" s="2">
        <v>44481.0041666667</v>
      </c>
      <c r="J2865">
        <v>24.1</v>
      </c>
      <c r="K2865" t="s">
        <v>24</v>
      </c>
      <c r="L2865">
        <v>0</v>
      </c>
      <c r="M2865">
        <v>4</v>
      </c>
      <c r="N2865" t="s">
        <v>258</v>
      </c>
      <c r="O2865" s="3" t="str">
        <f>TEXT(Ticket_Table[[#This Row],[raised_date]],"YYYY-MM")</f>
        <v>2021-10</v>
      </c>
      <c r="P2865" s="3" t="str">
        <f>IF(Ticket_Table[[#This Row],[resolution_hrs]]&lt;=4,"Fast",IF(Ticket_Table[[#This Row],[resolution_hrs]]&lt;=24,"Normal",IF(Ticket_Table[[#This Row],[resolution_hrs]]&lt;=48,"Slow","Very Slow")))</f>
        <v>Slow</v>
      </c>
      <c r="Q2865" s="3">
        <f>YEAR(Ticket_Table[[#This Row],[raised_date]])</f>
        <v>2021</v>
      </c>
    </row>
    <row r="2866" spans="1:17">
      <c r="A2866" t="s">
        <v>3427</v>
      </c>
      <c r="B2866" t="s">
        <v>52</v>
      </c>
      <c r="C2866" t="s">
        <v>50</v>
      </c>
      <c r="D2866" t="s">
        <v>43</v>
      </c>
      <c r="E2866" t="s">
        <v>30</v>
      </c>
      <c r="F2866" t="s">
        <v>38</v>
      </c>
      <c r="G2866" t="s">
        <v>31</v>
      </c>
      <c r="H2866" s="1">
        <v>44546</v>
      </c>
      <c r="I2866" s="2">
        <v>44546.5666666667</v>
      </c>
      <c r="J2866">
        <v>13.6</v>
      </c>
      <c r="K2866" t="s">
        <v>24</v>
      </c>
      <c r="L2866">
        <v>1</v>
      </c>
      <c r="M2866">
        <v>5</v>
      </c>
      <c r="N2866" t="s">
        <v>835</v>
      </c>
      <c r="O2866" s="3" t="str">
        <f>TEXT(Ticket_Table[[#This Row],[raised_date]],"YYYY-MM")</f>
        <v>2021-12</v>
      </c>
      <c r="P2866" s="3" t="str">
        <f>IF(Ticket_Table[[#This Row],[resolution_hrs]]&lt;=4,"Fast",IF(Ticket_Table[[#This Row],[resolution_hrs]]&lt;=24,"Normal",IF(Ticket_Table[[#This Row],[resolution_hrs]]&lt;=48,"Slow","Very Slow")))</f>
        <v>Normal</v>
      </c>
      <c r="Q2866" s="3">
        <f>YEAR(Ticket_Table[[#This Row],[raised_date]])</f>
        <v>2021</v>
      </c>
    </row>
    <row r="2867" spans="1:17">
      <c r="A2867" t="s">
        <v>3428</v>
      </c>
      <c r="B2867" t="s">
        <v>337</v>
      </c>
      <c r="C2867" t="s">
        <v>213</v>
      </c>
      <c r="D2867" t="s">
        <v>90</v>
      </c>
      <c r="E2867" t="s">
        <v>56</v>
      </c>
      <c r="F2867" t="s">
        <v>70</v>
      </c>
      <c r="G2867" t="s">
        <v>23</v>
      </c>
      <c r="H2867" s="1">
        <v>44870</v>
      </c>
      <c r="I2867" s="2">
        <v>44870.4208333333</v>
      </c>
      <c r="J2867">
        <v>10.1</v>
      </c>
      <c r="K2867" t="s">
        <v>24</v>
      </c>
      <c r="L2867">
        <v>0</v>
      </c>
      <c r="M2867">
        <v>3</v>
      </c>
      <c r="N2867" t="s">
        <v>255</v>
      </c>
      <c r="O2867" s="3" t="str">
        <f>TEXT(Ticket_Table[[#This Row],[raised_date]],"YYYY-MM")</f>
        <v>2022-11</v>
      </c>
      <c r="P2867" s="3" t="str">
        <f>IF(Ticket_Table[[#This Row],[resolution_hrs]]&lt;=4,"Fast",IF(Ticket_Table[[#This Row],[resolution_hrs]]&lt;=24,"Normal",IF(Ticket_Table[[#This Row],[resolution_hrs]]&lt;=48,"Slow","Very Slow")))</f>
        <v>Normal</v>
      </c>
      <c r="Q2867" s="3">
        <f>YEAR(Ticket_Table[[#This Row],[raised_date]])</f>
        <v>2022</v>
      </c>
    </row>
    <row r="2868" spans="1:17">
      <c r="A2868" t="s">
        <v>3429</v>
      </c>
      <c r="B2868" t="s">
        <v>355</v>
      </c>
      <c r="C2868" t="s">
        <v>78</v>
      </c>
      <c r="D2868" t="s">
        <v>20</v>
      </c>
      <c r="E2868" t="s">
        <v>30</v>
      </c>
      <c r="F2868" t="s">
        <v>22</v>
      </c>
      <c r="G2868" t="s">
        <v>31</v>
      </c>
      <c r="H2868" s="1">
        <v>44929</v>
      </c>
      <c r="I2868" s="2">
        <v>44931.8166666667</v>
      </c>
      <c r="J2868">
        <v>67.6</v>
      </c>
      <c r="K2868" t="s">
        <v>24</v>
      </c>
      <c r="L2868">
        <v>2</v>
      </c>
      <c r="M2868">
        <v>3</v>
      </c>
      <c r="N2868" t="s">
        <v>112</v>
      </c>
      <c r="O2868" s="3" t="str">
        <f>TEXT(Ticket_Table[[#This Row],[raised_date]],"YYYY-MM")</f>
        <v>2023-01</v>
      </c>
      <c r="P2868" s="3" t="str">
        <f>IF(Ticket_Table[[#This Row],[resolution_hrs]]&lt;=4,"Fast",IF(Ticket_Table[[#This Row],[resolution_hrs]]&lt;=24,"Normal",IF(Ticket_Table[[#This Row],[resolution_hrs]]&lt;=48,"Slow","Very Slow")))</f>
        <v>Very Slow</v>
      </c>
      <c r="Q2868" s="3">
        <f>YEAR(Ticket_Table[[#This Row],[raised_date]])</f>
        <v>2023</v>
      </c>
    </row>
    <row r="2869" spans="1:17">
      <c r="A2869" t="s">
        <v>3430</v>
      </c>
      <c r="B2869" t="s">
        <v>462</v>
      </c>
      <c r="C2869" t="s">
        <v>213</v>
      </c>
      <c r="D2869" t="s">
        <v>36</v>
      </c>
      <c r="E2869" t="s">
        <v>30</v>
      </c>
      <c r="F2869" t="s">
        <v>22</v>
      </c>
      <c r="G2869" t="s">
        <v>23</v>
      </c>
      <c r="H2869" s="1">
        <v>45093</v>
      </c>
      <c r="I2869" s="2">
        <v>45093.375</v>
      </c>
      <c r="J2869">
        <v>9</v>
      </c>
      <c r="K2869" t="s">
        <v>24</v>
      </c>
      <c r="L2869">
        <v>0</v>
      </c>
      <c r="M2869">
        <v>4</v>
      </c>
      <c r="N2869" t="s">
        <v>25</v>
      </c>
      <c r="O2869" s="3" t="str">
        <f>TEXT(Ticket_Table[[#This Row],[raised_date]],"YYYY-MM")</f>
        <v>2023-06</v>
      </c>
      <c r="P2869" s="3" t="str">
        <f>IF(Ticket_Table[[#This Row],[resolution_hrs]]&lt;=4,"Fast",IF(Ticket_Table[[#This Row],[resolution_hrs]]&lt;=24,"Normal",IF(Ticket_Table[[#This Row],[resolution_hrs]]&lt;=48,"Slow","Very Slow")))</f>
        <v>Normal</v>
      </c>
      <c r="Q2869" s="3">
        <f>YEAR(Ticket_Table[[#This Row],[raised_date]])</f>
        <v>2023</v>
      </c>
    </row>
    <row r="2870" spans="1:17">
      <c r="A2870" t="s">
        <v>3431</v>
      </c>
      <c r="B2870" t="s">
        <v>804</v>
      </c>
      <c r="C2870" t="s">
        <v>64</v>
      </c>
      <c r="D2870" t="s">
        <v>43</v>
      </c>
      <c r="E2870" t="s">
        <v>166</v>
      </c>
      <c r="F2870" t="s">
        <v>45</v>
      </c>
      <c r="G2870" t="s">
        <v>74</v>
      </c>
      <c r="H2870" s="1">
        <v>44746</v>
      </c>
      <c r="I2870" s="2">
        <v>44746.0958333333</v>
      </c>
      <c r="J2870">
        <v>2.3</v>
      </c>
      <c r="K2870" t="s">
        <v>24</v>
      </c>
      <c r="L2870">
        <v>1</v>
      </c>
      <c r="M2870">
        <v>4</v>
      </c>
      <c r="N2870" t="s">
        <v>560</v>
      </c>
      <c r="O2870" s="3" t="str">
        <f>TEXT(Ticket_Table[[#This Row],[raised_date]],"YYYY-MM")</f>
        <v>2022-07</v>
      </c>
      <c r="P2870" s="3" t="str">
        <f>IF(Ticket_Table[[#This Row],[resolution_hrs]]&lt;=4,"Fast",IF(Ticket_Table[[#This Row],[resolution_hrs]]&lt;=24,"Normal",IF(Ticket_Table[[#This Row],[resolution_hrs]]&lt;=48,"Slow","Very Slow")))</f>
        <v>Fast</v>
      </c>
      <c r="Q2870" s="3">
        <f>YEAR(Ticket_Table[[#This Row],[raised_date]])</f>
        <v>2022</v>
      </c>
    </row>
    <row r="2871" spans="1:17">
      <c r="A2871" t="s">
        <v>3432</v>
      </c>
      <c r="B2871" t="s">
        <v>612</v>
      </c>
      <c r="C2871" t="s">
        <v>175</v>
      </c>
      <c r="D2871" t="s">
        <v>43</v>
      </c>
      <c r="E2871" t="s">
        <v>106</v>
      </c>
      <c r="F2871" t="s">
        <v>38</v>
      </c>
      <c r="G2871" t="s">
        <v>74</v>
      </c>
      <c r="H2871" s="1">
        <v>44387</v>
      </c>
      <c r="I2871" s="2">
        <v>44387.6</v>
      </c>
      <c r="J2871">
        <v>14.4</v>
      </c>
      <c r="K2871" t="s">
        <v>24</v>
      </c>
      <c r="L2871">
        <v>1</v>
      </c>
      <c r="M2871">
        <v>5</v>
      </c>
      <c r="N2871" t="s">
        <v>550</v>
      </c>
      <c r="O2871" s="3" t="str">
        <f>TEXT(Ticket_Table[[#This Row],[raised_date]],"YYYY-MM")</f>
        <v>2021-07</v>
      </c>
      <c r="P2871" s="3" t="str">
        <f>IF(Ticket_Table[[#This Row],[resolution_hrs]]&lt;=4,"Fast",IF(Ticket_Table[[#This Row],[resolution_hrs]]&lt;=24,"Normal",IF(Ticket_Table[[#This Row],[resolution_hrs]]&lt;=48,"Slow","Very Slow")))</f>
        <v>Normal</v>
      </c>
      <c r="Q2871" s="3">
        <f>YEAR(Ticket_Table[[#This Row],[raised_date]])</f>
        <v>2021</v>
      </c>
    </row>
    <row r="2872" spans="1:17">
      <c r="A2872" t="s">
        <v>3433</v>
      </c>
      <c r="B2872" t="s">
        <v>532</v>
      </c>
      <c r="C2872" t="s">
        <v>78</v>
      </c>
      <c r="D2872" t="s">
        <v>20</v>
      </c>
      <c r="E2872" t="s">
        <v>30</v>
      </c>
      <c r="F2872" t="s">
        <v>38</v>
      </c>
      <c r="G2872" t="s">
        <v>46</v>
      </c>
      <c r="H2872" s="1">
        <v>44960</v>
      </c>
      <c r="I2872" s="2">
        <v>44961.3583333333</v>
      </c>
      <c r="J2872">
        <v>32.6</v>
      </c>
      <c r="K2872" t="s">
        <v>32</v>
      </c>
      <c r="L2872">
        <v>1</v>
      </c>
      <c r="M2872">
        <v>2</v>
      </c>
      <c r="N2872" t="s">
        <v>118</v>
      </c>
      <c r="O2872" s="3" t="str">
        <f>TEXT(Ticket_Table[[#This Row],[raised_date]],"YYYY-MM")</f>
        <v>2023-02</v>
      </c>
      <c r="P2872" s="3" t="str">
        <f>IF(Ticket_Table[[#This Row],[resolution_hrs]]&lt;=4,"Fast",IF(Ticket_Table[[#This Row],[resolution_hrs]]&lt;=24,"Normal",IF(Ticket_Table[[#This Row],[resolution_hrs]]&lt;=48,"Slow","Very Slow")))</f>
        <v>Slow</v>
      </c>
      <c r="Q2872" s="3">
        <f>YEAR(Ticket_Table[[#This Row],[raised_date]])</f>
        <v>2023</v>
      </c>
    </row>
    <row r="2873" spans="1:17">
      <c r="A2873" t="s">
        <v>3434</v>
      </c>
      <c r="B2873" t="s">
        <v>683</v>
      </c>
      <c r="C2873" t="s">
        <v>201</v>
      </c>
      <c r="D2873" t="s">
        <v>43</v>
      </c>
      <c r="E2873" t="s">
        <v>56</v>
      </c>
      <c r="F2873" t="s">
        <v>70</v>
      </c>
      <c r="G2873" t="s">
        <v>46</v>
      </c>
      <c r="H2873" s="1">
        <v>44898</v>
      </c>
      <c r="I2873" s="2">
        <v>44899.225</v>
      </c>
      <c r="J2873">
        <v>29.4</v>
      </c>
      <c r="K2873" t="s">
        <v>24</v>
      </c>
      <c r="L2873">
        <v>2</v>
      </c>
      <c r="M2873">
        <v>4</v>
      </c>
      <c r="N2873" t="s">
        <v>605</v>
      </c>
      <c r="O2873" s="3" t="str">
        <f>TEXT(Ticket_Table[[#This Row],[raised_date]],"YYYY-MM")</f>
        <v>2022-12</v>
      </c>
      <c r="P2873" s="3" t="str">
        <f>IF(Ticket_Table[[#This Row],[resolution_hrs]]&lt;=4,"Fast",IF(Ticket_Table[[#This Row],[resolution_hrs]]&lt;=24,"Normal",IF(Ticket_Table[[#This Row],[resolution_hrs]]&lt;=48,"Slow","Very Slow")))</f>
        <v>Slow</v>
      </c>
      <c r="Q2873" s="3">
        <f>YEAR(Ticket_Table[[#This Row],[raised_date]])</f>
        <v>2022</v>
      </c>
    </row>
    <row r="2874" spans="1:17">
      <c r="A2874" t="s">
        <v>3435</v>
      </c>
      <c r="B2874" t="s">
        <v>415</v>
      </c>
      <c r="C2874" t="s">
        <v>175</v>
      </c>
      <c r="D2874" t="s">
        <v>43</v>
      </c>
      <c r="E2874" t="s">
        <v>106</v>
      </c>
      <c r="F2874" t="s">
        <v>70</v>
      </c>
      <c r="G2874" t="s">
        <v>23</v>
      </c>
      <c r="H2874" s="1">
        <v>44571</v>
      </c>
      <c r="I2874" s="2">
        <v>44571.2875</v>
      </c>
      <c r="J2874">
        <v>6.9</v>
      </c>
      <c r="K2874" t="s">
        <v>24</v>
      </c>
      <c r="L2874">
        <v>0</v>
      </c>
      <c r="M2874">
        <v>4</v>
      </c>
      <c r="N2874" t="s">
        <v>817</v>
      </c>
      <c r="O2874" s="3" t="str">
        <f>TEXT(Ticket_Table[[#This Row],[raised_date]],"YYYY-MM")</f>
        <v>2022-01</v>
      </c>
      <c r="P2874" s="3" t="str">
        <f>IF(Ticket_Table[[#This Row],[resolution_hrs]]&lt;=4,"Fast",IF(Ticket_Table[[#This Row],[resolution_hrs]]&lt;=24,"Normal",IF(Ticket_Table[[#This Row],[resolution_hrs]]&lt;=48,"Slow","Very Slow")))</f>
        <v>Normal</v>
      </c>
      <c r="Q2874" s="3">
        <f>YEAR(Ticket_Table[[#This Row],[raised_date]])</f>
        <v>2022</v>
      </c>
    </row>
    <row r="2875" spans="1:17">
      <c r="A2875" t="s">
        <v>3436</v>
      </c>
      <c r="B2875" t="s">
        <v>200</v>
      </c>
      <c r="C2875" t="s">
        <v>50</v>
      </c>
      <c r="D2875" t="s">
        <v>20</v>
      </c>
      <c r="E2875" t="s">
        <v>56</v>
      </c>
      <c r="F2875" t="s">
        <v>45</v>
      </c>
      <c r="G2875" t="s">
        <v>23</v>
      </c>
      <c r="H2875" s="1">
        <v>44430</v>
      </c>
      <c r="I2875" s="2">
        <v>44430.0958333333</v>
      </c>
      <c r="J2875">
        <v>2.3</v>
      </c>
      <c r="K2875" t="s">
        <v>24</v>
      </c>
      <c r="L2875">
        <v>0</v>
      </c>
      <c r="M2875">
        <v>5</v>
      </c>
      <c r="N2875" t="s">
        <v>1164</v>
      </c>
      <c r="O2875" s="3" t="str">
        <f>TEXT(Ticket_Table[[#This Row],[raised_date]],"YYYY-MM")</f>
        <v>2021-08</v>
      </c>
      <c r="P2875" s="3" t="str">
        <f>IF(Ticket_Table[[#This Row],[resolution_hrs]]&lt;=4,"Fast",IF(Ticket_Table[[#This Row],[resolution_hrs]]&lt;=24,"Normal",IF(Ticket_Table[[#This Row],[resolution_hrs]]&lt;=48,"Slow","Very Slow")))</f>
        <v>Fast</v>
      </c>
      <c r="Q2875" s="3">
        <f>YEAR(Ticket_Table[[#This Row],[raised_date]])</f>
        <v>2021</v>
      </c>
    </row>
    <row r="2876" spans="1:17">
      <c r="A2876" t="s">
        <v>3437</v>
      </c>
      <c r="B2876" t="s">
        <v>395</v>
      </c>
      <c r="C2876" t="s">
        <v>201</v>
      </c>
      <c r="D2876" t="s">
        <v>90</v>
      </c>
      <c r="E2876" t="s">
        <v>44</v>
      </c>
      <c r="F2876" t="s">
        <v>45</v>
      </c>
      <c r="G2876" t="s">
        <v>23</v>
      </c>
      <c r="H2876" s="1">
        <v>45017</v>
      </c>
      <c r="I2876" s="2">
        <v>45017.1291666667</v>
      </c>
      <c r="J2876">
        <v>3.1</v>
      </c>
      <c r="K2876" t="s">
        <v>24</v>
      </c>
      <c r="L2876">
        <v>0</v>
      </c>
      <c r="M2876">
        <v>4</v>
      </c>
      <c r="N2876" t="s">
        <v>86</v>
      </c>
      <c r="O2876" s="3" t="str">
        <f>TEXT(Ticket_Table[[#This Row],[raised_date]],"YYYY-MM")</f>
        <v>2023-04</v>
      </c>
      <c r="P2876" s="3" t="str">
        <f>IF(Ticket_Table[[#This Row],[resolution_hrs]]&lt;=4,"Fast",IF(Ticket_Table[[#This Row],[resolution_hrs]]&lt;=24,"Normal",IF(Ticket_Table[[#This Row],[resolution_hrs]]&lt;=48,"Slow","Very Slow")))</f>
        <v>Fast</v>
      </c>
      <c r="Q2876" s="3">
        <f>YEAR(Ticket_Table[[#This Row],[raised_date]])</f>
        <v>2023</v>
      </c>
    </row>
    <row r="2877" spans="1:17">
      <c r="A2877" t="s">
        <v>3438</v>
      </c>
      <c r="B2877" t="s">
        <v>707</v>
      </c>
      <c r="C2877" t="s">
        <v>287</v>
      </c>
      <c r="D2877" t="s">
        <v>36</v>
      </c>
      <c r="E2877" t="s">
        <v>21</v>
      </c>
      <c r="F2877" t="s">
        <v>22</v>
      </c>
      <c r="G2877" t="s">
        <v>23</v>
      </c>
      <c r="H2877" s="1">
        <v>45016</v>
      </c>
      <c r="I2877" s="2">
        <v>45019.1375</v>
      </c>
      <c r="J2877">
        <v>75.3</v>
      </c>
      <c r="K2877" t="s">
        <v>32</v>
      </c>
      <c r="L2877">
        <v>0</v>
      </c>
      <c r="M2877">
        <v>4</v>
      </c>
      <c r="N2877" t="s">
        <v>620</v>
      </c>
      <c r="O2877" s="3" t="str">
        <f>TEXT(Ticket_Table[[#This Row],[raised_date]],"YYYY-MM")</f>
        <v>2023-03</v>
      </c>
      <c r="P2877" s="3" t="str">
        <f>IF(Ticket_Table[[#This Row],[resolution_hrs]]&lt;=4,"Fast",IF(Ticket_Table[[#This Row],[resolution_hrs]]&lt;=24,"Normal",IF(Ticket_Table[[#This Row],[resolution_hrs]]&lt;=48,"Slow","Very Slow")))</f>
        <v>Very Slow</v>
      </c>
      <c r="Q2877" s="3">
        <f>YEAR(Ticket_Table[[#This Row],[raised_date]])</f>
        <v>2023</v>
      </c>
    </row>
    <row r="2878" spans="1:17">
      <c r="A2878" t="s">
        <v>3439</v>
      </c>
      <c r="B2878" t="s">
        <v>562</v>
      </c>
      <c r="C2878" t="s">
        <v>78</v>
      </c>
      <c r="D2878" t="s">
        <v>36</v>
      </c>
      <c r="E2878" t="s">
        <v>44</v>
      </c>
      <c r="F2878" t="s">
        <v>38</v>
      </c>
      <c r="G2878" t="s">
        <v>46</v>
      </c>
      <c r="H2878" s="1">
        <v>45131</v>
      </c>
      <c r="I2878" s="2">
        <v>45131.825</v>
      </c>
      <c r="J2878">
        <v>19.8</v>
      </c>
      <c r="K2878" t="s">
        <v>24</v>
      </c>
      <c r="L2878">
        <v>1</v>
      </c>
      <c r="M2878">
        <v>2</v>
      </c>
      <c r="N2878" t="s">
        <v>876</v>
      </c>
      <c r="O2878" s="3" t="str">
        <f>TEXT(Ticket_Table[[#This Row],[raised_date]],"YYYY-MM")</f>
        <v>2023-07</v>
      </c>
      <c r="P2878" s="3" t="str">
        <f>IF(Ticket_Table[[#This Row],[resolution_hrs]]&lt;=4,"Fast",IF(Ticket_Table[[#This Row],[resolution_hrs]]&lt;=24,"Normal",IF(Ticket_Table[[#This Row],[resolution_hrs]]&lt;=48,"Slow","Very Slow")))</f>
        <v>Normal</v>
      </c>
      <c r="Q2878" s="3">
        <f>YEAR(Ticket_Table[[#This Row],[raised_date]])</f>
        <v>2023</v>
      </c>
    </row>
    <row r="2879" spans="1:17">
      <c r="A2879" t="s">
        <v>3440</v>
      </c>
      <c r="B2879" t="s">
        <v>576</v>
      </c>
      <c r="C2879" t="s">
        <v>117</v>
      </c>
      <c r="D2879" t="s">
        <v>43</v>
      </c>
      <c r="E2879" t="s">
        <v>44</v>
      </c>
      <c r="F2879" t="s">
        <v>22</v>
      </c>
      <c r="G2879" t="s">
        <v>23</v>
      </c>
      <c r="H2879" s="1">
        <v>44753</v>
      </c>
      <c r="I2879" s="2">
        <v>44753.3541666667</v>
      </c>
      <c r="J2879">
        <v>8.5</v>
      </c>
      <c r="K2879" t="s">
        <v>24</v>
      </c>
      <c r="L2879">
        <v>0</v>
      </c>
      <c r="M2879">
        <v>3</v>
      </c>
      <c r="N2879" t="s">
        <v>447</v>
      </c>
      <c r="O2879" s="3" t="str">
        <f>TEXT(Ticket_Table[[#This Row],[raised_date]],"YYYY-MM")</f>
        <v>2022-07</v>
      </c>
      <c r="P2879" s="3" t="str">
        <f>IF(Ticket_Table[[#This Row],[resolution_hrs]]&lt;=4,"Fast",IF(Ticket_Table[[#This Row],[resolution_hrs]]&lt;=24,"Normal",IF(Ticket_Table[[#This Row],[resolution_hrs]]&lt;=48,"Slow","Very Slow")))</f>
        <v>Normal</v>
      </c>
      <c r="Q2879" s="3">
        <f>YEAR(Ticket_Table[[#This Row],[raised_date]])</f>
        <v>2022</v>
      </c>
    </row>
    <row r="2880" spans="1:17">
      <c r="A2880" t="s">
        <v>3441</v>
      </c>
      <c r="B2880" t="s">
        <v>116</v>
      </c>
      <c r="C2880" t="s">
        <v>261</v>
      </c>
      <c r="D2880" t="s">
        <v>36</v>
      </c>
      <c r="E2880" t="s">
        <v>166</v>
      </c>
      <c r="F2880" t="s">
        <v>22</v>
      </c>
      <c r="G2880" t="s">
        <v>23</v>
      </c>
      <c r="H2880" s="1">
        <v>44986</v>
      </c>
      <c r="I2880" s="2">
        <v>44989.3083333333</v>
      </c>
      <c r="J2880">
        <v>79.4</v>
      </c>
      <c r="K2880" t="s">
        <v>32</v>
      </c>
      <c r="L2880">
        <v>1</v>
      </c>
      <c r="M2880">
        <v>4</v>
      </c>
      <c r="N2880" t="s">
        <v>586</v>
      </c>
      <c r="O2880" s="3" t="str">
        <f>TEXT(Ticket_Table[[#This Row],[raised_date]],"YYYY-MM")</f>
        <v>2023-03</v>
      </c>
      <c r="P2880" s="3" t="str">
        <f>IF(Ticket_Table[[#This Row],[resolution_hrs]]&lt;=4,"Fast",IF(Ticket_Table[[#This Row],[resolution_hrs]]&lt;=24,"Normal",IF(Ticket_Table[[#This Row],[resolution_hrs]]&lt;=48,"Slow","Very Slow")))</f>
        <v>Very Slow</v>
      </c>
      <c r="Q2880" s="3">
        <f>YEAR(Ticket_Table[[#This Row],[raised_date]])</f>
        <v>2023</v>
      </c>
    </row>
    <row r="2881" spans="1:17">
      <c r="A2881" t="s">
        <v>3442</v>
      </c>
      <c r="B2881" t="s">
        <v>235</v>
      </c>
      <c r="C2881" t="s">
        <v>82</v>
      </c>
      <c r="D2881" t="s">
        <v>90</v>
      </c>
      <c r="E2881" t="s">
        <v>51</v>
      </c>
      <c r="F2881" t="s">
        <v>38</v>
      </c>
      <c r="G2881" t="s">
        <v>31</v>
      </c>
      <c r="H2881" s="1">
        <v>45176</v>
      </c>
      <c r="I2881" s="2">
        <v>45177.4916666667</v>
      </c>
      <c r="J2881">
        <v>35.8</v>
      </c>
      <c r="K2881" t="s">
        <v>32</v>
      </c>
      <c r="L2881">
        <v>0</v>
      </c>
      <c r="M2881">
        <v>1</v>
      </c>
      <c r="N2881" t="s">
        <v>701</v>
      </c>
      <c r="O2881" s="3" t="str">
        <f>TEXT(Ticket_Table[[#This Row],[raised_date]],"YYYY-MM")</f>
        <v>2023-09</v>
      </c>
      <c r="P2881" s="3" t="str">
        <f>IF(Ticket_Table[[#This Row],[resolution_hrs]]&lt;=4,"Fast",IF(Ticket_Table[[#This Row],[resolution_hrs]]&lt;=24,"Normal",IF(Ticket_Table[[#This Row],[resolution_hrs]]&lt;=48,"Slow","Very Slow")))</f>
        <v>Slow</v>
      </c>
      <c r="Q2881" s="3">
        <f>YEAR(Ticket_Table[[#This Row],[raised_date]])</f>
        <v>2023</v>
      </c>
    </row>
    <row r="2882" spans="1:17">
      <c r="A2882" t="s">
        <v>3443</v>
      </c>
      <c r="B2882" t="s">
        <v>1003</v>
      </c>
      <c r="C2882" t="s">
        <v>175</v>
      </c>
      <c r="D2882" t="s">
        <v>43</v>
      </c>
      <c r="E2882" t="s">
        <v>21</v>
      </c>
      <c r="F2882" t="s">
        <v>70</v>
      </c>
      <c r="G2882" t="s">
        <v>31</v>
      </c>
      <c r="H2882" s="1">
        <v>45060</v>
      </c>
      <c r="I2882" s="2">
        <v>45062.1041666667</v>
      </c>
      <c r="J2882">
        <v>50.5</v>
      </c>
      <c r="K2882" t="s">
        <v>32</v>
      </c>
      <c r="L2882">
        <v>0</v>
      </c>
      <c r="M2882">
        <v>4</v>
      </c>
      <c r="N2882" t="s">
        <v>395</v>
      </c>
      <c r="O2882" s="3" t="str">
        <f>TEXT(Ticket_Table[[#This Row],[raised_date]],"YYYY-MM")</f>
        <v>2023-05</v>
      </c>
      <c r="P2882" s="3" t="str">
        <f>IF(Ticket_Table[[#This Row],[resolution_hrs]]&lt;=4,"Fast",IF(Ticket_Table[[#This Row],[resolution_hrs]]&lt;=24,"Normal",IF(Ticket_Table[[#This Row],[resolution_hrs]]&lt;=48,"Slow","Very Slow")))</f>
        <v>Very Slow</v>
      </c>
      <c r="Q2882" s="3">
        <f>YEAR(Ticket_Table[[#This Row],[raised_date]])</f>
        <v>2023</v>
      </c>
    </row>
    <row r="2883" spans="1:17">
      <c r="A2883" t="s">
        <v>3444</v>
      </c>
      <c r="B2883" t="s">
        <v>919</v>
      </c>
      <c r="C2883" t="s">
        <v>287</v>
      </c>
      <c r="D2883" t="s">
        <v>36</v>
      </c>
      <c r="E2883" t="s">
        <v>166</v>
      </c>
      <c r="F2883" t="s">
        <v>45</v>
      </c>
      <c r="G2883" t="s">
        <v>31</v>
      </c>
      <c r="H2883" s="1">
        <v>44538</v>
      </c>
      <c r="I2883" s="2">
        <v>44538.0833333333</v>
      </c>
      <c r="J2883">
        <v>2</v>
      </c>
      <c r="K2883" t="s">
        <v>24</v>
      </c>
      <c r="L2883">
        <v>2</v>
      </c>
      <c r="M2883">
        <v>3</v>
      </c>
      <c r="N2883" t="s">
        <v>248</v>
      </c>
      <c r="O2883" s="3" t="str">
        <f>TEXT(Ticket_Table[[#This Row],[raised_date]],"YYYY-MM")</f>
        <v>2021-12</v>
      </c>
      <c r="P2883" s="3" t="str">
        <f>IF(Ticket_Table[[#This Row],[resolution_hrs]]&lt;=4,"Fast",IF(Ticket_Table[[#This Row],[resolution_hrs]]&lt;=24,"Normal",IF(Ticket_Table[[#This Row],[resolution_hrs]]&lt;=48,"Slow","Very Slow")))</f>
        <v>Fast</v>
      </c>
      <c r="Q2883" s="3">
        <f>YEAR(Ticket_Table[[#This Row],[raised_date]])</f>
        <v>2021</v>
      </c>
    </row>
    <row r="2884" spans="1:17">
      <c r="A2884" t="s">
        <v>3445</v>
      </c>
      <c r="B2884" t="s">
        <v>452</v>
      </c>
      <c r="C2884" t="s">
        <v>287</v>
      </c>
      <c r="D2884" t="s">
        <v>29</v>
      </c>
      <c r="E2884" t="s">
        <v>56</v>
      </c>
      <c r="F2884" t="s">
        <v>22</v>
      </c>
      <c r="G2884" t="s">
        <v>31</v>
      </c>
      <c r="H2884" s="1">
        <v>44428</v>
      </c>
      <c r="I2884" s="2">
        <v>44429.7</v>
      </c>
      <c r="J2884">
        <v>40.8</v>
      </c>
      <c r="K2884" t="s">
        <v>24</v>
      </c>
      <c r="L2884">
        <v>0</v>
      </c>
      <c r="M2884">
        <v>5</v>
      </c>
      <c r="N2884" t="s">
        <v>340</v>
      </c>
      <c r="O2884" s="3" t="str">
        <f>TEXT(Ticket_Table[[#This Row],[raised_date]],"YYYY-MM")</f>
        <v>2021-08</v>
      </c>
      <c r="P2884" s="3" t="str">
        <f>IF(Ticket_Table[[#This Row],[resolution_hrs]]&lt;=4,"Fast",IF(Ticket_Table[[#This Row],[resolution_hrs]]&lt;=24,"Normal",IF(Ticket_Table[[#This Row],[resolution_hrs]]&lt;=48,"Slow","Very Slow")))</f>
        <v>Slow</v>
      </c>
      <c r="Q2884" s="3">
        <f>YEAR(Ticket_Table[[#This Row],[raised_date]])</f>
        <v>2021</v>
      </c>
    </row>
    <row r="2885" spans="1:17">
      <c r="A2885" t="s">
        <v>3446</v>
      </c>
      <c r="B2885" t="s">
        <v>71</v>
      </c>
      <c r="C2885" t="s">
        <v>19</v>
      </c>
      <c r="D2885" t="s">
        <v>29</v>
      </c>
      <c r="E2885" t="s">
        <v>166</v>
      </c>
      <c r="F2885" t="s">
        <v>70</v>
      </c>
      <c r="G2885" t="s">
        <v>46</v>
      </c>
      <c r="H2885" s="1">
        <v>44468</v>
      </c>
      <c r="I2885" s="2">
        <v>44469.9875</v>
      </c>
      <c r="J2885">
        <v>47.7</v>
      </c>
      <c r="K2885" t="s">
        <v>24</v>
      </c>
      <c r="L2885">
        <v>0</v>
      </c>
      <c r="M2885">
        <v>2</v>
      </c>
      <c r="N2885" t="s">
        <v>63</v>
      </c>
      <c r="O2885" s="3" t="str">
        <f>TEXT(Ticket_Table[[#This Row],[raised_date]],"YYYY-MM")</f>
        <v>2021-09</v>
      </c>
      <c r="P2885" s="3" t="str">
        <f>IF(Ticket_Table[[#This Row],[resolution_hrs]]&lt;=4,"Fast",IF(Ticket_Table[[#This Row],[resolution_hrs]]&lt;=24,"Normal",IF(Ticket_Table[[#This Row],[resolution_hrs]]&lt;=48,"Slow","Very Slow")))</f>
        <v>Slow</v>
      </c>
      <c r="Q2885" s="3">
        <f>YEAR(Ticket_Table[[#This Row],[raised_date]])</f>
        <v>2021</v>
      </c>
    </row>
    <row r="2886" spans="1:17">
      <c r="A2886" t="s">
        <v>3447</v>
      </c>
      <c r="B2886" t="s">
        <v>501</v>
      </c>
      <c r="C2886" t="s">
        <v>82</v>
      </c>
      <c r="D2886" t="s">
        <v>29</v>
      </c>
      <c r="E2886" t="s">
        <v>56</v>
      </c>
      <c r="F2886" t="s">
        <v>45</v>
      </c>
      <c r="G2886" t="s">
        <v>74</v>
      </c>
      <c r="H2886" s="1">
        <v>44317</v>
      </c>
      <c r="I2886" s="2">
        <v>44317.2125</v>
      </c>
      <c r="J2886">
        <v>5.1</v>
      </c>
      <c r="K2886" t="s">
        <v>32</v>
      </c>
      <c r="L2886">
        <v>0</v>
      </c>
      <c r="M2886">
        <v>4</v>
      </c>
      <c r="N2886" t="s">
        <v>499</v>
      </c>
      <c r="O2886" s="3" t="str">
        <f>TEXT(Ticket_Table[[#This Row],[raised_date]],"YYYY-MM")</f>
        <v>2021-05</v>
      </c>
      <c r="P2886" s="3" t="str">
        <f>IF(Ticket_Table[[#This Row],[resolution_hrs]]&lt;=4,"Fast",IF(Ticket_Table[[#This Row],[resolution_hrs]]&lt;=24,"Normal",IF(Ticket_Table[[#This Row],[resolution_hrs]]&lt;=48,"Slow","Very Slow")))</f>
        <v>Normal</v>
      </c>
      <c r="Q2886" s="3">
        <f>YEAR(Ticket_Table[[#This Row],[raised_date]])</f>
        <v>2021</v>
      </c>
    </row>
    <row r="2887" spans="1:17">
      <c r="A2887" t="s">
        <v>3448</v>
      </c>
      <c r="B2887" t="s">
        <v>293</v>
      </c>
      <c r="C2887" t="s">
        <v>117</v>
      </c>
      <c r="D2887" t="s">
        <v>29</v>
      </c>
      <c r="E2887" t="s">
        <v>51</v>
      </c>
      <c r="F2887" t="s">
        <v>45</v>
      </c>
      <c r="G2887" t="s">
        <v>31</v>
      </c>
      <c r="H2887" s="1">
        <v>44523</v>
      </c>
      <c r="I2887" s="2">
        <v>44523.1666666667</v>
      </c>
      <c r="J2887">
        <v>4</v>
      </c>
      <c r="K2887" t="s">
        <v>24</v>
      </c>
      <c r="L2887">
        <v>1</v>
      </c>
      <c r="M2887">
        <v>4</v>
      </c>
      <c r="N2887" t="s">
        <v>429</v>
      </c>
      <c r="O2887" s="3" t="str">
        <f>TEXT(Ticket_Table[[#This Row],[raised_date]],"YYYY-MM")</f>
        <v>2021-11</v>
      </c>
      <c r="P2887" s="3" t="str">
        <f>IF(Ticket_Table[[#This Row],[resolution_hrs]]&lt;=4,"Fast",IF(Ticket_Table[[#This Row],[resolution_hrs]]&lt;=24,"Normal",IF(Ticket_Table[[#This Row],[resolution_hrs]]&lt;=48,"Slow","Very Slow")))</f>
        <v>Fast</v>
      </c>
      <c r="Q2887" s="3">
        <f>YEAR(Ticket_Table[[#This Row],[raised_date]])</f>
        <v>2021</v>
      </c>
    </row>
    <row r="2888" spans="1:17">
      <c r="A2888" t="s">
        <v>3449</v>
      </c>
      <c r="B2888" t="s">
        <v>1136</v>
      </c>
      <c r="C2888" t="s">
        <v>28</v>
      </c>
      <c r="D2888" t="s">
        <v>29</v>
      </c>
      <c r="E2888" t="s">
        <v>30</v>
      </c>
      <c r="F2888" t="s">
        <v>22</v>
      </c>
      <c r="G2888" t="s">
        <v>23</v>
      </c>
      <c r="H2888" s="1">
        <v>44409</v>
      </c>
      <c r="I2888" s="2">
        <v>44410.9125</v>
      </c>
      <c r="J2888">
        <v>45.9</v>
      </c>
      <c r="K2888" t="s">
        <v>24</v>
      </c>
      <c r="L2888">
        <v>1</v>
      </c>
      <c r="M2888">
        <v>3</v>
      </c>
      <c r="N2888" t="s">
        <v>1003</v>
      </c>
      <c r="O2888" s="3" t="str">
        <f>TEXT(Ticket_Table[[#This Row],[raised_date]],"YYYY-MM")</f>
        <v>2021-08</v>
      </c>
      <c r="P2888" s="3" t="str">
        <f>IF(Ticket_Table[[#This Row],[resolution_hrs]]&lt;=4,"Fast",IF(Ticket_Table[[#This Row],[resolution_hrs]]&lt;=24,"Normal",IF(Ticket_Table[[#This Row],[resolution_hrs]]&lt;=48,"Slow","Very Slow")))</f>
        <v>Slow</v>
      </c>
      <c r="Q2888" s="3">
        <f>YEAR(Ticket_Table[[#This Row],[raised_date]])</f>
        <v>2021</v>
      </c>
    </row>
    <row r="2889" spans="1:17">
      <c r="A2889" t="s">
        <v>3450</v>
      </c>
      <c r="B2889" t="s">
        <v>950</v>
      </c>
      <c r="C2889" t="s">
        <v>175</v>
      </c>
      <c r="D2889" t="s">
        <v>43</v>
      </c>
      <c r="E2889" t="s">
        <v>166</v>
      </c>
      <c r="F2889" t="s">
        <v>70</v>
      </c>
      <c r="G2889" t="s">
        <v>23</v>
      </c>
      <c r="H2889" s="1">
        <v>45049</v>
      </c>
      <c r="I2889" s="2">
        <v>45049.4958333333</v>
      </c>
      <c r="J2889">
        <v>11.9</v>
      </c>
      <c r="K2889" t="s">
        <v>24</v>
      </c>
      <c r="L2889">
        <v>1</v>
      </c>
      <c r="M2889">
        <v>2</v>
      </c>
      <c r="N2889" t="s">
        <v>487</v>
      </c>
      <c r="O2889" s="3" t="str">
        <f>TEXT(Ticket_Table[[#This Row],[raised_date]],"YYYY-MM")</f>
        <v>2023-05</v>
      </c>
      <c r="P2889" s="3" t="str">
        <f>IF(Ticket_Table[[#This Row],[resolution_hrs]]&lt;=4,"Fast",IF(Ticket_Table[[#This Row],[resolution_hrs]]&lt;=24,"Normal",IF(Ticket_Table[[#This Row],[resolution_hrs]]&lt;=48,"Slow","Very Slow")))</f>
        <v>Normal</v>
      </c>
      <c r="Q2889" s="3">
        <f>YEAR(Ticket_Table[[#This Row],[raised_date]])</f>
        <v>2023</v>
      </c>
    </row>
    <row r="2890" spans="1:17">
      <c r="A2890" t="s">
        <v>3451</v>
      </c>
      <c r="B2890" t="s">
        <v>65</v>
      </c>
      <c r="C2890" t="s">
        <v>102</v>
      </c>
      <c r="D2890" t="s">
        <v>20</v>
      </c>
      <c r="E2890" t="s">
        <v>69</v>
      </c>
      <c r="F2890" t="s">
        <v>70</v>
      </c>
      <c r="G2890" t="s">
        <v>31</v>
      </c>
      <c r="H2890" s="1">
        <v>45185</v>
      </c>
      <c r="I2890" s="2">
        <v>45187.9791666667</v>
      </c>
      <c r="J2890">
        <v>71.5</v>
      </c>
      <c r="K2890" t="s">
        <v>32</v>
      </c>
      <c r="L2890">
        <v>0</v>
      </c>
      <c r="M2890">
        <v>5</v>
      </c>
      <c r="N2890" t="s">
        <v>506</v>
      </c>
      <c r="O2890" s="3" t="str">
        <f>TEXT(Ticket_Table[[#This Row],[raised_date]],"YYYY-MM")</f>
        <v>2023-09</v>
      </c>
      <c r="P2890" s="3" t="str">
        <f>IF(Ticket_Table[[#This Row],[resolution_hrs]]&lt;=4,"Fast",IF(Ticket_Table[[#This Row],[resolution_hrs]]&lt;=24,"Normal",IF(Ticket_Table[[#This Row],[resolution_hrs]]&lt;=48,"Slow","Very Slow")))</f>
        <v>Very Slow</v>
      </c>
      <c r="Q2890" s="3">
        <f>YEAR(Ticket_Table[[#This Row],[raised_date]])</f>
        <v>2023</v>
      </c>
    </row>
    <row r="2891" spans="1:17">
      <c r="A2891" t="s">
        <v>3452</v>
      </c>
      <c r="B2891" t="s">
        <v>110</v>
      </c>
      <c r="C2891" t="s">
        <v>201</v>
      </c>
      <c r="D2891" t="s">
        <v>20</v>
      </c>
      <c r="E2891" t="s">
        <v>30</v>
      </c>
      <c r="F2891" t="s">
        <v>22</v>
      </c>
      <c r="G2891" t="s">
        <v>23</v>
      </c>
      <c r="H2891" s="1">
        <v>45094</v>
      </c>
      <c r="I2891" s="2">
        <v>45095.975</v>
      </c>
      <c r="J2891">
        <v>47.4</v>
      </c>
      <c r="K2891" t="s">
        <v>24</v>
      </c>
      <c r="L2891">
        <v>0</v>
      </c>
      <c r="M2891">
        <v>3</v>
      </c>
      <c r="N2891" t="s">
        <v>1356</v>
      </c>
      <c r="O2891" s="3" t="str">
        <f>TEXT(Ticket_Table[[#This Row],[raised_date]],"YYYY-MM")</f>
        <v>2023-06</v>
      </c>
      <c r="P2891" s="3" t="str">
        <f>IF(Ticket_Table[[#This Row],[resolution_hrs]]&lt;=4,"Fast",IF(Ticket_Table[[#This Row],[resolution_hrs]]&lt;=24,"Normal",IF(Ticket_Table[[#This Row],[resolution_hrs]]&lt;=48,"Slow","Very Slow")))</f>
        <v>Slow</v>
      </c>
      <c r="Q2891" s="3">
        <f>YEAR(Ticket_Table[[#This Row],[raised_date]])</f>
        <v>2023</v>
      </c>
    </row>
    <row r="2892" spans="1:17">
      <c r="A2892" t="s">
        <v>3453</v>
      </c>
      <c r="B2892" t="s">
        <v>59</v>
      </c>
      <c r="C2892" t="s">
        <v>19</v>
      </c>
      <c r="D2892" t="s">
        <v>43</v>
      </c>
      <c r="E2892" t="s">
        <v>37</v>
      </c>
      <c r="F2892" t="s">
        <v>45</v>
      </c>
      <c r="G2892" t="s">
        <v>46</v>
      </c>
      <c r="H2892" s="1">
        <v>44568</v>
      </c>
      <c r="I2892" s="2">
        <v>44568.0458333333</v>
      </c>
      <c r="J2892">
        <v>1.1</v>
      </c>
      <c r="K2892" t="s">
        <v>24</v>
      </c>
      <c r="L2892">
        <v>0</v>
      </c>
      <c r="M2892">
        <v>2</v>
      </c>
      <c r="N2892" t="s">
        <v>305</v>
      </c>
      <c r="O2892" s="3" t="str">
        <f>TEXT(Ticket_Table[[#This Row],[raised_date]],"YYYY-MM")</f>
        <v>2022-01</v>
      </c>
      <c r="P2892" s="3" t="str">
        <f>IF(Ticket_Table[[#This Row],[resolution_hrs]]&lt;=4,"Fast",IF(Ticket_Table[[#This Row],[resolution_hrs]]&lt;=24,"Normal",IF(Ticket_Table[[#This Row],[resolution_hrs]]&lt;=48,"Slow","Very Slow")))</f>
        <v>Fast</v>
      </c>
      <c r="Q2892" s="3">
        <f>YEAR(Ticket_Table[[#This Row],[raised_date]])</f>
        <v>2022</v>
      </c>
    </row>
    <row r="2893" spans="1:17">
      <c r="A2893" t="s">
        <v>3454</v>
      </c>
      <c r="B2893" t="s">
        <v>382</v>
      </c>
      <c r="C2893" t="s">
        <v>82</v>
      </c>
      <c r="D2893" t="s">
        <v>43</v>
      </c>
      <c r="E2893" t="s">
        <v>166</v>
      </c>
      <c r="F2893" t="s">
        <v>45</v>
      </c>
      <c r="G2893" t="s">
        <v>46</v>
      </c>
      <c r="H2893" s="1">
        <v>44974</v>
      </c>
      <c r="I2893" s="2">
        <v>44974.1666666667</v>
      </c>
      <c r="J2893">
        <v>4</v>
      </c>
      <c r="K2893" t="s">
        <v>24</v>
      </c>
      <c r="L2893">
        <v>0</v>
      </c>
      <c r="M2893">
        <v>3</v>
      </c>
      <c r="N2893" t="s">
        <v>668</v>
      </c>
      <c r="O2893" s="3" t="str">
        <f>TEXT(Ticket_Table[[#This Row],[raised_date]],"YYYY-MM")</f>
        <v>2023-02</v>
      </c>
      <c r="P2893" s="3" t="str">
        <f>IF(Ticket_Table[[#This Row],[resolution_hrs]]&lt;=4,"Fast",IF(Ticket_Table[[#This Row],[resolution_hrs]]&lt;=24,"Normal",IF(Ticket_Table[[#This Row],[resolution_hrs]]&lt;=48,"Slow","Very Slow")))</f>
        <v>Fast</v>
      </c>
      <c r="Q2893" s="3">
        <f>YEAR(Ticket_Table[[#This Row],[raised_date]])</f>
        <v>2023</v>
      </c>
    </row>
    <row r="2894" spans="1:17">
      <c r="A2894" t="s">
        <v>3455</v>
      </c>
      <c r="B2894" t="s">
        <v>810</v>
      </c>
      <c r="C2894" t="s">
        <v>68</v>
      </c>
      <c r="D2894" t="s">
        <v>90</v>
      </c>
      <c r="E2894" t="s">
        <v>56</v>
      </c>
      <c r="F2894" t="s">
        <v>22</v>
      </c>
      <c r="G2894" t="s">
        <v>74</v>
      </c>
      <c r="H2894" s="1">
        <v>44931</v>
      </c>
      <c r="I2894" s="2">
        <v>44931.3875</v>
      </c>
      <c r="J2894">
        <v>9.3</v>
      </c>
      <c r="K2894" t="s">
        <v>24</v>
      </c>
      <c r="L2894">
        <v>0</v>
      </c>
      <c r="M2894">
        <v>4</v>
      </c>
      <c r="N2894" t="s">
        <v>541</v>
      </c>
      <c r="O2894" s="3" t="str">
        <f>TEXT(Ticket_Table[[#This Row],[raised_date]],"YYYY-MM")</f>
        <v>2023-01</v>
      </c>
      <c r="P2894" s="3" t="str">
        <f>IF(Ticket_Table[[#This Row],[resolution_hrs]]&lt;=4,"Fast",IF(Ticket_Table[[#This Row],[resolution_hrs]]&lt;=24,"Normal",IF(Ticket_Table[[#This Row],[resolution_hrs]]&lt;=48,"Slow","Very Slow")))</f>
        <v>Normal</v>
      </c>
      <c r="Q2894" s="3">
        <f>YEAR(Ticket_Table[[#This Row],[raised_date]])</f>
        <v>2023</v>
      </c>
    </row>
    <row r="2895" spans="1:17">
      <c r="A2895" t="s">
        <v>3456</v>
      </c>
      <c r="B2895" t="s">
        <v>155</v>
      </c>
      <c r="C2895" t="s">
        <v>50</v>
      </c>
      <c r="D2895" t="s">
        <v>20</v>
      </c>
      <c r="E2895" t="s">
        <v>21</v>
      </c>
      <c r="F2895" t="s">
        <v>22</v>
      </c>
      <c r="G2895" t="s">
        <v>31</v>
      </c>
      <c r="H2895" s="1">
        <v>44256</v>
      </c>
      <c r="I2895" s="2">
        <v>44256.5958333333</v>
      </c>
      <c r="J2895">
        <v>14.3</v>
      </c>
      <c r="K2895" t="s">
        <v>24</v>
      </c>
      <c r="L2895">
        <v>0</v>
      </c>
      <c r="M2895">
        <v>3</v>
      </c>
      <c r="N2895" t="s">
        <v>499</v>
      </c>
      <c r="O2895" s="3" t="str">
        <f>TEXT(Ticket_Table[[#This Row],[raised_date]],"YYYY-MM")</f>
        <v>2021-03</v>
      </c>
      <c r="P2895" s="3" t="str">
        <f>IF(Ticket_Table[[#This Row],[resolution_hrs]]&lt;=4,"Fast",IF(Ticket_Table[[#This Row],[resolution_hrs]]&lt;=24,"Normal",IF(Ticket_Table[[#This Row],[resolution_hrs]]&lt;=48,"Slow","Very Slow")))</f>
        <v>Normal</v>
      </c>
      <c r="Q2895" s="3">
        <f>YEAR(Ticket_Table[[#This Row],[raised_date]])</f>
        <v>2021</v>
      </c>
    </row>
    <row r="2896" spans="1:17">
      <c r="A2896" t="s">
        <v>3457</v>
      </c>
      <c r="B2896" t="s">
        <v>269</v>
      </c>
      <c r="C2896" t="s">
        <v>95</v>
      </c>
      <c r="D2896" t="s">
        <v>29</v>
      </c>
      <c r="E2896" t="s">
        <v>166</v>
      </c>
      <c r="F2896" t="s">
        <v>22</v>
      </c>
      <c r="G2896" t="s">
        <v>23</v>
      </c>
      <c r="H2896" s="1">
        <v>44464</v>
      </c>
      <c r="I2896" s="2">
        <v>44464.5333333333</v>
      </c>
      <c r="J2896">
        <v>12.8</v>
      </c>
      <c r="K2896" t="s">
        <v>24</v>
      </c>
      <c r="L2896">
        <v>0</v>
      </c>
      <c r="M2896">
        <v>5</v>
      </c>
      <c r="N2896" t="s">
        <v>174</v>
      </c>
      <c r="O2896" s="3" t="str">
        <f>TEXT(Ticket_Table[[#This Row],[raised_date]],"YYYY-MM")</f>
        <v>2021-09</v>
      </c>
      <c r="P2896" s="3" t="str">
        <f>IF(Ticket_Table[[#This Row],[resolution_hrs]]&lt;=4,"Fast",IF(Ticket_Table[[#This Row],[resolution_hrs]]&lt;=24,"Normal",IF(Ticket_Table[[#This Row],[resolution_hrs]]&lt;=48,"Slow","Very Slow")))</f>
        <v>Normal</v>
      </c>
      <c r="Q2896" s="3">
        <f>YEAR(Ticket_Table[[#This Row],[raised_date]])</f>
        <v>2021</v>
      </c>
    </row>
    <row r="2897" spans="1:17">
      <c r="A2897" t="s">
        <v>3458</v>
      </c>
      <c r="B2897" t="s">
        <v>447</v>
      </c>
      <c r="C2897" t="s">
        <v>140</v>
      </c>
      <c r="D2897" t="s">
        <v>43</v>
      </c>
      <c r="E2897" t="s">
        <v>56</v>
      </c>
      <c r="F2897" t="s">
        <v>45</v>
      </c>
      <c r="G2897" t="s">
        <v>31</v>
      </c>
      <c r="H2897" s="1">
        <v>45186</v>
      </c>
      <c r="I2897" s="2">
        <v>45186.1541666667</v>
      </c>
      <c r="J2897">
        <v>3.7</v>
      </c>
      <c r="K2897" t="s">
        <v>24</v>
      </c>
      <c r="L2897">
        <v>0</v>
      </c>
      <c r="M2897">
        <v>5</v>
      </c>
      <c r="N2897" t="s">
        <v>395</v>
      </c>
      <c r="O2897" s="3" t="str">
        <f>TEXT(Ticket_Table[[#This Row],[raised_date]],"YYYY-MM")</f>
        <v>2023-09</v>
      </c>
      <c r="P2897" s="3" t="str">
        <f>IF(Ticket_Table[[#This Row],[resolution_hrs]]&lt;=4,"Fast",IF(Ticket_Table[[#This Row],[resolution_hrs]]&lt;=24,"Normal",IF(Ticket_Table[[#This Row],[resolution_hrs]]&lt;=48,"Slow","Very Slow")))</f>
        <v>Fast</v>
      </c>
      <c r="Q2897" s="3">
        <f>YEAR(Ticket_Table[[#This Row],[raised_date]])</f>
        <v>2023</v>
      </c>
    </row>
    <row r="2898" spans="1:17">
      <c r="A2898" t="s">
        <v>3459</v>
      </c>
      <c r="B2898" t="s">
        <v>307</v>
      </c>
      <c r="C2898" t="s">
        <v>133</v>
      </c>
      <c r="D2898" t="s">
        <v>29</v>
      </c>
      <c r="E2898" t="s">
        <v>51</v>
      </c>
      <c r="F2898" t="s">
        <v>22</v>
      </c>
      <c r="G2898" t="s">
        <v>31</v>
      </c>
      <c r="H2898" s="1">
        <v>45196</v>
      </c>
      <c r="I2898" s="2">
        <v>45196.3375</v>
      </c>
      <c r="J2898">
        <v>8.1</v>
      </c>
      <c r="K2898" t="s">
        <v>24</v>
      </c>
      <c r="L2898">
        <v>0</v>
      </c>
      <c r="M2898">
        <v>5</v>
      </c>
      <c r="N2898" t="s">
        <v>1006</v>
      </c>
      <c r="O2898" s="3" t="str">
        <f>TEXT(Ticket_Table[[#This Row],[raised_date]],"YYYY-MM")</f>
        <v>2023-09</v>
      </c>
      <c r="P2898" s="3" t="str">
        <f>IF(Ticket_Table[[#This Row],[resolution_hrs]]&lt;=4,"Fast",IF(Ticket_Table[[#This Row],[resolution_hrs]]&lt;=24,"Normal",IF(Ticket_Table[[#This Row],[resolution_hrs]]&lt;=48,"Slow","Very Slow")))</f>
        <v>Normal</v>
      </c>
      <c r="Q2898" s="3">
        <f>YEAR(Ticket_Table[[#This Row],[raised_date]])</f>
        <v>2023</v>
      </c>
    </row>
    <row r="2899" spans="1:17">
      <c r="A2899" t="s">
        <v>3460</v>
      </c>
      <c r="B2899" t="s">
        <v>439</v>
      </c>
      <c r="C2899" t="s">
        <v>102</v>
      </c>
      <c r="D2899" t="s">
        <v>20</v>
      </c>
      <c r="E2899" t="s">
        <v>44</v>
      </c>
      <c r="F2899" t="s">
        <v>70</v>
      </c>
      <c r="G2899" t="s">
        <v>46</v>
      </c>
      <c r="H2899" s="1">
        <v>44428</v>
      </c>
      <c r="I2899" s="2">
        <v>44429.9375</v>
      </c>
      <c r="J2899">
        <v>46.5</v>
      </c>
      <c r="K2899" t="s">
        <v>24</v>
      </c>
      <c r="L2899">
        <v>0</v>
      </c>
      <c r="M2899">
        <v>3</v>
      </c>
      <c r="N2899" t="s">
        <v>640</v>
      </c>
      <c r="O2899" s="3" t="str">
        <f>TEXT(Ticket_Table[[#This Row],[raised_date]],"YYYY-MM")</f>
        <v>2021-08</v>
      </c>
      <c r="P2899" s="3" t="str">
        <f>IF(Ticket_Table[[#This Row],[resolution_hrs]]&lt;=4,"Fast",IF(Ticket_Table[[#This Row],[resolution_hrs]]&lt;=24,"Normal",IF(Ticket_Table[[#This Row],[resolution_hrs]]&lt;=48,"Slow","Very Slow")))</f>
        <v>Slow</v>
      </c>
      <c r="Q2899" s="3">
        <f>YEAR(Ticket_Table[[#This Row],[raised_date]])</f>
        <v>2021</v>
      </c>
    </row>
    <row r="2900" spans="1:17">
      <c r="A2900" t="s">
        <v>3461</v>
      </c>
      <c r="B2900" t="s">
        <v>594</v>
      </c>
      <c r="C2900" t="s">
        <v>42</v>
      </c>
      <c r="D2900" t="s">
        <v>36</v>
      </c>
      <c r="E2900" t="s">
        <v>166</v>
      </c>
      <c r="F2900" t="s">
        <v>70</v>
      </c>
      <c r="G2900" t="s">
        <v>46</v>
      </c>
      <c r="H2900" s="1">
        <v>45039</v>
      </c>
      <c r="I2900" s="2">
        <v>45040.1166666667</v>
      </c>
      <c r="J2900">
        <v>26.8</v>
      </c>
      <c r="K2900" t="s">
        <v>24</v>
      </c>
      <c r="L2900">
        <v>0</v>
      </c>
      <c r="M2900">
        <v>5</v>
      </c>
      <c r="N2900" t="s">
        <v>63</v>
      </c>
      <c r="O2900" s="3" t="str">
        <f>TEXT(Ticket_Table[[#This Row],[raised_date]],"YYYY-MM")</f>
        <v>2023-04</v>
      </c>
      <c r="P2900" s="3" t="str">
        <f>IF(Ticket_Table[[#This Row],[resolution_hrs]]&lt;=4,"Fast",IF(Ticket_Table[[#This Row],[resolution_hrs]]&lt;=24,"Normal",IF(Ticket_Table[[#This Row],[resolution_hrs]]&lt;=48,"Slow","Very Slow")))</f>
        <v>Slow</v>
      </c>
      <c r="Q2900" s="3">
        <f>YEAR(Ticket_Table[[#This Row],[raised_date]])</f>
        <v>2023</v>
      </c>
    </row>
    <row r="2901" spans="1:17">
      <c r="A2901" t="s">
        <v>3462</v>
      </c>
      <c r="B2901" t="s">
        <v>363</v>
      </c>
      <c r="C2901" t="s">
        <v>68</v>
      </c>
      <c r="D2901" t="s">
        <v>36</v>
      </c>
      <c r="E2901" t="s">
        <v>83</v>
      </c>
      <c r="F2901" t="s">
        <v>70</v>
      </c>
      <c r="G2901" t="s">
        <v>23</v>
      </c>
      <c r="H2901" s="1">
        <v>45099</v>
      </c>
      <c r="I2901" s="2">
        <v>45100.0291666667</v>
      </c>
      <c r="J2901">
        <v>24.7</v>
      </c>
      <c r="K2901" t="s">
        <v>24</v>
      </c>
      <c r="L2901">
        <v>0</v>
      </c>
      <c r="M2901">
        <v>4</v>
      </c>
      <c r="N2901" t="s">
        <v>1191</v>
      </c>
      <c r="O2901" s="3" t="str">
        <f>TEXT(Ticket_Table[[#This Row],[raised_date]],"YYYY-MM")</f>
        <v>2023-06</v>
      </c>
      <c r="P2901" s="3" t="str">
        <f>IF(Ticket_Table[[#This Row],[resolution_hrs]]&lt;=4,"Fast",IF(Ticket_Table[[#This Row],[resolution_hrs]]&lt;=24,"Normal",IF(Ticket_Table[[#This Row],[resolution_hrs]]&lt;=48,"Slow","Very Slow")))</f>
        <v>Slow</v>
      </c>
      <c r="Q2901" s="3">
        <f>YEAR(Ticket_Table[[#This Row],[raised_date]])</f>
        <v>2023</v>
      </c>
    </row>
    <row r="2902" spans="1:17">
      <c r="A2902" t="s">
        <v>3463</v>
      </c>
      <c r="B2902" t="s">
        <v>118</v>
      </c>
      <c r="C2902" t="s">
        <v>133</v>
      </c>
      <c r="D2902" t="s">
        <v>43</v>
      </c>
      <c r="E2902" t="s">
        <v>37</v>
      </c>
      <c r="F2902" t="s">
        <v>22</v>
      </c>
      <c r="G2902" t="s">
        <v>31</v>
      </c>
      <c r="H2902" s="1">
        <v>44291</v>
      </c>
      <c r="I2902" s="2">
        <v>44292.2583333333</v>
      </c>
      <c r="J2902">
        <v>30.2</v>
      </c>
      <c r="K2902" t="s">
        <v>24</v>
      </c>
      <c r="L2902">
        <v>0</v>
      </c>
      <c r="M2902">
        <v>5</v>
      </c>
      <c r="N2902" t="s">
        <v>160</v>
      </c>
      <c r="O2902" s="3" t="str">
        <f>TEXT(Ticket_Table[[#This Row],[raised_date]],"YYYY-MM")</f>
        <v>2021-04</v>
      </c>
      <c r="P2902" s="3" t="str">
        <f>IF(Ticket_Table[[#This Row],[resolution_hrs]]&lt;=4,"Fast",IF(Ticket_Table[[#This Row],[resolution_hrs]]&lt;=24,"Normal",IF(Ticket_Table[[#This Row],[resolution_hrs]]&lt;=48,"Slow","Very Slow")))</f>
        <v>Slow</v>
      </c>
      <c r="Q2902" s="3">
        <f>YEAR(Ticket_Table[[#This Row],[raised_date]])</f>
        <v>2021</v>
      </c>
    </row>
    <row r="2903" spans="1:17">
      <c r="A2903" t="s">
        <v>3464</v>
      </c>
      <c r="B2903" t="s">
        <v>368</v>
      </c>
      <c r="C2903" t="s">
        <v>50</v>
      </c>
      <c r="D2903" t="s">
        <v>90</v>
      </c>
      <c r="E2903" t="s">
        <v>83</v>
      </c>
      <c r="F2903" t="s">
        <v>22</v>
      </c>
      <c r="G2903" t="s">
        <v>46</v>
      </c>
      <c r="H2903" s="1">
        <v>44326</v>
      </c>
      <c r="I2903" s="2">
        <v>44329.9166666667</v>
      </c>
      <c r="J2903">
        <v>94</v>
      </c>
      <c r="K2903" t="s">
        <v>32</v>
      </c>
      <c r="L2903">
        <v>1</v>
      </c>
      <c r="M2903">
        <v>4</v>
      </c>
      <c r="N2903" t="s">
        <v>569</v>
      </c>
      <c r="O2903" s="3" t="str">
        <f>TEXT(Ticket_Table[[#This Row],[raised_date]],"YYYY-MM")</f>
        <v>2021-05</v>
      </c>
      <c r="P2903" s="3" t="str">
        <f>IF(Ticket_Table[[#This Row],[resolution_hrs]]&lt;=4,"Fast",IF(Ticket_Table[[#This Row],[resolution_hrs]]&lt;=24,"Normal",IF(Ticket_Table[[#This Row],[resolution_hrs]]&lt;=48,"Slow","Very Slow")))</f>
        <v>Very Slow</v>
      </c>
      <c r="Q2903" s="3">
        <f>YEAR(Ticket_Table[[#This Row],[raised_date]])</f>
        <v>2021</v>
      </c>
    </row>
    <row r="2904" spans="1:17">
      <c r="A2904" t="s">
        <v>3465</v>
      </c>
      <c r="B2904" t="s">
        <v>35</v>
      </c>
      <c r="C2904" t="s">
        <v>50</v>
      </c>
      <c r="D2904" t="s">
        <v>29</v>
      </c>
      <c r="E2904" t="s">
        <v>30</v>
      </c>
      <c r="F2904" t="s">
        <v>45</v>
      </c>
      <c r="G2904" t="s">
        <v>31</v>
      </c>
      <c r="H2904" s="1">
        <v>44732</v>
      </c>
      <c r="I2904" s="2">
        <v>44732.0875</v>
      </c>
      <c r="J2904">
        <v>2.1</v>
      </c>
      <c r="K2904" t="s">
        <v>24</v>
      </c>
      <c r="L2904">
        <v>0</v>
      </c>
      <c r="M2904">
        <v>3</v>
      </c>
      <c r="N2904" t="s">
        <v>1297</v>
      </c>
      <c r="O2904" s="3" t="str">
        <f>TEXT(Ticket_Table[[#This Row],[raised_date]],"YYYY-MM")</f>
        <v>2022-06</v>
      </c>
      <c r="P2904" s="3" t="str">
        <f>IF(Ticket_Table[[#This Row],[resolution_hrs]]&lt;=4,"Fast",IF(Ticket_Table[[#This Row],[resolution_hrs]]&lt;=24,"Normal",IF(Ticket_Table[[#This Row],[resolution_hrs]]&lt;=48,"Slow","Very Slow")))</f>
        <v>Fast</v>
      </c>
      <c r="Q2904" s="3">
        <f>YEAR(Ticket_Table[[#This Row],[raised_date]])</f>
        <v>2022</v>
      </c>
    </row>
    <row r="2905" spans="1:17">
      <c r="A2905" t="s">
        <v>3466</v>
      </c>
      <c r="B2905" t="s">
        <v>79</v>
      </c>
      <c r="C2905" t="s">
        <v>78</v>
      </c>
      <c r="D2905" t="s">
        <v>43</v>
      </c>
      <c r="E2905" t="s">
        <v>30</v>
      </c>
      <c r="F2905" t="s">
        <v>45</v>
      </c>
      <c r="G2905" t="s">
        <v>23</v>
      </c>
      <c r="H2905" s="1">
        <v>44840</v>
      </c>
      <c r="I2905" s="2">
        <v>44840.0416666667</v>
      </c>
      <c r="J2905">
        <v>1</v>
      </c>
      <c r="K2905" t="s">
        <v>24</v>
      </c>
      <c r="L2905">
        <v>1</v>
      </c>
      <c r="M2905">
        <v>5</v>
      </c>
      <c r="N2905" t="s">
        <v>1100</v>
      </c>
      <c r="O2905" s="3" t="str">
        <f>TEXT(Ticket_Table[[#This Row],[raised_date]],"YYYY-MM")</f>
        <v>2022-10</v>
      </c>
      <c r="P2905" s="3" t="str">
        <f>IF(Ticket_Table[[#This Row],[resolution_hrs]]&lt;=4,"Fast",IF(Ticket_Table[[#This Row],[resolution_hrs]]&lt;=24,"Normal",IF(Ticket_Table[[#This Row],[resolution_hrs]]&lt;=48,"Slow","Very Slow")))</f>
        <v>Fast</v>
      </c>
      <c r="Q2905" s="3">
        <f>YEAR(Ticket_Table[[#This Row],[raised_date]])</f>
        <v>2022</v>
      </c>
    </row>
    <row r="2906" spans="1:17">
      <c r="A2906" t="s">
        <v>3467</v>
      </c>
      <c r="B2906" t="s">
        <v>1093</v>
      </c>
      <c r="C2906" t="s">
        <v>19</v>
      </c>
      <c r="D2906" t="s">
        <v>90</v>
      </c>
      <c r="E2906" t="s">
        <v>44</v>
      </c>
      <c r="F2906" t="s">
        <v>38</v>
      </c>
      <c r="G2906" t="s">
        <v>23</v>
      </c>
      <c r="H2906" s="1">
        <v>44222</v>
      </c>
      <c r="I2906" s="2">
        <v>44222.5916666667</v>
      </c>
      <c r="J2906">
        <v>14.2</v>
      </c>
      <c r="K2906" t="s">
        <v>24</v>
      </c>
      <c r="L2906">
        <v>0</v>
      </c>
      <c r="M2906">
        <v>4</v>
      </c>
      <c r="N2906" t="s">
        <v>61</v>
      </c>
      <c r="O2906" s="3" t="str">
        <f>TEXT(Ticket_Table[[#This Row],[raised_date]],"YYYY-MM")</f>
        <v>2021-01</v>
      </c>
      <c r="P2906" s="3" t="str">
        <f>IF(Ticket_Table[[#This Row],[resolution_hrs]]&lt;=4,"Fast",IF(Ticket_Table[[#This Row],[resolution_hrs]]&lt;=24,"Normal",IF(Ticket_Table[[#This Row],[resolution_hrs]]&lt;=48,"Slow","Very Slow")))</f>
        <v>Normal</v>
      </c>
      <c r="Q2906" s="3">
        <f>YEAR(Ticket_Table[[#This Row],[raised_date]])</f>
        <v>2021</v>
      </c>
    </row>
    <row r="2907" spans="1:17">
      <c r="A2907" t="s">
        <v>3468</v>
      </c>
      <c r="B2907" t="s">
        <v>924</v>
      </c>
      <c r="C2907" t="s">
        <v>64</v>
      </c>
      <c r="D2907" t="s">
        <v>29</v>
      </c>
      <c r="E2907" t="s">
        <v>44</v>
      </c>
      <c r="F2907" t="s">
        <v>22</v>
      </c>
      <c r="G2907" t="s">
        <v>31</v>
      </c>
      <c r="H2907" s="1">
        <v>45271</v>
      </c>
      <c r="I2907" s="2">
        <v>45275.3625</v>
      </c>
      <c r="J2907">
        <v>104.7</v>
      </c>
      <c r="K2907" t="s">
        <v>32</v>
      </c>
      <c r="L2907">
        <v>0</v>
      </c>
      <c r="M2907">
        <v>5</v>
      </c>
      <c r="N2907" t="s">
        <v>63</v>
      </c>
      <c r="O2907" s="3" t="str">
        <f>TEXT(Ticket_Table[[#This Row],[raised_date]],"YYYY-MM")</f>
        <v>2023-12</v>
      </c>
      <c r="P2907" s="3" t="str">
        <f>IF(Ticket_Table[[#This Row],[resolution_hrs]]&lt;=4,"Fast",IF(Ticket_Table[[#This Row],[resolution_hrs]]&lt;=24,"Normal",IF(Ticket_Table[[#This Row],[resolution_hrs]]&lt;=48,"Slow","Very Slow")))</f>
        <v>Very Slow</v>
      </c>
      <c r="Q2907" s="3">
        <f>YEAR(Ticket_Table[[#This Row],[raised_date]])</f>
        <v>2023</v>
      </c>
    </row>
    <row r="2908" spans="1:17">
      <c r="A2908" t="s">
        <v>3469</v>
      </c>
      <c r="B2908" t="s">
        <v>926</v>
      </c>
      <c r="C2908" t="s">
        <v>117</v>
      </c>
      <c r="D2908" t="s">
        <v>20</v>
      </c>
      <c r="E2908" t="s">
        <v>30</v>
      </c>
      <c r="F2908" t="s">
        <v>70</v>
      </c>
      <c r="G2908" t="s">
        <v>74</v>
      </c>
      <c r="H2908" s="1">
        <v>44655</v>
      </c>
      <c r="I2908" s="2">
        <v>44656.1625</v>
      </c>
      <c r="J2908">
        <v>27.9</v>
      </c>
      <c r="K2908" t="s">
        <v>24</v>
      </c>
      <c r="L2908">
        <v>0</v>
      </c>
      <c r="M2908">
        <v>3</v>
      </c>
      <c r="N2908" t="s">
        <v>235</v>
      </c>
      <c r="O2908" s="3" t="str">
        <f>TEXT(Ticket_Table[[#This Row],[raised_date]],"YYYY-MM")</f>
        <v>2022-04</v>
      </c>
      <c r="P2908" s="3" t="str">
        <f>IF(Ticket_Table[[#This Row],[resolution_hrs]]&lt;=4,"Fast",IF(Ticket_Table[[#This Row],[resolution_hrs]]&lt;=24,"Normal",IF(Ticket_Table[[#This Row],[resolution_hrs]]&lt;=48,"Slow","Very Slow")))</f>
        <v>Slow</v>
      </c>
      <c r="Q2908" s="3">
        <f>YEAR(Ticket_Table[[#This Row],[raised_date]])</f>
        <v>2022</v>
      </c>
    </row>
    <row r="2909" spans="1:17">
      <c r="A2909" t="s">
        <v>3470</v>
      </c>
      <c r="B2909" t="s">
        <v>652</v>
      </c>
      <c r="C2909" t="s">
        <v>102</v>
      </c>
      <c r="D2909" t="s">
        <v>36</v>
      </c>
      <c r="E2909" t="s">
        <v>166</v>
      </c>
      <c r="F2909" t="s">
        <v>70</v>
      </c>
      <c r="G2909" t="s">
        <v>31</v>
      </c>
      <c r="H2909" s="1">
        <v>44889</v>
      </c>
      <c r="I2909" s="2">
        <v>44889.3541666667</v>
      </c>
      <c r="J2909">
        <v>8.5</v>
      </c>
      <c r="K2909" t="s">
        <v>24</v>
      </c>
      <c r="L2909">
        <v>0</v>
      </c>
      <c r="M2909">
        <v>5</v>
      </c>
      <c r="N2909" t="s">
        <v>266</v>
      </c>
      <c r="O2909" s="3" t="str">
        <f>TEXT(Ticket_Table[[#This Row],[raised_date]],"YYYY-MM")</f>
        <v>2022-11</v>
      </c>
      <c r="P2909" s="3" t="str">
        <f>IF(Ticket_Table[[#This Row],[resolution_hrs]]&lt;=4,"Fast",IF(Ticket_Table[[#This Row],[resolution_hrs]]&lt;=24,"Normal",IF(Ticket_Table[[#This Row],[resolution_hrs]]&lt;=48,"Slow","Very Slow")))</f>
        <v>Normal</v>
      </c>
      <c r="Q2909" s="3">
        <f>YEAR(Ticket_Table[[#This Row],[raised_date]])</f>
        <v>2022</v>
      </c>
    </row>
    <row r="2910" spans="1:17">
      <c r="A2910" t="s">
        <v>3471</v>
      </c>
      <c r="B2910" t="s">
        <v>269</v>
      </c>
      <c r="C2910" t="s">
        <v>68</v>
      </c>
      <c r="D2910" t="s">
        <v>90</v>
      </c>
      <c r="E2910" t="s">
        <v>106</v>
      </c>
      <c r="F2910" t="s">
        <v>22</v>
      </c>
      <c r="G2910" t="s">
        <v>74</v>
      </c>
      <c r="H2910" s="1">
        <v>45260</v>
      </c>
      <c r="I2910" s="2">
        <v>45264.1666666667</v>
      </c>
      <c r="J2910">
        <v>100</v>
      </c>
      <c r="K2910" t="s">
        <v>32</v>
      </c>
      <c r="L2910">
        <v>0</v>
      </c>
      <c r="M2910">
        <v>3</v>
      </c>
      <c r="N2910" t="s">
        <v>1191</v>
      </c>
      <c r="O2910" s="3" t="str">
        <f>TEXT(Ticket_Table[[#This Row],[raised_date]],"YYYY-MM")</f>
        <v>2023-11</v>
      </c>
      <c r="P2910" s="3" t="str">
        <f>IF(Ticket_Table[[#This Row],[resolution_hrs]]&lt;=4,"Fast",IF(Ticket_Table[[#This Row],[resolution_hrs]]&lt;=24,"Normal",IF(Ticket_Table[[#This Row],[resolution_hrs]]&lt;=48,"Slow","Very Slow")))</f>
        <v>Very Slow</v>
      </c>
      <c r="Q2910" s="3">
        <f>YEAR(Ticket_Table[[#This Row],[raised_date]])</f>
        <v>2023</v>
      </c>
    </row>
    <row r="2911" spans="1:17">
      <c r="A2911" t="s">
        <v>3472</v>
      </c>
      <c r="B2911" t="s">
        <v>878</v>
      </c>
      <c r="C2911" t="s">
        <v>55</v>
      </c>
      <c r="D2911" t="s">
        <v>29</v>
      </c>
      <c r="E2911" t="s">
        <v>166</v>
      </c>
      <c r="F2911" t="s">
        <v>45</v>
      </c>
      <c r="G2911" t="s">
        <v>31</v>
      </c>
      <c r="H2911" s="1">
        <v>45268</v>
      </c>
      <c r="I2911" s="2">
        <v>45268.0791666667</v>
      </c>
      <c r="J2911">
        <v>1.9</v>
      </c>
      <c r="K2911" t="s">
        <v>24</v>
      </c>
      <c r="L2911">
        <v>0</v>
      </c>
      <c r="M2911">
        <v>3</v>
      </c>
      <c r="N2911" t="s">
        <v>367</v>
      </c>
      <c r="O2911" s="3" t="str">
        <f>TEXT(Ticket_Table[[#This Row],[raised_date]],"YYYY-MM")</f>
        <v>2023-12</v>
      </c>
      <c r="P2911" s="3" t="str">
        <f>IF(Ticket_Table[[#This Row],[resolution_hrs]]&lt;=4,"Fast",IF(Ticket_Table[[#This Row],[resolution_hrs]]&lt;=24,"Normal",IF(Ticket_Table[[#This Row],[resolution_hrs]]&lt;=48,"Slow","Very Slow")))</f>
        <v>Fast</v>
      </c>
      <c r="Q2911" s="3">
        <f>YEAR(Ticket_Table[[#This Row],[raised_date]])</f>
        <v>2023</v>
      </c>
    </row>
    <row r="2912" spans="1:17">
      <c r="A2912" t="s">
        <v>3473</v>
      </c>
      <c r="B2912" t="s">
        <v>1502</v>
      </c>
      <c r="C2912" t="s">
        <v>95</v>
      </c>
      <c r="D2912" t="s">
        <v>43</v>
      </c>
      <c r="E2912" t="s">
        <v>37</v>
      </c>
      <c r="F2912" t="s">
        <v>70</v>
      </c>
      <c r="G2912" t="s">
        <v>31</v>
      </c>
      <c r="H2912" s="1">
        <v>44392</v>
      </c>
      <c r="I2912" s="2">
        <v>44394.1958333333</v>
      </c>
      <c r="J2912">
        <v>52.7</v>
      </c>
      <c r="K2912" t="s">
        <v>32</v>
      </c>
      <c r="L2912">
        <v>2</v>
      </c>
      <c r="M2912">
        <v>4</v>
      </c>
      <c r="N2912" t="s">
        <v>237</v>
      </c>
      <c r="O2912" s="3" t="str">
        <f>TEXT(Ticket_Table[[#This Row],[raised_date]],"YYYY-MM")</f>
        <v>2021-07</v>
      </c>
      <c r="P2912" s="3" t="str">
        <f>IF(Ticket_Table[[#This Row],[resolution_hrs]]&lt;=4,"Fast",IF(Ticket_Table[[#This Row],[resolution_hrs]]&lt;=24,"Normal",IF(Ticket_Table[[#This Row],[resolution_hrs]]&lt;=48,"Slow","Very Slow")))</f>
        <v>Very Slow</v>
      </c>
      <c r="Q2912" s="3">
        <f>YEAR(Ticket_Table[[#This Row],[raised_date]])</f>
        <v>2021</v>
      </c>
    </row>
    <row r="2913" spans="1:17">
      <c r="A2913" t="s">
        <v>3474</v>
      </c>
      <c r="B2913" t="s">
        <v>800</v>
      </c>
      <c r="C2913" t="s">
        <v>42</v>
      </c>
      <c r="D2913" t="s">
        <v>29</v>
      </c>
      <c r="E2913" t="s">
        <v>30</v>
      </c>
      <c r="F2913" t="s">
        <v>22</v>
      </c>
      <c r="G2913" t="s">
        <v>31</v>
      </c>
      <c r="H2913" s="1">
        <v>45083</v>
      </c>
      <c r="I2913" s="2">
        <v>45084.4083333333</v>
      </c>
      <c r="J2913">
        <v>33.8</v>
      </c>
      <c r="K2913" t="s">
        <v>24</v>
      </c>
      <c r="L2913">
        <v>0</v>
      </c>
      <c r="M2913">
        <v>4</v>
      </c>
      <c r="N2913" t="s">
        <v>541</v>
      </c>
      <c r="O2913" s="3" t="str">
        <f>TEXT(Ticket_Table[[#This Row],[raised_date]],"YYYY-MM")</f>
        <v>2023-06</v>
      </c>
      <c r="P2913" s="3" t="str">
        <f>IF(Ticket_Table[[#This Row],[resolution_hrs]]&lt;=4,"Fast",IF(Ticket_Table[[#This Row],[resolution_hrs]]&lt;=24,"Normal",IF(Ticket_Table[[#This Row],[resolution_hrs]]&lt;=48,"Slow","Very Slow")))</f>
        <v>Slow</v>
      </c>
      <c r="Q2913" s="3">
        <f>YEAR(Ticket_Table[[#This Row],[raised_date]])</f>
        <v>2023</v>
      </c>
    </row>
    <row r="2914" spans="1:17">
      <c r="A2914" t="s">
        <v>3475</v>
      </c>
      <c r="B2914" t="s">
        <v>504</v>
      </c>
      <c r="C2914" t="s">
        <v>201</v>
      </c>
      <c r="D2914" t="s">
        <v>43</v>
      </c>
      <c r="E2914" t="s">
        <v>83</v>
      </c>
      <c r="F2914" t="s">
        <v>45</v>
      </c>
      <c r="G2914" t="s">
        <v>46</v>
      </c>
      <c r="H2914" s="1">
        <v>44706</v>
      </c>
      <c r="I2914" s="2">
        <v>44706.2125</v>
      </c>
      <c r="J2914">
        <v>5.1</v>
      </c>
      <c r="K2914" t="s">
        <v>32</v>
      </c>
      <c r="L2914">
        <v>0</v>
      </c>
      <c r="M2914">
        <v>4</v>
      </c>
      <c r="N2914" t="s">
        <v>197</v>
      </c>
      <c r="O2914" s="3" t="str">
        <f>TEXT(Ticket_Table[[#This Row],[raised_date]],"YYYY-MM")</f>
        <v>2022-05</v>
      </c>
      <c r="P2914" s="3" t="str">
        <f>IF(Ticket_Table[[#This Row],[resolution_hrs]]&lt;=4,"Fast",IF(Ticket_Table[[#This Row],[resolution_hrs]]&lt;=24,"Normal",IF(Ticket_Table[[#This Row],[resolution_hrs]]&lt;=48,"Slow","Very Slow")))</f>
        <v>Normal</v>
      </c>
      <c r="Q2914" s="3">
        <f>YEAR(Ticket_Table[[#This Row],[raised_date]])</f>
        <v>2022</v>
      </c>
    </row>
    <row r="2915" spans="1:17">
      <c r="A2915" t="s">
        <v>3476</v>
      </c>
      <c r="B2915" t="s">
        <v>183</v>
      </c>
      <c r="C2915" t="s">
        <v>95</v>
      </c>
      <c r="D2915" t="s">
        <v>36</v>
      </c>
      <c r="E2915" t="s">
        <v>44</v>
      </c>
      <c r="F2915" t="s">
        <v>45</v>
      </c>
      <c r="G2915" t="s">
        <v>46</v>
      </c>
      <c r="H2915" s="1">
        <v>45183</v>
      </c>
      <c r="I2915" s="2">
        <v>45183.1416666667</v>
      </c>
      <c r="J2915">
        <v>3.4</v>
      </c>
      <c r="K2915" t="s">
        <v>24</v>
      </c>
      <c r="L2915">
        <v>0</v>
      </c>
      <c r="M2915">
        <v>4</v>
      </c>
      <c r="N2915" t="s">
        <v>312</v>
      </c>
      <c r="O2915" s="3" t="str">
        <f>TEXT(Ticket_Table[[#This Row],[raised_date]],"YYYY-MM")</f>
        <v>2023-09</v>
      </c>
      <c r="P2915" s="3" t="str">
        <f>IF(Ticket_Table[[#This Row],[resolution_hrs]]&lt;=4,"Fast",IF(Ticket_Table[[#This Row],[resolution_hrs]]&lt;=24,"Normal",IF(Ticket_Table[[#This Row],[resolution_hrs]]&lt;=48,"Slow","Very Slow")))</f>
        <v>Fast</v>
      </c>
      <c r="Q2915" s="3">
        <f>YEAR(Ticket_Table[[#This Row],[raised_date]])</f>
        <v>2023</v>
      </c>
    </row>
    <row r="2916" spans="1:17">
      <c r="A2916" t="s">
        <v>3477</v>
      </c>
      <c r="B2916" t="s">
        <v>325</v>
      </c>
      <c r="C2916" t="s">
        <v>19</v>
      </c>
      <c r="D2916" t="s">
        <v>36</v>
      </c>
      <c r="E2916" t="s">
        <v>83</v>
      </c>
      <c r="F2916" t="s">
        <v>22</v>
      </c>
      <c r="G2916" t="s">
        <v>23</v>
      </c>
      <c r="H2916" s="1">
        <v>44905</v>
      </c>
      <c r="I2916" s="2">
        <v>44907.4</v>
      </c>
      <c r="J2916">
        <v>57.6</v>
      </c>
      <c r="K2916" t="s">
        <v>24</v>
      </c>
      <c r="L2916">
        <v>0</v>
      </c>
      <c r="M2916">
        <v>2</v>
      </c>
      <c r="N2916" t="s">
        <v>339</v>
      </c>
      <c r="O2916" s="3" t="str">
        <f>TEXT(Ticket_Table[[#This Row],[raised_date]],"YYYY-MM")</f>
        <v>2022-12</v>
      </c>
      <c r="P2916" s="3" t="str">
        <f>IF(Ticket_Table[[#This Row],[resolution_hrs]]&lt;=4,"Fast",IF(Ticket_Table[[#This Row],[resolution_hrs]]&lt;=24,"Normal",IF(Ticket_Table[[#This Row],[resolution_hrs]]&lt;=48,"Slow","Very Slow")))</f>
        <v>Very Slow</v>
      </c>
      <c r="Q2916" s="3">
        <f>YEAR(Ticket_Table[[#This Row],[raised_date]])</f>
        <v>2022</v>
      </c>
    </row>
    <row r="2917" spans="1:17">
      <c r="A2917" t="s">
        <v>3478</v>
      </c>
      <c r="B2917" t="s">
        <v>566</v>
      </c>
      <c r="C2917" t="s">
        <v>133</v>
      </c>
      <c r="D2917" t="s">
        <v>29</v>
      </c>
      <c r="E2917" t="s">
        <v>30</v>
      </c>
      <c r="F2917" t="s">
        <v>70</v>
      </c>
      <c r="G2917" t="s">
        <v>23</v>
      </c>
      <c r="H2917" s="1">
        <v>44985</v>
      </c>
      <c r="I2917" s="2">
        <v>44987.1125</v>
      </c>
      <c r="J2917">
        <v>50.7</v>
      </c>
      <c r="K2917" t="s">
        <v>32</v>
      </c>
      <c r="L2917">
        <v>1</v>
      </c>
      <c r="M2917">
        <v>4</v>
      </c>
      <c r="N2917" t="s">
        <v>188</v>
      </c>
      <c r="O2917" s="3" t="str">
        <f>TEXT(Ticket_Table[[#This Row],[raised_date]],"YYYY-MM")</f>
        <v>2023-02</v>
      </c>
      <c r="P2917" s="3" t="str">
        <f>IF(Ticket_Table[[#This Row],[resolution_hrs]]&lt;=4,"Fast",IF(Ticket_Table[[#This Row],[resolution_hrs]]&lt;=24,"Normal",IF(Ticket_Table[[#This Row],[resolution_hrs]]&lt;=48,"Slow","Very Slow")))</f>
        <v>Very Slow</v>
      </c>
      <c r="Q2917" s="3">
        <f>YEAR(Ticket_Table[[#This Row],[raised_date]])</f>
        <v>2023</v>
      </c>
    </row>
    <row r="2918" spans="1:17">
      <c r="A2918" t="s">
        <v>3479</v>
      </c>
      <c r="B2918" t="s">
        <v>308</v>
      </c>
      <c r="C2918" t="s">
        <v>42</v>
      </c>
      <c r="D2918" t="s">
        <v>29</v>
      </c>
      <c r="E2918" t="s">
        <v>51</v>
      </c>
      <c r="F2918" t="s">
        <v>70</v>
      </c>
      <c r="G2918" t="s">
        <v>23</v>
      </c>
      <c r="H2918" s="1">
        <v>44501</v>
      </c>
      <c r="I2918" s="2">
        <v>44503.6</v>
      </c>
      <c r="J2918">
        <v>62.4</v>
      </c>
      <c r="K2918" t="s">
        <v>32</v>
      </c>
      <c r="L2918">
        <v>0</v>
      </c>
      <c r="M2918">
        <v>3</v>
      </c>
      <c r="N2918" t="s">
        <v>899</v>
      </c>
      <c r="O2918" s="3" t="str">
        <f>TEXT(Ticket_Table[[#This Row],[raised_date]],"YYYY-MM")</f>
        <v>2021-11</v>
      </c>
      <c r="P2918" s="3" t="str">
        <f>IF(Ticket_Table[[#This Row],[resolution_hrs]]&lt;=4,"Fast",IF(Ticket_Table[[#This Row],[resolution_hrs]]&lt;=24,"Normal",IF(Ticket_Table[[#This Row],[resolution_hrs]]&lt;=48,"Slow","Very Slow")))</f>
        <v>Very Slow</v>
      </c>
      <c r="Q2918" s="3">
        <f>YEAR(Ticket_Table[[#This Row],[raised_date]])</f>
        <v>2021</v>
      </c>
    </row>
    <row r="2919" spans="1:17">
      <c r="A2919" t="s">
        <v>3480</v>
      </c>
      <c r="B2919" t="s">
        <v>678</v>
      </c>
      <c r="C2919" t="s">
        <v>42</v>
      </c>
      <c r="D2919" t="s">
        <v>43</v>
      </c>
      <c r="E2919" t="s">
        <v>30</v>
      </c>
      <c r="F2919" t="s">
        <v>70</v>
      </c>
      <c r="G2919" t="s">
        <v>23</v>
      </c>
      <c r="H2919" s="1">
        <v>44308</v>
      </c>
      <c r="I2919" s="2">
        <v>44309.675</v>
      </c>
      <c r="J2919">
        <v>40.2</v>
      </c>
      <c r="K2919" t="s">
        <v>24</v>
      </c>
      <c r="L2919">
        <v>0</v>
      </c>
      <c r="M2919">
        <v>4</v>
      </c>
      <c r="N2919" t="s">
        <v>321</v>
      </c>
      <c r="O2919" s="3" t="str">
        <f>TEXT(Ticket_Table[[#This Row],[raised_date]],"YYYY-MM")</f>
        <v>2021-04</v>
      </c>
      <c r="P2919" s="3" t="str">
        <f>IF(Ticket_Table[[#This Row],[resolution_hrs]]&lt;=4,"Fast",IF(Ticket_Table[[#This Row],[resolution_hrs]]&lt;=24,"Normal",IF(Ticket_Table[[#This Row],[resolution_hrs]]&lt;=48,"Slow","Very Slow")))</f>
        <v>Slow</v>
      </c>
      <c r="Q2919" s="3">
        <f>YEAR(Ticket_Table[[#This Row],[raised_date]])</f>
        <v>2021</v>
      </c>
    </row>
    <row r="2920" spans="1:17">
      <c r="A2920" t="s">
        <v>3481</v>
      </c>
      <c r="B2920" t="s">
        <v>415</v>
      </c>
      <c r="C2920" t="s">
        <v>95</v>
      </c>
      <c r="D2920" t="s">
        <v>43</v>
      </c>
      <c r="E2920" t="s">
        <v>69</v>
      </c>
      <c r="F2920" t="s">
        <v>22</v>
      </c>
      <c r="G2920" t="s">
        <v>46</v>
      </c>
      <c r="H2920" s="1">
        <v>44220</v>
      </c>
      <c r="I2920" s="2">
        <v>44222.75</v>
      </c>
      <c r="J2920">
        <v>66</v>
      </c>
      <c r="K2920" t="s">
        <v>24</v>
      </c>
      <c r="L2920">
        <v>0</v>
      </c>
      <c r="M2920">
        <v>3</v>
      </c>
      <c r="N2920" t="s">
        <v>255</v>
      </c>
      <c r="O2920" s="3" t="str">
        <f>TEXT(Ticket_Table[[#This Row],[raised_date]],"YYYY-MM")</f>
        <v>2021-01</v>
      </c>
      <c r="P2920" s="3" t="str">
        <f>IF(Ticket_Table[[#This Row],[resolution_hrs]]&lt;=4,"Fast",IF(Ticket_Table[[#This Row],[resolution_hrs]]&lt;=24,"Normal",IF(Ticket_Table[[#This Row],[resolution_hrs]]&lt;=48,"Slow","Very Slow")))</f>
        <v>Very Slow</v>
      </c>
      <c r="Q2920" s="3">
        <f>YEAR(Ticket_Table[[#This Row],[raised_date]])</f>
        <v>2021</v>
      </c>
    </row>
    <row r="2921" spans="1:17">
      <c r="A2921" t="s">
        <v>3482</v>
      </c>
      <c r="B2921" t="s">
        <v>493</v>
      </c>
      <c r="C2921" t="s">
        <v>82</v>
      </c>
      <c r="D2921" t="s">
        <v>90</v>
      </c>
      <c r="E2921" t="s">
        <v>37</v>
      </c>
      <c r="F2921" t="s">
        <v>70</v>
      </c>
      <c r="G2921" t="s">
        <v>31</v>
      </c>
      <c r="H2921" s="1">
        <v>44518</v>
      </c>
      <c r="I2921" s="2">
        <v>44520.6958333333</v>
      </c>
      <c r="J2921">
        <v>64.7</v>
      </c>
      <c r="K2921" t="s">
        <v>32</v>
      </c>
      <c r="L2921">
        <v>0</v>
      </c>
      <c r="M2921">
        <v>3</v>
      </c>
      <c r="N2921" t="s">
        <v>149</v>
      </c>
      <c r="O2921" s="3" t="str">
        <f>TEXT(Ticket_Table[[#This Row],[raised_date]],"YYYY-MM")</f>
        <v>2021-11</v>
      </c>
      <c r="P2921" s="3" t="str">
        <f>IF(Ticket_Table[[#This Row],[resolution_hrs]]&lt;=4,"Fast",IF(Ticket_Table[[#This Row],[resolution_hrs]]&lt;=24,"Normal",IF(Ticket_Table[[#This Row],[resolution_hrs]]&lt;=48,"Slow","Very Slow")))</f>
        <v>Very Slow</v>
      </c>
      <c r="Q2921" s="3">
        <f>YEAR(Ticket_Table[[#This Row],[raised_date]])</f>
        <v>2021</v>
      </c>
    </row>
    <row r="2922" spans="1:17">
      <c r="A2922" t="s">
        <v>3483</v>
      </c>
      <c r="B2922" t="s">
        <v>854</v>
      </c>
      <c r="C2922" t="s">
        <v>50</v>
      </c>
      <c r="D2922" t="s">
        <v>90</v>
      </c>
      <c r="E2922" t="s">
        <v>69</v>
      </c>
      <c r="F2922" t="s">
        <v>45</v>
      </c>
      <c r="G2922" t="s">
        <v>31</v>
      </c>
      <c r="H2922" s="1">
        <v>45232</v>
      </c>
      <c r="I2922" s="2">
        <v>45232.0791666667</v>
      </c>
      <c r="J2922">
        <v>1.9</v>
      </c>
      <c r="K2922" t="s">
        <v>24</v>
      </c>
      <c r="L2922">
        <v>0</v>
      </c>
      <c r="M2922">
        <v>5</v>
      </c>
      <c r="N2922" t="s">
        <v>267</v>
      </c>
      <c r="O2922" s="3" t="str">
        <f>TEXT(Ticket_Table[[#This Row],[raised_date]],"YYYY-MM")</f>
        <v>2023-11</v>
      </c>
      <c r="P2922" s="3" t="str">
        <f>IF(Ticket_Table[[#This Row],[resolution_hrs]]&lt;=4,"Fast",IF(Ticket_Table[[#This Row],[resolution_hrs]]&lt;=24,"Normal",IF(Ticket_Table[[#This Row],[resolution_hrs]]&lt;=48,"Slow","Very Slow")))</f>
        <v>Fast</v>
      </c>
      <c r="Q2922" s="3">
        <f>YEAR(Ticket_Table[[#This Row],[raised_date]])</f>
        <v>2023</v>
      </c>
    </row>
    <row r="2923" spans="1:17">
      <c r="A2923" t="s">
        <v>3484</v>
      </c>
      <c r="B2923" t="s">
        <v>876</v>
      </c>
      <c r="C2923" t="s">
        <v>64</v>
      </c>
      <c r="D2923" t="s">
        <v>90</v>
      </c>
      <c r="E2923" t="s">
        <v>21</v>
      </c>
      <c r="F2923" t="s">
        <v>70</v>
      </c>
      <c r="G2923" t="s">
        <v>91</v>
      </c>
      <c r="H2923" s="1">
        <v>45158</v>
      </c>
      <c r="I2923" s="2">
        <v>45160.8416666667</v>
      </c>
      <c r="J2923">
        <v>68.2</v>
      </c>
      <c r="K2923" t="s">
        <v>32</v>
      </c>
      <c r="L2923">
        <v>0</v>
      </c>
      <c r="M2923">
        <v>2</v>
      </c>
      <c r="N2923" t="s">
        <v>599</v>
      </c>
      <c r="O2923" s="3" t="str">
        <f>TEXT(Ticket_Table[[#This Row],[raised_date]],"YYYY-MM")</f>
        <v>2023-08</v>
      </c>
      <c r="P2923" s="3" t="str">
        <f>IF(Ticket_Table[[#This Row],[resolution_hrs]]&lt;=4,"Fast",IF(Ticket_Table[[#This Row],[resolution_hrs]]&lt;=24,"Normal",IF(Ticket_Table[[#This Row],[resolution_hrs]]&lt;=48,"Slow","Very Slow")))</f>
        <v>Very Slow</v>
      </c>
      <c r="Q2923" s="3">
        <f>YEAR(Ticket_Table[[#This Row],[raised_date]])</f>
        <v>2023</v>
      </c>
    </row>
    <row r="2924" spans="1:17">
      <c r="A2924" t="s">
        <v>3485</v>
      </c>
      <c r="B2924" t="s">
        <v>124</v>
      </c>
      <c r="C2924" t="s">
        <v>117</v>
      </c>
      <c r="D2924" t="s">
        <v>29</v>
      </c>
      <c r="E2924" t="s">
        <v>83</v>
      </c>
      <c r="F2924" t="s">
        <v>22</v>
      </c>
      <c r="G2924" t="s">
        <v>23</v>
      </c>
      <c r="H2924" s="1">
        <v>45212</v>
      </c>
      <c r="I2924" s="2">
        <v>45213.7791666667</v>
      </c>
      <c r="J2924">
        <v>42.7</v>
      </c>
      <c r="K2924" t="s">
        <v>24</v>
      </c>
      <c r="L2924">
        <v>1</v>
      </c>
      <c r="M2924">
        <v>4</v>
      </c>
      <c r="N2924" t="s">
        <v>368</v>
      </c>
      <c r="O2924" s="3" t="str">
        <f>TEXT(Ticket_Table[[#This Row],[raised_date]],"YYYY-MM")</f>
        <v>2023-10</v>
      </c>
      <c r="P2924" s="3" t="str">
        <f>IF(Ticket_Table[[#This Row],[resolution_hrs]]&lt;=4,"Fast",IF(Ticket_Table[[#This Row],[resolution_hrs]]&lt;=24,"Normal",IF(Ticket_Table[[#This Row],[resolution_hrs]]&lt;=48,"Slow","Very Slow")))</f>
        <v>Slow</v>
      </c>
      <c r="Q2924" s="3">
        <f>YEAR(Ticket_Table[[#This Row],[raised_date]])</f>
        <v>2023</v>
      </c>
    </row>
    <row r="2925" spans="1:17">
      <c r="A2925" t="s">
        <v>3486</v>
      </c>
      <c r="B2925" t="s">
        <v>707</v>
      </c>
      <c r="C2925" t="s">
        <v>50</v>
      </c>
      <c r="D2925" t="s">
        <v>90</v>
      </c>
      <c r="E2925" t="s">
        <v>51</v>
      </c>
      <c r="F2925" t="s">
        <v>70</v>
      </c>
      <c r="G2925" t="s">
        <v>23</v>
      </c>
      <c r="H2925" s="1">
        <v>44535</v>
      </c>
      <c r="I2925" s="2">
        <v>44536.0625</v>
      </c>
      <c r="J2925">
        <v>25.5</v>
      </c>
      <c r="K2925" t="s">
        <v>24</v>
      </c>
      <c r="L2925">
        <v>0</v>
      </c>
      <c r="M2925">
        <v>2</v>
      </c>
      <c r="N2925" t="s">
        <v>906</v>
      </c>
      <c r="O2925" s="3" t="str">
        <f>TEXT(Ticket_Table[[#This Row],[raised_date]],"YYYY-MM")</f>
        <v>2021-12</v>
      </c>
      <c r="P2925" s="3" t="str">
        <f>IF(Ticket_Table[[#This Row],[resolution_hrs]]&lt;=4,"Fast",IF(Ticket_Table[[#This Row],[resolution_hrs]]&lt;=24,"Normal",IF(Ticket_Table[[#This Row],[resolution_hrs]]&lt;=48,"Slow","Very Slow")))</f>
        <v>Slow</v>
      </c>
      <c r="Q2925" s="3">
        <f>YEAR(Ticket_Table[[#This Row],[raised_date]])</f>
        <v>2021</v>
      </c>
    </row>
    <row r="2926" spans="1:17">
      <c r="A2926" t="s">
        <v>3487</v>
      </c>
      <c r="B2926" t="s">
        <v>151</v>
      </c>
      <c r="C2926" t="s">
        <v>28</v>
      </c>
      <c r="D2926" t="s">
        <v>29</v>
      </c>
      <c r="E2926" t="s">
        <v>37</v>
      </c>
      <c r="F2926" t="s">
        <v>70</v>
      </c>
      <c r="G2926" t="s">
        <v>46</v>
      </c>
      <c r="H2926" s="1">
        <v>44350</v>
      </c>
      <c r="I2926" s="2">
        <v>44352.2333333333</v>
      </c>
      <c r="J2926">
        <v>53.6</v>
      </c>
      <c r="K2926" t="s">
        <v>32</v>
      </c>
      <c r="L2926">
        <v>0</v>
      </c>
      <c r="M2926">
        <v>3</v>
      </c>
      <c r="N2926" t="s">
        <v>331</v>
      </c>
      <c r="O2926" s="3" t="str">
        <f>TEXT(Ticket_Table[[#This Row],[raised_date]],"YYYY-MM")</f>
        <v>2021-06</v>
      </c>
      <c r="P2926" s="3" t="str">
        <f>IF(Ticket_Table[[#This Row],[resolution_hrs]]&lt;=4,"Fast",IF(Ticket_Table[[#This Row],[resolution_hrs]]&lt;=24,"Normal",IF(Ticket_Table[[#This Row],[resolution_hrs]]&lt;=48,"Slow","Very Slow")))</f>
        <v>Very Slow</v>
      </c>
      <c r="Q2926" s="3">
        <f>YEAR(Ticket_Table[[#This Row],[raised_date]])</f>
        <v>2021</v>
      </c>
    </row>
    <row r="2927" spans="1:17">
      <c r="A2927" t="s">
        <v>3488</v>
      </c>
      <c r="B2927" t="s">
        <v>163</v>
      </c>
      <c r="C2927" t="s">
        <v>287</v>
      </c>
      <c r="D2927" t="s">
        <v>36</v>
      </c>
      <c r="E2927" t="s">
        <v>56</v>
      </c>
      <c r="F2927" t="s">
        <v>38</v>
      </c>
      <c r="G2927" t="s">
        <v>46</v>
      </c>
      <c r="H2927" s="1">
        <v>45203</v>
      </c>
      <c r="I2927" s="2">
        <v>45204.4541666667</v>
      </c>
      <c r="J2927">
        <v>34.9</v>
      </c>
      <c r="K2927" t="s">
        <v>32</v>
      </c>
      <c r="L2927">
        <v>1</v>
      </c>
      <c r="M2927">
        <v>4</v>
      </c>
      <c r="N2927" t="s">
        <v>149</v>
      </c>
      <c r="O2927" s="3" t="str">
        <f>TEXT(Ticket_Table[[#This Row],[raised_date]],"YYYY-MM")</f>
        <v>2023-10</v>
      </c>
      <c r="P2927" s="3" t="str">
        <f>IF(Ticket_Table[[#This Row],[resolution_hrs]]&lt;=4,"Fast",IF(Ticket_Table[[#This Row],[resolution_hrs]]&lt;=24,"Normal",IF(Ticket_Table[[#This Row],[resolution_hrs]]&lt;=48,"Slow","Very Slow")))</f>
        <v>Slow</v>
      </c>
      <c r="Q2927" s="3">
        <f>YEAR(Ticket_Table[[#This Row],[raised_date]])</f>
        <v>2023</v>
      </c>
    </row>
    <row r="2928" spans="1:17">
      <c r="A2928" t="s">
        <v>3489</v>
      </c>
      <c r="B2928" t="s">
        <v>253</v>
      </c>
      <c r="C2928" t="s">
        <v>133</v>
      </c>
      <c r="D2928" t="s">
        <v>20</v>
      </c>
      <c r="E2928" t="s">
        <v>21</v>
      </c>
      <c r="F2928" t="s">
        <v>70</v>
      </c>
      <c r="G2928" t="s">
        <v>23</v>
      </c>
      <c r="H2928" s="1">
        <v>44853</v>
      </c>
      <c r="I2928" s="2">
        <v>44854.6125</v>
      </c>
      <c r="J2928">
        <v>38.7</v>
      </c>
      <c r="K2928" t="s">
        <v>24</v>
      </c>
      <c r="L2928">
        <v>0</v>
      </c>
      <c r="M2928">
        <v>4</v>
      </c>
      <c r="N2928" t="s">
        <v>1191</v>
      </c>
      <c r="O2928" s="3" t="str">
        <f>TEXT(Ticket_Table[[#This Row],[raised_date]],"YYYY-MM")</f>
        <v>2022-10</v>
      </c>
      <c r="P2928" s="3" t="str">
        <f>IF(Ticket_Table[[#This Row],[resolution_hrs]]&lt;=4,"Fast",IF(Ticket_Table[[#This Row],[resolution_hrs]]&lt;=24,"Normal",IF(Ticket_Table[[#This Row],[resolution_hrs]]&lt;=48,"Slow","Very Slow")))</f>
        <v>Slow</v>
      </c>
      <c r="Q2928" s="3">
        <f>YEAR(Ticket_Table[[#This Row],[raised_date]])</f>
        <v>2022</v>
      </c>
    </row>
    <row r="2929" spans="1:17">
      <c r="A2929" t="s">
        <v>3490</v>
      </c>
      <c r="B2929" t="s">
        <v>772</v>
      </c>
      <c r="C2929" t="s">
        <v>78</v>
      </c>
      <c r="D2929" t="s">
        <v>36</v>
      </c>
      <c r="E2929" t="s">
        <v>106</v>
      </c>
      <c r="F2929" t="s">
        <v>22</v>
      </c>
      <c r="G2929" t="s">
        <v>91</v>
      </c>
      <c r="H2929" s="1">
        <v>44690</v>
      </c>
      <c r="I2929" s="2">
        <v>44692.6916666667</v>
      </c>
      <c r="J2929">
        <v>64.6</v>
      </c>
      <c r="K2929" t="s">
        <v>24</v>
      </c>
      <c r="L2929">
        <v>0</v>
      </c>
      <c r="M2929">
        <v>4</v>
      </c>
      <c r="N2929" t="s">
        <v>185</v>
      </c>
      <c r="O2929" s="3" t="str">
        <f>TEXT(Ticket_Table[[#This Row],[raised_date]],"YYYY-MM")</f>
        <v>2022-05</v>
      </c>
      <c r="P2929" s="3" t="str">
        <f>IF(Ticket_Table[[#This Row],[resolution_hrs]]&lt;=4,"Fast",IF(Ticket_Table[[#This Row],[resolution_hrs]]&lt;=24,"Normal",IF(Ticket_Table[[#This Row],[resolution_hrs]]&lt;=48,"Slow","Very Slow")))</f>
        <v>Very Slow</v>
      </c>
      <c r="Q2929" s="3">
        <f>YEAR(Ticket_Table[[#This Row],[raised_date]])</f>
        <v>2022</v>
      </c>
    </row>
    <row r="2930" spans="1:17">
      <c r="A2930" t="s">
        <v>3491</v>
      </c>
      <c r="B2930" t="s">
        <v>185</v>
      </c>
      <c r="C2930" t="s">
        <v>60</v>
      </c>
      <c r="D2930" t="s">
        <v>29</v>
      </c>
      <c r="E2930" t="s">
        <v>69</v>
      </c>
      <c r="F2930" t="s">
        <v>22</v>
      </c>
      <c r="G2930" t="s">
        <v>74</v>
      </c>
      <c r="H2930" s="1">
        <v>44874</v>
      </c>
      <c r="I2930" s="2">
        <v>44877.8291666667</v>
      </c>
      <c r="J2930">
        <v>91.9</v>
      </c>
      <c r="K2930" t="s">
        <v>32</v>
      </c>
      <c r="L2930">
        <v>2</v>
      </c>
      <c r="M2930">
        <v>5</v>
      </c>
      <c r="N2930" t="s">
        <v>207</v>
      </c>
      <c r="O2930" s="3" t="str">
        <f>TEXT(Ticket_Table[[#This Row],[raised_date]],"YYYY-MM")</f>
        <v>2022-11</v>
      </c>
      <c r="P2930" s="3" t="str">
        <f>IF(Ticket_Table[[#This Row],[resolution_hrs]]&lt;=4,"Fast",IF(Ticket_Table[[#This Row],[resolution_hrs]]&lt;=24,"Normal",IF(Ticket_Table[[#This Row],[resolution_hrs]]&lt;=48,"Slow","Very Slow")))</f>
        <v>Very Slow</v>
      </c>
      <c r="Q2930" s="3">
        <f>YEAR(Ticket_Table[[#This Row],[raised_date]])</f>
        <v>2022</v>
      </c>
    </row>
    <row r="2931" spans="1:17">
      <c r="A2931" t="s">
        <v>3492</v>
      </c>
      <c r="B2931" t="s">
        <v>1025</v>
      </c>
      <c r="C2931" t="s">
        <v>95</v>
      </c>
      <c r="D2931" t="s">
        <v>29</v>
      </c>
      <c r="E2931" t="s">
        <v>37</v>
      </c>
      <c r="F2931" t="s">
        <v>38</v>
      </c>
      <c r="G2931" t="s">
        <v>23</v>
      </c>
      <c r="H2931" s="1">
        <v>44766</v>
      </c>
      <c r="I2931" s="2">
        <v>44766.7375</v>
      </c>
      <c r="J2931">
        <v>17.7</v>
      </c>
      <c r="K2931" t="s">
        <v>24</v>
      </c>
      <c r="L2931">
        <v>0</v>
      </c>
      <c r="M2931">
        <v>5</v>
      </c>
      <c r="N2931" t="s">
        <v>57</v>
      </c>
      <c r="O2931" s="3" t="str">
        <f>TEXT(Ticket_Table[[#This Row],[raised_date]],"YYYY-MM")</f>
        <v>2022-07</v>
      </c>
      <c r="P2931" s="3" t="str">
        <f>IF(Ticket_Table[[#This Row],[resolution_hrs]]&lt;=4,"Fast",IF(Ticket_Table[[#This Row],[resolution_hrs]]&lt;=24,"Normal",IF(Ticket_Table[[#This Row],[resolution_hrs]]&lt;=48,"Slow","Very Slow")))</f>
        <v>Normal</v>
      </c>
      <c r="Q2931" s="3">
        <f>YEAR(Ticket_Table[[#This Row],[raised_date]])</f>
        <v>2022</v>
      </c>
    </row>
    <row r="2932" spans="1:17">
      <c r="A2932" t="s">
        <v>3493</v>
      </c>
      <c r="B2932" t="s">
        <v>782</v>
      </c>
      <c r="C2932" t="s">
        <v>140</v>
      </c>
      <c r="D2932" t="s">
        <v>20</v>
      </c>
      <c r="E2932" t="s">
        <v>37</v>
      </c>
      <c r="F2932" t="s">
        <v>22</v>
      </c>
      <c r="G2932" t="s">
        <v>74</v>
      </c>
      <c r="H2932" s="1">
        <v>44300</v>
      </c>
      <c r="I2932" s="2">
        <v>44300.6125</v>
      </c>
      <c r="J2932">
        <v>14.7</v>
      </c>
      <c r="K2932" t="s">
        <v>24</v>
      </c>
      <c r="L2932">
        <v>0</v>
      </c>
      <c r="M2932">
        <v>5</v>
      </c>
      <c r="N2932" t="s">
        <v>1061</v>
      </c>
      <c r="O2932" s="3" t="str">
        <f>TEXT(Ticket_Table[[#This Row],[raised_date]],"YYYY-MM")</f>
        <v>2021-04</v>
      </c>
      <c r="P2932" s="3" t="str">
        <f>IF(Ticket_Table[[#This Row],[resolution_hrs]]&lt;=4,"Fast",IF(Ticket_Table[[#This Row],[resolution_hrs]]&lt;=24,"Normal",IF(Ticket_Table[[#This Row],[resolution_hrs]]&lt;=48,"Slow","Very Slow")))</f>
        <v>Normal</v>
      </c>
      <c r="Q2932" s="3">
        <f>YEAR(Ticket_Table[[#This Row],[raised_date]])</f>
        <v>2021</v>
      </c>
    </row>
    <row r="2933" spans="1:17">
      <c r="A2933" t="s">
        <v>3494</v>
      </c>
      <c r="B2933" t="s">
        <v>1216</v>
      </c>
      <c r="C2933" t="s">
        <v>287</v>
      </c>
      <c r="D2933" t="s">
        <v>43</v>
      </c>
      <c r="E2933" t="s">
        <v>69</v>
      </c>
      <c r="F2933" t="s">
        <v>38</v>
      </c>
      <c r="G2933" t="s">
        <v>23</v>
      </c>
      <c r="H2933" s="1">
        <v>45235</v>
      </c>
      <c r="I2933" s="2">
        <v>45235.0541666667</v>
      </c>
      <c r="J2933">
        <v>1.3</v>
      </c>
      <c r="K2933" t="s">
        <v>24</v>
      </c>
      <c r="L2933">
        <v>0</v>
      </c>
      <c r="M2933">
        <v>4</v>
      </c>
      <c r="N2933" t="s">
        <v>792</v>
      </c>
      <c r="O2933" s="3" t="str">
        <f>TEXT(Ticket_Table[[#This Row],[raised_date]],"YYYY-MM")</f>
        <v>2023-11</v>
      </c>
      <c r="P2933" s="3" t="str">
        <f>IF(Ticket_Table[[#This Row],[resolution_hrs]]&lt;=4,"Fast",IF(Ticket_Table[[#This Row],[resolution_hrs]]&lt;=24,"Normal",IF(Ticket_Table[[#This Row],[resolution_hrs]]&lt;=48,"Slow","Very Slow")))</f>
        <v>Fast</v>
      </c>
      <c r="Q2933" s="3">
        <f>YEAR(Ticket_Table[[#This Row],[raised_date]])</f>
        <v>2023</v>
      </c>
    </row>
    <row r="2934" spans="1:17">
      <c r="A2934" t="s">
        <v>3495</v>
      </c>
      <c r="B2934" t="s">
        <v>406</v>
      </c>
      <c r="C2934" t="s">
        <v>201</v>
      </c>
      <c r="D2934" t="s">
        <v>43</v>
      </c>
      <c r="E2934" t="s">
        <v>21</v>
      </c>
      <c r="F2934" t="s">
        <v>22</v>
      </c>
      <c r="G2934" t="s">
        <v>74</v>
      </c>
      <c r="H2934" s="1">
        <v>44653</v>
      </c>
      <c r="I2934" s="2">
        <v>44655.3333333333</v>
      </c>
      <c r="J2934">
        <v>56</v>
      </c>
      <c r="K2934" t="s">
        <v>24</v>
      </c>
      <c r="L2934">
        <v>1</v>
      </c>
      <c r="M2934">
        <v>4</v>
      </c>
      <c r="N2934" t="s">
        <v>2654</v>
      </c>
      <c r="O2934" s="3" t="str">
        <f>TEXT(Ticket_Table[[#This Row],[raised_date]],"YYYY-MM")</f>
        <v>2022-04</v>
      </c>
      <c r="P2934" s="3" t="str">
        <f>IF(Ticket_Table[[#This Row],[resolution_hrs]]&lt;=4,"Fast",IF(Ticket_Table[[#This Row],[resolution_hrs]]&lt;=24,"Normal",IF(Ticket_Table[[#This Row],[resolution_hrs]]&lt;=48,"Slow","Very Slow")))</f>
        <v>Very Slow</v>
      </c>
      <c r="Q2934" s="3">
        <f>YEAR(Ticket_Table[[#This Row],[raised_date]])</f>
        <v>2022</v>
      </c>
    </row>
    <row r="2935" spans="1:17">
      <c r="A2935" t="s">
        <v>3496</v>
      </c>
      <c r="B2935" t="s">
        <v>41</v>
      </c>
      <c r="C2935" t="s">
        <v>117</v>
      </c>
      <c r="D2935" t="s">
        <v>43</v>
      </c>
      <c r="E2935" t="s">
        <v>51</v>
      </c>
      <c r="F2935" t="s">
        <v>70</v>
      </c>
      <c r="G2935" t="s">
        <v>23</v>
      </c>
      <c r="H2935" s="1">
        <v>44972</v>
      </c>
      <c r="I2935" s="2">
        <v>44972.5</v>
      </c>
      <c r="J2935">
        <v>12</v>
      </c>
      <c r="K2935" t="s">
        <v>24</v>
      </c>
      <c r="L2935">
        <v>0</v>
      </c>
      <c r="M2935">
        <v>4</v>
      </c>
      <c r="N2935" t="s">
        <v>579</v>
      </c>
      <c r="O2935" s="3" t="str">
        <f>TEXT(Ticket_Table[[#This Row],[raised_date]],"YYYY-MM")</f>
        <v>2023-02</v>
      </c>
      <c r="P2935" s="3" t="str">
        <f>IF(Ticket_Table[[#This Row],[resolution_hrs]]&lt;=4,"Fast",IF(Ticket_Table[[#This Row],[resolution_hrs]]&lt;=24,"Normal",IF(Ticket_Table[[#This Row],[resolution_hrs]]&lt;=48,"Slow","Very Slow")))</f>
        <v>Normal</v>
      </c>
      <c r="Q2935" s="3">
        <f>YEAR(Ticket_Table[[#This Row],[raised_date]])</f>
        <v>2023</v>
      </c>
    </row>
    <row r="2936" spans="1:17">
      <c r="A2936" t="s">
        <v>3497</v>
      </c>
      <c r="B2936" t="s">
        <v>1474</v>
      </c>
      <c r="C2936" t="s">
        <v>42</v>
      </c>
      <c r="D2936" t="s">
        <v>90</v>
      </c>
      <c r="E2936" t="s">
        <v>51</v>
      </c>
      <c r="F2936" t="s">
        <v>70</v>
      </c>
      <c r="G2936" t="s">
        <v>23</v>
      </c>
      <c r="H2936" s="1">
        <v>45022</v>
      </c>
      <c r="I2936" s="2">
        <v>45022.4166666667</v>
      </c>
      <c r="J2936">
        <v>10</v>
      </c>
      <c r="K2936" t="s">
        <v>24</v>
      </c>
      <c r="L2936">
        <v>1</v>
      </c>
      <c r="M2936">
        <v>4</v>
      </c>
      <c r="N2936" t="s">
        <v>780</v>
      </c>
      <c r="O2936" s="3" t="str">
        <f>TEXT(Ticket_Table[[#This Row],[raised_date]],"YYYY-MM")</f>
        <v>2023-04</v>
      </c>
      <c r="P2936" s="3" t="str">
        <f>IF(Ticket_Table[[#This Row],[resolution_hrs]]&lt;=4,"Fast",IF(Ticket_Table[[#This Row],[resolution_hrs]]&lt;=24,"Normal",IF(Ticket_Table[[#This Row],[resolution_hrs]]&lt;=48,"Slow","Very Slow")))</f>
        <v>Normal</v>
      </c>
      <c r="Q2936" s="3">
        <f>YEAR(Ticket_Table[[#This Row],[raised_date]])</f>
        <v>2023</v>
      </c>
    </row>
    <row r="2937" spans="1:17">
      <c r="A2937" t="s">
        <v>3498</v>
      </c>
      <c r="B2937" t="s">
        <v>445</v>
      </c>
      <c r="C2937" t="s">
        <v>50</v>
      </c>
      <c r="D2937" t="s">
        <v>43</v>
      </c>
      <c r="E2937" t="s">
        <v>44</v>
      </c>
      <c r="F2937" t="s">
        <v>45</v>
      </c>
      <c r="G2937" t="s">
        <v>46</v>
      </c>
      <c r="H2937" s="1">
        <v>44678</v>
      </c>
      <c r="I2937" s="2">
        <v>44678.1208333333</v>
      </c>
      <c r="J2937">
        <v>2.9</v>
      </c>
      <c r="K2937" t="s">
        <v>24</v>
      </c>
      <c r="L2937">
        <v>0</v>
      </c>
      <c r="M2937">
        <v>4</v>
      </c>
      <c r="N2937" t="s">
        <v>284</v>
      </c>
      <c r="O2937" s="3" t="str">
        <f>TEXT(Ticket_Table[[#This Row],[raised_date]],"YYYY-MM")</f>
        <v>2022-04</v>
      </c>
      <c r="P2937" s="3" t="str">
        <f>IF(Ticket_Table[[#This Row],[resolution_hrs]]&lt;=4,"Fast",IF(Ticket_Table[[#This Row],[resolution_hrs]]&lt;=24,"Normal",IF(Ticket_Table[[#This Row],[resolution_hrs]]&lt;=48,"Slow","Very Slow")))</f>
        <v>Fast</v>
      </c>
      <c r="Q2937" s="3">
        <f>YEAR(Ticket_Table[[#This Row],[raised_date]])</f>
        <v>2022</v>
      </c>
    </row>
    <row r="2938" spans="1:17">
      <c r="A2938" t="s">
        <v>3499</v>
      </c>
      <c r="B2938" t="s">
        <v>959</v>
      </c>
      <c r="C2938" t="s">
        <v>140</v>
      </c>
      <c r="D2938" t="s">
        <v>90</v>
      </c>
      <c r="E2938" t="s">
        <v>166</v>
      </c>
      <c r="F2938" t="s">
        <v>45</v>
      </c>
      <c r="G2938" t="s">
        <v>46</v>
      </c>
      <c r="H2938" s="1">
        <v>44358</v>
      </c>
      <c r="I2938" s="2">
        <v>44358.1958333333</v>
      </c>
      <c r="J2938">
        <v>4.7</v>
      </c>
      <c r="K2938" t="s">
        <v>32</v>
      </c>
      <c r="L2938">
        <v>0</v>
      </c>
      <c r="M2938">
        <v>2</v>
      </c>
      <c r="N2938" t="s">
        <v>314</v>
      </c>
      <c r="O2938" s="3" t="str">
        <f>TEXT(Ticket_Table[[#This Row],[raised_date]],"YYYY-MM")</f>
        <v>2021-06</v>
      </c>
      <c r="P2938" s="3" t="str">
        <f>IF(Ticket_Table[[#This Row],[resolution_hrs]]&lt;=4,"Fast",IF(Ticket_Table[[#This Row],[resolution_hrs]]&lt;=24,"Normal",IF(Ticket_Table[[#This Row],[resolution_hrs]]&lt;=48,"Slow","Very Slow")))</f>
        <v>Normal</v>
      </c>
      <c r="Q2938" s="3">
        <f>YEAR(Ticket_Table[[#This Row],[raised_date]])</f>
        <v>2021</v>
      </c>
    </row>
    <row r="2939" spans="1:17">
      <c r="A2939" t="s">
        <v>3500</v>
      </c>
      <c r="B2939" t="s">
        <v>462</v>
      </c>
      <c r="C2939" t="s">
        <v>28</v>
      </c>
      <c r="D2939" t="s">
        <v>90</v>
      </c>
      <c r="E2939" t="s">
        <v>21</v>
      </c>
      <c r="F2939" t="s">
        <v>22</v>
      </c>
      <c r="G2939" t="s">
        <v>23</v>
      </c>
      <c r="H2939" s="1">
        <v>45137</v>
      </c>
      <c r="I2939" s="2">
        <v>45137.2791666667</v>
      </c>
      <c r="J2939">
        <v>6.7</v>
      </c>
      <c r="K2939" t="s">
        <v>24</v>
      </c>
      <c r="L2939">
        <v>0</v>
      </c>
      <c r="M2939">
        <v>2</v>
      </c>
      <c r="N2939" t="s">
        <v>668</v>
      </c>
      <c r="O2939" s="3" t="str">
        <f>TEXT(Ticket_Table[[#This Row],[raised_date]],"YYYY-MM")</f>
        <v>2023-07</v>
      </c>
      <c r="P2939" s="3" t="str">
        <f>IF(Ticket_Table[[#This Row],[resolution_hrs]]&lt;=4,"Fast",IF(Ticket_Table[[#This Row],[resolution_hrs]]&lt;=24,"Normal",IF(Ticket_Table[[#This Row],[resolution_hrs]]&lt;=48,"Slow","Very Slow")))</f>
        <v>Normal</v>
      </c>
      <c r="Q2939" s="3">
        <f>YEAR(Ticket_Table[[#This Row],[raised_date]])</f>
        <v>2023</v>
      </c>
    </row>
    <row r="2940" spans="1:17">
      <c r="A2940" t="s">
        <v>3501</v>
      </c>
      <c r="B2940" t="s">
        <v>751</v>
      </c>
      <c r="C2940" t="s">
        <v>201</v>
      </c>
      <c r="D2940" t="s">
        <v>43</v>
      </c>
      <c r="E2940" t="s">
        <v>83</v>
      </c>
      <c r="F2940" t="s">
        <v>70</v>
      </c>
      <c r="G2940" t="s">
        <v>23</v>
      </c>
      <c r="H2940" s="1">
        <v>45106</v>
      </c>
      <c r="I2940" s="2">
        <v>45108.1875</v>
      </c>
      <c r="J2940">
        <v>52.5</v>
      </c>
      <c r="K2940" t="s">
        <v>32</v>
      </c>
      <c r="L2940">
        <v>0</v>
      </c>
      <c r="M2940">
        <v>3</v>
      </c>
      <c r="N2940" t="s">
        <v>314</v>
      </c>
      <c r="O2940" s="3" t="str">
        <f>TEXT(Ticket_Table[[#This Row],[raised_date]],"YYYY-MM")</f>
        <v>2023-06</v>
      </c>
      <c r="P2940" s="3" t="str">
        <f>IF(Ticket_Table[[#This Row],[resolution_hrs]]&lt;=4,"Fast",IF(Ticket_Table[[#This Row],[resolution_hrs]]&lt;=24,"Normal",IF(Ticket_Table[[#This Row],[resolution_hrs]]&lt;=48,"Slow","Very Slow")))</f>
        <v>Very Slow</v>
      </c>
      <c r="Q2940" s="3">
        <f>YEAR(Ticket_Table[[#This Row],[raised_date]])</f>
        <v>2023</v>
      </c>
    </row>
    <row r="2941" spans="1:17">
      <c r="A2941" t="s">
        <v>3502</v>
      </c>
      <c r="B2941" t="s">
        <v>151</v>
      </c>
      <c r="C2941" t="s">
        <v>117</v>
      </c>
      <c r="D2941" t="s">
        <v>43</v>
      </c>
      <c r="E2941" t="s">
        <v>83</v>
      </c>
      <c r="F2941" t="s">
        <v>22</v>
      </c>
      <c r="G2941" t="s">
        <v>74</v>
      </c>
      <c r="H2941" s="1">
        <v>45114</v>
      </c>
      <c r="I2941" s="2">
        <v>45118.3875</v>
      </c>
      <c r="J2941">
        <v>105.3</v>
      </c>
      <c r="K2941" t="s">
        <v>32</v>
      </c>
      <c r="L2941">
        <v>1</v>
      </c>
      <c r="M2941">
        <v>2</v>
      </c>
      <c r="N2941" t="s">
        <v>484</v>
      </c>
      <c r="O2941" s="3" t="str">
        <f>TEXT(Ticket_Table[[#This Row],[raised_date]],"YYYY-MM")</f>
        <v>2023-07</v>
      </c>
      <c r="P2941" s="3" t="str">
        <f>IF(Ticket_Table[[#This Row],[resolution_hrs]]&lt;=4,"Fast",IF(Ticket_Table[[#This Row],[resolution_hrs]]&lt;=24,"Normal",IF(Ticket_Table[[#This Row],[resolution_hrs]]&lt;=48,"Slow","Very Slow")))</f>
        <v>Very Slow</v>
      </c>
      <c r="Q2941" s="3">
        <f>YEAR(Ticket_Table[[#This Row],[raised_date]])</f>
        <v>2023</v>
      </c>
    </row>
    <row r="2942" spans="1:17">
      <c r="A2942" t="s">
        <v>3503</v>
      </c>
      <c r="B2942" t="s">
        <v>567</v>
      </c>
      <c r="C2942" t="s">
        <v>55</v>
      </c>
      <c r="D2942" t="s">
        <v>20</v>
      </c>
      <c r="E2942" t="s">
        <v>21</v>
      </c>
      <c r="F2942" t="s">
        <v>70</v>
      </c>
      <c r="G2942" t="s">
        <v>31</v>
      </c>
      <c r="H2942" s="1">
        <v>44377</v>
      </c>
      <c r="I2942" s="2">
        <v>44379.1333333333</v>
      </c>
      <c r="J2942">
        <v>51.2</v>
      </c>
      <c r="K2942" t="s">
        <v>32</v>
      </c>
      <c r="L2942">
        <v>1</v>
      </c>
      <c r="M2942">
        <v>3</v>
      </c>
      <c r="N2942" t="s">
        <v>329</v>
      </c>
      <c r="O2942" s="3" t="str">
        <f>TEXT(Ticket_Table[[#This Row],[raised_date]],"YYYY-MM")</f>
        <v>2021-06</v>
      </c>
      <c r="P2942" s="3" t="str">
        <f>IF(Ticket_Table[[#This Row],[resolution_hrs]]&lt;=4,"Fast",IF(Ticket_Table[[#This Row],[resolution_hrs]]&lt;=24,"Normal",IF(Ticket_Table[[#This Row],[resolution_hrs]]&lt;=48,"Slow","Very Slow")))</f>
        <v>Very Slow</v>
      </c>
      <c r="Q2942" s="3">
        <f>YEAR(Ticket_Table[[#This Row],[raised_date]])</f>
        <v>2021</v>
      </c>
    </row>
    <row r="2943" spans="1:17">
      <c r="A2943" t="s">
        <v>3504</v>
      </c>
      <c r="B2943" t="s">
        <v>955</v>
      </c>
      <c r="C2943" t="s">
        <v>19</v>
      </c>
      <c r="D2943" t="s">
        <v>20</v>
      </c>
      <c r="E2943" t="s">
        <v>69</v>
      </c>
      <c r="F2943" t="s">
        <v>70</v>
      </c>
      <c r="G2943" t="s">
        <v>23</v>
      </c>
      <c r="H2943" s="1">
        <v>45217</v>
      </c>
      <c r="I2943" s="2">
        <v>45217.7791666667</v>
      </c>
      <c r="J2943">
        <v>18.7</v>
      </c>
      <c r="K2943" t="s">
        <v>24</v>
      </c>
      <c r="L2943">
        <v>0</v>
      </c>
      <c r="M2943">
        <v>4</v>
      </c>
      <c r="N2943" t="s">
        <v>431</v>
      </c>
      <c r="O2943" s="3" t="str">
        <f>TEXT(Ticket_Table[[#This Row],[raised_date]],"YYYY-MM")</f>
        <v>2023-10</v>
      </c>
      <c r="P2943" s="3" t="str">
        <f>IF(Ticket_Table[[#This Row],[resolution_hrs]]&lt;=4,"Fast",IF(Ticket_Table[[#This Row],[resolution_hrs]]&lt;=24,"Normal",IF(Ticket_Table[[#This Row],[resolution_hrs]]&lt;=48,"Slow","Very Slow")))</f>
        <v>Normal</v>
      </c>
      <c r="Q2943" s="3">
        <f>YEAR(Ticket_Table[[#This Row],[raised_date]])</f>
        <v>2023</v>
      </c>
    </row>
    <row r="2944" spans="1:17">
      <c r="A2944" t="s">
        <v>3505</v>
      </c>
      <c r="B2944" t="s">
        <v>581</v>
      </c>
      <c r="C2944" t="s">
        <v>50</v>
      </c>
      <c r="D2944" t="s">
        <v>90</v>
      </c>
      <c r="E2944" t="s">
        <v>83</v>
      </c>
      <c r="F2944" t="s">
        <v>45</v>
      </c>
      <c r="G2944" t="s">
        <v>23</v>
      </c>
      <c r="H2944" s="1">
        <v>45112</v>
      </c>
      <c r="I2944" s="2">
        <v>45112.1666666667</v>
      </c>
      <c r="J2944">
        <v>4</v>
      </c>
      <c r="K2944" t="s">
        <v>24</v>
      </c>
      <c r="L2944">
        <v>0</v>
      </c>
      <c r="M2944">
        <v>1</v>
      </c>
      <c r="N2944" t="s">
        <v>35</v>
      </c>
      <c r="O2944" s="3" t="str">
        <f>TEXT(Ticket_Table[[#This Row],[raised_date]],"YYYY-MM")</f>
        <v>2023-07</v>
      </c>
      <c r="P2944" s="3" t="str">
        <f>IF(Ticket_Table[[#This Row],[resolution_hrs]]&lt;=4,"Fast",IF(Ticket_Table[[#This Row],[resolution_hrs]]&lt;=24,"Normal",IF(Ticket_Table[[#This Row],[resolution_hrs]]&lt;=48,"Slow","Very Slow")))</f>
        <v>Fast</v>
      </c>
      <c r="Q2944" s="3">
        <f>YEAR(Ticket_Table[[#This Row],[raised_date]])</f>
        <v>2023</v>
      </c>
    </row>
    <row r="2945" spans="1:17">
      <c r="A2945" t="s">
        <v>3506</v>
      </c>
      <c r="B2945" t="s">
        <v>680</v>
      </c>
      <c r="C2945" t="s">
        <v>95</v>
      </c>
      <c r="D2945" t="s">
        <v>20</v>
      </c>
      <c r="E2945" t="s">
        <v>83</v>
      </c>
      <c r="F2945" t="s">
        <v>45</v>
      </c>
      <c r="G2945" t="s">
        <v>31</v>
      </c>
      <c r="H2945" s="1">
        <v>44844</v>
      </c>
      <c r="I2945" s="2">
        <v>44844.1875</v>
      </c>
      <c r="J2945">
        <v>4.5</v>
      </c>
      <c r="K2945" t="s">
        <v>32</v>
      </c>
      <c r="L2945">
        <v>0</v>
      </c>
      <c r="M2945">
        <v>4</v>
      </c>
      <c r="N2945" t="s">
        <v>160</v>
      </c>
      <c r="O2945" s="3" t="str">
        <f>TEXT(Ticket_Table[[#This Row],[raised_date]],"YYYY-MM")</f>
        <v>2022-10</v>
      </c>
      <c r="P2945" s="3" t="str">
        <f>IF(Ticket_Table[[#This Row],[resolution_hrs]]&lt;=4,"Fast",IF(Ticket_Table[[#This Row],[resolution_hrs]]&lt;=24,"Normal",IF(Ticket_Table[[#This Row],[resolution_hrs]]&lt;=48,"Slow","Very Slow")))</f>
        <v>Normal</v>
      </c>
      <c r="Q2945" s="3">
        <f>YEAR(Ticket_Table[[#This Row],[raised_date]])</f>
        <v>2022</v>
      </c>
    </row>
    <row r="2946" spans="1:17">
      <c r="A2946" t="s">
        <v>3507</v>
      </c>
      <c r="B2946" t="s">
        <v>394</v>
      </c>
      <c r="C2946" t="s">
        <v>42</v>
      </c>
      <c r="D2946" t="s">
        <v>90</v>
      </c>
      <c r="E2946" t="s">
        <v>166</v>
      </c>
      <c r="F2946" t="s">
        <v>70</v>
      </c>
      <c r="G2946" t="s">
        <v>23</v>
      </c>
      <c r="H2946" s="1">
        <v>44440</v>
      </c>
      <c r="I2946" s="2">
        <v>44440.5833333333</v>
      </c>
      <c r="J2946">
        <v>14</v>
      </c>
      <c r="K2946" t="s">
        <v>24</v>
      </c>
      <c r="L2946">
        <v>0</v>
      </c>
      <c r="M2946">
        <v>4</v>
      </c>
      <c r="N2946" t="s">
        <v>621</v>
      </c>
      <c r="O2946" s="3" t="str">
        <f>TEXT(Ticket_Table[[#This Row],[raised_date]],"YYYY-MM")</f>
        <v>2021-09</v>
      </c>
      <c r="P2946" s="3" t="str">
        <f>IF(Ticket_Table[[#This Row],[resolution_hrs]]&lt;=4,"Fast",IF(Ticket_Table[[#This Row],[resolution_hrs]]&lt;=24,"Normal",IF(Ticket_Table[[#This Row],[resolution_hrs]]&lt;=48,"Slow","Very Slow")))</f>
        <v>Normal</v>
      </c>
      <c r="Q2946" s="3">
        <f>YEAR(Ticket_Table[[#This Row],[raised_date]])</f>
        <v>2021</v>
      </c>
    </row>
    <row r="2947" spans="1:17">
      <c r="A2947" t="s">
        <v>3508</v>
      </c>
      <c r="B2947" t="s">
        <v>792</v>
      </c>
      <c r="C2947" t="s">
        <v>213</v>
      </c>
      <c r="D2947" t="s">
        <v>29</v>
      </c>
      <c r="E2947" t="s">
        <v>37</v>
      </c>
      <c r="F2947" t="s">
        <v>70</v>
      </c>
      <c r="G2947" t="s">
        <v>31</v>
      </c>
      <c r="H2947" s="1">
        <v>45215</v>
      </c>
      <c r="I2947" s="2">
        <v>45217.9583333333</v>
      </c>
      <c r="J2947">
        <v>71</v>
      </c>
      <c r="K2947" t="s">
        <v>32</v>
      </c>
      <c r="L2947">
        <v>0</v>
      </c>
      <c r="M2947">
        <v>3</v>
      </c>
      <c r="N2947" t="s">
        <v>141</v>
      </c>
      <c r="O2947" s="3" t="str">
        <f>TEXT(Ticket_Table[[#This Row],[raised_date]],"YYYY-MM")</f>
        <v>2023-10</v>
      </c>
      <c r="P2947" s="3" t="str">
        <f>IF(Ticket_Table[[#This Row],[resolution_hrs]]&lt;=4,"Fast",IF(Ticket_Table[[#This Row],[resolution_hrs]]&lt;=24,"Normal",IF(Ticket_Table[[#This Row],[resolution_hrs]]&lt;=48,"Slow","Very Slow")))</f>
        <v>Very Slow</v>
      </c>
      <c r="Q2947" s="3">
        <f>YEAR(Ticket_Table[[#This Row],[raised_date]])</f>
        <v>2023</v>
      </c>
    </row>
    <row r="2948" spans="1:17">
      <c r="A2948" t="s">
        <v>3509</v>
      </c>
      <c r="B2948" t="s">
        <v>1226</v>
      </c>
      <c r="C2948" t="s">
        <v>19</v>
      </c>
      <c r="D2948" t="s">
        <v>90</v>
      </c>
      <c r="E2948" t="s">
        <v>37</v>
      </c>
      <c r="F2948" t="s">
        <v>38</v>
      </c>
      <c r="G2948" t="s">
        <v>31</v>
      </c>
      <c r="H2948" s="1">
        <v>44233</v>
      </c>
      <c r="I2948" s="2">
        <v>44234.2041666667</v>
      </c>
      <c r="J2948">
        <v>28.9</v>
      </c>
      <c r="K2948" t="s">
        <v>32</v>
      </c>
      <c r="L2948">
        <v>1</v>
      </c>
      <c r="M2948">
        <v>3</v>
      </c>
      <c r="N2948" t="s">
        <v>67</v>
      </c>
      <c r="O2948" s="3" t="str">
        <f>TEXT(Ticket_Table[[#This Row],[raised_date]],"YYYY-MM")</f>
        <v>2021-02</v>
      </c>
      <c r="P2948" s="3" t="str">
        <f>IF(Ticket_Table[[#This Row],[resolution_hrs]]&lt;=4,"Fast",IF(Ticket_Table[[#This Row],[resolution_hrs]]&lt;=24,"Normal",IF(Ticket_Table[[#This Row],[resolution_hrs]]&lt;=48,"Slow","Very Slow")))</f>
        <v>Slow</v>
      </c>
      <c r="Q2948" s="3">
        <f>YEAR(Ticket_Table[[#This Row],[raised_date]])</f>
        <v>2021</v>
      </c>
    </row>
    <row r="2949" spans="1:17">
      <c r="A2949" t="s">
        <v>3510</v>
      </c>
      <c r="B2949" t="s">
        <v>844</v>
      </c>
      <c r="C2949" t="s">
        <v>95</v>
      </c>
      <c r="D2949" t="s">
        <v>90</v>
      </c>
      <c r="E2949" t="s">
        <v>21</v>
      </c>
      <c r="F2949" t="s">
        <v>38</v>
      </c>
      <c r="G2949" t="s">
        <v>46</v>
      </c>
      <c r="H2949" s="1">
        <v>44407</v>
      </c>
      <c r="I2949" s="2">
        <v>44407.775</v>
      </c>
      <c r="J2949">
        <v>18.6</v>
      </c>
      <c r="K2949" t="s">
        <v>24</v>
      </c>
      <c r="L2949">
        <v>0</v>
      </c>
      <c r="M2949">
        <v>1</v>
      </c>
      <c r="N2949" t="s">
        <v>363</v>
      </c>
      <c r="O2949" s="3" t="str">
        <f>TEXT(Ticket_Table[[#This Row],[raised_date]],"YYYY-MM")</f>
        <v>2021-07</v>
      </c>
      <c r="P2949" s="3" t="str">
        <f>IF(Ticket_Table[[#This Row],[resolution_hrs]]&lt;=4,"Fast",IF(Ticket_Table[[#This Row],[resolution_hrs]]&lt;=24,"Normal",IF(Ticket_Table[[#This Row],[resolution_hrs]]&lt;=48,"Slow","Very Slow")))</f>
        <v>Normal</v>
      </c>
      <c r="Q2949" s="3">
        <f>YEAR(Ticket_Table[[#This Row],[raised_date]])</f>
        <v>2021</v>
      </c>
    </row>
    <row r="2950" spans="1:17">
      <c r="A2950" t="s">
        <v>3511</v>
      </c>
      <c r="B2950" t="s">
        <v>1200</v>
      </c>
      <c r="C2950" t="s">
        <v>201</v>
      </c>
      <c r="D2950" t="s">
        <v>20</v>
      </c>
      <c r="E2950" t="s">
        <v>30</v>
      </c>
      <c r="F2950" t="s">
        <v>22</v>
      </c>
      <c r="G2950" t="s">
        <v>31</v>
      </c>
      <c r="H2950" s="1">
        <v>45023</v>
      </c>
      <c r="I2950" s="2">
        <v>45024.2708333333</v>
      </c>
      <c r="J2950">
        <v>30.5</v>
      </c>
      <c r="K2950" t="s">
        <v>24</v>
      </c>
      <c r="L2950">
        <v>0</v>
      </c>
      <c r="M2950">
        <v>4</v>
      </c>
      <c r="N2950" t="s">
        <v>321</v>
      </c>
      <c r="O2950" s="3" t="str">
        <f>TEXT(Ticket_Table[[#This Row],[raised_date]],"YYYY-MM")</f>
        <v>2023-04</v>
      </c>
      <c r="P2950" s="3" t="str">
        <f>IF(Ticket_Table[[#This Row],[resolution_hrs]]&lt;=4,"Fast",IF(Ticket_Table[[#This Row],[resolution_hrs]]&lt;=24,"Normal",IF(Ticket_Table[[#This Row],[resolution_hrs]]&lt;=48,"Slow","Very Slow")))</f>
        <v>Slow</v>
      </c>
      <c r="Q2950" s="3">
        <f>YEAR(Ticket_Table[[#This Row],[raised_date]])</f>
        <v>2023</v>
      </c>
    </row>
    <row r="2951" spans="1:17">
      <c r="A2951" t="s">
        <v>3512</v>
      </c>
      <c r="B2951" t="s">
        <v>780</v>
      </c>
      <c r="C2951" t="s">
        <v>19</v>
      </c>
      <c r="D2951" t="s">
        <v>29</v>
      </c>
      <c r="E2951" t="s">
        <v>37</v>
      </c>
      <c r="F2951" t="s">
        <v>70</v>
      </c>
      <c r="G2951" t="s">
        <v>46</v>
      </c>
      <c r="H2951" s="1">
        <v>45041</v>
      </c>
      <c r="I2951" s="2">
        <v>45042.3083333333</v>
      </c>
      <c r="J2951">
        <v>31.4</v>
      </c>
      <c r="K2951" t="s">
        <v>24</v>
      </c>
      <c r="L2951">
        <v>1</v>
      </c>
      <c r="M2951">
        <v>4</v>
      </c>
      <c r="N2951" t="s">
        <v>349</v>
      </c>
      <c r="O2951" s="3" t="str">
        <f>TEXT(Ticket_Table[[#This Row],[raised_date]],"YYYY-MM")</f>
        <v>2023-04</v>
      </c>
      <c r="P2951" s="3" t="str">
        <f>IF(Ticket_Table[[#This Row],[resolution_hrs]]&lt;=4,"Fast",IF(Ticket_Table[[#This Row],[resolution_hrs]]&lt;=24,"Normal",IF(Ticket_Table[[#This Row],[resolution_hrs]]&lt;=48,"Slow","Very Slow")))</f>
        <v>Slow</v>
      </c>
      <c r="Q2951" s="3">
        <f>YEAR(Ticket_Table[[#This Row],[raised_date]])</f>
        <v>2023</v>
      </c>
    </row>
    <row r="2952" spans="1:17">
      <c r="A2952" t="s">
        <v>3513</v>
      </c>
      <c r="B2952" t="s">
        <v>295</v>
      </c>
      <c r="C2952" t="s">
        <v>175</v>
      </c>
      <c r="D2952" t="s">
        <v>36</v>
      </c>
      <c r="E2952" t="s">
        <v>69</v>
      </c>
      <c r="F2952" t="s">
        <v>70</v>
      </c>
      <c r="G2952" t="s">
        <v>23</v>
      </c>
      <c r="H2952" s="1">
        <v>44270</v>
      </c>
      <c r="I2952" s="2">
        <v>44272.8291666667</v>
      </c>
      <c r="J2952">
        <v>67.9</v>
      </c>
      <c r="K2952" t="s">
        <v>32</v>
      </c>
      <c r="L2952">
        <v>0</v>
      </c>
      <c r="M2952">
        <v>4</v>
      </c>
      <c r="N2952" t="s">
        <v>1011</v>
      </c>
      <c r="O2952" s="3" t="str">
        <f>TEXT(Ticket_Table[[#This Row],[raised_date]],"YYYY-MM")</f>
        <v>2021-03</v>
      </c>
      <c r="P2952" s="3" t="str">
        <f>IF(Ticket_Table[[#This Row],[resolution_hrs]]&lt;=4,"Fast",IF(Ticket_Table[[#This Row],[resolution_hrs]]&lt;=24,"Normal",IF(Ticket_Table[[#This Row],[resolution_hrs]]&lt;=48,"Slow","Very Slow")))</f>
        <v>Very Slow</v>
      </c>
      <c r="Q2952" s="3">
        <f>YEAR(Ticket_Table[[#This Row],[raised_date]])</f>
        <v>2021</v>
      </c>
    </row>
    <row r="2953" spans="1:17">
      <c r="A2953" t="s">
        <v>3514</v>
      </c>
      <c r="B2953" t="s">
        <v>73</v>
      </c>
      <c r="C2953" t="s">
        <v>95</v>
      </c>
      <c r="D2953" t="s">
        <v>36</v>
      </c>
      <c r="E2953" t="s">
        <v>56</v>
      </c>
      <c r="F2953" t="s">
        <v>22</v>
      </c>
      <c r="G2953" t="s">
        <v>31</v>
      </c>
      <c r="H2953" s="1">
        <v>44197</v>
      </c>
      <c r="I2953" s="2">
        <v>44200.9708333333</v>
      </c>
      <c r="J2953">
        <v>95.3</v>
      </c>
      <c r="K2953" t="s">
        <v>32</v>
      </c>
      <c r="L2953">
        <v>1</v>
      </c>
      <c r="M2953">
        <v>3</v>
      </c>
      <c r="N2953" t="s">
        <v>643</v>
      </c>
      <c r="O2953" s="3" t="str">
        <f>TEXT(Ticket_Table[[#This Row],[raised_date]],"YYYY-MM")</f>
        <v>2021-01</v>
      </c>
      <c r="P2953" s="3" t="str">
        <f>IF(Ticket_Table[[#This Row],[resolution_hrs]]&lt;=4,"Fast",IF(Ticket_Table[[#This Row],[resolution_hrs]]&lt;=24,"Normal",IF(Ticket_Table[[#This Row],[resolution_hrs]]&lt;=48,"Slow","Very Slow")))</f>
        <v>Very Slow</v>
      </c>
      <c r="Q2953" s="3">
        <f>YEAR(Ticket_Table[[#This Row],[raised_date]])</f>
        <v>2021</v>
      </c>
    </row>
    <row r="2954" spans="1:17">
      <c r="A2954" t="s">
        <v>3515</v>
      </c>
      <c r="B2954" t="s">
        <v>1238</v>
      </c>
      <c r="C2954" t="s">
        <v>19</v>
      </c>
      <c r="D2954" t="s">
        <v>36</v>
      </c>
      <c r="E2954" t="s">
        <v>30</v>
      </c>
      <c r="F2954" t="s">
        <v>22</v>
      </c>
      <c r="G2954" t="s">
        <v>31</v>
      </c>
      <c r="H2954" s="1">
        <v>44383</v>
      </c>
      <c r="I2954" s="2">
        <v>44386.6708333333</v>
      </c>
      <c r="J2954">
        <v>88.1</v>
      </c>
      <c r="K2954" t="s">
        <v>32</v>
      </c>
      <c r="L2954">
        <v>1</v>
      </c>
      <c r="M2954">
        <v>4</v>
      </c>
      <c r="N2954" t="s">
        <v>1164</v>
      </c>
      <c r="O2954" s="3" t="str">
        <f>TEXT(Ticket_Table[[#This Row],[raised_date]],"YYYY-MM")</f>
        <v>2021-07</v>
      </c>
      <c r="P2954" s="3" t="str">
        <f>IF(Ticket_Table[[#This Row],[resolution_hrs]]&lt;=4,"Fast",IF(Ticket_Table[[#This Row],[resolution_hrs]]&lt;=24,"Normal",IF(Ticket_Table[[#This Row],[resolution_hrs]]&lt;=48,"Slow","Very Slow")))</f>
        <v>Very Slow</v>
      </c>
      <c r="Q2954" s="3">
        <f>YEAR(Ticket_Table[[#This Row],[raised_date]])</f>
        <v>2021</v>
      </c>
    </row>
    <row r="2955" spans="1:17">
      <c r="A2955" t="s">
        <v>3516</v>
      </c>
      <c r="B2955" t="s">
        <v>1216</v>
      </c>
      <c r="C2955" t="s">
        <v>50</v>
      </c>
      <c r="D2955" t="s">
        <v>29</v>
      </c>
      <c r="E2955" t="s">
        <v>166</v>
      </c>
      <c r="F2955" t="s">
        <v>22</v>
      </c>
      <c r="G2955" t="s">
        <v>31</v>
      </c>
      <c r="H2955" s="1">
        <v>44820</v>
      </c>
      <c r="I2955" s="2">
        <v>44821.4041666667</v>
      </c>
      <c r="J2955">
        <v>33.7</v>
      </c>
      <c r="K2955" t="s">
        <v>24</v>
      </c>
      <c r="L2955">
        <v>0</v>
      </c>
      <c r="M2955">
        <v>4</v>
      </c>
      <c r="N2955" t="s">
        <v>277</v>
      </c>
      <c r="O2955" s="3" t="str">
        <f>TEXT(Ticket_Table[[#This Row],[raised_date]],"YYYY-MM")</f>
        <v>2022-09</v>
      </c>
      <c r="P2955" s="3" t="str">
        <f>IF(Ticket_Table[[#This Row],[resolution_hrs]]&lt;=4,"Fast",IF(Ticket_Table[[#This Row],[resolution_hrs]]&lt;=24,"Normal",IF(Ticket_Table[[#This Row],[resolution_hrs]]&lt;=48,"Slow","Very Slow")))</f>
        <v>Slow</v>
      </c>
      <c r="Q2955" s="3">
        <f>YEAR(Ticket_Table[[#This Row],[raised_date]])</f>
        <v>2022</v>
      </c>
    </row>
    <row r="2956" spans="1:17">
      <c r="A2956" t="s">
        <v>3517</v>
      </c>
      <c r="B2956" t="s">
        <v>844</v>
      </c>
      <c r="C2956" t="s">
        <v>95</v>
      </c>
      <c r="D2956" t="s">
        <v>43</v>
      </c>
      <c r="E2956" t="s">
        <v>69</v>
      </c>
      <c r="F2956" t="s">
        <v>70</v>
      </c>
      <c r="G2956" t="s">
        <v>46</v>
      </c>
      <c r="H2956" s="1">
        <v>45238</v>
      </c>
      <c r="I2956" s="2">
        <v>45240.5791666667</v>
      </c>
      <c r="J2956">
        <v>61.9</v>
      </c>
      <c r="K2956" t="s">
        <v>32</v>
      </c>
      <c r="L2956">
        <v>0</v>
      </c>
      <c r="M2956">
        <v>1</v>
      </c>
      <c r="N2956" t="s">
        <v>227</v>
      </c>
      <c r="O2956" s="3" t="str">
        <f>TEXT(Ticket_Table[[#This Row],[raised_date]],"YYYY-MM")</f>
        <v>2023-11</v>
      </c>
      <c r="P2956" s="3" t="str">
        <f>IF(Ticket_Table[[#This Row],[resolution_hrs]]&lt;=4,"Fast",IF(Ticket_Table[[#This Row],[resolution_hrs]]&lt;=24,"Normal",IF(Ticket_Table[[#This Row],[resolution_hrs]]&lt;=48,"Slow","Very Slow")))</f>
        <v>Very Slow</v>
      </c>
      <c r="Q2956" s="3">
        <f>YEAR(Ticket_Table[[#This Row],[raised_date]])</f>
        <v>2023</v>
      </c>
    </row>
    <row r="2957" spans="1:17">
      <c r="A2957" t="s">
        <v>3518</v>
      </c>
      <c r="B2957" t="s">
        <v>455</v>
      </c>
      <c r="C2957" t="s">
        <v>117</v>
      </c>
      <c r="D2957" t="s">
        <v>29</v>
      </c>
      <c r="E2957" t="s">
        <v>51</v>
      </c>
      <c r="F2957" t="s">
        <v>22</v>
      </c>
      <c r="G2957" t="s">
        <v>23</v>
      </c>
      <c r="H2957" s="1">
        <v>44620</v>
      </c>
      <c r="I2957" s="2">
        <v>44624.2666666667</v>
      </c>
      <c r="J2957">
        <v>102.4</v>
      </c>
      <c r="K2957" t="s">
        <v>32</v>
      </c>
      <c r="L2957">
        <v>0</v>
      </c>
      <c r="M2957">
        <v>4</v>
      </c>
      <c r="N2957" t="s">
        <v>394</v>
      </c>
      <c r="O2957" s="3" t="str">
        <f>TEXT(Ticket_Table[[#This Row],[raised_date]],"YYYY-MM")</f>
        <v>2022-02</v>
      </c>
      <c r="P2957" s="3" t="str">
        <f>IF(Ticket_Table[[#This Row],[resolution_hrs]]&lt;=4,"Fast",IF(Ticket_Table[[#This Row],[resolution_hrs]]&lt;=24,"Normal",IF(Ticket_Table[[#This Row],[resolution_hrs]]&lt;=48,"Slow","Very Slow")))</f>
        <v>Very Slow</v>
      </c>
      <c r="Q2957" s="3">
        <f>YEAR(Ticket_Table[[#This Row],[raised_date]])</f>
        <v>2022</v>
      </c>
    </row>
    <row r="2958" spans="1:17">
      <c r="A2958" t="s">
        <v>3519</v>
      </c>
      <c r="B2958" t="s">
        <v>646</v>
      </c>
      <c r="C2958" t="s">
        <v>95</v>
      </c>
      <c r="D2958" t="s">
        <v>20</v>
      </c>
      <c r="E2958" t="s">
        <v>166</v>
      </c>
      <c r="F2958" t="s">
        <v>22</v>
      </c>
      <c r="G2958" t="s">
        <v>23</v>
      </c>
      <c r="H2958" s="1">
        <v>45131</v>
      </c>
      <c r="I2958" s="2">
        <v>45132.8541666667</v>
      </c>
      <c r="J2958">
        <v>44.5</v>
      </c>
      <c r="K2958" t="s">
        <v>24</v>
      </c>
      <c r="L2958">
        <v>1</v>
      </c>
      <c r="M2958">
        <v>4</v>
      </c>
      <c r="N2958" t="s">
        <v>296</v>
      </c>
      <c r="O2958" s="3" t="str">
        <f>TEXT(Ticket_Table[[#This Row],[raised_date]],"YYYY-MM")</f>
        <v>2023-07</v>
      </c>
      <c r="P2958" s="3" t="str">
        <f>IF(Ticket_Table[[#This Row],[resolution_hrs]]&lt;=4,"Fast",IF(Ticket_Table[[#This Row],[resolution_hrs]]&lt;=24,"Normal",IF(Ticket_Table[[#This Row],[resolution_hrs]]&lt;=48,"Slow","Very Slow")))</f>
        <v>Slow</v>
      </c>
      <c r="Q2958" s="3">
        <f>YEAR(Ticket_Table[[#This Row],[raised_date]])</f>
        <v>2023</v>
      </c>
    </row>
    <row r="2959" spans="1:17">
      <c r="A2959" t="s">
        <v>3520</v>
      </c>
      <c r="B2959" t="s">
        <v>195</v>
      </c>
      <c r="C2959" t="s">
        <v>50</v>
      </c>
      <c r="D2959" t="s">
        <v>90</v>
      </c>
      <c r="E2959" t="s">
        <v>44</v>
      </c>
      <c r="F2959" t="s">
        <v>22</v>
      </c>
      <c r="G2959" t="s">
        <v>23</v>
      </c>
      <c r="H2959" s="1">
        <v>44895</v>
      </c>
      <c r="I2959" s="2">
        <v>44896.4375</v>
      </c>
      <c r="J2959">
        <v>34.5</v>
      </c>
      <c r="K2959" t="s">
        <v>24</v>
      </c>
      <c r="L2959">
        <v>0</v>
      </c>
      <c r="M2959">
        <v>3</v>
      </c>
      <c r="N2959" t="s">
        <v>275</v>
      </c>
      <c r="O2959" s="3" t="str">
        <f>TEXT(Ticket_Table[[#This Row],[raised_date]],"YYYY-MM")</f>
        <v>2022-11</v>
      </c>
      <c r="P2959" s="3" t="str">
        <f>IF(Ticket_Table[[#This Row],[resolution_hrs]]&lt;=4,"Fast",IF(Ticket_Table[[#This Row],[resolution_hrs]]&lt;=24,"Normal",IF(Ticket_Table[[#This Row],[resolution_hrs]]&lt;=48,"Slow","Very Slow")))</f>
        <v>Slow</v>
      </c>
      <c r="Q2959" s="3">
        <f>YEAR(Ticket_Table[[#This Row],[raised_date]])</f>
        <v>2022</v>
      </c>
    </row>
    <row r="2960" spans="1:17">
      <c r="A2960" t="s">
        <v>3521</v>
      </c>
      <c r="B2960" t="s">
        <v>552</v>
      </c>
      <c r="C2960" t="s">
        <v>117</v>
      </c>
      <c r="D2960" t="s">
        <v>90</v>
      </c>
      <c r="E2960" t="s">
        <v>83</v>
      </c>
      <c r="F2960" t="s">
        <v>38</v>
      </c>
      <c r="G2960" t="s">
        <v>91</v>
      </c>
      <c r="H2960" s="1">
        <v>44941</v>
      </c>
      <c r="I2960" s="2">
        <v>44941.175</v>
      </c>
      <c r="J2960">
        <v>4.2</v>
      </c>
      <c r="K2960" t="s">
        <v>24</v>
      </c>
      <c r="L2960">
        <v>1</v>
      </c>
      <c r="M2960">
        <v>4</v>
      </c>
      <c r="N2960" t="s">
        <v>764</v>
      </c>
      <c r="O2960" s="3" t="str">
        <f>TEXT(Ticket_Table[[#This Row],[raised_date]],"YYYY-MM")</f>
        <v>2023-01</v>
      </c>
      <c r="P2960" s="3" t="str">
        <f>IF(Ticket_Table[[#This Row],[resolution_hrs]]&lt;=4,"Fast",IF(Ticket_Table[[#This Row],[resolution_hrs]]&lt;=24,"Normal",IF(Ticket_Table[[#This Row],[resolution_hrs]]&lt;=48,"Slow","Very Slow")))</f>
        <v>Normal</v>
      </c>
      <c r="Q2960" s="3">
        <f>YEAR(Ticket_Table[[#This Row],[raised_date]])</f>
        <v>2023</v>
      </c>
    </row>
    <row r="2961" spans="1:17">
      <c r="A2961" t="s">
        <v>3522</v>
      </c>
      <c r="B2961" t="s">
        <v>614</v>
      </c>
      <c r="C2961" t="s">
        <v>140</v>
      </c>
      <c r="D2961" t="s">
        <v>20</v>
      </c>
      <c r="E2961" t="s">
        <v>106</v>
      </c>
      <c r="F2961" t="s">
        <v>38</v>
      </c>
      <c r="G2961" t="s">
        <v>23</v>
      </c>
      <c r="H2961" s="1">
        <v>44308</v>
      </c>
      <c r="I2961" s="2">
        <v>44308.1583333333</v>
      </c>
      <c r="J2961">
        <v>3.8</v>
      </c>
      <c r="K2961" t="s">
        <v>24</v>
      </c>
      <c r="L2961">
        <v>0</v>
      </c>
      <c r="M2961">
        <v>1</v>
      </c>
      <c r="N2961" t="s">
        <v>588</v>
      </c>
      <c r="O2961" s="3" t="str">
        <f>TEXT(Ticket_Table[[#This Row],[raised_date]],"YYYY-MM")</f>
        <v>2021-04</v>
      </c>
      <c r="P2961" s="3" t="str">
        <f>IF(Ticket_Table[[#This Row],[resolution_hrs]]&lt;=4,"Fast",IF(Ticket_Table[[#This Row],[resolution_hrs]]&lt;=24,"Normal",IF(Ticket_Table[[#This Row],[resolution_hrs]]&lt;=48,"Slow","Very Slow")))</f>
        <v>Fast</v>
      </c>
      <c r="Q2961" s="3">
        <f>YEAR(Ticket_Table[[#This Row],[raised_date]])</f>
        <v>2021</v>
      </c>
    </row>
    <row r="2962" spans="1:17">
      <c r="A2962" t="s">
        <v>3523</v>
      </c>
      <c r="B2962" t="s">
        <v>148</v>
      </c>
      <c r="C2962" t="s">
        <v>140</v>
      </c>
      <c r="D2962" t="s">
        <v>20</v>
      </c>
      <c r="E2962" t="s">
        <v>51</v>
      </c>
      <c r="F2962" t="s">
        <v>70</v>
      </c>
      <c r="G2962" t="s">
        <v>46</v>
      </c>
      <c r="H2962" s="1">
        <v>44653</v>
      </c>
      <c r="I2962" s="2">
        <v>44655.2</v>
      </c>
      <c r="J2962">
        <v>52.8</v>
      </c>
      <c r="K2962" t="s">
        <v>32</v>
      </c>
      <c r="L2962">
        <v>0</v>
      </c>
      <c r="M2962">
        <v>3</v>
      </c>
      <c r="N2962" t="s">
        <v>380</v>
      </c>
      <c r="O2962" s="3" t="str">
        <f>TEXT(Ticket_Table[[#This Row],[raised_date]],"YYYY-MM")</f>
        <v>2022-04</v>
      </c>
      <c r="P2962" s="3" t="str">
        <f>IF(Ticket_Table[[#This Row],[resolution_hrs]]&lt;=4,"Fast",IF(Ticket_Table[[#This Row],[resolution_hrs]]&lt;=24,"Normal",IF(Ticket_Table[[#This Row],[resolution_hrs]]&lt;=48,"Slow","Very Slow")))</f>
        <v>Very Slow</v>
      </c>
      <c r="Q2962" s="3">
        <f>YEAR(Ticket_Table[[#This Row],[raised_date]])</f>
        <v>2022</v>
      </c>
    </row>
    <row r="2963" spans="1:17">
      <c r="A2963" t="s">
        <v>3524</v>
      </c>
      <c r="B2963" t="s">
        <v>237</v>
      </c>
      <c r="C2963" t="s">
        <v>19</v>
      </c>
      <c r="D2963" t="s">
        <v>90</v>
      </c>
      <c r="E2963" t="s">
        <v>30</v>
      </c>
      <c r="F2963" t="s">
        <v>70</v>
      </c>
      <c r="G2963" t="s">
        <v>46</v>
      </c>
      <c r="H2963" s="1">
        <v>45127</v>
      </c>
      <c r="I2963" s="2">
        <v>45129.8375</v>
      </c>
      <c r="J2963">
        <v>68.1</v>
      </c>
      <c r="K2963" t="s">
        <v>32</v>
      </c>
      <c r="L2963">
        <v>3</v>
      </c>
      <c r="M2963">
        <v>3</v>
      </c>
      <c r="N2963" t="s">
        <v>317</v>
      </c>
      <c r="O2963" s="3" t="str">
        <f>TEXT(Ticket_Table[[#This Row],[raised_date]],"YYYY-MM")</f>
        <v>2023-07</v>
      </c>
      <c r="P2963" s="3" t="str">
        <f>IF(Ticket_Table[[#This Row],[resolution_hrs]]&lt;=4,"Fast",IF(Ticket_Table[[#This Row],[resolution_hrs]]&lt;=24,"Normal",IF(Ticket_Table[[#This Row],[resolution_hrs]]&lt;=48,"Slow","Very Slow")))</f>
        <v>Very Slow</v>
      </c>
      <c r="Q2963" s="3">
        <f>YEAR(Ticket_Table[[#This Row],[raised_date]])</f>
        <v>2023</v>
      </c>
    </row>
    <row r="2964" spans="1:17">
      <c r="A2964" t="s">
        <v>3525</v>
      </c>
      <c r="B2964" t="s">
        <v>141</v>
      </c>
      <c r="C2964" t="s">
        <v>82</v>
      </c>
      <c r="D2964" t="s">
        <v>43</v>
      </c>
      <c r="E2964" t="s">
        <v>69</v>
      </c>
      <c r="F2964" t="s">
        <v>45</v>
      </c>
      <c r="G2964" t="s">
        <v>23</v>
      </c>
      <c r="H2964" s="1">
        <v>44876</v>
      </c>
      <c r="I2964" s="2">
        <v>44876.075</v>
      </c>
      <c r="J2964">
        <v>1.8</v>
      </c>
      <c r="K2964" t="s">
        <v>24</v>
      </c>
      <c r="L2964">
        <v>0</v>
      </c>
      <c r="M2964">
        <v>1</v>
      </c>
      <c r="N2964" t="s">
        <v>566</v>
      </c>
      <c r="O2964" s="3" t="str">
        <f>TEXT(Ticket_Table[[#This Row],[raised_date]],"YYYY-MM")</f>
        <v>2022-11</v>
      </c>
      <c r="P2964" s="3" t="str">
        <f>IF(Ticket_Table[[#This Row],[resolution_hrs]]&lt;=4,"Fast",IF(Ticket_Table[[#This Row],[resolution_hrs]]&lt;=24,"Normal",IF(Ticket_Table[[#This Row],[resolution_hrs]]&lt;=48,"Slow","Very Slow")))</f>
        <v>Fast</v>
      </c>
      <c r="Q2964" s="3">
        <f>YEAR(Ticket_Table[[#This Row],[raised_date]])</f>
        <v>2022</v>
      </c>
    </row>
    <row r="2965" spans="1:17">
      <c r="A2965" t="s">
        <v>3526</v>
      </c>
      <c r="B2965" t="s">
        <v>926</v>
      </c>
      <c r="C2965" t="s">
        <v>78</v>
      </c>
      <c r="D2965" t="s">
        <v>43</v>
      </c>
      <c r="E2965" t="s">
        <v>51</v>
      </c>
      <c r="F2965" t="s">
        <v>22</v>
      </c>
      <c r="G2965" t="s">
        <v>31</v>
      </c>
      <c r="H2965" s="1">
        <v>45165</v>
      </c>
      <c r="I2965" s="2">
        <v>45165.2958333333</v>
      </c>
      <c r="J2965">
        <v>7.1</v>
      </c>
      <c r="K2965" t="s">
        <v>24</v>
      </c>
      <c r="L2965">
        <v>2</v>
      </c>
      <c r="M2965">
        <v>3</v>
      </c>
      <c r="N2965" t="s">
        <v>935</v>
      </c>
      <c r="O2965" s="3" t="str">
        <f>TEXT(Ticket_Table[[#This Row],[raised_date]],"YYYY-MM")</f>
        <v>2023-08</v>
      </c>
      <c r="P2965" s="3" t="str">
        <f>IF(Ticket_Table[[#This Row],[resolution_hrs]]&lt;=4,"Fast",IF(Ticket_Table[[#This Row],[resolution_hrs]]&lt;=24,"Normal",IF(Ticket_Table[[#This Row],[resolution_hrs]]&lt;=48,"Slow","Very Slow")))</f>
        <v>Normal</v>
      </c>
      <c r="Q2965" s="3">
        <f>YEAR(Ticket_Table[[#This Row],[raised_date]])</f>
        <v>2023</v>
      </c>
    </row>
    <row r="2966" spans="1:17">
      <c r="A2966" t="s">
        <v>3527</v>
      </c>
      <c r="B2966" t="s">
        <v>782</v>
      </c>
      <c r="C2966" t="s">
        <v>133</v>
      </c>
      <c r="D2966" t="s">
        <v>43</v>
      </c>
      <c r="E2966" t="s">
        <v>44</v>
      </c>
      <c r="F2966" t="s">
        <v>22</v>
      </c>
      <c r="G2966" t="s">
        <v>46</v>
      </c>
      <c r="H2966" s="1">
        <v>44941</v>
      </c>
      <c r="I2966" s="2">
        <v>44944.3541666667</v>
      </c>
      <c r="J2966">
        <v>80.5</v>
      </c>
      <c r="K2966" t="s">
        <v>32</v>
      </c>
      <c r="L2966">
        <v>0</v>
      </c>
      <c r="M2966">
        <v>4</v>
      </c>
      <c r="N2966" t="s">
        <v>926</v>
      </c>
      <c r="O2966" s="3" t="str">
        <f>TEXT(Ticket_Table[[#This Row],[raised_date]],"YYYY-MM")</f>
        <v>2023-01</v>
      </c>
      <c r="P2966" s="3" t="str">
        <f>IF(Ticket_Table[[#This Row],[resolution_hrs]]&lt;=4,"Fast",IF(Ticket_Table[[#This Row],[resolution_hrs]]&lt;=24,"Normal",IF(Ticket_Table[[#This Row],[resolution_hrs]]&lt;=48,"Slow","Very Slow")))</f>
        <v>Very Slow</v>
      </c>
      <c r="Q2966" s="3">
        <f>YEAR(Ticket_Table[[#This Row],[raised_date]])</f>
        <v>2023</v>
      </c>
    </row>
    <row r="2967" spans="1:17">
      <c r="A2967" t="s">
        <v>3528</v>
      </c>
      <c r="B2967" t="s">
        <v>99</v>
      </c>
      <c r="C2967" t="s">
        <v>55</v>
      </c>
      <c r="D2967" t="s">
        <v>20</v>
      </c>
      <c r="E2967" t="s">
        <v>69</v>
      </c>
      <c r="F2967" t="s">
        <v>22</v>
      </c>
      <c r="G2967" t="s">
        <v>31</v>
      </c>
      <c r="H2967" s="1">
        <v>45123</v>
      </c>
      <c r="I2967" s="2">
        <v>45125.5125</v>
      </c>
      <c r="J2967">
        <v>60.3</v>
      </c>
      <c r="K2967" t="s">
        <v>24</v>
      </c>
      <c r="L2967">
        <v>0</v>
      </c>
      <c r="M2967">
        <v>5</v>
      </c>
      <c r="N2967" t="s">
        <v>588</v>
      </c>
      <c r="O2967" s="3" t="str">
        <f>TEXT(Ticket_Table[[#This Row],[raised_date]],"YYYY-MM")</f>
        <v>2023-07</v>
      </c>
      <c r="P2967" s="3" t="str">
        <f>IF(Ticket_Table[[#This Row],[resolution_hrs]]&lt;=4,"Fast",IF(Ticket_Table[[#This Row],[resolution_hrs]]&lt;=24,"Normal",IF(Ticket_Table[[#This Row],[resolution_hrs]]&lt;=48,"Slow","Very Slow")))</f>
        <v>Very Slow</v>
      </c>
      <c r="Q2967" s="3">
        <f>YEAR(Ticket_Table[[#This Row],[raised_date]])</f>
        <v>2023</v>
      </c>
    </row>
    <row r="2968" spans="1:17">
      <c r="A2968" t="s">
        <v>3529</v>
      </c>
      <c r="B2968" t="s">
        <v>1297</v>
      </c>
      <c r="C2968" t="s">
        <v>140</v>
      </c>
      <c r="D2968" t="s">
        <v>90</v>
      </c>
      <c r="E2968" t="s">
        <v>106</v>
      </c>
      <c r="F2968" t="s">
        <v>22</v>
      </c>
      <c r="G2968" t="s">
        <v>46</v>
      </c>
      <c r="H2968" s="1">
        <v>44430</v>
      </c>
      <c r="I2968" s="2">
        <v>44432.2375</v>
      </c>
      <c r="J2968">
        <v>53.7</v>
      </c>
      <c r="K2968" t="s">
        <v>24</v>
      </c>
      <c r="L2968">
        <v>0</v>
      </c>
      <c r="M2968">
        <v>4</v>
      </c>
      <c r="N2968" t="s">
        <v>169</v>
      </c>
      <c r="O2968" s="3" t="str">
        <f>TEXT(Ticket_Table[[#This Row],[raised_date]],"YYYY-MM")</f>
        <v>2021-08</v>
      </c>
      <c r="P2968" s="3" t="str">
        <f>IF(Ticket_Table[[#This Row],[resolution_hrs]]&lt;=4,"Fast",IF(Ticket_Table[[#This Row],[resolution_hrs]]&lt;=24,"Normal",IF(Ticket_Table[[#This Row],[resolution_hrs]]&lt;=48,"Slow","Very Slow")))</f>
        <v>Very Slow</v>
      </c>
      <c r="Q2968" s="3">
        <f>YEAR(Ticket_Table[[#This Row],[raised_date]])</f>
        <v>2021</v>
      </c>
    </row>
    <row r="2969" spans="1:17">
      <c r="A2969" t="s">
        <v>3530</v>
      </c>
      <c r="B2969" t="s">
        <v>701</v>
      </c>
      <c r="C2969" t="s">
        <v>82</v>
      </c>
      <c r="D2969" t="s">
        <v>90</v>
      </c>
      <c r="E2969" t="s">
        <v>30</v>
      </c>
      <c r="F2969" t="s">
        <v>70</v>
      </c>
      <c r="G2969" t="s">
        <v>23</v>
      </c>
      <c r="H2969" s="1">
        <v>44396</v>
      </c>
      <c r="I2969" s="2">
        <v>44398.6291666667</v>
      </c>
      <c r="J2969">
        <v>63.1</v>
      </c>
      <c r="K2969" t="s">
        <v>32</v>
      </c>
      <c r="L2969">
        <v>2</v>
      </c>
      <c r="M2969">
        <v>4</v>
      </c>
      <c r="N2969" t="s">
        <v>554</v>
      </c>
      <c r="O2969" s="3" t="str">
        <f>TEXT(Ticket_Table[[#This Row],[raised_date]],"YYYY-MM")</f>
        <v>2021-07</v>
      </c>
      <c r="P2969" s="3" t="str">
        <f>IF(Ticket_Table[[#This Row],[resolution_hrs]]&lt;=4,"Fast",IF(Ticket_Table[[#This Row],[resolution_hrs]]&lt;=24,"Normal",IF(Ticket_Table[[#This Row],[resolution_hrs]]&lt;=48,"Slow","Very Slow")))</f>
        <v>Very Slow</v>
      </c>
      <c r="Q2969" s="3">
        <f>YEAR(Ticket_Table[[#This Row],[raised_date]])</f>
        <v>2021</v>
      </c>
    </row>
    <row r="2970" spans="1:17">
      <c r="A2970" t="s">
        <v>3531</v>
      </c>
      <c r="B2970" t="s">
        <v>1025</v>
      </c>
      <c r="C2970" t="s">
        <v>55</v>
      </c>
      <c r="D2970" t="s">
        <v>90</v>
      </c>
      <c r="E2970" t="s">
        <v>166</v>
      </c>
      <c r="F2970" t="s">
        <v>45</v>
      </c>
      <c r="G2970" t="s">
        <v>31</v>
      </c>
      <c r="H2970" s="1">
        <v>44651</v>
      </c>
      <c r="I2970" s="2">
        <v>44651.2416666667</v>
      </c>
      <c r="J2970">
        <v>5.8</v>
      </c>
      <c r="K2970" t="s">
        <v>32</v>
      </c>
      <c r="L2970">
        <v>1</v>
      </c>
      <c r="M2970">
        <v>5</v>
      </c>
      <c r="N2970" t="s">
        <v>171</v>
      </c>
      <c r="O2970" s="3" t="str">
        <f>TEXT(Ticket_Table[[#This Row],[raised_date]],"YYYY-MM")</f>
        <v>2022-03</v>
      </c>
      <c r="P2970" s="3" t="str">
        <f>IF(Ticket_Table[[#This Row],[resolution_hrs]]&lt;=4,"Fast",IF(Ticket_Table[[#This Row],[resolution_hrs]]&lt;=24,"Normal",IF(Ticket_Table[[#This Row],[resolution_hrs]]&lt;=48,"Slow","Very Slow")))</f>
        <v>Normal</v>
      </c>
      <c r="Q2970" s="3">
        <f>YEAR(Ticket_Table[[#This Row],[raised_date]])</f>
        <v>2022</v>
      </c>
    </row>
    <row r="2971" spans="1:17">
      <c r="A2971" t="s">
        <v>3532</v>
      </c>
      <c r="B2971" t="s">
        <v>262</v>
      </c>
      <c r="C2971" t="s">
        <v>201</v>
      </c>
      <c r="D2971" t="s">
        <v>29</v>
      </c>
      <c r="E2971" t="s">
        <v>21</v>
      </c>
      <c r="F2971" t="s">
        <v>70</v>
      </c>
      <c r="G2971" t="s">
        <v>46</v>
      </c>
      <c r="H2971" s="1">
        <v>44201</v>
      </c>
      <c r="I2971" s="2">
        <v>44202.2958333333</v>
      </c>
      <c r="J2971">
        <v>31.1</v>
      </c>
      <c r="K2971" t="s">
        <v>24</v>
      </c>
      <c r="L2971">
        <v>1</v>
      </c>
      <c r="M2971">
        <v>3</v>
      </c>
      <c r="N2971" t="s">
        <v>1337</v>
      </c>
      <c r="O2971" s="3" t="str">
        <f>TEXT(Ticket_Table[[#This Row],[raised_date]],"YYYY-MM")</f>
        <v>2021-01</v>
      </c>
      <c r="P2971" s="3" t="str">
        <f>IF(Ticket_Table[[#This Row],[resolution_hrs]]&lt;=4,"Fast",IF(Ticket_Table[[#This Row],[resolution_hrs]]&lt;=24,"Normal",IF(Ticket_Table[[#This Row],[resolution_hrs]]&lt;=48,"Slow","Very Slow")))</f>
        <v>Slow</v>
      </c>
      <c r="Q2971" s="3">
        <f>YEAR(Ticket_Table[[#This Row],[raised_date]])</f>
        <v>2021</v>
      </c>
    </row>
    <row r="2972" spans="1:17">
      <c r="A2972" t="s">
        <v>3533</v>
      </c>
      <c r="B2972" t="s">
        <v>751</v>
      </c>
      <c r="C2972" t="s">
        <v>50</v>
      </c>
      <c r="D2972" t="s">
        <v>29</v>
      </c>
      <c r="E2972" t="s">
        <v>51</v>
      </c>
      <c r="F2972" t="s">
        <v>70</v>
      </c>
      <c r="G2972" t="s">
        <v>23</v>
      </c>
      <c r="H2972" s="1">
        <v>44896</v>
      </c>
      <c r="I2972" s="2">
        <v>44897.5458333333</v>
      </c>
      <c r="J2972">
        <v>37.1</v>
      </c>
      <c r="K2972" t="s">
        <v>24</v>
      </c>
      <c r="L2972">
        <v>0</v>
      </c>
      <c r="M2972">
        <v>3</v>
      </c>
      <c r="N2972" t="s">
        <v>355</v>
      </c>
      <c r="O2972" s="3" t="str">
        <f>TEXT(Ticket_Table[[#This Row],[raised_date]],"YYYY-MM")</f>
        <v>2022-12</v>
      </c>
      <c r="P2972" s="3" t="str">
        <f>IF(Ticket_Table[[#This Row],[resolution_hrs]]&lt;=4,"Fast",IF(Ticket_Table[[#This Row],[resolution_hrs]]&lt;=24,"Normal",IF(Ticket_Table[[#This Row],[resolution_hrs]]&lt;=48,"Slow","Very Slow")))</f>
        <v>Slow</v>
      </c>
      <c r="Q2972" s="3">
        <f>YEAR(Ticket_Table[[#This Row],[raised_date]])</f>
        <v>2022</v>
      </c>
    </row>
    <row r="2973" spans="1:17">
      <c r="A2973" t="s">
        <v>3534</v>
      </c>
      <c r="B2973" t="s">
        <v>279</v>
      </c>
      <c r="C2973" t="s">
        <v>133</v>
      </c>
      <c r="D2973" t="s">
        <v>36</v>
      </c>
      <c r="E2973" t="s">
        <v>106</v>
      </c>
      <c r="F2973" t="s">
        <v>45</v>
      </c>
      <c r="G2973" t="s">
        <v>31</v>
      </c>
      <c r="H2973" s="1">
        <v>44924</v>
      </c>
      <c r="I2973" s="2">
        <v>44924.1958333333</v>
      </c>
      <c r="J2973">
        <v>4.7</v>
      </c>
      <c r="K2973" t="s">
        <v>32</v>
      </c>
      <c r="L2973">
        <v>0</v>
      </c>
      <c r="M2973">
        <v>4</v>
      </c>
      <c r="N2973" t="s">
        <v>419</v>
      </c>
      <c r="O2973" s="3" t="str">
        <f>TEXT(Ticket_Table[[#This Row],[raised_date]],"YYYY-MM")</f>
        <v>2022-12</v>
      </c>
      <c r="P2973" s="3" t="str">
        <f>IF(Ticket_Table[[#This Row],[resolution_hrs]]&lt;=4,"Fast",IF(Ticket_Table[[#This Row],[resolution_hrs]]&lt;=24,"Normal",IF(Ticket_Table[[#This Row],[resolution_hrs]]&lt;=48,"Slow","Very Slow")))</f>
        <v>Normal</v>
      </c>
      <c r="Q2973" s="3">
        <f>YEAR(Ticket_Table[[#This Row],[raised_date]])</f>
        <v>2022</v>
      </c>
    </row>
    <row r="2974" spans="1:17">
      <c r="A2974" t="s">
        <v>3535</v>
      </c>
      <c r="B2974" t="s">
        <v>1533</v>
      </c>
      <c r="C2974" t="s">
        <v>133</v>
      </c>
      <c r="D2974" t="s">
        <v>29</v>
      </c>
      <c r="E2974" t="s">
        <v>44</v>
      </c>
      <c r="F2974" t="s">
        <v>22</v>
      </c>
      <c r="G2974" t="s">
        <v>23</v>
      </c>
      <c r="H2974" s="1">
        <v>44794</v>
      </c>
      <c r="I2974" s="2">
        <v>44796.1791666667</v>
      </c>
      <c r="J2974">
        <v>52.3</v>
      </c>
      <c r="K2974" t="s">
        <v>24</v>
      </c>
      <c r="L2974">
        <v>0</v>
      </c>
      <c r="M2974">
        <v>4</v>
      </c>
      <c r="N2974" t="s">
        <v>300</v>
      </c>
      <c r="O2974" s="3" t="str">
        <f>TEXT(Ticket_Table[[#This Row],[raised_date]],"YYYY-MM")</f>
        <v>2022-08</v>
      </c>
      <c r="P2974" s="3" t="str">
        <f>IF(Ticket_Table[[#This Row],[resolution_hrs]]&lt;=4,"Fast",IF(Ticket_Table[[#This Row],[resolution_hrs]]&lt;=24,"Normal",IF(Ticket_Table[[#This Row],[resolution_hrs]]&lt;=48,"Slow","Very Slow")))</f>
        <v>Very Slow</v>
      </c>
      <c r="Q2974" s="3">
        <f>YEAR(Ticket_Table[[#This Row],[raised_date]])</f>
        <v>2022</v>
      </c>
    </row>
    <row r="2975" spans="1:17">
      <c r="A2975" t="s">
        <v>3536</v>
      </c>
      <c r="B2975" t="s">
        <v>737</v>
      </c>
      <c r="C2975" t="s">
        <v>68</v>
      </c>
      <c r="D2975" t="s">
        <v>43</v>
      </c>
      <c r="E2975" t="s">
        <v>51</v>
      </c>
      <c r="F2975" t="s">
        <v>22</v>
      </c>
      <c r="G2975" t="s">
        <v>23</v>
      </c>
      <c r="H2975" s="1">
        <v>45266</v>
      </c>
      <c r="I2975" s="2">
        <v>45268.3375</v>
      </c>
      <c r="J2975">
        <v>56.1</v>
      </c>
      <c r="K2975" t="s">
        <v>24</v>
      </c>
      <c r="L2975">
        <v>0</v>
      </c>
      <c r="M2975">
        <v>3</v>
      </c>
      <c r="N2975" t="s">
        <v>272</v>
      </c>
      <c r="O2975" s="3" t="str">
        <f>TEXT(Ticket_Table[[#This Row],[raised_date]],"YYYY-MM")</f>
        <v>2023-12</v>
      </c>
      <c r="P2975" s="3" t="str">
        <f>IF(Ticket_Table[[#This Row],[resolution_hrs]]&lt;=4,"Fast",IF(Ticket_Table[[#This Row],[resolution_hrs]]&lt;=24,"Normal",IF(Ticket_Table[[#This Row],[resolution_hrs]]&lt;=48,"Slow","Very Slow")))</f>
        <v>Very Slow</v>
      </c>
      <c r="Q2975" s="3">
        <f>YEAR(Ticket_Table[[#This Row],[raised_date]])</f>
        <v>2023</v>
      </c>
    </row>
    <row r="2976" spans="1:17">
      <c r="A2976" t="s">
        <v>3537</v>
      </c>
      <c r="B2976" t="s">
        <v>183</v>
      </c>
      <c r="C2976" t="s">
        <v>175</v>
      </c>
      <c r="D2976" t="s">
        <v>43</v>
      </c>
      <c r="E2976" t="s">
        <v>56</v>
      </c>
      <c r="F2976" t="s">
        <v>70</v>
      </c>
      <c r="G2976" t="s">
        <v>31</v>
      </c>
      <c r="H2976" s="1">
        <v>44962</v>
      </c>
      <c r="I2976" s="2">
        <v>44964.9958333333</v>
      </c>
      <c r="J2976">
        <v>71.9</v>
      </c>
      <c r="K2976" t="s">
        <v>32</v>
      </c>
      <c r="L2976">
        <v>1</v>
      </c>
      <c r="M2976">
        <v>4</v>
      </c>
      <c r="N2976" t="s">
        <v>94</v>
      </c>
      <c r="O2976" s="3" t="str">
        <f>TEXT(Ticket_Table[[#This Row],[raised_date]],"YYYY-MM")</f>
        <v>2023-02</v>
      </c>
      <c r="P2976" s="3" t="str">
        <f>IF(Ticket_Table[[#This Row],[resolution_hrs]]&lt;=4,"Fast",IF(Ticket_Table[[#This Row],[resolution_hrs]]&lt;=24,"Normal",IF(Ticket_Table[[#This Row],[resolution_hrs]]&lt;=48,"Slow","Very Slow")))</f>
        <v>Very Slow</v>
      </c>
      <c r="Q2976" s="3">
        <f>YEAR(Ticket_Table[[#This Row],[raised_date]])</f>
        <v>2023</v>
      </c>
    </row>
    <row r="2977" spans="1:17">
      <c r="A2977" t="s">
        <v>3538</v>
      </c>
      <c r="B2977" t="s">
        <v>197</v>
      </c>
      <c r="C2977" t="s">
        <v>82</v>
      </c>
      <c r="D2977" t="s">
        <v>43</v>
      </c>
      <c r="E2977" t="s">
        <v>56</v>
      </c>
      <c r="F2977" t="s">
        <v>70</v>
      </c>
      <c r="G2977" t="s">
        <v>91</v>
      </c>
      <c r="H2977" s="1">
        <v>44414</v>
      </c>
      <c r="I2977" s="2">
        <v>44416.6708333333</v>
      </c>
      <c r="J2977">
        <v>64.1</v>
      </c>
      <c r="K2977" t="s">
        <v>32</v>
      </c>
      <c r="L2977">
        <v>1</v>
      </c>
      <c r="M2977">
        <v>3</v>
      </c>
      <c r="N2977" t="s">
        <v>1200</v>
      </c>
      <c r="O2977" s="3" t="str">
        <f>TEXT(Ticket_Table[[#This Row],[raised_date]],"YYYY-MM")</f>
        <v>2021-08</v>
      </c>
      <c r="P2977" s="3" t="str">
        <f>IF(Ticket_Table[[#This Row],[resolution_hrs]]&lt;=4,"Fast",IF(Ticket_Table[[#This Row],[resolution_hrs]]&lt;=24,"Normal",IF(Ticket_Table[[#This Row],[resolution_hrs]]&lt;=48,"Slow","Very Slow")))</f>
        <v>Very Slow</v>
      </c>
      <c r="Q2977" s="3">
        <f>YEAR(Ticket_Table[[#This Row],[raised_date]])</f>
        <v>2021</v>
      </c>
    </row>
    <row r="2978" spans="1:17">
      <c r="A2978" t="s">
        <v>3539</v>
      </c>
      <c r="B2978" t="s">
        <v>527</v>
      </c>
      <c r="C2978" t="s">
        <v>42</v>
      </c>
      <c r="D2978" t="s">
        <v>43</v>
      </c>
      <c r="E2978" t="s">
        <v>30</v>
      </c>
      <c r="F2978" t="s">
        <v>22</v>
      </c>
      <c r="G2978" t="s">
        <v>46</v>
      </c>
      <c r="H2978" s="1">
        <v>44290</v>
      </c>
      <c r="I2978" s="2">
        <v>44293.1541666667</v>
      </c>
      <c r="J2978">
        <v>75.7</v>
      </c>
      <c r="K2978" t="s">
        <v>32</v>
      </c>
      <c r="L2978">
        <v>0</v>
      </c>
      <c r="M2978">
        <v>4</v>
      </c>
      <c r="N2978" t="s">
        <v>740</v>
      </c>
      <c r="O2978" s="3" t="str">
        <f>TEXT(Ticket_Table[[#This Row],[raised_date]],"YYYY-MM")</f>
        <v>2021-04</v>
      </c>
      <c r="P2978" s="3" t="str">
        <f>IF(Ticket_Table[[#This Row],[resolution_hrs]]&lt;=4,"Fast",IF(Ticket_Table[[#This Row],[resolution_hrs]]&lt;=24,"Normal",IF(Ticket_Table[[#This Row],[resolution_hrs]]&lt;=48,"Slow","Very Slow")))</f>
        <v>Very Slow</v>
      </c>
      <c r="Q2978" s="3">
        <f>YEAR(Ticket_Table[[#This Row],[raised_date]])</f>
        <v>2021</v>
      </c>
    </row>
    <row r="2979" spans="1:17">
      <c r="A2979" t="s">
        <v>3540</v>
      </c>
      <c r="B2979" t="s">
        <v>1216</v>
      </c>
      <c r="C2979" t="s">
        <v>50</v>
      </c>
      <c r="D2979" t="s">
        <v>36</v>
      </c>
      <c r="E2979" t="s">
        <v>166</v>
      </c>
      <c r="F2979" t="s">
        <v>70</v>
      </c>
      <c r="G2979" t="s">
        <v>31</v>
      </c>
      <c r="H2979" s="1">
        <v>44533</v>
      </c>
      <c r="I2979" s="2">
        <v>44534.2416666667</v>
      </c>
      <c r="J2979">
        <v>29.8</v>
      </c>
      <c r="K2979" t="s">
        <v>24</v>
      </c>
      <c r="L2979">
        <v>1</v>
      </c>
      <c r="M2979">
        <v>4</v>
      </c>
      <c r="N2979" t="s">
        <v>148</v>
      </c>
      <c r="O2979" s="3" t="str">
        <f>TEXT(Ticket_Table[[#This Row],[raised_date]],"YYYY-MM")</f>
        <v>2021-12</v>
      </c>
      <c r="P2979" s="3" t="str">
        <f>IF(Ticket_Table[[#This Row],[resolution_hrs]]&lt;=4,"Fast",IF(Ticket_Table[[#This Row],[resolution_hrs]]&lt;=24,"Normal",IF(Ticket_Table[[#This Row],[resolution_hrs]]&lt;=48,"Slow","Very Slow")))</f>
        <v>Slow</v>
      </c>
      <c r="Q2979" s="3">
        <f>YEAR(Ticket_Table[[#This Row],[raised_date]])</f>
        <v>2021</v>
      </c>
    </row>
    <row r="2980" spans="1:17">
      <c r="A2980" t="s">
        <v>3541</v>
      </c>
      <c r="B2980" t="s">
        <v>550</v>
      </c>
      <c r="C2980" t="s">
        <v>201</v>
      </c>
      <c r="D2980" t="s">
        <v>43</v>
      </c>
      <c r="E2980" t="s">
        <v>30</v>
      </c>
      <c r="F2980" t="s">
        <v>70</v>
      </c>
      <c r="G2980" t="s">
        <v>74</v>
      </c>
      <c r="H2980" s="1">
        <v>45205</v>
      </c>
      <c r="I2980" s="2">
        <v>45206.8666666667</v>
      </c>
      <c r="J2980">
        <v>44.8</v>
      </c>
      <c r="K2980" t="s">
        <v>24</v>
      </c>
      <c r="L2980">
        <v>1</v>
      </c>
      <c r="M2980">
        <v>5</v>
      </c>
      <c r="N2980" t="s">
        <v>315</v>
      </c>
      <c r="O2980" s="3" t="str">
        <f>TEXT(Ticket_Table[[#This Row],[raised_date]],"YYYY-MM")</f>
        <v>2023-10</v>
      </c>
      <c r="P2980" s="3" t="str">
        <f>IF(Ticket_Table[[#This Row],[resolution_hrs]]&lt;=4,"Fast",IF(Ticket_Table[[#This Row],[resolution_hrs]]&lt;=24,"Normal",IF(Ticket_Table[[#This Row],[resolution_hrs]]&lt;=48,"Slow","Very Slow")))</f>
        <v>Slow</v>
      </c>
      <c r="Q2980" s="3">
        <f>YEAR(Ticket_Table[[#This Row],[raised_date]])</f>
        <v>2023</v>
      </c>
    </row>
    <row r="2981" spans="1:17">
      <c r="A2981" t="s">
        <v>3542</v>
      </c>
      <c r="B2981" t="s">
        <v>564</v>
      </c>
      <c r="C2981" t="s">
        <v>19</v>
      </c>
      <c r="D2981" t="s">
        <v>20</v>
      </c>
      <c r="E2981" t="s">
        <v>30</v>
      </c>
      <c r="F2981" t="s">
        <v>38</v>
      </c>
      <c r="G2981" t="s">
        <v>74</v>
      </c>
      <c r="H2981" s="1">
        <v>44484</v>
      </c>
      <c r="I2981" s="2">
        <v>44485.3708333333</v>
      </c>
      <c r="J2981">
        <v>32.9</v>
      </c>
      <c r="K2981" t="s">
        <v>32</v>
      </c>
      <c r="L2981">
        <v>2</v>
      </c>
      <c r="M2981">
        <v>5</v>
      </c>
      <c r="N2981" t="s">
        <v>269</v>
      </c>
      <c r="O2981" s="3" t="str">
        <f>TEXT(Ticket_Table[[#This Row],[raised_date]],"YYYY-MM")</f>
        <v>2021-10</v>
      </c>
      <c r="P2981" s="3" t="str">
        <f>IF(Ticket_Table[[#This Row],[resolution_hrs]]&lt;=4,"Fast",IF(Ticket_Table[[#This Row],[resolution_hrs]]&lt;=24,"Normal",IF(Ticket_Table[[#This Row],[resolution_hrs]]&lt;=48,"Slow","Very Slow")))</f>
        <v>Slow</v>
      </c>
      <c r="Q2981" s="3">
        <f>YEAR(Ticket_Table[[#This Row],[raised_date]])</f>
        <v>2021</v>
      </c>
    </row>
    <row r="2982" spans="1:17">
      <c r="A2982" t="s">
        <v>3543</v>
      </c>
      <c r="B2982" t="s">
        <v>527</v>
      </c>
      <c r="C2982" t="s">
        <v>68</v>
      </c>
      <c r="D2982" t="s">
        <v>20</v>
      </c>
      <c r="E2982" t="s">
        <v>83</v>
      </c>
      <c r="F2982" t="s">
        <v>70</v>
      </c>
      <c r="G2982" t="s">
        <v>23</v>
      </c>
      <c r="H2982" s="1">
        <v>45035</v>
      </c>
      <c r="I2982" s="2">
        <v>45037.25</v>
      </c>
      <c r="J2982">
        <v>54</v>
      </c>
      <c r="K2982" t="s">
        <v>32</v>
      </c>
      <c r="L2982">
        <v>0</v>
      </c>
      <c r="M2982">
        <v>4</v>
      </c>
      <c r="N2982" t="s">
        <v>355</v>
      </c>
      <c r="O2982" s="3" t="str">
        <f>TEXT(Ticket_Table[[#This Row],[raised_date]],"YYYY-MM")</f>
        <v>2023-04</v>
      </c>
      <c r="P2982" s="3" t="str">
        <f>IF(Ticket_Table[[#This Row],[resolution_hrs]]&lt;=4,"Fast",IF(Ticket_Table[[#This Row],[resolution_hrs]]&lt;=24,"Normal",IF(Ticket_Table[[#This Row],[resolution_hrs]]&lt;=48,"Slow","Very Slow")))</f>
        <v>Very Slow</v>
      </c>
      <c r="Q2982" s="3">
        <f>YEAR(Ticket_Table[[#This Row],[raised_date]])</f>
        <v>2023</v>
      </c>
    </row>
    <row r="2983" spans="1:17">
      <c r="A2983" t="s">
        <v>3544</v>
      </c>
      <c r="B2983" t="s">
        <v>349</v>
      </c>
      <c r="C2983" t="s">
        <v>78</v>
      </c>
      <c r="D2983" t="s">
        <v>20</v>
      </c>
      <c r="E2983" t="s">
        <v>166</v>
      </c>
      <c r="F2983" t="s">
        <v>70</v>
      </c>
      <c r="G2983" t="s">
        <v>91</v>
      </c>
      <c r="H2983" s="1">
        <v>44416</v>
      </c>
      <c r="I2983" s="2">
        <v>44418.1541666667</v>
      </c>
      <c r="J2983">
        <v>51.7</v>
      </c>
      <c r="K2983" t="s">
        <v>32</v>
      </c>
      <c r="L2983">
        <v>1</v>
      </c>
      <c r="M2983">
        <v>3</v>
      </c>
      <c r="N2983" t="s">
        <v>337</v>
      </c>
      <c r="O2983" s="3" t="str">
        <f>TEXT(Ticket_Table[[#This Row],[raised_date]],"YYYY-MM")</f>
        <v>2021-08</v>
      </c>
      <c r="P2983" s="3" t="str">
        <f>IF(Ticket_Table[[#This Row],[resolution_hrs]]&lt;=4,"Fast",IF(Ticket_Table[[#This Row],[resolution_hrs]]&lt;=24,"Normal",IF(Ticket_Table[[#This Row],[resolution_hrs]]&lt;=48,"Slow","Very Slow")))</f>
        <v>Very Slow</v>
      </c>
      <c r="Q2983" s="3">
        <f>YEAR(Ticket_Table[[#This Row],[raised_date]])</f>
        <v>2021</v>
      </c>
    </row>
    <row r="2984" spans="1:17">
      <c r="A2984" t="s">
        <v>3545</v>
      </c>
      <c r="B2984" t="s">
        <v>772</v>
      </c>
      <c r="C2984" t="s">
        <v>19</v>
      </c>
      <c r="D2984" t="s">
        <v>29</v>
      </c>
      <c r="E2984" t="s">
        <v>83</v>
      </c>
      <c r="F2984" t="s">
        <v>22</v>
      </c>
      <c r="G2984" t="s">
        <v>23</v>
      </c>
      <c r="H2984" s="1">
        <v>44717</v>
      </c>
      <c r="I2984" s="2">
        <v>44720.175</v>
      </c>
      <c r="J2984">
        <v>76.2</v>
      </c>
      <c r="K2984" t="s">
        <v>32</v>
      </c>
      <c r="L2984">
        <v>0</v>
      </c>
      <c r="M2984">
        <v>4</v>
      </c>
      <c r="N2984" t="s">
        <v>981</v>
      </c>
      <c r="O2984" s="3" t="str">
        <f>TEXT(Ticket_Table[[#This Row],[raised_date]],"YYYY-MM")</f>
        <v>2022-06</v>
      </c>
      <c r="P2984" s="3" t="str">
        <f>IF(Ticket_Table[[#This Row],[resolution_hrs]]&lt;=4,"Fast",IF(Ticket_Table[[#This Row],[resolution_hrs]]&lt;=24,"Normal",IF(Ticket_Table[[#This Row],[resolution_hrs]]&lt;=48,"Slow","Very Slow")))</f>
        <v>Very Slow</v>
      </c>
      <c r="Q2984" s="3">
        <f>YEAR(Ticket_Table[[#This Row],[raised_date]])</f>
        <v>2022</v>
      </c>
    </row>
    <row r="2985" spans="1:17">
      <c r="A2985" t="s">
        <v>3546</v>
      </c>
      <c r="B2985" t="s">
        <v>858</v>
      </c>
      <c r="C2985" t="s">
        <v>175</v>
      </c>
      <c r="D2985" t="s">
        <v>90</v>
      </c>
      <c r="E2985" t="s">
        <v>69</v>
      </c>
      <c r="F2985" t="s">
        <v>70</v>
      </c>
      <c r="G2985" t="s">
        <v>23</v>
      </c>
      <c r="H2985" s="1">
        <v>44598</v>
      </c>
      <c r="I2985" s="2">
        <v>44600.2583333333</v>
      </c>
      <c r="J2985">
        <v>54.2</v>
      </c>
      <c r="K2985" t="s">
        <v>32</v>
      </c>
      <c r="L2985">
        <v>0</v>
      </c>
      <c r="M2985">
        <v>3</v>
      </c>
      <c r="N2985" t="s">
        <v>558</v>
      </c>
      <c r="O2985" s="3" t="str">
        <f>TEXT(Ticket_Table[[#This Row],[raised_date]],"YYYY-MM")</f>
        <v>2022-02</v>
      </c>
      <c r="P2985" s="3" t="str">
        <f>IF(Ticket_Table[[#This Row],[resolution_hrs]]&lt;=4,"Fast",IF(Ticket_Table[[#This Row],[resolution_hrs]]&lt;=24,"Normal",IF(Ticket_Table[[#This Row],[resolution_hrs]]&lt;=48,"Slow","Very Slow")))</f>
        <v>Very Slow</v>
      </c>
      <c r="Q2985" s="3">
        <f>YEAR(Ticket_Table[[#This Row],[raised_date]])</f>
        <v>2022</v>
      </c>
    </row>
    <row r="2986" spans="1:17">
      <c r="A2986" t="s">
        <v>3547</v>
      </c>
      <c r="B2986" t="s">
        <v>1238</v>
      </c>
      <c r="C2986" t="s">
        <v>60</v>
      </c>
      <c r="D2986" t="s">
        <v>36</v>
      </c>
      <c r="E2986" t="s">
        <v>106</v>
      </c>
      <c r="F2986" t="s">
        <v>22</v>
      </c>
      <c r="G2986" t="s">
        <v>46</v>
      </c>
      <c r="H2986" s="1">
        <v>44581</v>
      </c>
      <c r="I2986" s="2">
        <v>44582.1291666667</v>
      </c>
      <c r="J2986">
        <v>27.1</v>
      </c>
      <c r="K2986" t="s">
        <v>24</v>
      </c>
      <c r="L2986">
        <v>0</v>
      </c>
      <c r="M2986">
        <v>5</v>
      </c>
      <c r="N2986" t="s">
        <v>804</v>
      </c>
      <c r="O2986" s="3" t="str">
        <f>TEXT(Ticket_Table[[#This Row],[raised_date]],"YYYY-MM")</f>
        <v>2022-01</v>
      </c>
      <c r="P2986" s="3" t="str">
        <f>IF(Ticket_Table[[#This Row],[resolution_hrs]]&lt;=4,"Fast",IF(Ticket_Table[[#This Row],[resolution_hrs]]&lt;=24,"Normal",IF(Ticket_Table[[#This Row],[resolution_hrs]]&lt;=48,"Slow","Very Slow")))</f>
        <v>Slow</v>
      </c>
      <c r="Q2986" s="3">
        <f>YEAR(Ticket_Table[[#This Row],[raised_date]])</f>
        <v>2022</v>
      </c>
    </row>
    <row r="2987" spans="1:17">
      <c r="A2987" t="s">
        <v>3548</v>
      </c>
      <c r="B2987" t="s">
        <v>594</v>
      </c>
      <c r="C2987" t="s">
        <v>42</v>
      </c>
      <c r="D2987" t="s">
        <v>20</v>
      </c>
      <c r="E2987" t="s">
        <v>106</v>
      </c>
      <c r="F2987" t="s">
        <v>45</v>
      </c>
      <c r="G2987" t="s">
        <v>31</v>
      </c>
      <c r="H2987" s="1">
        <v>44444</v>
      </c>
      <c r="I2987" s="2">
        <v>44444.1958333333</v>
      </c>
      <c r="J2987">
        <v>4.7</v>
      </c>
      <c r="K2987" t="s">
        <v>32</v>
      </c>
      <c r="L2987">
        <v>0</v>
      </c>
      <c r="M2987">
        <v>5</v>
      </c>
      <c r="N2987" t="s">
        <v>698</v>
      </c>
      <c r="O2987" s="3" t="str">
        <f>TEXT(Ticket_Table[[#This Row],[raised_date]],"YYYY-MM")</f>
        <v>2021-09</v>
      </c>
      <c r="P2987" s="3" t="str">
        <f>IF(Ticket_Table[[#This Row],[resolution_hrs]]&lt;=4,"Fast",IF(Ticket_Table[[#This Row],[resolution_hrs]]&lt;=24,"Normal",IF(Ticket_Table[[#This Row],[resolution_hrs]]&lt;=48,"Slow","Very Slow")))</f>
        <v>Normal</v>
      </c>
      <c r="Q2987" s="3">
        <f>YEAR(Ticket_Table[[#This Row],[raised_date]])</f>
        <v>2021</v>
      </c>
    </row>
    <row r="2988" spans="1:17">
      <c r="A2988" t="s">
        <v>3549</v>
      </c>
      <c r="B2988" t="s">
        <v>423</v>
      </c>
      <c r="C2988" t="s">
        <v>140</v>
      </c>
      <c r="D2988" t="s">
        <v>20</v>
      </c>
      <c r="E2988" t="s">
        <v>166</v>
      </c>
      <c r="F2988" t="s">
        <v>70</v>
      </c>
      <c r="G2988" t="s">
        <v>23</v>
      </c>
      <c r="H2988" s="1">
        <v>45001</v>
      </c>
      <c r="I2988" s="2">
        <v>45003.8541666667</v>
      </c>
      <c r="J2988">
        <v>68.5</v>
      </c>
      <c r="K2988" t="s">
        <v>32</v>
      </c>
      <c r="L2988">
        <v>0</v>
      </c>
      <c r="M2988">
        <v>4</v>
      </c>
      <c r="N2988" t="s">
        <v>1223</v>
      </c>
      <c r="O2988" s="3" t="str">
        <f>TEXT(Ticket_Table[[#This Row],[raised_date]],"YYYY-MM")</f>
        <v>2023-03</v>
      </c>
      <c r="P2988" s="3" t="str">
        <f>IF(Ticket_Table[[#This Row],[resolution_hrs]]&lt;=4,"Fast",IF(Ticket_Table[[#This Row],[resolution_hrs]]&lt;=24,"Normal",IF(Ticket_Table[[#This Row],[resolution_hrs]]&lt;=48,"Slow","Very Slow")))</f>
        <v>Very Slow</v>
      </c>
      <c r="Q2988" s="3">
        <f>YEAR(Ticket_Table[[#This Row],[raised_date]])</f>
        <v>2023</v>
      </c>
    </row>
    <row r="2989" spans="1:17">
      <c r="A2989" t="s">
        <v>3550</v>
      </c>
      <c r="B2989" t="s">
        <v>876</v>
      </c>
      <c r="C2989" t="s">
        <v>68</v>
      </c>
      <c r="D2989" t="s">
        <v>43</v>
      </c>
      <c r="E2989" t="s">
        <v>166</v>
      </c>
      <c r="F2989" t="s">
        <v>70</v>
      </c>
      <c r="G2989" t="s">
        <v>23</v>
      </c>
      <c r="H2989" s="1">
        <v>44638</v>
      </c>
      <c r="I2989" s="2">
        <v>44640.4791666667</v>
      </c>
      <c r="J2989">
        <v>59.5</v>
      </c>
      <c r="K2989" t="s">
        <v>32</v>
      </c>
      <c r="L2989">
        <v>0</v>
      </c>
      <c r="M2989">
        <v>4</v>
      </c>
      <c r="N2989" t="s">
        <v>435</v>
      </c>
      <c r="O2989" s="3" t="str">
        <f>TEXT(Ticket_Table[[#This Row],[raised_date]],"YYYY-MM")</f>
        <v>2022-03</v>
      </c>
      <c r="P2989" s="3" t="str">
        <f>IF(Ticket_Table[[#This Row],[resolution_hrs]]&lt;=4,"Fast",IF(Ticket_Table[[#This Row],[resolution_hrs]]&lt;=24,"Normal",IF(Ticket_Table[[#This Row],[resolution_hrs]]&lt;=48,"Slow","Very Slow")))</f>
        <v>Very Slow</v>
      </c>
      <c r="Q2989" s="3">
        <f>YEAR(Ticket_Table[[#This Row],[raised_date]])</f>
        <v>2022</v>
      </c>
    </row>
    <row r="2990" spans="1:17">
      <c r="A2990" t="s">
        <v>3551</v>
      </c>
      <c r="B2990" t="s">
        <v>616</v>
      </c>
      <c r="C2990" t="s">
        <v>28</v>
      </c>
      <c r="D2990" t="s">
        <v>20</v>
      </c>
      <c r="E2990" t="s">
        <v>69</v>
      </c>
      <c r="F2990" t="s">
        <v>38</v>
      </c>
      <c r="G2990" t="s">
        <v>31</v>
      </c>
      <c r="H2990" s="1">
        <v>45133</v>
      </c>
      <c r="I2990" s="2">
        <v>45134.325</v>
      </c>
      <c r="J2990">
        <v>31.8</v>
      </c>
      <c r="K2990" t="s">
        <v>32</v>
      </c>
      <c r="L2990">
        <v>1</v>
      </c>
      <c r="M2990">
        <v>4</v>
      </c>
      <c r="N2990" t="s">
        <v>817</v>
      </c>
      <c r="O2990" s="3" t="str">
        <f>TEXT(Ticket_Table[[#This Row],[raised_date]],"YYYY-MM")</f>
        <v>2023-07</v>
      </c>
      <c r="P2990" s="3" t="str">
        <f>IF(Ticket_Table[[#This Row],[resolution_hrs]]&lt;=4,"Fast",IF(Ticket_Table[[#This Row],[resolution_hrs]]&lt;=24,"Normal",IF(Ticket_Table[[#This Row],[resolution_hrs]]&lt;=48,"Slow","Very Slow")))</f>
        <v>Slow</v>
      </c>
      <c r="Q2990" s="3">
        <f>YEAR(Ticket_Table[[#This Row],[raised_date]])</f>
        <v>2023</v>
      </c>
    </row>
    <row r="2991" spans="1:17">
      <c r="A2991" t="s">
        <v>3552</v>
      </c>
      <c r="B2991" t="s">
        <v>1297</v>
      </c>
      <c r="C2991" t="s">
        <v>60</v>
      </c>
      <c r="D2991" t="s">
        <v>43</v>
      </c>
      <c r="E2991" t="s">
        <v>106</v>
      </c>
      <c r="F2991" t="s">
        <v>70</v>
      </c>
      <c r="G2991" t="s">
        <v>23</v>
      </c>
      <c r="H2991" s="1">
        <v>44587</v>
      </c>
      <c r="I2991" s="2">
        <v>44588.6041666667</v>
      </c>
      <c r="J2991">
        <v>38.5</v>
      </c>
      <c r="K2991" t="s">
        <v>24</v>
      </c>
      <c r="L2991">
        <v>0</v>
      </c>
      <c r="M2991">
        <v>2</v>
      </c>
      <c r="N2991" t="s">
        <v>227</v>
      </c>
      <c r="O2991" s="3" t="str">
        <f>TEXT(Ticket_Table[[#This Row],[raised_date]],"YYYY-MM")</f>
        <v>2022-01</v>
      </c>
      <c r="P2991" s="3" t="str">
        <f>IF(Ticket_Table[[#This Row],[resolution_hrs]]&lt;=4,"Fast",IF(Ticket_Table[[#This Row],[resolution_hrs]]&lt;=24,"Normal",IF(Ticket_Table[[#This Row],[resolution_hrs]]&lt;=48,"Slow","Very Slow")))</f>
        <v>Slow</v>
      </c>
      <c r="Q2991" s="3">
        <f>YEAR(Ticket_Table[[#This Row],[raised_date]])</f>
        <v>2022</v>
      </c>
    </row>
    <row r="2992" spans="1:17">
      <c r="A2992" t="s">
        <v>3553</v>
      </c>
      <c r="B2992" t="s">
        <v>363</v>
      </c>
      <c r="C2992" t="s">
        <v>78</v>
      </c>
      <c r="D2992" t="s">
        <v>43</v>
      </c>
      <c r="E2992" t="s">
        <v>69</v>
      </c>
      <c r="F2992" t="s">
        <v>70</v>
      </c>
      <c r="G2992" t="s">
        <v>46</v>
      </c>
      <c r="H2992" s="1">
        <v>44889</v>
      </c>
      <c r="I2992" s="2">
        <v>44890.8458333333</v>
      </c>
      <c r="J2992">
        <v>44.3</v>
      </c>
      <c r="K2992" t="s">
        <v>24</v>
      </c>
      <c r="L2992">
        <v>0</v>
      </c>
      <c r="M2992">
        <v>4</v>
      </c>
      <c r="N2992" t="s">
        <v>790</v>
      </c>
      <c r="O2992" s="3" t="str">
        <f>TEXT(Ticket_Table[[#This Row],[raised_date]],"YYYY-MM")</f>
        <v>2022-11</v>
      </c>
      <c r="P2992" s="3" t="str">
        <f>IF(Ticket_Table[[#This Row],[resolution_hrs]]&lt;=4,"Fast",IF(Ticket_Table[[#This Row],[resolution_hrs]]&lt;=24,"Normal",IF(Ticket_Table[[#This Row],[resolution_hrs]]&lt;=48,"Slow","Very Slow")))</f>
        <v>Slow</v>
      </c>
      <c r="Q2992" s="3">
        <f>YEAR(Ticket_Table[[#This Row],[raised_date]])</f>
        <v>2022</v>
      </c>
    </row>
    <row r="2993" spans="1:17">
      <c r="A2993" t="s">
        <v>3554</v>
      </c>
      <c r="B2993" t="s">
        <v>504</v>
      </c>
      <c r="C2993" t="s">
        <v>55</v>
      </c>
      <c r="D2993" t="s">
        <v>90</v>
      </c>
      <c r="E2993" t="s">
        <v>21</v>
      </c>
      <c r="F2993" t="s">
        <v>38</v>
      </c>
      <c r="G2993" t="s">
        <v>23</v>
      </c>
      <c r="H2993" s="1">
        <v>44417</v>
      </c>
      <c r="I2993" s="2">
        <v>44417.9291666667</v>
      </c>
      <c r="J2993">
        <v>22.3</v>
      </c>
      <c r="K2993" t="s">
        <v>24</v>
      </c>
      <c r="L2993">
        <v>0</v>
      </c>
      <c r="M2993">
        <v>4</v>
      </c>
      <c r="N2993" t="s">
        <v>796</v>
      </c>
      <c r="O2993" s="3" t="str">
        <f>TEXT(Ticket_Table[[#This Row],[raised_date]],"YYYY-MM")</f>
        <v>2021-08</v>
      </c>
      <c r="P2993" s="3" t="str">
        <f>IF(Ticket_Table[[#This Row],[resolution_hrs]]&lt;=4,"Fast",IF(Ticket_Table[[#This Row],[resolution_hrs]]&lt;=24,"Normal",IF(Ticket_Table[[#This Row],[resolution_hrs]]&lt;=48,"Slow","Very Slow")))</f>
        <v>Normal</v>
      </c>
      <c r="Q2993" s="3">
        <f>YEAR(Ticket_Table[[#This Row],[raised_date]])</f>
        <v>2021</v>
      </c>
    </row>
    <row r="2994" spans="1:17">
      <c r="A2994" t="s">
        <v>3555</v>
      </c>
      <c r="B2994" t="s">
        <v>198</v>
      </c>
      <c r="C2994" t="s">
        <v>82</v>
      </c>
      <c r="D2994" t="s">
        <v>29</v>
      </c>
      <c r="E2994" t="s">
        <v>44</v>
      </c>
      <c r="F2994" t="s">
        <v>38</v>
      </c>
      <c r="G2994" t="s">
        <v>31</v>
      </c>
      <c r="H2994" s="1">
        <v>45045</v>
      </c>
      <c r="I2994" s="2">
        <v>45046.45</v>
      </c>
      <c r="J2994">
        <v>34.8</v>
      </c>
      <c r="K2994" t="s">
        <v>32</v>
      </c>
      <c r="L2994">
        <v>0</v>
      </c>
      <c r="M2994">
        <v>5</v>
      </c>
      <c r="N2994" t="s">
        <v>321</v>
      </c>
      <c r="O2994" s="3" t="str">
        <f>TEXT(Ticket_Table[[#This Row],[raised_date]],"YYYY-MM")</f>
        <v>2023-04</v>
      </c>
      <c r="P2994" s="3" t="str">
        <f>IF(Ticket_Table[[#This Row],[resolution_hrs]]&lt;=4,"Fast",IF(Ticket_Table[[#This Row],[resolution_hrs]]&lt;=24,"Normal",IF(Ticket_Table[[#This Row],[resolution_hrs]]&lt;=48,"Slow","Very Slow")))</f>
        <v>Slow</v>
      </c>
      <c r="Q2994" s="3">
        <f>YEAR(Ticket_Table[[#This Row],[raised_date]])</f>
        <v>2023</v>
      </c>
    </row>
    <row r="2995" spans="1:17">
      <c r="A2995" t="s">
        <v>3556</v>
      </c>
      <c r="B2995" t="s">
        <v>579</v>
      </c>
      <c r="C2995" t="s">
        <v>117</v>
      </c>
      <c r="D2995" t="s">
        <v>43</v>
      </c>
      <c r="E2995" t="s">
        <v>56</v>
      </c>
      <c r="F2995" t="s">
        <v>38</v>
      </c>
      <c r="G2995" t="s">
        <v>31</v>
      </c>
      <c r="H2995" s="1">
        <v>44292</v>
      </c>
      <c r="I2995" s="2">
        <v>44293.025</v>
      </c>
      <c r="J2995">
        <v>24.6</v>
      </c>
      <c r="K2995" t="s">
        <v>32</v>
      </c>
      <c r="L2995">
        <v>0</v>
      </c>
      <c r="M2995">
        <v>3</v>
      </c>
      <c r="N2995" t="s">
        <v>439</v>
      </c>
      <c r="O2995" s="3" t="str">
        <f>TEXT(Ticket_Table[[#This Row],[raised_date]],"YYYY-MM")</f>
        <v>2021-04</v>
      </c>
      <c r="P2995" s="3" t="str">
        <f>IF(Ticket_Table[[#This Row],[resolution_hrs]]&lt;=4,"Fast",IF(Ticket_Table[[#This Row],[resolution_hrs]]&lt;=24,"Normal",IF(Ticket_Table[[#This Row],[resolution_hrs]]&lt;=48,"Slow","Very Slow")))</f>
        <v>Slow</v>
      </c>
      <c r="Q2995" s="3">
        <f>YEAR(Ticket_Table[[#This Row],[raised_date]])</f>
        <v>2021</v>
      </c>
    </row>
    <row r="2996" spans="1:17">
      <c r="A2996" t="s">
        <v>3557</v>
      </c>
      <c r="B2996" t="s">
        <v>662</v>
      </c>
      <c r="C2996" t="s">
        <v>213</v>
      </c>
      <c r="D2996" t="s">
        <v>43</v>
      </c>
      <c r="E2996" t="s">
        <v>21</v>
      </c>
      <c r="F2996" t="s">
        <v>22</v>
      </c>
      <c r="G2996" t="s">
        <v>74</v>
      </c>
      <c r="H2996" s="1">
        <v>44449</v>
      </c>
      <c r="I2996" s="2">
        <v>44452.975</v>
      </c>
      <c r="J2996">
        <v>95.4</v>
      </c>
      <c r="K2996" t="s">
        <v>32</v>
      </c>
      <c r="L2996">
        <v>0</v>
      </c>
      <c r="M2996">
        <v>5</v>
      </c>
      <c r="N2996" t="s">
        <v>129</v>
      </c>
      <c r="O2996" s="3" t="str">
        <f>TEXT(Ticket_Table[[#This Row],[raised_date]],"YYYY-MM")</f>
        <v>2021-09</v>
      </c>
      <c r="P2996" s="3" t="str">
        <f>IF(Ticket_Table[[#This Row],[resolution_hrs]]&lt;=4,"Fast",IF(Ticket_Table[[#This Row],[resolution_hrs]]&lt;=24,"Normal",IF(Ticket_Table[[#This Row],[resolution_hrs]]&lt;=48,"Slow","Very Slow")))</f>
        <v>Very Slow</v>
      </c>
      <c r="Q2996" s="3">
        <f>YEAR(Ticket_Table[[#This Row],[raised_date]])</f>
        <v>2021</v>
      </c>
    </row>
    <row r="2997" spans="1:17">
      <c r="A2997" t="s">
        <v>3558</v>
      </c>
      <c r="B2997" t="s">
        <v>974</v>
      </c>
      <c r="C2997" t="s">
        <v>55</v>
      </c>
      <c r="D2997" t="s">
        <v>90</v>
      </c>
      <c r="E2997" t="s">
        <v>30</v>
      </c>
      <c r="F2997" t="s">
        <v>70</v>
      </c>
      <c r="G2997" t="s">
        <v>23</v>
      </c>
      <c r="H2997" s="1">
        <v>45119</v>
      </c>
      <c r="I2997" s="2">
        <v>45120.5916666667</v>
      </c>
      <c r="J2997">
        <v>38.2</v>
      </c>
      <c r="K2997" t="s">
        <v>24</v>
      </c>
      <c r="L2997">
        <v>1</v>
      </c>
      <c r="M2997">
        <v>4</v>
      </c>
      <c r="N2997" t="s">
        <v>227</v>
      </c>
      <c r="O2997" s="3" t="str">
        <f>TEXT(Ticket_Table[[#This Row],[raised_date]],"YYYY-MM")</f>
        <v>2023-07</v>
      </c>
      <c r="P2997" s="3" t="str">
        <f>IF(Ticket_Table[[#This Row],[resolution_hrs]]&lt;=4,"Fast",IF(Ticket_Table[[#This Row],[resolution_hrs]]&lt;=24,"Normal",IF(Ticket_Table[[#This Row],[resolution_hrs]]&lt;=48,"Slow","Very Slow")))</f>
        <v>Slow</v>
      </c>
      <c r="Q2997" s="3">
        <f>YEAR(Ticket_Table[[#This Row],[raised_date]])</f>
        <v>2023</v>
      </c>
    </row>
    <row r="2998" spans="1:17">
      <c r="A2998" t="s">
        <v>3559</v>
      </c>
      <c r="B2998" t="s">
        <v>92</v>
      </c>
      <c r="C2998" t="s">
        <v>175</v>
      </c>
      <c r="D2998" t="s">
        <v>43</v>
      </c>
      <c r="E2998" t="s">
        <v>51</v>
      </c>
      <c r="F2998" t="s">
        <v>38</v>
      </c>
      <c r="G2998" t="s">
        <v>46</v>
      </c>
      <c r="H2998" s="1">
        <v>45133</v>
      </c>
      <c r="I2998" s="2">
        <v>45133.3708333333</v>
      </c>
      <c r="J2998">
        <v>8.9</v>
      </c>
      <c r="K2998" t="s">
        <v>24</v>
      </c>
      <c r="L2998">
        <v>1</v>
      </c>
      <c r="M2998">
        <v>5</v>
      </c>
      <c r="N2998" t="s">
        <v>171</v>
      </c>
      <c r="O2998" s="3" t="str">
        <f>TEXT(Ticket_Table[[#This Row],[raised_date]],"YYYY-MM")</f>
        <v>2023-07</v>
      </c>
      <c r="P2998" s="3" t="str">
        <f>IF(Ticket_Table[[#This Row],[resolution_hrs]]&lt;=4,"Fast",IF(Ticket_Table[[#This Row],[resolution_hrs]]&lt;=24,"Normal",IF(Ticket_Table[[#This Row],[resolution_hrs]]&lt;=48,"Slow","Very Slow")))</f>
        <v>Normal</v>
      </c>
      <c r="Q2998" s="3">
        <f>YEAR(Ticket_Table[[#This Row],[raised_date]])</f>
        <v>2023</v>
      </c>
    </row>
    <row r="2999" spans="1:17">
      <c r="A2999" t="s">
        <v>3560</v>
      </c>
      <c r="B2999" t="s">
        <v>804</v>
      </c>
      <c r="C2999" t="s">
        <v>78</v>
      </c>
      <c r="D2999" t="s">
        <v>36</v>
      </c>
      <c r="E2999" t="s">
        <v>83</v>
      </c>
      <c r="F2999" t="s">
        <v>22</v>
      </c>
      <c r="G2999" t="s">
        <v>23</v>
      </c>
      <c r="H2999" s="1">
        <v>45229</v>
      </c>
      <c r="I2999" s="2">
        <v>45229.375</v>
      </c>
      <c r="J2999">
        <v>9</v>
      </c>
      <c r="K2999" t="s">
        <v>24</v>
      </c>
      <c r="L2999">
        <v>0</v>
      </c>
      <c r="M2999">
        <v>3</v>
      </c>
      <c r="N2999" t="s">
        <v>339</v>
      </c>
      <c r="O2999" s="3" t="str">
        <f>TEXT(Ticket_Table[[#This Row],[raised_date]],"YYYY-MM")</f>
        <v>2023-10</v>
      </c>
      <c r="P2999" s="3" t="str">
        <f>IF(Ticket_Table[[#This Row],[resolution_hrs]]&lt;=4,"Fast",IF(Ticket_Table[[#This Row],[resolution_hrs]]&lt;=24,"Normal",IF(Ticket_Table[[#This Row],[resolution_hrs]]&lt;=48,"Slow","Very Slow")))</f>
        <v>Normal</v>
      </c>
      <c r="Q2999" s="3">
        <f>YEAR(Ticket_Table[[#This Row],[raised_date]])</f>
        <v>2023</v>
      </c>
    </row>
    <row r="3000" spans="1:17">
      <c r="A3000" t="s">
        <v>3561</v>
      </c>
      <c r="B3000" t="s">
        <v>981</v>
      </c>
      <c r="C3000" t="s">
        <v>175</v>
      </c>
      <c r="D3000" t="s">
        <v>29</v>
      </c>
      <c r="E3000" t="s">
        <v>37</v>
      </c>
      <c r="F3000" t="s">
        <v>22</v>
      </c>
      <c r="G3000" t="s">
        <v>31</v>
      </c>
      <c r="H3000" s="1">
        <v>44472</v>
      </c>
      <c r="I3000" s="2">
        <v>44475.7833333333</v>
      </c>
      <c r="J3000">
        <v>90.8</v>
      </c>
      <c r="K3000" t="s">
        <v>32</v>
      </c>
      <c r="L3000">
        <v>0</v>
      </c>
      <c r="M3000">
        <v>4</v>
      </c>
      <c r="N3000" t="s">
        <v>876</v>
      </c>
      <c r="O3000" s="3" t="str">
        <f>TEXT(Ticket_Table[[#This Row],[raised_date]],"YYYY-MM")</f>
        <v>2021-10</v>
      </c>
      <c r="P3000" s="3" t="str">
        <f>IF(Ticket_Table[[#This Row],[resolution_hrs]]&lt;=4,"Fast",IF(Ticket_Table[[#This Row],[resolution_hrs]]&lt;=24,"Normal",IF(Ticket_Table[[#This Row],[resolution_hrs]]&lt;=48,"Slow","Very Slow")))</f>
        <v>Very Slow</v>
      </c>
      <c r="Q3000" s="3">
        <f>YEAR(Ticket_Table[[#This Row],[raised_date]])</f>
        <v>2021</v>
      </c>
    </row>
    <row r="3001" spans="1:17">
      <c r="A3001" t="s">
        <v>3562</v>
      </c>
      <c r="B3001" t="s">
        <v>63</v>
      </c>
      <c r="C3001" t="s">
        <v>95</v>
      </c>
      <c r="D3001" t="s">
        <v>36</v>
      </c>
      <c r="E3001" t="s">
        <v>51</v>
      </c>
      <c r="F3001" t="s">
        <v>38</v>
      </c>
      <c r="G3001" t="s">
        <v>23</v>
      </c>
      <c r="H3001" s="1">
        <v>45218</v>
      </c>
      <c r="I3001" s="2">
        <v>45218.7916666667</v>
      </c>
      <c r="J3001">
        <v>19</v>
      </c>
      <c r="K3001" t="s">
        <v>24</v>
      </c>
      <c r="L3001">
        <v>0</v>
      </c>
      <c r="M3001">
        <v>5</v>
      </c>
      <c r="N3001" t="s">
        <v>1301</v>
      </c>
      <c r="O3001" s="3" t="str">
        <f>TEXT(Ticket_Table[[#This Row],[raised_date]],"YYYY-MM")</f>
        <v>2023-10</v>
      </c>
      <c r="P3001" s="3" t="str">
        <f>IF(Ticket_Table[[#This Row],[resolution_hrs]]&lt;=4,"Fast",IF(Ticket_Table[[#This Row],[resolution_hrs]]&lt;=24,"Normal",IF(Ticket_Table[[#This Row],[resolution_hrs]]&lt;=48,"Slow","Very Slow")))</f>
        <v>Normal</v>
      </c>
      <c r="Q3001" s="3">
        <f>YEAR(Ticket_Table[[#This Row],[raised_date]])</f>
        <v>2023</v>
      </c>
    </row>
    <row r="3002" spans="1:17">
      <c r="A3002" t="s">
        <v>3563</v>
      </c>
      <c r="B3002" t="s">
        <v>1202</v>
      </c>
      <c r="C3002" t="s">
        <v>102</v>
      </c>
      <c r="D3002" t="s">
        <v>20</v>
      </c>
      <c r="E3002" t="s">
        <v>166</v>
      </c>
      <c r="F3002" t="s">
        <v>22</v>
      </c>
      <c r="G3002" t="s">
        <v>31</v>
      </c>
      <c r="H3002" s="1">
        <v>44205</v>
      </c>
      <c r="I3002" s="2">
        <v>44209.2875</v>
      </c>
      <c r="J3002">
        <v>102.9</v>
      </c>
      <c r="K3002" t="s">
        <v>32</v>
      </c>
      <c r="L3002">
        <v>0</v>
      </c>
      <c r="M3002">
        <v>4</v>
      </c>
      <c r="N3002" t="s">
        <v>194</v>
      </c>
      <c r="O3002" s="3" t="str">
        <f>TEXT(Ticket_Table[[#This Row],[raised_date]],"YYYY-MM")</f>
        <v>2021-01</v>
      </c>
      <c r="P3002" s="3" t="str">
        <f>IF(Ticket_Table[[#This Row],[resolution_hrs]]&lt;=4,"Fast",IF(Ticket_Table[[#This Row],[resolution_hrs]]&lt;=24,"Normal",IF(Ticket_Table[[#This Row],[resolution_hrs]]&lt;=48,"Slow","Very Slow")))</f>
        <v>Very Slow</v>
      </c>
      <c r="Q3002" s="3">
        <f>YEAR(Ticket_Table[[#This Row],[raised_date]])</f>
        <v>2021</v>
      </c>
    </row>
    <row r="3003" spans="1:17">
      <c r="A3003" t="s">
        <v>3564</v>
      </c>
      <c r="B3003" t="s">
        <v>873</v>
      </c>
      <c r="C3003" t="s">
        <v>28</v>
      </c>
      <c r="D3003" t="s">
        <v>29</v>
      </c>
      <c r="E3003" t="s">
        <v>44</v>
      </c>
      <c r="F3003" t="s">
        <v>38</v>
      </c>
      <c r="G3003" t="s">
        <v>31</v>
      </c>
      <c r="H3003" s="1">
        <v>45283</v>
      </c>
      <c r="I3003" s="2">
        <v>45283.6583333333</v>
      </c>
      <c r="J3003">
        <v>15.8</v>
      </c>
      <c r="K3003" t="s">
        <v>24</v>
      </c>
      <c r="L3003">
        <v>0</v>
      </c>
      <c r="M3003">
        <v>3</v>
      </c>
      <c r="N3003" t="s">
        <v>202</v>
      </c>
      <c r="O3003" s="3" t="str">
        <f>TEXT(Ticket_Table[[#This Row],[raised_date]],"YYYY-MM")</f>
        <v>2023-12</v>
      </c>
      <c r="P3003" s="3" t="str">
        <f>IF(Ticket_Table[[#This Row],[resolution_hrs]]&lt;=4,"Fast",IF(Ticket_Table[[#This Row],[resolution_hrs]]&lt;=24,"Normal",IF(Ticket_Table[[#This Row],[resolution_hrs]]&lt;=48,"Slow","Very Slow")))</f>
        <v>Normal</v>
      </c>
      <c r="Q3003" s="3">
        <f>YEAR(Ticket_Table[[#This Row],[raised_date]])</f>
        <v>2023</v>
      </c>
    </row>
    <row r="3004" spans="1:17">
      <c r="A3004" t="s">
        <v>3565</v>
      </c>
      <c r="B3004" t="s">
        <v>296</v>
      </c>
      <c r="C3004" t="s">
        <v>82</v>
      </c>
      <c r="D3004" t="s">
        <v>20</v>
      </c>
      <c r="E3004" t="s">
        <v>21</v>
      </c>
      <c r="F3004" t="s">
        <v>70</v>
      </c>
      <c r="G3004" t="s">
        <v>31</v>
      </c>
      <c r="H3004" s="1">
        <v>44296</v>
      </c>
      <c r="I3004" s="2">
        <v>44297.1625</v>
      </c>
      <c r="J3004">
        <v>27.9</v>
      </c>
      <c r="K3004" t="s">
        <v>24</v>
      </c>
      <c r="L3004">
        <v>1</v>
      </c>
      <c r="M3004">
        <v>4</v>
      </c>
      <c r="N3004" t="s">
        <v>145</v>
      </c>
      <c r="O3004" s="3" t="str">
        <f>TEXT(Ticket_Table[[#This Row],[raised_date]],"YYYY-MM")</f>
        <v>2021-04</v>
      </c>
      <c r="P3004" s="3" t="str">
        <f>IF(Ticket_Table[[#This Row],[resolution_hrs]]&lt;=4,"Fast",IF(Ticket_Table[[#This Row],[resolution_hrs]]&lt;=24,"Normal",IF(Ticket_Table[[#This Row],[resolution_hrs]]&lt;=48,"Slow","Very Slow")))</f>
        <v>Slow</v>
      </c>
      <c r="Q3004" s="3">
        <f>YEAR(Ticket_Table[[#This Row],[raised_date]])</f>
        <v>2021</v>
      </c>
    </row>
    <row r="3005" spans="1:17">
      <c r="A3005" t="s">
        <v>3566</v>
      </c>
      <c r="B3005" t="s">
        <v>884</v>
      </c>
      <c r="C3005" t="s">
        <v>19</v>
      </c>
      <c r="D3005" t="s">
        <v>43</v>
      </c>
      <c r="E3005" t="s">
        <v>37</v>
      </c>
      <c r="F3005" t="s">
        <v>70</v>
      </c>
      <c r="G3005" t="s">
        <v>31</v>
      </c>
      <c r="H3005" s="1">
        <v>45083</v>
      </c>
      <c r="I3005" s="2">
        <v>45084.1458333333</v>
      </c>
      <c r="J3005">
        <v>27.5</v>
      </c>
      <c r="K3005" t="s">
        <v>24</v>
      </c>
      <c r="L3005">
        <v>0</v>
      </c>
      <c r="M3005">
        <v>5</v>
      </c>
      <c r="N3005" t="s">
        <v>542</v>
      </c>
      <c r="O3005" s="3" t="str">
        <f>TEXT(Ticket_Table[[#This Row],[raised_date]],"YYYY-MM")</f>
        <v>2023-06</v>
      </c>
      <c r="P3005" s="3" t="str">
        <f>IF(Ticket_Table[[#This Row],[resolution_hrs]]&lt;=4,"Fast",IF(Ticket_Table[[#This Row],[resolution_hrs]]&lt;=24,"Normal",IF(Ticket_Table[[#This Row],[resolution_hrs]]&lt;=48,"Slow","Very Slow")))</f>
        <v>Slow</v>
      </c>
      <c r="Q3005" s="3">
        <f>YEAR(Ticket_Table[[#This Row],[raised_date]])</f>
        <v>2023</v>
      </c>
    </row>
    <row r="3006" spans="1:17">
      <c r="A3006" t="s">
        <v>3567</v>
      </c>
      <c r="B3006" t="s">
        <v>878</v>
      </c>
      <c r="C3006" t="s">
        <v>117</v>
      </c>
      <c r="D3006" t="s">
        <v>90</v>
      </c>
      <c r="E3006" t="s">
        <v>37</v>
      </c>
      <c r="F3006" t="s">
        <v>22</v>
      </c>
      <c r="G3006" t="s">
        <v>23</v>
      </c>
      <c r="H3006" s="1">
        <v>45186</v>
      </c>
      <c r="I3006" s="2">
        <v>45186.5458333333</v>
      </c>
      <c r="J3006">
        <v>13.1</v>
      </c>
      <c r="K3006" t="s">
        <v>24</v>
      </c>
      <c r="L3006">
        <v>1</v>
      </c>
      <c r="M3006">
        <v>4</v>
      </c>
      <c r="N3006" t="s">
        <v>592</v>
      </c>
      <c r="O3006" s="3" t="str">
        <f>TEXT(Ticket_Table[[#This Row],[raised_date]],"YYYY-MM")</f>
        <v>2023-09</v>
      </c>
      <c r="P3006" s="3" t="str">
        <f>IF(Ticket_Table[[#This Row],[resolution_hrs]]&lt;=4,"Fast",IF(Ticket_Table[[#This Row],[resolution_hrs]]&lt;=24,"Normal",IF(Ticket_Table[[#This Row],[resolution_hrs]]&lt;=48,"Slow","Very Slow")))</f>
        <v>Normal</v>
      </c>
      <c r="Q3006" s="3">
        <f>YEAR(Ticket_Table[[#This Row],[raised_date]])</f>
        <v>2023</v>
      </c>
    </row>
    <row r="3007" spans="1:17">
      <c r="A3007" t="s">
        <v>3568</v>
      </c>
      <c r="B3007" t="s">
        <v>489</v>
      </c>
      <c r="C3007" t="s">
        <v>140</v>
      </c>
      <c r="D3007" t="s">
        <v>36</v>
      </c>
      <c r="E3007" t="s">
        <v>166</v>
      </c>
      <c r="F3007" t="s">
        <v>38</v>
      </c>
      <c r="G3007" t="s">
        <v>23</v>
      </c>
      <c r="H3007" s="1">
        <v>45238</v>
      </c>
      <c r="I3007" s="2">
        <v>45239.375</v>
      </c>
      <c r="J3007">
        <v>33</v>
      </c>
      <c r="K3007" t="s">
        <v>32</v>
      </c>
      <c r="L3007">
        <v>0</v>
      </c>
      <c r="M3007">
        <v>4</v>
      </c>
      <c r="N3007" t="s">
        <v>474</v>
      </c>
      <c r="O3007" s="3" t="str">
        <f>TEXT(Ticket_Table[[#This Row],[raised_date]],"YYYY-MM")</f>
        <v>2023-11</v>
      </c>
      <c r="P3007" s="3" t="str">
        <f>IF(Ticket_Table[[#This Row],[resolution_hrs]]&lt;=4,"Fast",IF(Ticket_Table[[#This Row],[resolution_hrs]]&lt;=24,"Normal",IF(Ticket_Table[[#This Row],[resolution_hrs]]&lt;=48,"Slow","Very Slow")))</f>
        <v>Slow</v>
      </c>
      <c r="Q3007" s="3">
        <f>YEAR(Ticket_Table[[#This Row],[raised_date]])</f>
        <v>2023</v>
      </c>
    </row>
    <row r="3008" spans="1:17">
      <c r="A3008" t="s">
        <v>3569</v>
      </c>
      <c r="B3008" t="s">
        <v>300</v>
      </c>
      <c r="C3008" t="s">
        <v>42</v>
      </c>
      <c r="D3008" t="s">
        <v>20</v>
      </c>
      <c r="E3008" t="s">
        <v>21</v>
      </c>
      <c r="F3008" t="s">
        <v>70</v>
      </c>
      <c r="G3008" t="s">
        <v>31</v>
      </c>
      <c r="H3008" s="1">
        <v>44559</v>
      </c>
      <c r="I3008" s="2">
        <v>44559.7791666667</v>
      </c>
      <c r="J3008">
        <v>18.7</v>
      </c>
      <c r="K3008" t="s">
        <v>24</v>
      </c>
      <c r="L3008">
        <v>0</v>
      </c>
      <c r="M3008">
        <v>5</v>
      </c>
      <c r="N3008" t="s">
        <v>588</v>
      </c>
      <c r="O3008" s="3" t="str">
        <f>TEXT(Ticket_Table[[#This Row],[raised_date]],"YYYY-MM")</f>
        <v>2021-12</v>
      </c>
      <c r="P3008" s="3" t="str">
        <f>IF(Ticket_Table[[#This Row],[resolution_hrs]]&lt;=4,"Fast",IF(Ticket_Table[[#This Row],[resolution_hrs]]&lt;=24,"Normal",IF(Ticket_Table[[#This Row],[resolution_hrs]]&lt;=48,"Slow","Very Slow")))</f>
        <v>Normal</v>
      </c>
      <c r="Q3008" s="3">
        <f>YEAR(Ticket_Table[[#This Row],[raised_date]])</f>
        <v>2021</v>
      </c>
    </row>
    <row r="3009" spans="1:17">
      <c r="A3009" t="s">
        <v>3570</v>
      </c>
      <c r="B3009" t="s">
        <v>445</v>
      </c>
      <c r="C3009" t="s">
        <v>102</v>
      </c>
      <c r="D3009" t="s">
        <v>43</v>
      </c>
      <c r="E3009" t="s">
        <v>37</v>
      </c>
      <c r="F3009" t="s">
        <v>70</v>
      </c>
      <c r="G3009" t="s">
        <v>31</v>
      </c>
      <c r="H3009" s="1">
        <v>44552</v>
      </c>
      <c r="I3009" s="2">
        <v>44553.6375</v>
      </c>
      <c r="J3009">
        <v>39.3</v>
      </c>
      <c r="K3009" t="s">
        <v>24</v>
      </c>
      <c r="L3009">
        <v>0</v>
      </c>
      <c r="M3009">
        <v>4</v>
      </c>
      <c r="N3009" t="s">
        <v>1063</v>
      </c>
      <c r="O3009" s="3" t="str">
        <f>TEXT(Ticket_Table[[#This Row],[raised_date]],"YYYY-MM")</f>
        <v>2021-12</v>
      </c>
      <c r="P3009" s="3" t="str">
        <f>IF(Ticket_Table[[#This Row],[resolution_hrs]]&lt;=4,"Fast",IF(Ticket_Table[[#This Row],[resolution_hrs]]&lt;=24,"Normal",IF(Ticket_Table[[#This Row],[resolution_hrs]]&lt;=48,"Slow","Very Slow")))</f>
        <v>Slow</v>
      </c>
      <c r="Q3009" s="3">
        <f>YEAR(Ticket_Table[[#This Row],[raised_date]])</f>
        <v>2021</v>
      </c>
    </row>
    <row r="3010" spans="1:17">
      <c r="A3010" t="s">
        <v>3571</v>
      </c>
      <c r="B3010" t="s">
        <v>1252</v>
      </c>
      <c r="C3010" t="s">
        <v>213</v>
      </c>
      <c r="D3010" t="s">
        <v>36</v>
      </c>
      <c r="E3010" t="s">
        <v>21</v>
      </c>
      <c r="F3010" t="s">
        <v>38</v>
      </c>
      <c r="G3010" t="s">
        <v>46</v>
      </c>
      <c r="H3010" s="1">
        <v>44459</v>
      </c>
      <c r="I3010" s="2">
        <v>44460.1583333333</v>
      </c>
      <c r="J3010">
        <v>27.8</v>
      </c>
      <c r="K3010" t="s">
        <v>32</v>
      </c>
      <c r="L3010">
        <v>0</v>
      </c>
      <c r="M3010">
        <v>5</v>
      </c>
      <c r="N3010" t="s">
        <v>479</v>
      </c>
      <c r="O3010" s="3" t="str">
        <f>TEXT(Ticket_Table[[#This Row],[raised_date]],"YYYY-MM")</f>
        <v>2021-09</v>
      </c>
      <c r="P3010" s="3" t="str">
        <f>IF(Ticket_Table[[#This Row],[resolution_hrs]]&lt;=4,"Fast",IF(Ticket_Table[[#This Row],[resolution_hrs]]&lt;=24,"Normal",IF(Ticket_Table[[#This Row],[resolution_hrs]]&lt;=48,"Slow","Very Slow")))</f>
        <v>Slow</v>
      </c>
      <c r="Q3010" s="3">
        <f>YEAR(Ticket_Table[[#This Row],[raised_date]])</f>
        <v>2021</v>
      </c>
    </row>
    <row r="3011" spans="1:17">
      <c r="A3011" t="s">
        <v>3572</v>
      </c>
      <c r="B3011" t="s">
        <v>315</v>
      </c>
      <c r="C3011" t="s">
        <v>133</v>
      </c>
      <c r="D3011" t="s">
        <v>36</v>
      </c>
      <c r="E3011" t="s">
        <v>83</v>
      </c>
      <c r="F3011" t="s">
        <v>38</v>
      </c>
      <c r="G3011" t="s">
        <v>31</v>
      </c>
      <c r="H3011" s="1">
        <v>44409</v>
      </c>
      <c r="I3011" s="2">
        <v>44409.2125</v>
      </c>
      <c r="J3011">
        <v>5.1</v>
      </c>
      <c r="K3011" t="s">
        <v>24</v>
      </c>
      <c r="L3011">
        <v>0</v>
      </c>
      <c r="M3011">
        <v>4</v>
      </c>
      <c r="N3011" t="s">
        <v>130</v>
      </c>
      <c r="O3011" s="3" t="str">
        <f>TEXT(Ticket_Table[[#This Row],[raised_date]],"YYYY-MM")</f>
        <v>2021-08</v>
      </c>
      <c r="P3011" s="3" t="str">
        <f>IF(Ticket_Table[[#This Row],[resolution_hrs]]&lt;=4,"Fast",IF(Ticket_Table[[#This Row],[resolution_hrs]]&lt;=24,"Normal",IF(Ticket_Table[[#This Row],[resolution_hrs]]&lt;=48,"Slow","Very Slow")))</f>
        <v>Normal</v>
      </c>
      <c r="Q3011" s="3">
        <f>YEAR(Ticket_Table[[#This Row],[raised_date]])</f>
        <v>2021</v>
      </c>
    </row>
    <row r="3012" spans="1:17">
      <c r="A3012" t="s">
        <v>3573</v>
      </c>
      <c r="B3012" t="s">
        <v>233</v>
      </c>
      <c r="C3012" t="s">
        <v>28</v>
      </c>
      <c r="D3012" t="s">
        <v>20</v>
      </c>
      <c r="E3012" t="s">
        <v>83</v>
      </c>
      <c r="F3012" t="s">
        <v>45</v>
      </c>
      <c r="G3012" t="s">
        <v>74</v>
      </c>
      <c r="H3012" s="1">
        <v>44990</v>
      </c>
      <c r="I3012" s="2">
        <v>44990.1041666667</v>
      </c>
      <c r="J3012">
        <v>2.5</v>
      </c>
      <c r="K3012" t="s">
        <v>24</v>
      </c>
      <c r="L3012">
        <v>0</v>
      </c>
      <c r="M3012">
        <v>3</v>
      </c>
      <c r="N3012" t="s">
        <v>612</v>
      </c>
      <c r="O3012" s="3" t="str">
        <f>TEXT(Ticket_Table[[#This Row],[raised_date]],"YYYY-MM")</f>
        <v>2023-03</v>
      </c>
      <c r="P3012" s="3" t="str">
        <f>IF(Ticket_Table[[#This Row],[resolution_hrs]]&lt;=4,"Fast",IF(Ticket_Table[[#This Row],[resolution_hrs]]&lt;=24,"Normal",IF(Ticket_Table[[#This Row],[resolution_hrs]]&lt;=48,"Slow","Very Slow")))</f>
        <v>Fast</v>
      </c>
      <c r="Q3012" s="3">
        <f>YEAR(Ticket_Table[[#This Row],[raised_date]])</f>
        <v>2023</v>
      </c>
    </row>
    <row r="3013" spans="1:17">
      <c r="A3013" t="s">
        <v>3574</v>
      </c>
      <c r="B3013" t="s">
        <v>2204</v>
      </c>
      <c r="C3013" t="s">
        <v>50</v>
      </c>
      <c r="D3013" t="s">
        <v>43</v>
      </c>
      <c r="E3013" t="s">
        <v>37</v>
      </c>
      <c r="F3013" t="s">
        <v>70</v>
      </c>
      <c r="G3013" t="s">
        <v>74</v>
      </c>
      <c r="H3013" s="1">
        <v>44856</v>
      </c>
      <c r="I3013" s="2">
        <v>44856.9083333333</v>
      </c>
      <c r="J3013">
        <v>21.8</v>
      </c>
      <c r="K3013" t="s">
        <v>24</v>
      </c>
      <c r="L3013">
        <v>0</v>
      </c>
      <c r="M3013">
        <v>2</v>
      </c>
      <c r="N3013" t="s">
        <v>751</v>
      </c>
      <c r="O3013" s="3" t="str">
        <f>TEXT(Ticket_Table[[#This Row],[raised_date]],"YYYY-MM")</f>
        <v>2022-10</v>
      </c>
      <c r="P3013" s="3" t="str">
        <f>IF(Ticket_Table[[#This Row],[resolution_hrs]]&lt;=4,"Fast",IF(Ticket_Table[[#This Row],[resolution_hrs]]&lt;=24,"Normal",IF(Ticket_Table[[#This Row],[resolution_hrs]]&lt;=48,"Slow","Very Slow")))</f>
        <v>Normal</v>
      </c>
      <c r="Q3013" s="3">
        <f>YEAR(Ticket_Table[[#This Row],[raised_date]])</f>
        <v>2022</v>
      </c>
    </row>
    <row r="3014" spans="1:17">
      <c r="A3014" t="s">
        <v>3575</v>
      </c>
      <c r="B3014" t="s">
        <v>439</v>
      </c>
      <c r="C3014" t="s">
        <v>60</v>
      </c>
      <c r="D3014" t="s">
        <v>90</v>
      </c>
      <c r="E3014" t="s">
        <v>37</v>
      </c>
      <c r="F3014" t="s">
        <v>70</v>
      </c>
      <c r="G3014" t="s">
        <v>46</v>
      </c>
      <c r="H3014" s="1">
        <v>45229</v>
      </c>
      <c r="I3014" s="2">
        <v>45229.6708333333</v>
      </c>
      <c r="J3014">
        <v>16.1</v>
      </c>
      <c r="K3014" t="s">
        <v>24</v>
      </c>
      <c r="L3014">
        <v>0</v>
      </c>
      <c r="M3014">
        <v>3</v>
      </c>
      <c r="N3014" t="s">
        <v>567</v>
      </c>
      <c r="O3014" s="3" t="str">
        <f>TEXT(Ticket_Table[[#This Row],[raised_date]],"YYYY-MM")</f>
        <v>2023-10</v>
      </c>
      <c r="P3014" s="3" t="str">
        <f>IF(Ticket_Table[[#This Row],[resolution_hrs]]&lt;=4,"Fast",IF(Ticket_Table[[#This Row],[resolution_hrs]]&lt;=24,"Normal",IF(Ticket_Table[[#This Row],[resolution_hrs]]&lt;=48,"Slow","Very Slow")))</f>
        <v>Normal</v>
      </c>
      <c r="Q3014" s="3">
        <f>YEAR(Ticket_Table[[#This Row],[raised_date]])</f>
        <v>2023</v>
      </c>
    </row>
    <row r="3015" spans="1:17">
      <c r="A3015" t="s">
        <v>3576</v>
      </c>
      <c r="B3015" t="s">
        <v>123</v>
      </c>
      <c r="C3015" t="s">
        <v>213</v>
      </c>
      <c r="D3015" t="s">
        <v>20</v>
      </c>
      <c r="E3015" t="s">
        <v>166</v>
      </c>
      <c r="F3015" t="s">
        <v>45</v>
      </c>
      <c r="G3015" t="s">
        <v>91</v>
      </c>
      <c r="H3015" s="1">
        <v>44984</v>
      </c>
      <c r="I3015" s="2">
        <v>44984.1958333333</v>
      </c>
      <c r="J3015">
        <v>4.7</v>
      </c>
      <c r="K3015" t="s">
        <v>32</v>
      </c>
      <c r="L3015">
        <v>0</v>
      </c>
      <c r="M3015">
        <v>4</v>
      </c>
      <c r="N3015" t="s">
        <v>99</v>
      </c>
      <c r="O3015" s="3" t="str">
        <f>TEXT(Ticket_Table[[#This Row],[raised_date]],"YYYY-MM")</f>
        <v>2023-02</v>
      </c>
      <c r="P3015" s="3" t="str">
        <f>IF(Ticket_Table[[#This Row],[resolution_hrs]]&lt;=4,"Fast",IF(Ticket_Table[[#This Row],[resolution_hrs]]&lt;=24,"Normal",IF(Ticket_Table[[#This Row],[resolution_hrs]]&lt;=48,"Slow","Very Slow")))</f>
        <v>Normal</v>
      </c>
      <c r="Q3015" s="3">
        <f>YEAR(Ticket_Table[[#This Row],[raised_date]])</f>
        <v>2023</v>
      </c>
    </row>
    <row r="3016" spans="1:17">
      <c r="A3016" t="s">
        <v>3577</v>
      </c>
      <c r="B3016" t="s">
        <v>664</v>
      </c>
      <c r="C3016" t="s">
        <v>19</v>
      </c>
      <c r="D3016" t="s">
        <v>36</v>
      </c>
      <c r="E3016" t="s">
        <v>21</v>
      </c>
      <c r="F3016" t="s">
        <v>70</v>
      </c>
      <c r="G3016" t="s">
        <v>23</v>
      </c>
      <c r="H3016" s="1">
        <v>45054</v>
      </c>
      <c r="I3016" s="2">
        <v>45055.725</v>
      </c>
      <c r="J3016">
        <v>41.4</v>
      </c>
      <c r="K3016" t="s">
        <v>24</v>
      </c>
      <c r="L3016">
        <v>0</v>
      </c>
      <c r="M3016">
        <v>4</v>
      </c>
      <c r="N3016" t="s">
        <v>630</v>
      </c>
      <c r="O3016" s="3" t="str">
        <f>TEXT(Ticket_Table[[#This Row],[raised_date]],"YYYY-MM")</f>
        <v>2023-05</v>
      </c>
      <c r="P3016" s="3" t="str">
        <f>IF(Ticket_Table[[#This Row],[resolution_hrs]]&lt;=4,"Fast",IF(Ticket_Table[[#This Row],[resolution_hrs]]&lt;=24,"Normal",IF(Ticket_Table[[#This Row],[resolution_hrs]]&lt;=48,"Slow","Very Slow")))</f>
        <v>Slow</v>
      </c>
      <c r="Q3016" s="3">
        <f>YEAR(Ticket_Table[[#This Row],[raised_date]])</f>
        <v>2023</v>
      </c>
    </row>
    <row r="3017" spans="1:17">
      <c r="A3017" t="s">
        <v>3578</v>
      </c>
      <c r="B3017" t="s">
        <v>432</v>
      </c>
      <c r="C3017" t="s">
        <v>60</v>
      </c>
      <c r="D3017" t="s">
        <v>36</v>
      </c>
      <c r="E3017" t="s">
        <v>106</v>
      </c>
      <c r="F3017" t="s">
        <v>22</v>
      </c>
      <c r="G3017" t="s">
        <v>74</v>
      </c>
      <c r="H3017" s="1">
        <v>44705</v>
      </c>
      <c r="I3017" s="2">
        <v>44706.0125</v>
      </c>
      <c r="J3017">
        <v>24.3</v>
      </c>
      <c r="K3017" t="s">
        <v>24</v>
      </c>
      <c r="L3017">
        <v>0</v>
      </c>
      <c r="M3017">
        <v>5</v>
      </c>
      <c r="N3017" t="s">
        <v>471</v>
      </c>
      <c r="O3017" s="3" t="str">
        <f>TEXT(Ticket_Table[[#This Row],[raised_date]],"YYYY-MM")</f>
        <v>2022-05</v>
      </c>
      <c r="P3017" s="3" t="str">
        <f>IF(Ticket_Table[[#This Row],[resolution_hrs]]&lt;=4,"Fast",IF(Ticket_Table[[#This Row],[resolution_hrs]]&lt;=24,"Normal",IF(Ticket_Table[[#This Row],[resolution_hrs]]&lt;=48,"Slow","Very Slow")))</f>
        <v>Slow</v>
      </c>
      <c r="Q3017" s="3">
        <f>YEAR(Ticket_Table[[#This Row],[raised_date]])</f>
        <v>2022</v>
      </c>
    </row>
    <row r="3018" spans="1:17">
      <c r="A3018" t="s">
        <v>3579</v>
      </c>
      <c r="B3018" t="s">
        <v>970</v>
      </c>
      <c r="C3018" t="s">
        <v>64</v>
      </c>
      <c r="D3018" t="s">
        <v>29</v>
      </c>
      <c r="E3018" t="s">
        <v>69</v>
      </c>
      <c r="F3018" t="s">
        <v>22</v>
      </c>
      <c r="G3018" t="s">
        <v>91</v>
      </c>
      <c r="H3018" s="1">
        <v>44757</v>
      </c>
      <c r="I3018" s="2">
        <v>44758.4</v>
      </c>
      <c r="J3018">
        <v>33.6</v>
      </c>
      <c r="K3018" t="s">
        <v>24</v>
      </c>
      <c r="L3018">
        <v>0</v>
      </c>
      <c r="M3018">
        <v>5</v>
      </c>
      <c r="N3018" t="s">
        <v>1080</v>
      </c>
      <c r="O3018" s="3" t="str">
        <f>TEXT(Ticket_Table[[#This Row],[raised_date]],"YYYY-MM")</f>
        <v>2022-07</v>
      </c>
      <c r="P3018" s="3" t="str">
        <f>IF(Ticket_Table[[#This Row],[resolution_hrs]]&lt;=4,"Fast",IF(Ticket_Table[[#This Row],[resolution_hrs]]&lt;=24,"Normal",IF(Ticket_Table[[#This Row],[resolution_hrs]]&lt;=48,"Slow","Very Slow")))</f>
        <v>Slow</v>
      </c>
      <c r="Q3018" s="3">
        <f>YEAR(Ticket_Table[[#This Row],[raised_date]])</f>
        <v>2022</v>
      </c>
    </row>
    <row r="3019" spans="1:17">
      <c r="A3019" t="s">
        <v>3580</v>
      </c>
      <c r="B3019" t="s">
        <v>857</v>
      </c>
      <c r="C3019" t="s">
        <v>55</v>
      </c>
      <c r="D3019" t="s">
        <v>43</v>
      </c>
      <c r="E3019" t="s">
        <v>69</v>
      </c>
      <c r="F3019" t="s">
        <v>38</v>
      </c>
      <c r="G3019" t="s">
        <v>31</v>
      </c>
      <c r="H3019" s="1">
        <v>45011</v>
      </c>
      <c r="I3019" s="2">
        <v>45012.4041666667</v>
      </c>
      <c r="J3019">
        <v>33.7</v>
      </c>
      <c r="K3019" t="s">
        <v>32</v>
      </c>
      <c r="L3019">
        <v>0</v>
      </c>
      <c r="M3019">
        <v>2</v>
      </c>
      <c r="N3019" t="s">
        <v>302</v>
      </c>
      <c r="O3019" s="3" t="str">
        <f>TEXT(Ticket_Table[[#This Row],[raised_date]],"YYYY-MM")</f>
        <v>2023-03</v>
      </c>
      <c r="P3019" s="3" t="str">
        <f>IF(Ticket_Table[[#This Row],[resolution_hrs]]&lt;=4,"Fast",IF(Ticket_Table[[#This Row],[resolution_hrs]]&lt;=24,"Normal",IF(Ticket_Table[[#This Row],[resolution_hrs]]&lt;=48,"Slow","Very Slow")))</f>
        <v>Slow</v>
      </c>
      <c r="Q3019" s="3">
        <f>YEAR(Ticket_Table[[#This Row],[raised_date]])</f>
        <v>2023</v>
      </c>
    </row>
    <row r="3020" spans="1:17">
      <c r="A3020" t="s">
        <v>3581</v>
      </c>
      <c r="B3020" t="s">
        <v>383</v>
      </c>
      <c r="C3020" t="s">
        <v>19</v>
      </c>
      <c r="D3020" t="s">
        <v>29</v>
      </c>
      <c r="E3020" t="s">
        <v>51</v>
      </c>
      <c r="F3020" t="s">
        <v>70</v>
      </c>
      <c r="G3020" t="s">
        <v>31</v>
      </c>
      <c r="H3020" s="1">
        <v>44899</v>
      </c>
      <c r="I3020" s="2">
        <v>44900.9458333333</v>
      </c>
      <c r="J3020">
        <v>46.7</v>
      </c>
      <c r="K3020" t="s">
        <v>24</v>
      </c>
      <c r="L3020">
        <v>0</v>
      </c>
      <c r="M3020">
        <v>4</v>
      </c>
      <c r="N3020" t="s">
        <v>266</v>
      </c>
      <c r="O3020" s="3" t="str">
        <f>TEXT(Ticket_Table[[#This Row],[raised_date]],"YYYY-MM")</f>
        <v>2022-12</v>
      </c>
      <c r="P3020" s="3" t="str">
        <f>IF(Ticket_Table[[#This Row],[resolution_hrs]]&lt;=4,"Fast",IF(Ticket_Table[[#This Row],[resolution_hrs]]&lt;=24,"Normal",IF(Ticket_Table[[#This Row],[resolution_hrs]]&lt;=48,"Slow","Very Slow")))</f>
        <v>Slow</v>
      </c>
      <c r="Q3020" s="3">
        <f>YEAR(Ticket_Table[[#This Row],[raised_date]])</f>
        <v>2022</v>
      </c>
    </row>
    <row r="3021" spans="1:17">
      <c r="A3021" t="s">
        <v>3582</v>
      </c>
      <c r="B3021" t="s">
        <v>266</v>
      </c>
      <c r="C3021" t="s">
        <v>19</v>
      </c>
      <c r="D3021" t="s">
        <v>90</v>
      </c>
      <c r="E3021" t="s">
        <v>51</v>
      </c>
      <c r="F3021" t="s">
        <v>38</v>
      </c>
      <c r="G3021" t="s">
        <v>46</v>
      </c>
      <c r="H3021" s="1">
        <v>44799</v>
      </c>
      <c r="I3021" s="2">
        <v>44800.2458333333</v>
      </c>
      <c r="J3021">
        <v>29.9</v>
      </c>
      <c r="K3021" t="s">
        <v>32</v>
      </c>
      <c r="L3021">
        <v>2</v>
      </c>
      <c r="M3021">
        <v>4</v>
      </c>
      <c r="N3021" t="s">
        <v>471</v>
      </c>
      <c r="O3021" s="3" t="str">
        <f>TEXT(Ticket_Table[[#This Row],[raised_date]],"YYYY-MM")</f>
        <v>2022-08</v>
      </c>
      <c r="P3021" s="3" t="str">
        <f>IF(Ticket_Table[[#This Row],[resolution_hrs]]&lt;=4,"Fast",IF(Ticket_Table[[#This Row],[resolution_hrs]]&lt;=24,"Normal",IF(Ticket_Table[[#This Row],[resolution_hrs]]&lt;=48,"Slow","Very Slow")))</f>
        <v>Slow</v>
      </c>
      <c r="Q3021" s="3">
        <f>YEAR(Ticket_Table[[#This Row],[raised_date]])</f>
        <v>2022</v>
      </c>
    </row>
    <row r="3022" spans="1:17">
      <c r="A3022" t="s">
        <v>3583</v>
      </c>
      <c r="B3022" t="s">
        <v>151</v>
      </c>
      <c r="C3022" t="s">
        <v>28</v>
      </c>
      <c r="D3022" t="s">
        <v>20</v>
      </c>
      <c r="E3022" t="s">
        <v>37</v>
      </c>
      <c r="F3022" t="s">
        <v>70</v>
      </c>
      <c r="G3022" t="s">
        <v>46</v>
      </c>
      <c r="H3022" s="1">
        <v>45124</v>
      </c>
      <c r="I3022" s="2">
        <v>45124.1458333333</v>
      </c>
      <c r="J3022">
        <v>3.5</v>
      </c>
      <c r="K3022" t="s">
        <v>24</v>
      </c>
      <c r="L3022">
        <v>1</v>
      </c>
      <c r="M3022">
        <v>3</v>
      </c>
      <c r="N3022" t="s">
        <v>1107</v>
      </c>
      <c r="O3022" s="3" t="str">
        <f>TEXT(Ticket_Table[[#This Row],[raised_date]],"YYYY-MM")</f>
        <v>2023-07</v>
      </c>
      <c r="P3022" s="3" t="str">
        <f>IF(Ticket_Table[[#This Row],[resolution_hrs]]&lt;=4,"Fast",IF(Ticket_Table[[#This Row],[resolution_hrs]]&lt;=24,"Normal",IF(Ticket_Table[[#This Row],[resolution_hrs]]&lt;=48,"Slow","Very Slow")))</f>
        <v>Fast</v>
      </c>
      <c r="Q3022" s="3">
        <f>YEAR(Ticket_Table[[#This Row],[raised_date]])</f>
        <v>2023</v>
      </c>
    </row>
    <row r="3023" spans="1:17">
      <c r="A3023" t="s">
        <v>3584</v>
      </c>
      <c r="B3023" t="s">
        <v>678</v>
      </c>
      <c r="C3023" t="s">
        <v>55</v>
      </c>
      <c r="D3023" t="s">
        <v>36</v>
      </c>
      <c r="E3023" t="s">
        <v>56</v>
      </c>
      <c r="F3023" t="s">
        <v>22</v>
      </c>
      <c r="G3023" t="s">
        <v>23</v>
      </c>
      <c r="H3023" s="1">
        <v>44470</v>
      </c>
      <c r="I3023" s="2">
        <v>44472.1041666667</v>
      </c>
      <c r="J3023">
        <v>50.5</v>
      </c>
      <c r="K3023" t="s">
        <v>24</v>
      </c>
      <c r="L3023">
        <v>2</v>
      </c>
      <c r="M3023">
        <v>4</v>
      </c>
      <c r="N3023" t="s">
        <v>794</v>
      </c>
      <c r="O3023" s="3" t="str">
        <f>TEXT(Ticket_Table[[#This Row],[raised_date]],"YYYY-MM")</f>
        <v>2021-10</v>
      </c>
      <c r="P3023" s="3" t="str">
        <f>IF(Ticket_Table[[#This Row],[resolution_hrs]]&lt;=4,"Fast",IF(Ticket_Table[[#This Row],[resolution_hrs]]&lt;=24,"Normal",IF(Ticket_Table[[#This Row],[resolution_hrs]]&lt;=48,"Slow","Very Slow")))</f>
        <v>Very Slow</v>
      </c>
      <c r="Q3023" s="3">
        <f>YEAR(Ticket_Table[[#This Row],[raised_date]])</f>
        <v>2021</v>
      </c>
    </row>
    <row r="3024" spans="1:17">
      <c r="A3024" t="s">
        <v>3585</v>
      </c>
      <c r="B3024" t="s">
        <v>776</v>
      </c>
      <c r="C3024" t="s">
        <v>28</v>
      </c>
      <c r="D3024" t="s">
        <v>43</v>
      </c>
      <c r="E3024" t="s">
        <v>83</v>
      </c>
      <c r="F3024" t="s">
        <v>70</v>
      </c>
      <c r="G3024" t="s">
        <v>31</v>
      </c>
      <c r="H3024" s="1">
        <v>44479</v>
      </c>
      <c r="I3024" s="2">
        <v>44480.8708333333</v>
      </c>
      <c r="J3024">
        <v>44.9</v>
      </c>
      <c r="K3024" t="s">
        <v>24</v>
      </c>
      <c r="L3024">
        <v>0</v>
      </c>
      <c r="M3024">
        <v>3</v>
      </c>
      <c r="N3024" t="s">
        <v>1025</v>
      </c>
      <c r="O3024" s="3" t="str">
        <f>TEXT(Ticket_Table[[#This Row],[raised_date]],"YYYY-MM")</f>
        <v>2021-10</v>
      </c>
      <c r="P3024" s="3" t="str">
        <f>IF(Ticket_Table[[#This Row],[resolution_hrs]]&lt;=4,"Fast",IF(Ticket_Table[[#This Row],[resolution_hrs]]&lt;=24,"Normal",IF(Ticket_Table[[#This Row],[resolution_hrs]]&lt;=48,"Slow","Very Slow")))</f>
        <v>Slow</v>
      </c>
      <c r="Q3024" s="3">
        <f>YEAR(Ticket_Table[[#This Row],[raised_date]])</f>
        <v>2021</v>
      </c>
    </row>
    <row r="3025" spans="1:17">
      <c r="A3025" t="s">
        <v>3586</v>
      </c>
      <c r="B3025" t="s">
        <v>189</v>
      </c>
      <c r="C3025" t="s">
        <v>95</v>
      </c>
      <c r="D3025" t="s">
        <v>36</v>
      </c>
      <c r="E3025" t="s">
        <v>30</v>
      </c>
      <c r="F3025" t="s">
        <v>22</v>
      </c>
      <c r="G3025" t="s">
        <v>23</v>
      </c>
      <c r="H3025" s="1">
        <v>45042</v>
      </c>
      <c r="I3025" s="2">
        <v>45044.2166666667</v>
      </c>
      <c r="J3025">
        <v>53.2</v>
      </c>
      <c r="K3025" t="s">
        <v>24</v>
      </c>
      <c r="L3025">
        <v>0</v>
      </c>
      <c r="M3025">
        <v>2</v>
      </c>
      <c r="N3025" t="s">
        <v>589</v>
      </c>
      <c r="O3025" s="3" t="str">
        <f>TEXT(Ticket_Table[[#This Row],[raised_date]],"YYYY-MM")</f>
        <v>2023-04</v>
      </c>
      <c r="P3025" s="3" t="str">
        <f>IF(Ticket_Table[[#This Row],[resolution_hrs]]&lt;=4,"Fast",IF(Ticket_Table[[#This Row],[resolution_hrs]]&lt;=24,"Normal",IF(Ticket_Table[[#This Row],[resolution_hrs]]&lt;=48,"Slow","Very Slow")))</f>
        <v>Very Slow</v>
      </c>
      <c r="Q3025" s="3">
        <f>YEAR(Ticket_Table[[#This Row],[raised_date]])</f>
        <v>2023</v>
      </c>
    </row>
    <row r="3026" spans="1:17">
      <c r="A3026" t="s">
        <v>3587</v>
      </c>
      <c r="B3026" t="s">
        <v>227</v>
      </c>
      <c r="C3026" t="s">
        <v>133</v>
      </c>
      <c r="D3026" t="s">
        <v>29</v>
      </c>
      <c r="E3026" t="s">
        <v>21</v>
      </c>
      <c r="F3026" t="s">
        <v>70</v>
      </c>
      <c r="G3026" t="s">
        <v>23</v>
      </c>
      <c r="H3026" s="1">
        <v>45246</v>
      </c>
      <c r="I3026" s="2">
        <v>45247.0958333333</v>
      </c>
      <c r="J3026">
        <v>26.3</v>
      </c>
      <c r="K3026" t="s">
        <v>24</v>
      </c>
      <c r="L3026">
        <v>1</v>
      </c>
      <c r="M3026">
        <v>2</v>
      </c>
      <c r="N3026" t="s">
        <v>423</v>
      </c>
      <c r="O3026" s="3" t="str">
        <f>TEXT(Ticket_Table[[#This Row],[raised_date]],"YYYY-MM")</f>
        <v>2023-11</v>
      </c>
      <c r="P3026" s="3" t="str">
        <f>IF(Ticket_Table[[#This Row],[resolution_hrs]]&lt;=4,"Fast",IF(Ticket_Table[[#This Row],[resolution_hrs]]&lt;=24,"Normal",IF(Ticket_Table[[#This Row],[resolution_hrs]]&lt;=48,"Slow","Very Slow")))</f>
        <v>Slow</v>
      </c>
      <c r="Q3026" s="3">
        <f>YEAR(Ticket_Table[[#This Row],[raised_date]])</f>
        <v>2023</v>
      </c>
    </row>
    <row r="3027" spans="1:17">
      <c r="A3027" t="s">
        <v>3588</v>
      </c>
      <c r="B3027" t="s">
        <v>454</v>
      </c>
      <c r="C3027" t="s">
        <v>78</v>
      </c>
      <c r="D3027" t="s">
        <v>29</v>
      </c>
      <c r="E3027" t="s">
        <v>44</v>
      </c>
      <c r="F3027" t="s">
        <v>70</v>
      </c>
      <c r="G3027" t="s">
        <v>31</v>
      </c>
      <c r="H3027" s="1">
        <v>44809</v>
      </c>
      <c r="I3027" s="2">
        <v>44810.8625</v>
      </c>
      <c r="J3027">
        <v>44.7</v>
      </c>
      <c r="K3027" t="s">
        <v>24</v>
      </c>
      <c r="L3027">
        <v>0</v>
      </c>
      <c r="M3027">
        <v>4</v>
      </c>
      <c r="N3027" t="s">
        <v>295</v>
      </c>
      <c r="O3027" s="3" t="str">
        <f>TEXT(Ticket_Table[[#This Row],[raised_date]],"YYYY-MM")</f>
        <v>2022-09</v>
      </c>
      <c r="P3027" s="3" t="str">
        <f>IF(Ticket_Table[[#This Row],[resolution_hrs]]&lt;=4,"Fast",IF(Ticket_Table[[#This Row],[resolution_hrs]]&lt;=24,"Normal",IF(Ticket_Table[[#This Row],[resolution_hrs]]&lt;=48,"Slow","Very Slow")))</f>
        <v>Slow</v>
      </c>
      <c r="Q3027" s="3">
        <f>YEAR(Ticket_Table[[#This Row],[raised_date]])</f>
        <v>2022</v>
      </c>
    </row>
    <row r="3028" spans="1:17">
      <c r="A3028" t="s">
        <v>3589</v>
      </c>
      <c r="B3028" t="s">
        <v>148</v>
      </c>
      <c r="C3028" t="s">
        <v>28</v>
      </c>
      <c r="D3028" t="s">
        <v>20</v>
      </c>
      <c r="E3028" t="s">
        <v>44</v>
      </c>
      <c r="F3028" t="s">
        <v>70</v>
      </c>
      <c r="G3028" t="s">
        <v>46</v>
      </c>
      <c r="H3028" s="1">
        <v>44839</v>
      </c>
      <c r="I3028" s="2">
        <v>44840.0125</v>
      </c>
      <c r="J3028">
        <v>24.3</v>
      </c>
      <c r="K3028" t="s">
        <v>24</v>
      </c>
      <c r="L3028">
        <v>0</v>
      </c>
      <c r="M3028">
        <v>4</v>
      </c>
      <c r="N3028" t="s">
        <v>143</v>
      </c>
      <c r="O3028" s="3" t="str">
        <f>TEXT(Ticket_Table[[#This Row],[raised_date]],"YYYY-MM")</f>
        <v>2022-10</v>
      </c>
      <c r="P3028" s="3" t="str">
        <f>IF(Ticket_Table[[#This Row],[resolution_hrs]]&lt;=4,"Fast",IF(Ticket_Table[[#This Row],[resolution_hrs]]&lt;=24,"Normal",IF(Ticket_Table[[#This Row],[resolution_hrs]]&lt;=48,"Slow","Very Slow")))</f>
        <v>Slow</v>
      </c>
      <c r="Q3028" s="3">
        <f>YEAR(Ticket_Table[[#This Row],[raised_date]])</f>
        <v>2022</v>
      </c>
    </row>
    <row r="3029" spans="1:17">
      <c r="A3029" t="s">
        <v>3590</v>
      </c>
      <c r="B3029" t="s">
        <v>395</v>
      </c>
      <c r="C3029" t="s">
        <v>261</v>
      </c>
      <c r="D3029" t="s">
        <v>43</v>
      </c>
      <c r="E3029" t="s">
        <v>83</v>
      </c>
      <c r="F3029" t="s">
        <v>38</v>
      </c>
      <c r="G3029" t="s">
        <v>31</v>
      </c>
      <c r="H3029" s="1">
        <v>44642</v>
      </c>
      <c r="I3029" s="2">
        <v>44642.5583333333</v>
      </c>
      <c r="J3029">
        <v>13.4</v>
      </c>
      <c r="K3029" t="s">
        <v>24</v>
      </c>
      <c r="L3029">
        <v>0</v>
      </c>
      <c r="M3029">
        <v>4</v>
      </c>
      <c r="N3029" t="s">
        <v>929</v>
      </c>
      <c r="O3029" s="3" t="str">
        <f>TEXT(Ticket_Table[[#This Row],[raised_date]],"YYYY-MM")</f>
        <v>2022-03</v>
      </c>
      <c r="P3029" s="3" t="str">
        <f>IF(Ticket_Table[[#This Row],[resolution_hrs]]&lt;=4,"Fast",IF(Ticket_Table[[#This Row],[resolution_hrs]]&lt;=24,"Normal",IF(Ticket_Table[[#This Row],[resolution_hrs]]&lt;=48,"Slow","Very Slow")))</f>
        <v>Normal</v>
      </c>
      <c r="Q3029" s="3">
        <f>YEAR(Ticket_Table[[#This Row],[raised_date]])</f>
        <v>2022</v>
      </c>
    </row>
    <row r="3030" spans="1:17">
      <c r="A3030" t="s">
        <v>3591</v>
      </c>
      <c r="B3030" t="s">
        <v>2204</v>
      </c>
      <c r="C3030" t="s">
        <v>175</v>
      </c>
      <c r="D3030" t="s">
        <v>43</v>
      </c>
      <c r="E3030" t="s">
        <v>51</v>
      </c>
      <c r="F3030" t="s">
        <v>38</v>
      </c>
      <c r="G3030" t="s">
        <v>23</v>
      </c>
      <c r="H3030" s="1">
        <v>44608</v>
      </c>
      <c r="I3030" s="2">
        <v>44608.05</v>
      </c>
      <c r="J3030">
        <v>1.2</v>
      </c>
      <c r="K3030" t="s">
        <v>24</v>
      </c>
      <c r="L3030">
        <v>0</v>
      </c>
      <c r="M3030">
        <v>4</v>
      </c>
      <c r="N3030" t="s">
        <v>1238</v>
      </c>
      <c r="O3030" s="3" t="str">
        <f>TEXT(Ticket_Table[[#This Row],[raised_date]],"YYYY-MM")</f>
        <v>2022-02</v>
      </c>
      <c r="P3030" s="3" t="str">
        <f>IF(Ticket_Table[[#This Row],[resolution_hrs]]&lt;=4,"Fast",IF(Ticket_Table[[#This Row],[resolution_hrs]]&lt;=24,"Normal",IF(Ticket_Table[[#This Row],[resolution_hrs]]&lt;=48,"Slow","Very Slow")))</f>
        <v>Fast</v>
      </c>
      <c r="Q3030" s="3">
        <f>YEAR(Ticket_Table[[#This Row],[raised_date]])</f>
        <v>2022</v>
      </c>
    </row>
    <row r="3031" spans="1:17">
      <c r="A3031" t="s">
        <v>3592</v>
      </c>
      <c r="B3031" t="s">
        <v>246</v>
      </c>
      <c r="C3031" t="s">
        <v>82</v>
      </c>
      <c r="D3031" t="s">
        <v>20</v>
      </c>
      <c r="E3031" t="s">
        <v>166</v>
      </c>
      <c r="F3031" t="s">
        <v>38</v>
      </c>
      <c r="G3031" t="s">
        <v>74</v>
      </c>
      <c r="H3031" s="1">
        <v>44626</v>
      </c>
      <c r="I3031" s="2">
        <v>44627.3416666667</v>
      </c>
      <c r="J3031">
        <v>32.2</v>
      </c>
      <c r="K3031" t="s">
        <v>32</v>
      </c>
      <c r="L3031">
        <v>0</v>
      </c>
      <c r="M3031">
        <v>2</v>
      </c>
      <c r="N3031" t="s">
        <v>1252</v>
      </c>
      <c r="O3031" s="3" t="str">
        <f>TEXT(Ticket_Table[[#This Row],[raised_date]],"YYYY-MM")</f>
        <v>2022-03</v>
      </c>
      <c r="P3031" s="3" t="str">
        <f>IF(Ticket_Table[[#This Row],[resolution_hrs]]&lt;=4,"Fast",IF(Ticket_Table[[#This Row],[resolution_hrs]]&lt;=24,"Normal",IF(Ticket_Table[[#This Row],[resolution_hrs]]&lt;=48,"Slow","Very Slow")))</f>
        <v>Slow</v>
      </c>
      <c r="Q3031" s="3">
        <f>YEAR(Ticket_Table[[#This Row],[raised_date]])</f>
        <v>2022</v>
      </c>
    </row>
    <row r="3032" spans="1:17">
      <c r="A3032" t="s">
        <v>3593</v>
      </c>
      <c r="B3032" t="s">
        <v>1474</v>
      </c>
      <c r="C3032" t="s">
        <v>55</v>
      </c>
      <c r="D3032" t="s">
        <v>29</v>
      </c>
      <c r="E3032" t="s">
        <v>44</v>
      </c>
      <c r="F3032" t="s">
        <v>22</v>
      </c>
      <c r="G3032" t="s">
        <v>46</v>
      </c>
      <c r="H3032" s="1">
        <v>44792</v>
      </c>
      <c r="I3032" s="2">
        <v>44792.8708333333</v>
      </c>
      <c r="J3032">
        <v>20.9</v>
      </c>
      <c r="K3032" t="s">
        <v>24</v>
      </c>
      <c r="L3032">
        <v>0</v>
      </c>
      <c r="M3032">
        <v>3</v>
      </c>
      <c r="N3032" t="s">
        <v>302</v>
      </c>
      <c r="O3032" s="3" t="str">
        <f>TEXT(Ticket_Table[[#This Row],[raised_date]],"YYYY-MM")</f>
        <v>2022-08</v>
      </c>
      <c r="P3032" s="3" t="str">
        <f>IF(Ticket_Table[[#This Row],[resolution_hrs]]&lt;=4,"Fast",IF(Ticket_Table[[#This Row],[resolution_hrs]]&lt;=24,"Normal",IF(Ticket_Table[[#This Row],[resolution_hrs]]&lt;=48,"Slow","Very Slow")))</f>
        <v>Normal</v>
      </c>
      <c r="Q3032" s="3">
        <f>YEAR(Ticket_Table[[#This Row],[raised_date]])</f>
        <v>2022</v>
      </c>
    </row>
    <row r="3033" spans="1:17">
      <c r="A3033" t="s">
        <v>3594</v>
      </c>
      <c r="B3033" t="s">
        <v>988</v>
      </c>
      <c r="C3033" t="s">
        <v>140</v>
      </c>
      <c r="D3033" t="s">
        <v>29</v>
      </c>
      <c r="E3033" t="s">
        <v>37</v>
      </c>
      <c r="F3033" t="s">
        <v>22</v>
      </c>
      <c r="G3033" t="s">
        <v>31</v>
      </c>
      <c r="H3033" s="1">
        <v>44904</v>
      </c>
      <c r="I3033" s="2">
        <v>44905.6208333333</v>
      </c>
      <c r="J3033">
        <v>38.9</v>
      </c>
      <c r="K3033" t="s">
        <v>24</v>
      </c>
      <c r="L3033">
        <v>0</v>
      </c>
      <c r="M3033">
        <v>3</v>
      </c>
      <c r="N3033" t="s">
        <v>822</v>
      </c>
      <c r="O3033" s="3" t="str">
        <f>TEXT(Ticket_Table[[#This Row],[raised_date]],"YYYY-MM")</f>
        <v>2022-12</v>
      </c>
      <c r="P3033" s="3" t="str">
        <f>IF(Ticket_Table[[#This Row],[resolution_hrs]]&lt;=4,"Fast",IF(Ticket_Table[[#This Row],[resolution_hrs]]&lt;=24,"Normal",IF(Ticket_Table[[#This Row],[resolution_hrs]]&lt;=48,"Slow","Very Slow")))</f>
        <v>Slow</v>
      </c>
      <c r="Q3033" s="3">
        <f>YEAR(Ticket_Table[[#This Row],[raised_date]])</f>
        <v>2022</v>
      </c>
    </row>
    <row r="3034" spans="1:17">
      <c r="A3034" t="s">
        <v>3595</v>
      </c>
      <c r="B3034" t="s">
        <v>584</v>
      </c>
      <c r="C3034" t="s">
        <v>261</v>
      </c>
      <c r="D3034" t="s">
        <v>29</v>
      </c>
      <c r="E3034" t="s">
        <v>56</v>
      </c>
      <c r="F3034" t="s">
        <v>70</v>
      </c>
      <c r="G3034" t="s">
        <v>31</v>
      </c>
      <c r="H3034" s="1">
        <v>44468</v>
      </c>
      <c r="I3034" s="2">
        <v>44468.3416666667</v>
      </c>
      <c r="J3034">
        <v>8.2</v>
      </c>
      <c r="K3034" t="s">
        <v>24</v>
      </c>
      <c r="L3034">
        <v>2</v>
      </c>
      <c r="M3034">
        <v>3</v>
      </c>
      <c r="N3034" t="s">
        <v>758</v>
      </c>
      <c r="O3034" s="3" t="str">
        <f>TEXT(Ticket_Table[[#This Row],[raised_date]],"YYYY-MM")</f>
        <v>2021-09</v>
      </c>
      <c r="P3034" s="3" t="str">
        <f>IF(Ticket_Table[[#This Row],[resolution_hrs]]&lt;=4,"Fast",IF(Ticket_Table[[#This Row],[resolution_hrs]]&lt;=24,"Normal",IF(Ticket_Table[[#This Row],[resolution_hrs]]&lt;=48,"Slow","Very Slow")))</f>
        <v>Normal</v>
      </c>
      <c r="Q3034" s="3">
        <f>YEAR(Ticket_Table[[#This Row],[raised_date]])</f>
        <v>2021</v>
      </c>
    </row>
    <row r="3035" spans="1:17">
      <c r="A3035" t="s">
        <v>3596</v>
      </c>
      <c r="B3035" t="s">
        <v>1578</v>
      </c>
      <c r="C3035" t="s">
        <v>64</v>
      </c>
      <c r="D3035" t="s">
        <v>36</v>
      </c>
      <c r="E3035" t="s">
        <v>44</v>
      </c>
      <c r="F3035" t="s">
        <v>45</v>
      </c>
      <c r="G3035" t="s">
        <v>23</v>
      </c>
      <c r="H3035" s="1">
        <v>44561</v>
      </c>
      <c r="I3035" s="2">
        <v>44561.1458333333</v>
      </c>
      <c r="J3035">
        <v>3.5</v>
      </c>
      <c r="K3035" t="s">
        <v>24</v>
      </c>
      <c r="L3035">
        <v>0</v>
      </c>
      <c r="M3035">
        <v>5</v>
      </c>
      <c r="N3035" t="s">
        <v>1191</v>
      </c>
      <c r="O3035" s="3" t="str">
        <f>TEXT(Ticket_Table[[#This Row],[raised_date]],"YYYY-MM")</f>
        <v>2021-12</v>
      </c>
      <c r="P3035" s="3" t="str">
        <f>IF(Ticket_Table[[#This Row],[resolution_hrs]]&lt;=4,"Fast",IF(Ticket_Table[[#This Row],[resolution_hrs]]&lt;=24,"Normal",IF(Ticket_Table[[#This Row],[resolution_hrs]]&lt;=48,"Slow","Very Slow")))</f>
        <v>Fast</v>
      </c>
      <c r="Q3035" s="3">
        <f>YEAR(Ticket_Table[[#This Row],[raised_date]])</f>
        <v>2021</v>
      </c>
    </row>
    <row r="3036" spans="1:17">
      <c r="A3036" t="s">
        <v>3597</v>
      </c>
      <c r="B3036" t="s">
        <v>180</v>
      </c>
      <c r="C3036" t="s">
        <v>19</v>
      </c>
      <c r="D3036" t="s">
        <v>90</v>
      </c>
      <c r="E3036" t="s">
        <v>69</v>
      </c>
      <c r="F3036" t="s">
        <v>38</v>
      </c>
      <c r="G3036" t="s">
        <v>46</v>
      </c>
      <c r="H3036" s="1">
        <v>45228</v>
      </c>
      <c r="I3036" s="2">
        <v>45228.1666666667</v>
      </c>
      <c r="J3036">
        <v>4</v>
      </c>
      <c r="K3036" t="s">
        <v>24</v>
      </c>
      <c r="L3036">
        <v>0</v>
      </c>
      <c r="M3036">
        <v>4</v>
      </c>
      <c r="N3036" t="s">
        <v>899</v>
      </c>
      <c r="O3036" s="3" t="str">
        <f>TEXT(Ticket_Table[[#This Row],[raised_date]],"YYYY-MM")</f>
        <v>2023-10</v>
      </c>
      <c r="P3036" s="3" t="str">
        <f>IF(Ticket_Table[[#This Row],[resolution_hrs]]&lt;=4,"Fast",IF(Ticket_Table[[#This Row],[resolution_hrs]]&lt;=24,"Normal",IF(Ticket_Table[[#This Row],[resolution_hrs]]&lt;=48,"Slow","Very Slow")))</f>
        <v>Fast</v>
      </c>
      <c r="Q3036" s="3">
        <f>YEAR(Ticket_Table[[#This Row],[raised_date]])</f>
        <v>2023</v>
      </c>
    </row>
    <row r="3037" spans="1:17">
      <c r="A3037" t="s">
        <v>3598</v>
      </c>
      <c r="B3037" t="s">
        <v>152</v>
      </c>
      <c r="C3037" t="s">
        <v>102</v>
      </c>
      <c r="D3037" t="s">
        <v>29</v>
      </c>
      <c r="E3037" t="s">
        <v>56</v>
      </c>
      <c r="F3037" t="s">
        <v>38</v>
      </c>
      <c r="G3037" t="s">
        <v>74</v>
      </c>
      <c r="H3037" s="1">
        <v>44857</v>
      </c>
      <c r="I3037" s="2">
        <v>44857.7916666667</v>
      </c>
      <c r="J3037">
        <v>19</v>
      </c>
      <c r="K3037" t="s">
        <v>24</v>
      </c>
      <c r="L3037">
        <v>2</v>
      </c>
      <c r="M3037">
        <v>3</v>
      </c>
      <c r="N3037" t="s">
        <v>429</v>
      </c>
      <c r="O3037" s="3" t="str">
        <f>TEXT(Ticket_Table[[#This Row],[raised_date]],"YYYY-MM")</f>
        <v>2022-10</v>
      </c>
      <c r="P3037" s="3" t="str">
        <f>IF(Ticket_Table[[#This Row],[resolution_hrs]]&lt;=4,"Fast",IF(Ticket_Table[[#This Row],[resolution_hrs]]&lt;=24,"Normal",IF(Ticket_Table[[#This Row],[resolution_hrs]]&lt;=48,"Slow","Very Slow")))</f>
        <v>Normal</v>
      </c>
      <c r="Q3037" s="3">
        <f>YEAR(Ticket_Table[[#This Row],[raised_date]])</f>
        <v>2022</v>
      </c>
    </row>
    <row r="3038" spans="1:17">
      <c r="A3038" t="s">
        <v>3599</v>
      </c>
      <c r="B3038" t="s">
        <v>650</v>
      </c>
      <c r="C3038" t="s">
        <v>68</v>
      </c>
      <c r="D3038" t="s">
        <v>90</v>
      </c>
      <c r="E3038" t="s">
        <v>56</v>
      </c>
      <c r="F3038" t="s">
        <v>70</v>
      </c>
      <c r="G3038" t="s">
        <v>31</v>
      </c>
      <c r="H3038" s="1">
        <v>44433</v>
      </c>
      <c r="I3038" s="2">
        <v>44433.4958333333</v>
      </c>
      <c r="J3038">
        <v>11.9</v>
      </c>
      <c r="K3038" t="s">
        <v>24</v>
      </c>
      <c r="L3038">
        <v>0</v>
      </c>
      <c r="M3038">
        <v>2</v>
      </c>
      <c r="N3038" t="s">
        <v>675</v>
      </c>
      <c r="O3038" s="3" t="str">
        <f>TEXT(Ticket_Table[[#This Row],[raised_date]],"YYYY-MM")</f>
        <v>2021-08</v>
      </c>
      <c r="P3038" s="3" t="str">
        <f>IF(Ticket_Table[[#This Row],[resolution_hrs]]&lt;=4,"Fast",IF(Ticket_Table[[#This Row],[resolution_hrs]]&lt;=24,"Normal",IF(Ticket_Table[[#This Row],[resolution_hrs]]&lt;=48,"Slow","Very Slow")))</f>
        <v>Normal</v>
      </c>
      <c r="Q3038" s="3">
        <f>YEAR(Ticket_Table[[#This Row],[raised_date]])</f>
        <v>2021</v>
      </c>
    </row>
    <row r="3039" spans="1:17">
      <c r="A3039" t="s">
        <v>3600</v>
      </c>
      <c r="B3039" t="s">
        <v>434</v>
      </c>
      <c r="C3039" t="s">
        <v>78</v>
      </c>
      <c r="D3039" t="s">
        <v>90</v>
      </c>
      <c r="E3039" t="s">
        <v>44</v>
      </c>
      <c r="F3039" t="s">
        <v>70</v>
      </c>
      <c r="G3039" t="s">
        <v>31</v>
      </c>
      <c r="H3039" s="1">
        <v>44918</v>
      </c>
      <c r="I3039" s="2">
        <v>44918.4083333333</v>
      </c>
      <c r="J3039">
        <v>9.8</v>
      </c>
      <c r="K3039" t="s">
        <v>24</v>
      </c>
      <c r="L3039">
        <v>1</v>
      </c>
      <c r="M3039">
        <v>4</v>
      </c>
      <c r="N3039" t="s">
        <v>241</v>
      </c>
      <c r="O3039" s="3" t="str">
        <f>TEXT(Ticket_Table[[#This Row],[raised_date]],"YYYY-MM")</f>
        <v>2022-12</v>
      </c>
      <c r="P3039" s="3" t="str">
        <f>IF(Ticket_Table[[#This Row],[resolution_hrs]]&lt;=4,"Fast",IF(Ticket_Table[[#This Row],[resolution_hrs]]&lt;=24,"Normal",IF(Ticket_Table[[#This Row],[resolution_hrs]]&lt;=48,"Slow","Very Slow")))</f>
        <v>Normal</v>
      </c>
      <c r="Q3039" s="3">
        <f>YEAR(Ticket_Table[[#This Row],[raised_date]])</f>
        <v>2022</v>
      </c>
    </row>
    <row r="3040" spans="1:17">
      <c r="A3040" t="s">
        <v>3601</v>
      </c>
      <c r="B3040" t="s">
        <v>643</v>
      </c>
      <c r="C3040" t="s">
        <v>42</v>
      </c>
      <c r="D3040" t="s">
        <v>43</v>
      </c>
      <c r="E3040" t="s">
        <v>166</v>
      </c>
      <c r="F3040" t="s">
        <v>70</v>
      </c>
      <c r="G3040" t="s">
        <v>91</v>
      </c>
      <c r="H3040" s="1">
        <v>45180</v>
      </c>
      <c r="I3040" s="2">
        <v>45181.4833333333</v>
      </c>
      <c r="J3040">
        <v>35.6</v>
      </c>
      <c r="K3040" t="s">
        <v>24</v>
      </c>
      <c r="L3040">
        <v>0</v>
      </c>
      <c r="M3040">
        <v>4</v>
      </c>
      <c r="N3040" t="s">
        <v>1063</v>
      </c>
      <c r="O3040" s="3" t="str">
        <f>TEXT(Ticket_Table[[#This Row],[raised_date]],"YYYY-MM")</f>
        <v>2023-09</v>
      </c>
      <c r="P3040" s="3" t="str">
        <f>IF(Ticket_Table[[#This Row],[resolution_hrs]]&lt;=4,"Fast",IF(Ticket_Table[[#This Row],[resolution_hrs]]&lt;=24,"Normal",IF(Ticket_Table[[#This Row],[resolution_hrs]]&lt;=48,"Slow","Very Slow")))</f>
        <v>Slow</v>
      </c>
      <c r="Q3040" s="3">
        <f>YEAR(Ticket_Table[[#This Row],[raised_date]])</f>
        <v>2023</v>
      </c>
    </row>
    <row r="3041" spans="1:17">
      <c r="A3041" t="s">
        <v>3602</v>
      </c>
      <c r="B3041" t="s">
        <v>401</v>
      </c>
      <c r="C3041" t="s">
        <v>287</v>
      </c>
      <c r="D3041" t="s">
        <v>20</v>
      </c>
      <c r="E3041" t="s">
        <v>166</v>
      </c>
      <c r="F3041" t="s">
        <v>22</v>
      </c>
      <c r="G3041" t="s">
        <v>31</v>
      </c>
      <c r="H3041" s="1">
        <v>45051</v>
      </c>
      <c r="I3041" s="2">
        <v>45051.7375</v>
      </c>
      <c r="J3041">
        <v>17.7</v>
      </c>
      <c r="K3041" t="s">
        <v>24</v>
      </c>
      <c r="L3041">
        <v>0</v>
      </c>
      <c r="M3041">
        <v>4</v>
      </c>
      <c r="N3041" t="s">
        <v>1091</v>
      </c>
      <c r="O3041" s="3" t="str">
        <f>TEXT(Ticket_Table[[#This Row],[raised_date]],"YYYY-MM")</f>
        <v>2023-05</v>
      </c>
      <c r="P3041" s="3" t="str">
        <f>IF(Ticket_Table[[#This Row],[resolution_hrs]]&lt;=4,"Fast",IF(Ticket_Table[[#This Row],[resolution_hrs]]&lt;=24,"Normal",IF(Ticket_Table[[#This Row],[resolution_hrs]]&lt;=48,"Slow","Very Slow")))</f>
        <v>Normal</v>
      </c>
      <c r="Q3041" s="3">
        <f>YEAR(Ticket_Table[[#This Row],[raised_date]])</f>
        <v>2023</v>
      </c>
    </row>
    <row r="3042" spans="1:17">
      <c r="A3042" t="s">
        <v>3603</v>
      </c>
      <c r="B3042" t="s">
        <v>295</v>
      </c>
      <c r="C3042" t="s">
        <v>55</v>
      </c>
      <c r="D3042" t="s">
        <v>36</v>
      </c>
      <c r="E3042" t="s">
        <v>51</v>
      </c>
      <c r="F3042" t="s">
        <v>22</v>
      </c>
      <c r="G3042" t="s">
        <v>23</v>
      </c>
      <c r="H3042" s="1">
        <v>45290</v>
      </c>
      <c r="I3042" s="2">
        <v>45292.9708333333</v>
      </c>
      <c r="J3042">
        <v>71.3</v>
      </c>
      <c r="K3042" t="s">
        <v>24</v>
      </c>
      <c r="L3042">
        <v>2</v>
      </c>
      <c r="M3042">
        <v>3</v>
      </c>
      <c r="N3042" t="s">
        <v>501</v>
      </c>
      <c r="O3042" s="3" t="str">
        <f>TEXT(Ticket_Table[[#This Row],[raised_date]],"YYYY-MM")</f>
        <v>2023-12</v>
      </c>
      <c r="P3042" s="3" t="str">
        <f>IF(Ticket_Table[[#This Row],[resolution_hrs]]&lt;=4,"Fast",IF(Ticket_Table[[#This Row],[resolution_hrs]]&lt;=24,"Normal",IF(Ticket_Table[[#This Row],[resolution_hrs]]&lt;=48,"Slow","Very Slow")))</f>
        <v>Very Slow</v>
      </c>
      <c r="Q3042" s="3">
        <f>YEAR(Ticket_Table[[#This Row],[raised_date]])</f>
        <v>2023</v>
      </c>
    </row>
    <row r="3043" spans="1:17">
      <c r="A3043" t="s">
        <v>3604</v>
      </c>
      <c r="B3043" t="s">
        <v>662</v>
      </c>
      <c r="C3043" t="s">
        <v>60</v>
      </c>
      <c r="D3043" t="s">
        <v>90</v>
      </c>
      <c r="E3043" t="s">
        <v>83</v>
      </c>
      <c r="F3043" t="s">
        <v>45</v>
      </c>
      <c r="G3043" t="s">
        <v>46</v>
      </c>
      <c r="H3043" s="1">
        <v>44782</v>
      </c>
      <c r="I3043" s="2">
        <v>44782.0875</v>
      </c>
      <c r="J3043">
        <v>2.1</v>
      </c>
      <c r="K3043" t="s">
        <v>24</v>
      </c>
      <c r="L3043">
        <v>0</v>
      </c>
      <c r="M3043">
        <v>4</v>
      </c>
      <c r="N3043" t="s">
        <v>380</v>
      </c>
      <c r="O3043" s="3" t="str">
        <f>TEXT(Ticket_Table[[#This Row],[raised_date]],"YYYY-MM")</f>
        <v>2022-08</v>
      </c>
      <c r="P3043" s="3" t="str">
        <f>IF(Ticket_Table[[#This Row],[resolution_hrs]]&lt;=4,"Fast",IF(Ticket_Table[[#This Row],[resolution_hrs]]&lt;=24,"Normal",IF(Ticket_Table[[#This Row],[resolution_hrs]]&lt;=48,"Slow","Very Slow")))</f>
        <v>Fast</v>
      </c>
      <c r="Q3043" s="3">
        <f>YEAR(Ticket_Table[[#This Row],[raised_date]])</f>
        <v>2022</v>
      </c>
    </row>
    <row r="3044" spans="1:17">
      <c r="A3044" t="s">
        <v>3605</v>
      </c>
      <c r="B3044" t="s">
        <v>566</v>
      </c>
      <c r="C3044" t="s">
        <v>213</v>
      </c>
      <c r="D3044" t="s">
        <v>36</v>
      </c>
      <c r="E3044" t="s">
        <v>37</v>
      </c>
      <c r="F3044" t="s">
        <v>22</v>
      </c>
      <c r="G3044" t="s">
        <v>23</v>
      </c>
      <c r="H3044" s="1">
        <v>45062</v>
      </c>
      <c r="I3044" s="2">
        <v>45063.8041666667</v>
      </c>
      <c r="J3044">
        <v>43.3</v>
      </c>
      <c r="K3044" t="s">
        <v>24</v>
      </c>
      <c r="L3044">
        <v>0</v>
      </c>
      <c r="M3044">
        <v>3</v>
      </c>
      <c r="N3044" t="s">
        <v>339</v>
      </c>
      <c r="O3044" s="3" t="str">
        <f>TEXT(Ticket_Table[[#This Row],[raised_date]],"YYYY-MM")</f>
        <v>2023-05</v>
      </c>
      <c r="P3044" s="3" t="str">
        <f>IF(Ticket_Table[[#This Row],[resolution_hrs]]&lt;=4,"Fast",IF(Ticket_Table[[#This Row],[resolution_hrs]]&lt;=24,"Normal",IF(Ticket_Table[[#This Row],[resolution_hrs]]&lt;=48,"Slow","Very Slow")))</f>
        <v>Slow</v>
      </c>
      <c r="Q3044" s="3">
        <f>YEAR(Ticket_Table[[#This Row],[raised_date]])</f>
        <v>2023</v>
      </c>
    </row>
    <row r="3045" spans="1:17">
      <c r="A3045" t="s">
        <v>3606</v>
      </c>
      <c r="B3045" t="s">
        <v>749</v>
      </c>
      <c r="C3045" t="s">
        <v>102</v>
      </c>
      <c r="D3045" t="s">
        <v>43</v>
      </c>
      <c r="E3045" t="s">
        <v>30</v>
      </c>
      <c r="F3045" t="s">
        <v>22</v>
      </c>
      <c r="G3045" t="s">
        <v>74</v>
      </c>
      <c r="H3045" s="1">
        <v>44223</v>
      </c>
      <c r="I3045" s="2">
        <v>44224.375</v>
      </c>
      <c r="J3045">
        <v>33</v>
      </c>
      <c r="K3045" t="s">
        <v>24</v>
      </c>
      <c r="L3045">
        <v>0</v>
      </c>
      <c r="M3045">
        <v>5</v>
      </c>
      <c r="N3045" t="s">
        <v>123</v>
      </c>
      <c r="O3045" s="3" t="str">
        <f>TEXT(Ticket_Table[[#This Row],[raised_date]],"YYYY-MM")</f>
        <v>2021-01</v>
      </c>
      <c r="P3045" s="3" t="str">
        <f>IF(Ticket_Table[[#This Row],[resolution_hrs]]&lt;=4,"Fast",IF(Ticket_Table[[#This Row],[resolution_hrs]]&lt;=24,"Normal",IF(Ticket_Table[[#This Row],[resolution_hrs]]&lt;=48,"Slow","Very Slow")))</f>
        <v>Slow</v>
      </c>
      <c r="Q3045" s="3">
        <f>YEAR(Ticket_Table[[#This Row],[raised_date]])</f>
        <v>2021</v>
      </c>
    </row>
    <row r="3046" spans="1:17">
      <c r="A3046" t="s">
        <v>3607</v>
      </c>
      <c r="B3046" t="s">
        <v>389</v>
      </c>
      <c r="C3046" t="s">
        <v>133</v>
      </c>
      <c r="D3046" t="s">
        <v>29</v>
      </c>
      <c r="E3046" t="s">
        <v>106</v>
      </c>
      <c r="F3046" t="s">
        <v>22</v>
      </c>
      <c r="G3046" t="s">
        <v>46</v>
      </c>
      <c r="H3046" s="1">
        <v>45267</v>
      </c>
      <c r="I3046" s="2">
        <v>45268.95</v>
      </c>
      <c r="J3046">
        <v>46.8</v>
      </c>
      <c r="K3046" t="s">
        <v>24</v>
      </c>
      <c r="L3046">
        <v>0</v>
      </c>
      <c r="M3046">
        <v>2</v>
      </c>
      <c r="N3046" t="s">
        <v>495</v>
      </c>
      <c r="O3046" s="3" t="str">
        <f>TEXT(Ticket_Table[[#This Row],[raised_date]],"YYYY-MM")</f>
        <v>2023-12</v>
      </c>
      <c r="P3046" s="3" t="str">
        <f>IF(Ticket_Table[[#This Row],[resolution_hrs]]&lt;=4,"Fast",IF(Ticket_Table[[#This Row],[resolution_hrs]]&lt;=24,"Normal",IF(Ticket_Table[[#This Row],[resolution_hrs]]&lt;=48,"Slow","Very Slow")))</f>
        <v>Slow</v>
      </c>
      <c r="Q3046" s="3">
        <f>YEAR(Ticket_Table[[#This Row],[raised_date]])</f>
        <v>2023</v>
      </c>
    </row>
    <row r="3047" spans="1:17">
      <c r="A3047" t="s">
        <v>3608</v>
      </c>
      <c r="B3047" t="s">
        <v>314</v>
      </c>
      <c r="C3047" t="s">
        <v>95</v>
      </c>
      <c r="D3047" t="s">
        <v>90</v>
      </c>
      <c r="E3047" t="s">
        <v>30</v>
      </c>
      <c r="F3047" t="s">
        <v>45</v>
      </c>
      <c r="G3047" t="s">
        <v>46</v>
      </c>
      <c r="H3047" s="1">
        <v>44415</v>
      </c>
      <c r="I3047" s="2">
        <v>44415.0791666667</v>
      </c>
      <c r="J3047">
        <v>1.9</v>
      </c>
      <c r="K3047" t="s">
        <v>24</v>
      </c>
      <c r="L3047">
        <v>1</v>
      </c>
      <c r="M3047">
        <v>3</v>
      </c>
      <c r="N3047" t="s">
        <v>800</v>
      </c>
      <c r="O3047" s="3" t="str">
        <f>TEXT(Ticket_Table[[#This Row],[raised_date]],"YYYY-MM")</f>
        <v>2021-08</v>
      </c>
      <c r="P3047" s="3" t="str">
        <f>IF(Ticket_Table[[#This Row],[resolution_hrs]]&lt;=4,"Fast",IF(Ticket_Table[[#This Row],[resolution_hrs]]&lt;=24,"Normal",IF(Ticket_Table[[#This Row],[resolution_hrs]]&lt;=48,"Slow","Very Slow")))</f>
        <v>Fast</v>
      </c>
      <c r="Q3047" s="3">
        <f>YEAR(Ticket_Table[[#This Row],[raised_date]])</f>
        <v>2021</v>
      </c>
    </row>
    <row r="3048" spans="1:17">
      <c r="A3048" t="s">
        <v>3609</v>
      </c>
      <c r="B3048" t="s">
        <v>169</v>
      </c>
      <c r="C3048" t="s">
        <v>64</v>
      </c>
      <c r="D3048" t="s">
        <v>20</v>
      </c>
      <c r="E3048" t="s">
        <v>69</v>
      </c>
      <c r="F3048" t="s">
        <v>70</v>
      </c>
      <c r="G3048" t="s">
        <v>31</v>
      </c>
      <c r="H3048" s="1">
        <v>44248</v>
      </c>
      <c r="I3048" s="2">
        <v>44250.4416666667</v>
      </c>
      <c r="J3048">
        <v>58.6</v>
      </c>
      <c r="K3048" t="s">
        <v>32</v>
      </c>
      <c r="L3048">
        <v>0</v>
      </c>
      <c r="M3048">
        <v>4</v>
      </c>
      <c r="N3048" t="s">
        <v>758</v>
      </c>
      <c r="O3048" s="3" t="str">
        <f>TEXT(Ticket_Table[[#This Row],[raised_date]],"YYYY-MM")</f>
        <v>2021-02</v>
      </c>
      <c r="P3048" s="3" t="str">
        <f>IF(Ticket_Table[[#This Row],[resolution_hrs]]&lt;=4,"Fast",IF(Ticket_Table[[#This Row],[resolution_hrs]]&lt;=24,"Normal",IF(Ticket_Table[[#This Row],[resolution_hrs]]&lt;=48,"Slow","Very Slow")))</f>
        <v>Very Slow</v>
      </c>
      <c r="Q3048" s="3">
        <f>YEAR(Ticket_Table[[#This Row],[raised_date]])</f>
        <v>2021</v>
      </c>
    </row>
    <row r="3049" spans="1:17">
      <c r="A3049" t="s">
        <v>3610</v>
      </c>
      <c r="B3049" t="s">
        <v>722</v>
      </c>
      <c r="C3049" t="s">
        <v>50</v>
      </c>
      <c r="D3049" t="s">
        <v>43</v>
      </c>
      <c r="E3049" t="s">
        <v>166</v>
      </c>
      <c r="F3049" t="s">
        <v>38</v>
      </c>
      <c r="G3049" t="s">
        <v>23</v>
      </c>
      <c r="H3049" s="1">
        <v>44977</v>
      </c>
      <c r="I3049" s="2">
        <v>44977.2</v>
      </c>
      <c r="J3049">
        <v>4.8</v>
      </c>
      <c r="K3049" t="s">
        <v>24</v>
      </c>
      <c r="L3049">
        <v>0</v>
      </c>
      <c r="M3049">
        <v>3</v>
      </c>
      <c r="N3049" t="s">
        <v>426</v>
      </c>
      <c r="O3049" s="3" t="str">
        <f>TEXT(Ticket_Table[[#This Row],[raised_date]],"YYYY-MM")</f>
        <v>2023-02</v>
      </c>
      <c r="P3049" s="3" t="str">
        <f>IF(Ticket_Table[[#This Row],[resolution_hrs]]&lt;=4,"Fast",IF(Ticket_Table[[#This Row],[resolution_hrs]]&lt;=24,"Normal",IF(Ticket_Table[[#This Row],[resolution_hrs]]&lt;=48,"Slow","Very Slow")))</f>
        <v>Normal</v>
      </c>
      <c r="Q3049" s="3">
        <f>YEAR(Ticket_Table[[#This Row],[raised_date]])</f>
        <v>2023</v>
      </c>
    </row>
    <row r="3050" spans="1:17">
      <c r="A3050" t="s">
        <v>3611</v>
      </c>
      <c r="B3050" t="s">
        <v>530</v>
      </c>
      <c r="C3050" t="s">
        <v>78</v>
      </c>
      <c r="D3050" t="s">
        <v>36</v>
      </c>
      <c r="E3050" t="s">
        <v>51</v>
      </c>
      <c r="F3050" t="s">
        <v>45</v>
      </c>
      <c r="G3050" t="s">
        <v>23</v>
      </c>
      <c r="H3050" s="1">
        <v>44494</v>
      </c>
      <c r="I3050" s="2">
        <v>44494.1333333333</v>
      </c>
      <c r="J3050">
        <v>3.2</v>
      </c>
      <c r="K3050" t="s">
        <v>24</v>
      </c>
      <c r="L3050">
        <v>1</v>
      </c>
      <c r="M3050">
        <v>4</v>
      </c>
      <c r="N3050" t="s">
        <v>409</v>
      </c>
      <c r="O3050" s="3" t="str">
        <f>TEXT(Ticket_Table[[#This Row],[raised_date]],"YYYY-MM")</f>
        <v>2021-10</v>
      </c>
      <c r="P3050" s="3" t="str">
        <f>IF(Ticket_Table[[#This Row],[resolution_hrs]]&lt;=4,"Fast",IF(Ticket_Table[[#This Row],[resolution_hrs]]&lt;=24,"Normal",IF(Ticket_Table[[#This Row],[resolution_hrs]]&lt;=48,"Slow","Very Slow")))</f>
        <v>Fast</v>
      </c>
      <c r="Q3050" s="3">
        <f>YEAR(Ticket_Table[[#This Row],[raised_date]])</f>
        <v>2021</v>
      </c>
    </row>
    <row r="3051" spans="1:17">
      <c r="A3051" t="s">
        <v>3612</v>
      </c>
      <c r="B3051" t="s">
        <v>290</v>
      </c>
      <c r="C3051" t="s">
        <v>82</v>
      </c>
      <c r="D3051" t="s">
        <v>29</v>
      </c>
      <c r="E3051" t="s">
        <v>69</v>
      </c>
      <c r="F3051" t="s">
        <v>70</v>
      </c>
      <c r="G3051" t="s">
        <v>23</v>
      </c>
      <c r="H3051" s="1">
        <v>44305</v>
      </c>
      <c r="I3051" s="2">
        <v>44307.525</v>
      </c>
      <c r="J3051">
        <v>60.6</v>
      </c>
      <c r="K3051" t="s">
        <v>32</v>
      </c>
      <c r="L3051">
        <v>0</v>
      </c>
      <c r="M3051">
        <v>2</v>
      </c>
      <c r="N3051" t="s">
        <v>858</v>
      </c>
      <c r="O3051" s="3" t="str">
        <f>TEXT(Ticket_Table[[#This Row],[raised_date]],"YYYY-MM")</f>
        <v>2021-04</v>
      </c>
      <c r="P3051" s="3" t="str">
        <f>IF(Ticket_Table[[#This Row],[resolution_hrs]]&lt;=4,"Fast",IF(Ticket_Table[[#This Row],[resolution_hrs]]&lt;=24,"Normal",IF(Ticket_Table[[#This Row],[resolution_hrs]]&lt;=48,"Slow","Very Slow")))</f>
        <v>Very Slow</v>
      </c>
      <c r="Q3051" s="3">
        <f>YEAR(Ticket_Table[[#This Row],[raised_date]])</f>
        <v>2021</v>
      </c>
    </row>
    <row r="3052" spans="1:17">
      <c r="A3052" t="s">
        <v>3613</v>
      </c>
      <c r="B3052" t="s">
        <v>118</v>
      </c>
      <c r="C3052" t="s">
        <v>55</v>
      </c>
      <c r="D3052" t="s">
        <v>36</v>
      </c>
      <c r="E3052" t="s">
        <v>30</v>
      </c>
      <c r="F3052" t="s">
        <v>70</v>
      </c>
      <c r="G3052" t="s">
        <v>46</v>
      </c>
      <c r="H3052" s="1">
        <v>44312</v>
      </c>
      <c r="I3052" s="2">
        <v>44312.5208333333</v>
      </c>
      <c r="J3052">
        <v>12.5</v>
      </c>
      <c r="K3052" t="s">
        <v>24</v>
      </c>
      <c r="L3052">
        <v>1</v>
      </c>
      <c r="M3052">
        <v>1</v>
      </c>
      <c r="N3052" t="s">
        <v>124</v>
      </c>
      <c r="O3052" s="3" t="str">
        <f>TEXT(Ticket_Table[[#This Row],[raised_date]],"YYYY-MM")</f>
        <v>2021-04</v>
      </c>
      <c r="P3052" s="3" t="str">
        <f>IF(Ticket_Table[[#This Row],[resolution_hrs]]&lt;=4,"Fast",IF(Ticket_Table[[#This Row],[resolution_hrs]]&lt;=24,"Normal",IF(Ticket_Table[[#This Row],[resolution_hrs]]&lt;=48,"Slow","Very Slow")))</f>
        <v>Normal</v>
      </c>
      <c r="Q3052" s="3">
        <f>YEAR(Ticket_Table[[#This Row],[raised_date]])</f>
        <v>2021</v>
      </c>
    </row>
    <row r="3053" spans="1:17">
      <c r="A3053" t="s">
        <v>3614</v>
      </c>
      <c r="B3053" t="s">
        <v>479</v>
      </c>
      <c r="C3053" t="s">
        <v>117</v>
      </c>
      <c r="D3053" t="s">
        <v>20</v>
      </c>
      <c r="E3053" t="s">
        <v>56</v>
      </c>
      <c r="F3053" t="s">
        <v>22</v>
      </c>
      <c r="G3053" t="s">
        <v>31</v>
      </c>
      <c r="H3053" s="1">
        <v>44606</v>
      </c>
      <c r="I3053" s="2">
        <v>44607.6166666667</v>
      </c>
      <c r="J3053">
        <v>38.8</v>
      </c>
      <c r="K3053" t="s">
        <v>24</v>
      </c>
      <c r="L3053">
        <v>0</v>
      </c>
      <c r="M3053">
        <v>5</v>
      </c>
      <c r="N3053" t="s">
        <v>81</v>
      </c>
      <c r="O3053" s="3" t="str">
        <f>TEXT(Ticket_Table[[#This Row],[raised_date]],"YYYY-MM")</f>
        <v>2022-02</v>
      </c>
      <c r="P3053" s="3" t="str">
        <f>IF(Ticket_Table[[#This Row],[resolution_hrs]]&lt;=4,"Fast",IF(Ticket_Table[[#This Row],[resolution_hrs]]&lt;=24,"Normal",IF(Ticket_Table[[#This Row],[resolution_hrs]]&lt;=48,"Slow","Very Slow")))</f>
        <v>Slow</v>
      </c>
      <c r="Q3053" s="3">
        <f>YEAR(Ticket_Table[[#This Row],[raised_date]])</f>
        <v>2022</v>
      </c>
    </row>
    <row r="3054" spans="1:17">
      <c r="A3054" t="s">
        <v>3615</v>
      </c>
      <c r="B3054" t="s">
        <v>130</v>
      </c>
      <c r="C3054" t="s">
        <v>82</v>
      </c>
      <c r="D3054" t="s">
        <v>90</v>
      </c>
      <c r="E3054" t="s">
        <v>83</v>
      </c>
      <c r="F3054" t="s">
        <v>22</v>
      </c>
      <c r="G3054" t="s">
        <v>31</v>
      </c>
      <c r="H3054" s="1">
        <v>44743</v>
      </c>
      <c r="I3054" s="2">
        <v>44744.975</v>
      </c>
      <c r="J3054">
        <v>47.4</v>
      </c>
      <c r="K3054" t="s">
        <v>24</v>
      </c>
      <c r="L3054">
        <v>0</v>
      </c>
      <c r="M3054">
        <v>3</v>
      </c>
      <c r="N3054" t="s">
        <v>432</v>
      </c>
      <c r="O3054" s="3" t="str">
        <f>TEXT(Ticket_Table[[#This Row],[raised_date]],"YYYY-MM")</f>
        <v>2022-07</v>
      </c>
      <c r="P3054" s="3" t="str">
        <f>IF(Ticket_Table[[#This Row],[resolution_hrs]]&lt;=4,"Fast",IF(Ticket_Table[[#This Row],[resolution_hrs]]&lt;=24,"Normal",IF(Ticket_Table[[#This Row],[resolution_hrs]]&lt;=48,"Slow","Very Slow")))</f>
        <v>Slow</v>
      </c>
      <c r="Q3054" s="3">
        <f>YEAR(Ticket_Table[[#This Row],[raised_date]])</f>
        <v>2022</v>
      </c>
    </row>
    <row r="3055" spans="1:17">
      <c r="A3055" t="s">
        <v>3616</v>
      </c>
      <c r="B3055" t="s">
        <v>250</v>
      </c>
      <c r="C3055" t="s">
        <v>175</v>
      </c>
      <c r="D3055" t="s">
        <v>20</v>
      </c>
      <c r="E3055" t="s">
        <v>56</v>
      </c>
      <c r="F3055" t="s">
        <v>38</v>
      </c>
      <c r="G3055" t="s">
        <v>46</v>
      </c>
      <c r="H3055" s="1">
        <v>44526</v>
      </c>
      <c r="I3055" s="2">
        <v>44526.5666666667</v>
      </c>
      <c r="J3055">
        <v>13.6</v>
      </c>
      <c r="K3055" t="s">
        <v>24</v>
      </c>
      <c r="L3055">
        <v>0</v>
      </c>
      <c r="M3055">
        <v>3</v>
      </c>
      <c r="N3055" t="s">
        <v>608</v>
      </c>
      <c r="O3055" s="3" t="str">
        <f>TEXT(Ticket_Table[[#This Row],[raised_date]],"YYYY-MM")</f>
        <v>2021-11</v>
      </c>
      <c r="P3055" s="3" t="str">
        <f>IF(Ticket_Table[[#This Row],[resolution_hrs]]&lt;=4,"Fast",IF(Ticket_Table[[#This Row],[resolution_hrs]]&lt;=24,"Normal",IF(Ticket_Table[[#This Row],[resolution_hrs]]&lt;=48,"Slow","Very Slow")))</f>
        <v>Normal</v>
      </c>
      <c r="Q3055" s="3">
        <f>YEAR(Ticket_Table[[#This Row],[raised_date]])</f>
        <v>2021</v>
      </c>
    </row>
    <row r="3056" spans="1:17">
      <c r="A3056" t="s">
        <v>3617</v>
      </c>
      <c r="B3056" t="s">
        <v>956</v>
      </c>
      <c r="C3056" t="s">
        <v>201</v>
      </c>
      <c r="D3056" t="s">
        <v>36</v>
      </c>
      <c r="E3056" t="s">
        <v>30</v>
      </c>
      <c r="F3056" t="s">
        <v>38</v>
      </c>
      <c r="G3056" t="s">
        <v>23</v>
      </c>
      <c r="H3056" s="1">
        <v>44783</v>
      </c>
      <c r="I3056" s="2">
        <v>44784.3125</v>
      </c>
      <c r="J3056">
        <v>31.5</v>
      </c>
      <c r="K3056" t="s">
        <v>32</v>
      </c>
      <c r="L3056">
        <v>2</v>
      </c>
      <c r="M3056">
        <v>3</v>
      </c>
      <c r="N3056" t="s">
        <v>1129</v>
      </c>
      <c r="O3056" s="3" t="str">
        <f>TEXT(Ticket_Table[[#This Row],[raised_date]],"YYYY-MM")</f>
        <v>2022-08</v>
      </c>
      <c r="P3056" s="3" t="str">
        <f>IF(Ticket_Table[[#This Row],[resolution_hrs]]&lt;=4,"Fast",IF(Ticket_Table[[#This Row],[resolution_hrs]]&lt;=24,"Normal",IF(Ticket_Table[[#This Row],[resolution_hrs]]&lt;=48,"Slow","Very Slow")))</f>
        <v>Slow</v>
      </c>
      <c r="Q3056" s="3">
        <f>YEAR(Ticket_Table[[#This Row],[raised_date]])</f>
        <v>2022</v>
      </c>
    </row>
    <row r="3057" spans="1:17">
      <c r="A3057" t="s">
        <v>3618</v>
      </c>
      <c r="B3057" t="s">
        <v>637</v>
      </c>
      <c r="C3057" t="s">
        <v>102</v>
      </c>
      <c r="D3057" t="s">
        <v>36</v>
      </c>
      <c r="E3057" t="s">
        <v>44</v>
      </c>
      <c r="F3057" t="s">
        <v>70</v>
      </c>
      <c r="G3057" t="s">
        <v>23</v>
      </c>
      <c r="H3057" s="1">
        <v>44710</v>
      </c>
      <c r="I3057" s="2">
        <v>44710.6291666667</v>
      </c>
      <c r="J3057">
        <v>15.1</v>
      </c>
      <c r="K3057" t="s">
        <v>24</v>
      </c>
      <c r="L3057">
        <v>0</v>
      </c>
      <c r="M3057">
        <v>5</v>
      </c>
      <c r="N3057" t="s">
        <v>195</v>
      </c>
      <c r="O3057" s="3" t="str">
        <f>TEXT(Ticket_Table[[#This Row],[raised_date]],"YYYY-MM")</f>
        <v>2022-05</v>
      </c>
      <c r="P3057" s="3" t="str">
        <f>IF(Ticket_Table[[#This Row],[resolution_hrs]]&lt;=4,"Fast",IF(Ticket_Table[[#This Row],[resolution_hrs]]&lt;=24,"Normal",IF(Ticket_Table[[#This Row],[resolution_hrs]]&lt;=48,"Slow","Very Slow")))</f>
        <v>Normal</v>
      </c>
      <c r="Q3057" s="3">
        <f>YEAR(Ticket_Table[[#This Row],[raised_date]])</f>
        <v>2022</v>
      </c>
    </row>
    <row r="3058" spans="1:17">
      <c r="A3058" t="s">
        <v>3619</v>
      </c>
      <c r="B3058" t="s">
        <v>331</v>
      </c>
      <c r="C3058" t="s">
        <v>78</v>
      </c>
      <c r="D3058" t="s">
        <v>20</v>
      </c>
      <c r="E3058" t="s">
        <v>83</v>
      </c>
      <c r="F3058" t="s">
        <v>70</v>
      </c>
      <c r="G3058" t="s">
        <v>74</v>
      </c>
      <c r="H3058" s="1">
        <v>44496</v>
      </c>
      <c r="I3058" s="2">
        <v>44496.6041666667</v>
      </c>
      <c r="J3058">
        <v>14.5</v>
      </c>
      <c r="K3058" t="s">
        <v>24</v>
      </c>
      <c r="L3058">
        <v>0</v>
      </c>
      <c r="M3058">
        <v>4</v>
      </c>
      <c r="N3058" t="s">
        <v>947</v>
      </c>
      <c r="O3058" s="3" t="str">
        <f>TEXT(Ticket_Table[[#This Row],[raised_date]],"YYYY-MM")</f>
        <v>2021-10</v>
      </c>
      <c r="P3058" s="3" t="str">
        <f>IF(Ticket_Table[[#This Row],[resolution_hrs]]&lt;=4,"Fast",IF(Ticket_Table[[#This Row],[resolution_hrs]]&lt;=24,"Normal",IF(Ticket_Table[[#This Row],[resolution_hrs]]&lt;=48,"Slow","Very Slow")))</f>
        <v>Normal</v>
      </c>
      <c r="Q3058" s="3">
        <f>YEAR(Ticket_Table[[#This Row],[raised_date]])</f>
        <v>2021</v>
      </c>
    </row>
    <row r="3059" spans="1:17">
      <c r="A3059" t="s">
        <v>3620</v>
      </c>
      <c r="B3059" t="s">
        <v>733</v>
      </c>
      <c r="C3059" t="s">
        <v>287</v>
      </c>
      <c r="D3059" t="s">
        <v>20</v>
      </c>
      <c r="E3059" t="s">
        <v>51</v>
      </c>
      <c r="F3059" t="s">
        <v>70</v>
      </c>
      <c r="G3059" t="s">
        <v>23</v>
      </c>
      <c r="H3059" s="1">
        <v>44324</v>
      </c>
      <c r="I3059" s="2">
        <v>44324.1625</v>
      </c>
      <c r="J3059">
        <v>3.9</v>
      </c>
      <c r="K3059" t="s">
        <v>24</v>
      </c>
      <c r="L3059">
        <v>0</v>
      </c>
      <c r="M3059">
        <v>5</v>
      </c>
      <c r="N3059" t="s">
        <v>630</v>
      </c>
      <c r="O3059" s="3" t="str">
        <f>TEXT(Ticket_Table[[#This Row],[raised_date]],"YYYY-MM")</f>
        <v>2021-05</v>
      </c>
      <c r="P3059" s="3" t="str">
        <f>IF(Ticket_Table[[#This Row],[resolution_hrs]]&lt;=4,"Fast",IF(Ticket_Table[[#This Row],[resolution_hrs]]&lt;=24,"Normal",IF(Ticket_Table[[#This Row],[resolution_hrs]]&lt;=48,"Slow","Very Slow")))</f>
        <v>Fast</v>
      </c>
      <c r="Q3059" s="3">
        <f>YEAR(Ticket_Table[[#This Row],[raised_date]])</f>
        <v>2021</v>
      </c>
    </row>
    <row r="3060" spans="1:17">
      <c r="A3060" t="s">
        <v>3621</v>
      </c>
      <c r="B3060" t="s">
        <v>981</v>
      </c>
      <c r="C3060" t="s">
        <v>175</v>
      </c>
      <c r="D3060" t="s">
        <v>20</v>
      </c>
      <c r="E3060" t="s">
        <v>21</v>
      </c>
      <c r="F3060" t="s">
        <v>22</v>
      </c>
      <c r="G3060" t="s">
        <v>91</v>
      </c>
      <c r="H3060" s="1">
        <v>44801</v>
      </c>
      <c r="I3060" s="2">
        <v>44802.8</v>
      </c>
      <c r="J3060">
        <v>43.2</v>
      </c>
      <c r="K3060" t="s">
        <v>24</v>
      </c>
      <c r="L3060">
        <v>0</v>
      </c>
      <c r="M3060">
        <v>5</v>
      </c>
      <c r="N3060" t="s">
        <v>361</v>
      </c>
      <c r="O3060" s="3" t="str">
        <f>TEXT(Ticket_Table[[#This Row],[raised_date]],"YYYY-MM")</f>
        <v>2022-08</v>
      </c>
      <c r="P3060" s="3" t="str">
        <f>IF(Ticket_Table[[#This Row],[resolution_hrs]]&lt;=4,"Fast",IF(Ticket_Table[[#This Row],[resolution_hrs]]&lt;=24,"Normal",IF(Ticket_Table[[#This Row],[resolution_hrs]]&lt;=48,"Slow","Very Slow")))</f>
        <v>Slow</v>
      </c>
      <c r="Q3060" s="3">
        <f>YEAR(Ticket_Table[[#This Row],[raised_date]])</f>
        <v>2022</v>
      </c>
    </row>
    <row r="3061" spans="1:17">
      <c r="A3061" t="s">
        <v>3622</v>
      </c>
      <c r="B3061" t="s">
        <v>397</v>
      </c>
      <c r="C3061" t="s">
        <v>68</v>
      </c>
      <c r="D3061" t="s">
        <v>29</v>
      </c>
      <c r="E3061" t="s">
        <v>56</v>
      </c>
      <c r="F3061" t="s">
        <v>22</v>
      </c>
      <c r="G3061" t="s">
        <v>74</v>
      </c>
      <c r="H3061" s="1">
        <v>44614</v>
      </c>
      <c r="I3061" s="2">
        <v>44617.3583333333</v>
      </c>
      <c r="J3061">
        <v>80.6</v>
      </c>
      <c r="K3061" t="s">
        <v>32</v>
      </c>
      <c r="L3061">
        <v>0</v>
      </c>
      <c r="M3061">
        <v>4</v>
      </c>
      <c r="N3061" t="s">
        <v>161</v>
      </c>
      <c r="O3061" s="3" t="str">
        <f>TEXT(Ticket_Table[[#This Row],[raised_date]],"YYYY-MM")</f>
        <v>2022-02</v>
      </c>
      <c r="P3061" s="3" t="str">
        <f>IF(Ticket_Table[[#This Row],[resolution_hrs]]&lt;=4,"Fast",IF(Ticket_Table[[#This Row],[resolution_hrs]]&lt;=24,"Normal",IF(Ticket_Table[[#This Row],[resolution_hrs]]&lt;=48,"Slow","Very Slow")))</f>
        <v>Very Slow</v>
      </c>
      <c r="Q3061" s="3">
        <f>YEAR(Ticket_Table[[#This Row],[raised_date]])</f>
        <v>2022</v>
      </c>
    </row>
    <row r="3062" spans="1:17">
      <c r="A3062" t="s">
        <v>3623</v>
      </c>
      <c r="B3062" t="s">
        <v>792</v>
      </c>
      <c r="C3062" t="s">
        <v>42</v>
      </c>
      <c r="D3062" t="s">
        <v>36</v>
      </c>
      <c r="E3062" t="s">
        <v>44</v>
      </c>
      <c r="F3062" t="s">
        <v>22</v>
      </c>
      <c r="G3062" t="s">
        <v>23</v>
      </c>
      <c r="H3062" s="1">
        <v>44263</v>
      </c>
      <c r="I3062" s="2">
        <v>44267.0583333333</v>
      </c>
      <c r="J3062">
        <v>97.4</v>
      </c>
      <c r="K3062" t="s">
        <v>32</v>
      </c>
      <c r="L3062">
        <v>1</v>
      </c>
      <c r="M3062">
        <v>4</v>
      </c>
      <c r="N3062" t="s">
        <v>518</v>
      </c>
      <c r="O3062" s="3" t="str">
        <f>TEXT(Ticket_Table[[#This Row],[raised_date]],"YYYY-MM")</f>
        <v>2021-03</v>
      </c>
      <c r="P3062" s="3" t="str">
        <f>IF(Ticket_Table[[#This Row],[resolution_hrs]]&lt;=4,"Fast",IF(Ticket_Table[[#This Row],[resolution_hrs]]&lt;=24,"Normal",IF(Ticket_Table[[#This Row],[resolution_hrs]]&lt;=48,"Slow","Very Slow")))</f>
        <v>Very Slow</v>
      </c>
      <c r="Q3062" s="3">
        <f>YEAR(Ticket_Table[[#This Row],[raised_date]])</f>
        <v>2021</v>
      </c>
    </row>
    <row r="3063" spans="1:17">
      <c r="A3063" t="s">
        <v>3624</v>
      </c>
      <c r="B3063" t="s">
        <v>81</v>
      </c>
      <c r="C3063" t="s">
        <v>133</v>
      </c>
      <c r="D3063" t="s">
        <v>43</v>
      </c>
      <c r="E3063" t="s">
        <v>69</v>
      </c>
      <c r="F3063" t="s">
        <v>22</v>
      </c>
      <c r="G3063" t="s">
        <v>31</v>
      </c>
      <c r="H3063" s="1">
        <v>44931</v>
      </c>
      <c r="I3063" s="2">
        <v>44931.7583333333</v>
      </c>
      <c r="J3063">
        <v>18.2</v>
      </c>
      <c r="K3063" t="s">
        <v>24</v>
      </c>
      <c r="L3063">
        <v>0</v>
      </c>
      <c r="M3063">
        <v>5</v>
      </c>
      <c r="N3063" t="s">
        <v>637</v>
      </c>
      <c r="O3063" s="3" t="str">
        <f>TEXT(Ticket_Table[[#This Row],[raised_date]],"YYYY-MM")</f>
        <v>2023-01</v>
      </c>
      <c r="P3063" s="3" t="str">
        <f>IF(Ticket_Table[[#This Row],[resolution_hrs]]&lt;=4,"Fast",IF(Ticket_Table[[#This Row],[resolution_hrs]]&lt;=24,"Normal",IF(Ticket_Table[[#This Row],[resolution_hrs]]&lt;=48,"Slow","Very Slow")))</f>
        <v>Normal</v>
      </c>
      <c r="Q3063" s="3">
        <f>YEAR(Ticket_Table[[#This Row],[raised_date]])</f>
        <v>2023</v>
      </c>
    </row>
    <row r="3064" spans="1:17">
      <c r="A3064" t="s">
        <v>3625</v>
      </c>
      <c r="B3064" t="s">
        <v>457</v>
      </c>
      <c r="C3064" t="s">
        <v>287</v>
      </c>
      <c r="D3064" t="s">
        <v>29</v>
      </c>
      <c r="E3064" t="s">
        <v>21</v>
      </c>
      <c r="F3064" t="s">
        <v>38</v>
      </c>
      <c r="G3064" t="s">
        <v>23</v>
      </c>
      <c r="H3064" s="1">
        <v>45123</v>
      </c>
      <c r="I3064" s="2">
        <v>45123.3333333333</v>
      </c>
      <c r="J3064">
        <v>8</v>
      </c>
      <c r="K3064" t="s">
        <v>24</v>
      </c>
      <c r="L3064">
        <v>0</v>
      </c>
      <c r="M3064">
        <v>4</v>
      </c>
      <c r="N3064" t="s">
        <v>810</v>
      </c>
      <c r="O3064" s="3" t="str">
        <f>TEXT(Ticket_Table[[#This Row],[raised_date]],"YYYY-MM")</f>
        <v>2023-07</v>
      </c>
      <c r="P3064" s="3" t="str">
        <f>IF(Ticket_Table[[#This Row],[resolution_hrs]]&lt;=4,"Fast",IF(Ticket_Table[[#This Row],[resolution_hrs]]&lt;=24,"Normal",IF(Ticket_Table[[#This Row],[resolution_hrs]]&lt;=48,"Slow","Very Slow")))</f>
        <v>Normal</v>
      </c>
      <c r="Q3064" s="3">
        <f>YEAR(Ticket_Table[[#This Row],[raised_date]])</f>
        <v>2023</v>
      </c>
    </row>
    <row r="3065" spans="1:17">
      <c r="A3065" t="s">
        <v>3626</v>
      </c>
      <c r="B3065" t="s">
        <v>947</v>
      </c>
      <c r="C3065" t="s">
        <v>140</v>
      </c>
      <c r="D3065" t="s">
        <v>29</v>
      </c>
      <c r="E3065" t="s">
        <v>69</v>
      </c>
      <c r="F3065" t="s">
        <v>22</v>
      </c>
      <c r="G3065" t="s">
        <v>23</v>
      </c>
      <c r="H3065" s="1">
        <v>44406</v>
      </c>
      <c r="I3065" s="2">
        <v>44408.1791666667</v>
      </c>
      <c r="J3065">
        <v>52.3</v>
      </c>
      <c r="K3065" t="s">
        <v>24</v>
      </c>
      <c r="L3065">
        <v>0</v>
      </c>
      <c r="M3065">
        <v>5</v>
      </c>
      <c r="N3065" t="s">
        <v>1278</v>
      </c>
      <c r="O3065" s="3" t="str">
        <f>TEXT(Ticket_Table[[#This Row],[raised_date]],"YYYY-MM")</f>
        <v>2021-07</v>
      </c>
      <c r="P3065" s="3" t="str">
        <f>IF(Ticket_Table[[#This Row],[resolution_hrs]]&lt;=4,"Fast",IF(Ticket_Table[[#This Row],[resolution_hrs]]&lt;=24,"Normal",IF(Ticket_Table[[#This Row],[resolution_hrs]]&lt;=48,"Slow","Very Slow")))</f>
        <v>Very Slow</v>
      </c>
      <c r="Q3065" s="3">
        <f>YEAR(Ticket_Table[[#This Row],[raised_date]])</f>
        <v>2021</v>
      </c>
    </row>
    <row r="3066" spans="1:17">
      <c r="A3066" t="s">
        <v>3627</v>
      </c>
      <c r="B3066" t="s">
        <v>86</v>
      </c>
      <c r="C3066" t="s">
        <v>82</v>
      </c>
      <c r="D3066" t="s">
        <v>29</v>
      </c>
      <c r="E3066" t="s">
        <v>166</v>
      </c>
      <c r="F3066" t="s">
        <v>22</v>
      </c>
      <c r="G3066" t="s">
        <v>31</v>
      </c>
      <c r="H3066" s="1">
        <v>44656</v>
      </c>
      <c r="I3066" s="2">
        <v>44659.0083333333</v>
      </c>
      <c r="J3066">
        <v>72.2</v>
      </c>
      <c r="K3066" t="s">
        <v>32</v>
      </c>
      <c r="L3066">
        <v>0</v>
      </c>
      <c r="M3066">
        <v>4</v>
      </c>
      <c r="N3066" t="s">
        <v>52</v>
      </c>
      <c r="O3066" s="3" t="str">
        <f>TEXT(Ticket_Table[[#This Row],[raised_date]],"YYYY-MM")</f>
        <v>2022-04</v>
      </c>
      <c r="P3066" s="3" t="str">
        <f>IF(Ticket_Table[[#This Row],[resolution_hrs]]&lt;=4,"Fast",IF(Ticket_Table[[#This Row],[resolution_hrs]]&lt;=24,"Normal",IF(Ticket_Table[[#This Row],[resolution_hrs]]&lt;=48,"Slow","Very Slow")))</f>
        <v>Very Slow</v>
      </c>
      <c r="Q3066" s="3">
        <f>YEAR(Ticket_Table[[#This Row],[raised_date]])</f>
        <v>2022</v>
      </c>
    </row>
    <row r="3067" spans="1:17">
      <c r="A3067" t="s">
        <v>3628</v>
      </c>
      <c r="B3067" t="s">
        <v>321</v>
      </c>
      <c r="C3067" t="s">
        <v>82</v>
      </c>
      <c r="D3067" t="s">
        <v>43</v>
      </c>
      <c r="E3067" t="s">
        <v>21</v>
      </c>
      <c r="F3067" t="s">
        <v>70</v>
      </c>
      <c r="G3067" t="s">
        <v>23</v>
      </c>
      <c r="H3067" s="1">
        <v>44993</v>
      </c>
      <c r="I3067" s="2">
        <v>44993.8291666667</v>
      </c>
      <c r="J3067">
        <v>19.9</v>
      </c>
      <c r="K3067" t="s">
        <v>24</v>
      </c>
      <c r="L3067">
        <v>2</v>
      </c>
      <c r="M3067">
        <v>4</v>
      </c>
      <c r="N3067" t="s">
        <v>518</v>
      </c>
      <c r="O3067" s="3" t="str">
        <f>TEXT(Ticket_Table[[#This Row],[raised_date]],"YYYY-MM")</f>
        <v>2023-03</v>
      </c>
      <c r="P3067" s="3" t="str">
        <f>IF(Ticket_Table[[#This Row],[resolution_hrs]]&lt;=4,"Fast",IF(Ticket_Table[[#This Row],[resolution_hrs]]&lt;=24,"Normal",IF(Ticket_Table[[#This Row],[resolution_hrs]]&lt;=48,"Slow","Very Slow")))</f>
        <v>Normal</v>
      </c>
      <c r="Q3067" s="3">
        <f>YEAR(Ticket_Table[[#This Row],[raised_date]])</f>
        <v>2023</v>
      </c>
    </row>
    <row r="3068" spans="1:17">
      <c r="A3068" t="s">
        <v>3629</v>
      </c>
      <c r="B3068" t="s">
        <v>39</v>
      </c>
      <c r="C3068" t="s">
        <v>201</v>
      </c>
      <c r="D3068" t="s">
        <v>20</v>
      </c>
      <c r="E3068" t="s">
        <v>83</v>
      </c>
      <c r="F3068" t="s">
        <v>38</v>
      </c>
      <c r="G3068" t="s">
        <v>31</v>
      </c>
      <c r="H3068" s="1">
        <v>44683</v>
      </c>
      <c r="I3068" s="2">
        <v>44683.6541666667</v>
      </c>
      <c r="J3068">
        <v>15.7</v>
      </c>
      <c r="K3068" t="s">
        <v>24</v>
      </c>
      <c r="L3068">
        <v>0</v>
      </c>
      <c r="M3068">
        <v>3</v>
      </c>
      <c r="N3068" t="s">
        <v>670</v>
      </c>
      <c r="O3068" s="3" t="str">
        <f>TEXT(Ticket_Table[[#This Row],[raised_date]],"YYYY-MM")</f>
        <v>2022-05</v>
      </c>
      <c r="P3068" s="3" t="str">
        <f>IF(Ticket_Table[[#This Row],[resolution_hrs]]&lt;=4,"Fast",IF(Ticket_Table[[#This Row],[resolution_hrs]]&lt;=24,"Normal",IF(Ticket_Table[[#This Row],[resolution_hrs]]&lt;=48,"Slow","Very Slow")))</f>
        <v>Normal</v>
      </c>
      <c r="Q3068" s="3">
        <f>YEAR(Ticket_Table[[#This Row],[raised_date]])</f>
        <v>2022</v>
      </c>
    </row>
    <row r="3069" spans="1:17">
      <c r="A3069" t="s">
        <v>3630</v>
      </c>
      <c r="B3069" t="s">
        <v>248</v>
      </c>
      <c r="C3069" t="s">
        <v>133</v>
      </c>
      <c r="D3069" t="s">
        <v>36</v>
      </c>
      <c r="E3069" t="s">
        <v>166</v>
      </c>
      <c r="F3069" t="s">
        <v>22</v>
      </c>
      <c r="G3069" t="s">
        <v>31</v>
      </c>
      <c r="H3069" s="1">
        <v>45243</v>
      </c>
      <c r="I3069" s="2">
        <v>45245.4958333333</v>
      </c>
      <c r="J3069">
        <v>59.9</v>
      </c>
      <c r="K3069" t="s">
        <v>24</v>
      </c>
      <c r="L3069">
        <v>1</v>
      </c>
      <c r="M3069">
        <v>4</v>
      </c>
      <c r="N3069" t="s">
        <v>415</v>
      </c>
      <c r="O3069" s="3" t="str">
        <f>TEXT(Ticket_Table[[#This Row],[raised_date]],"YYYY-MM")</f>
        <v>2023-11</v>
      </c>
      <c r="P3069" s="3" t="str">
        <f>IF(Ticket_Table[[#This Row],[resolution_hrs]]&lt;=4,"Fast",IF(Ticket_Table[[#This Row],[resolution_hrs]]&lt;=24,"Normal",IF(Ticket_Table[[#This Row],[resolution_hrs]]&lt;=48,"Slow","Very Slow")))</f>
        <v>Very Slow</v>
      </c>
      <c r="Q3069" s="3">
        <f>YEAR(Ticket_Table[[#This Row],[raised_date]])</f>
        <v>2023</v>
      </c>
    </row>
    <row r="3070" spans="1:17">
      <c r="A3070" t="s">
        <v>3631</v>
      </c>
      <c r="B3070" t="s">
        <v>241</v>
      </c>
      <c r="C3070" t="s">
        <v>50</v>
      </c>
      <c r="D3070" t="s">
        <v>90</v>
      </c>
      <c r="E3070" t="s">
        <v>83</v>
      </c>
      <c r="F3070" t="s">
        <v>22</v>
      </c>
      <c r="G3070" t="s">
        <v>31</v>
      </c>
      <c r="H3070" s="1">
        <v>44786</v>
      </c>
      <c r="I3070" s="2">
        <v>44789.6083333333</v>
      </c>
      <c r="J3070">
        <v>86.6</v>
      </c>
      <c r="K3070" t="s">
        <v>32</v>
      </c>
      <c r="L3070">
        <v>0</v>
      </c>
      <c r="M3070">
        <v>4</v>
      </c>
      <c r="N3070" t="s">
        <v>560</v>
      </c>
      <c r="O3070" s="3" t="str">
        <f>TEXT(Ticket_Table[[#This Row],[raised_date]],"YYYY-MM")</f>
        <v>2022-08</v>
      </c>
      <c r="P3070" s="3" t="str">
        <f>IF(Ticket_Table[[#This Row],[resolution_hrs]]&lt;=4,"Fast",IF(Ticket_Table[[#This Row],[resolution_hrs]]&lt;=24,"Normal",IF(Ticket_Table[[#This Row],[resolution_hrs]]&lt;=48,"Slow","Very Slow")))</f>
        <v>Very Slow</v>
      </c>
      <c r="Q3070" s="3">
        <f>YEAR(Ticket_Table[[#This Row],[raised_date]])</f>
        <v>2022</v>
      </c>
    </row>
    <row r="3071" spans="1:17">
      <c r="A3071" t="s">
        <v>3632</v>
      </c>
      <c r="B3071" t="s">
        <v>985</v>
      </c>
      <c r="C3071" t="s">
        <v>95</v>
      </c>
      <c r="D3071" t="s">
        <v>90</v>
      </c>
      <c r="E3071" t="s">
        <v>37</v>
      </c>
      <c r="F3071" t="s">
        <v>70</v>
      </c>
      <c r="G3071" t="s">
        <v>91</v>
      </c>
      <c r="H3071" s="1">
        <v>44293</v>
      </c>
      <c r="I3071" s="2">
        <v>44295.1541666667</v>
      </c>
      <c r="J3071">
        <v>51.7</v>
      </c>
      <c r="K3071" t="s">
        <v>32</v>
      </c>
      <c r="L3071">
        <v>1</v>
      </c>
      <c r="M3071">
        <v>4</v>
      </c>
      <c r="N3071" t="s">
        <v>1223</v>
      </c>
      <c r="O3071" s="3" t="str">
        <f>TEXT(Ticket_Table[[#This Row],[raised_date]],"YYYY-MM")</f>
        <v>2021-04</v>
      </c>
      <c r="P3071" s="3" t="str">
        <f>IF(Ticket_Table[[#This Row],[resolution_hrs]]&lt;=4,"Fast",IF(Ticket_Table[[#This Row],[resolution_hrs]]&lt;=24,"Normal",IF(Ticket_Table[[#This Row],[resolution_hrs]]&lt;=48,"Slow","Very Slow")))</f>
        <v>Very Slow</v>
      </c>
      <c r="Q3071" s="3">
        <f>YEAR(Ticket_Table[[#This Row],[raised_date]])</f>
        <v>2021</v>
      </c>
    </row>
    <row r="3072" spans="1:17">
      <c r="A3072" t="s">
        <v>3633</v>
      </c>
      <c r="B3072" t="s">
        <v>504</v>
      </c>
      <c r="C3072" t="s">
        <v>287</v>
      </c>
      <c r="D3072" t="s">
        <v>36</v>
      </c>
      <c r="E3072" t="s">
        <v>44</v>
      </c>
      <c r="F3072" t="s">
        <v>38</v>
      </c>
      <c r="G3072" t="s">
        <v>31</v>
      </c>
      <c r="H3072" s="1">
        <v>44978</v>
      </c>
      <c r="I3072" s="2">
        <v>44978.5166666667</v>
      </c>
      <c r="J3072">
        <v>12.4</v>
      </c>
      <c r="K3072" t="s">
        <v>24</v>
      </c>
      <c r="L3072">
        <v>0</v>
      </c>
      <c r="M3072">
        <v>5</v>
      </c>
      <c r="N3072" t="s">
        <v>772</v>
      </c>
      <c r="O3072" s="3" t="str">
        <f>TEXT(Ticket_Table[[#This Row],[raised_date]],"YYYY-MM")</f>
        <v>2023-02</v>
      </c>
      <c r="P3072" s="3" t="str">
        <f>IF(Ticket_Table[[#This Row],[resolution_hrs]]&lt;=4,"Fast",IF(Ticket_Table[[#This Row],[resolution_hrs]]&lt;=24,"Normal",IF(Ticket_Table[[#This Row],[resolution_hrs]]&lt;=48,"Slow","Very Slow")))</f>
        <v>Normal</v>
      </c>
      <c r="Q3072" s="3">
        <f>YEAR(Ticket_Table[[#This Row],[raised_date]])</f>
        <v>2023</v>
      </c>
    </row>
    <row r="3073" spans="1:17">
      <c r="A3073" t="s">
        <v>3634</v>
      </c>
      <c r="B3073" t="s">
        <v>344</v>
      </c>
      <c r="C3073" t="s">
        <v>19</v>
      </c>
      <c r="D3073" t="s">
        <v>43</v>
      </c>
      <c r="E3073" t="s">
        <v>30</v>
      </c>
      <c r="F3073" t="s">
        <v>70</v>
      </c>
      <c r="G3073" t="s">
        <v>31</v>
      </c>
      <c r="H3073" s="1">
        <v>44990</v>
      </c>
      <c r="I3073" s="2">
        <v>44992.3041666667</v>
      </c>
      <c r="J3073">
        <v>55.3</v>
      </c>
      <c r="K3073" t="s">
        <v>32</v>
      </c>
      <c r="L3073">
        <v>2</v>
      </c>
      <c r="M3073">
        <v>4</v>
      </c>
      <c r="N3073" t="s">
        <v>246</v>
      </c>
      <c r="O3073" s="3" t="str">
        <f>TEXT(Ticket_Table[[#This Row],[raised_date]],"YYYY-MM")</f>
        <v>2023-03</v>
      </c>
      <c r="P3073" s="3" t="str">
        <f>IF(Ticket_Table[[#This Row],[resolution_hrs]]&lt;=4,"Fast",IF(Ticket_Table[[#This Row],[resolution_hrs]]&lt;=24,"Normal",IF(Ticket_Table[[#This Row],[resolution_hrs]]&lt;=48,"Slow","Very Slow")))</f>
        <v>Very Slow</v>
      </c>
      <c r="Q3073" s="3">
        <f>YEAR(Ticket_Table[[#This Row],[raised_date]])</f>
        <v>2023</v>
      </c>
    </row>
    <row r="3074" spans="1:17">
      <c r="A3074" t="s">
        <v>3635</v>
      </c>
      <c r="B3074" t="s">
        <v>352</v>
      </c>
      <c r="C3074" t="s">
        <v>201</v>
      </c>
      <c r="D3074" t="s">
        <v>90</v>
      </c>
      <c r="E3074" t="s">
        <v>69</v>
      </c>
      <c r="F3074" t="s">
        <v>38</v>
      </c>
      <c r="G3074" t="s">
        <v>31</v>
      </c>
      <c r="H3074" s="1">
        <v>45050</v>
      </c>
      <c r="I3074" s="2">
        <v>45051.3291666667</v>
      </c>
      <c r="J3074">
        <v>31.9</v>
      </c>
      <c r="K3074" t="s">
        <v>32</v>
      </c>
      <c r="L3074">
        <v>0</v>
      </c>
      <c r="M3074">
        <v>1</v>
      </c>
      <c r="N3074" t="s">
        <v>627</v>
      </c>
      <c r="O3074" s="3" t="str">
        <f>TEXT(Ticket_Table[[#This Row],[raised_date]],"YYYY-MM")</f>
        <v>2023-05</v>
      </c>
      <c r="P3074" s="3" t="str">
        <f>IF(Ticket_Table[[#This Row],[resolution_hrs]]&lt;=4,"Fast",IF(Ticket_Table[[#This Row],[resolution_hrs]]&lt;=24,"Normal",IF(Ticket_Table[[#This Row],[resolution_hrs]]&lt;=48,"Slow","Very Slow")))</f>
        <v>Slow</v>
      </c>
      <c r="Q3074" s="3">
        <f>YEAR(Ticket_Table[[#This Row],[raised_date]])</f>
        <v>2023</v>
      </c>
    </row>
    <row r="3075" spans="1:17">
      <c r="A3075" t="s">
        <v>3636</v>
      </c>
      <c r="B3075" t="s">
        <v>1064</v>
      </c>
      <c r="C3075" t="s">
        <v>261</v>
      </c>
      <c r="D3075" t="s">
        <v>29</v>
      </c>
      <c r="E3075" t="s">
        <v>30</v>
      </c>
      <c r="F3075" t="s">
        <v>45</v>
      </c>
      <c r="G3075" t="s">
        <v>31</v>
      </c>
      <c r="H3075" s="1">
        <v>44837</v>
      </c>
      <c r="I3075" s="2">
        <v>44837.1458333333</v>
      </c>
      <c r="J3075">
        <v>3.5</v>
      </c>
      <c r="K3075" t="s">
        <v>24</v>
      </c>
      <c r="L3075">
        <v>1</v>
      </c>
      <c r="M3075">
        <v>4</v>
      </c>
      <c r="N3075" t="s">
        <v>455</v>
      </c>
      <c r="O3075" s="3" t="str">
        <f>TEXT(Ticket_Table[[#This Row],[raised_date]],"YYYY-MM")</f>
        <v>2022-10</v>
      </c>
      <c r="P3075" s="3" t="str">
        <f>IF(Ticket_Table[[#This Row],[resolution_hrs]]&lt;=4,"Fast",IF(Ticket_Table[[#This Row],[resolution_hrs]]&lt;=24,"Normal",IF(Ticket_Table[[#This Row],[resolution_hrs]]&lt;=48,"Slow","Very Slow")))</f>
        <v>Fast</v>
      </c>
      <c r="Q3075" s="3">
        <f>YEAR(Ticket_Table[[#This Row],[raised_date]])</f>
        <v>2022</v>
      </c>
    </row>
    <row r="3076" spans="1:17">
      <c r="A3076" t="s">
        <v>3637</v>
      </c>
      <c r="B3076" t="s">
        <v>567</v>
      </c>
      <c r="C3076" t="s">
        <v>261</v>
      </c>
      <c r="D3076" t="s">
        <v>90</v>
      </c>
      <c r="E3076" t="s">
        <v>21</v>
      </c>
      <c r="F3076" t="s">
        <v>38</v>
      </c>
      <c r="G3076" t="s">
        <v>91</v>
      </c>
      <c r="H3076" s="1">
        <v>44307</v>
      </c>
      <c r="I3076" s="2">
        <v>44308.3875</v>
      </c>
      <c r="J3076">
        <v>33.3</v>
      </c>
      <c r="K3076" t="s">
        <v>32</v>
      </c>
      <c r="L3076">
        <v>0</v>
      </c>
      <c r="M3076">
        <v>4</v>
      </c>
      <c r="N3076" t="s">
        <v>968</v>
      </c>
      <c r="O3076" s="3" t="str">
        <f>TEXT(Ticket_Table[[#This Row],[raised_date]],"YYYY-MM")</f>
        <v>2021-04</v>
      </c>
      <c r="P3076" s="3" t="str">
        <f>IF(Ticket_Table[[#This Row],[resolution_hrs]]&lt;=4,"Fast",IF(Ticket_Table[[#This Row],[resolution_hrs]]&lt;=24,"Normal",IF(Ticket_Table[[#This Row],[resolution_hrs]]&lt;=48,"Slow","Very Slow")))</f>
        <v>Slow</v>
      </c>
      <c r="Q3076" s="3">
        <f>YEAR(Ticket_Table[[#This Row],[raised_date]])</f>
        <v>2021</v>
      </c>
    </row>
    <row r="3077" spans="1:17">
      <c r="A3077" t="s">
        <v>3638</v>
      </c>
      <c r="B3077" t="s">
        <v>151</v>
      </c>
      <c r="C3077" t="s">
        <v>102</v>
      </c>
      <c r="D3077" t="s">
        <v>36</v>
      </c>
      <c r="E3077" t="s">
        <v>56</v>
      </c>
      <c r="F3077" t="s">
        <v>70</v>
      </c>
      <c r="G3077" t="s">
        <v>31</v>
      </c>
      <c r="H3077" s="1">
        <v>44223</v>
      </c>
      <c r="I3077" s="2">
        <v>44225.5375</v>
      </c>
      <c r="J3077">
        <v>60.9</v>
      </c>
      <c r="K3077" t="s">
        <v>32</v>
      </c>
      <c r="L3077">
        <v>0</v>
      </c>
      <c r="M3077">
        <v>5</v>
      </c>
      <c r="N3077" t="s">
        <v>835</v>
      </c>
      <c r="O3077" s="3" t="str">
        <f>TEXT(Ticket_Table[[#This Row],[raised_date]],"YYYY-MM")</f>
        <v>2021-01</v>
      </c>
      <c r="P3077" s="3" t="str">
        <f>IF(Ticket_Table[[#This Row],[resolution_hrs]]&lt;=4,"Fast",IF(Ticket_Table[[#This Row],[resolution_hrs]]&lt;=24,"Normal",IF(Ticket_Table[[#This Row],[resolution_hrs]]&lt;=48,"Slow","Very Slow")))</f>
        <v>Very Slow</v>
      </c>
      <c r="Q3077" s="3">
        <f>YEAR(Ticket_Table[[#This Row],[raised_date]])</f>
        <v>2021</v>
      </c>
    </row>
    <row r="3078" spans="1:17">
      <c r="A3078" t="s">
        <v>3639</v>
      </c>
      <c r="B3078" t="s">
        <v>224</v>
      </c>
      <c r="C3078" t="s">
        <v>19</v>
      </c>
      <c r="D3078" t="s">
        <v>29</v>
      </c>
      <c r="E3078" t="s">
        <v>56</v>
      </c>
      <c r="F3078" t="s">
        <v>70</v>
      </c>
      <c r="G3078" t="s">
        <v>46</v>
      </c>
      <c r="H3078" s="1">
        <v>44711</v>
      </c>
      <c r="I3078" s="2">
        <v>44712.1916666667</v>
      </c>
      <c r="J3078">
        <v>28.6</v>
      </c>
      <c r="K3078" t="s">
        <v>24</v>
      </c>
      <c r="L3078">
        <v>0</v>
      </c>
      <c r="M3078">
        <v>4</v>
      </c>
      <c r="N3078" t="s">
        <v>597</v>
      </c>
      <c r="O3078" s="3" t="str">
        <f>TEXT(Ticket_Table[[#This Row],[raised_date]],"YYYY-MM")</f>
        <v>2022-05</v>
      </c>
      <c r="P3078" s="3" t="str">
        <f>IF(Ticket_Table[[#This Row],[resolution_hrs]]&lt;=4,"Fast",IF(Ticket_Table[[#This Row],[resolution_hrs]]&lt;=24,"Normal",IF(Ticket_Table[[#This Row],[resolution_hrs]]&lt;=48,"Slow","Very Slow")))</f>
        <v>Slow</v>
      </c>
      <c r="Q3078" s="3">
        <f>YEAR(Ticket_Table[[#This Row],[raised_date]])</f>
        <v>2022</v>
      </c>
    </row>
    <row r="3079" spans="1:17">
      <c r="A3079" t="s">
        <v>3640</v>
      </c>
      <c r="B3079" t="s">
        <v>664</v>
      </c>
      <c r="C3079" t="s">
        <v>117</v>
      </c>
      <c r="D3079" t="s">
        <v>90</v>
      </c>
      <c r="E3079" t="s">
        <v>69</v>
      </c>
      <c r="F3079" t="s">
        <v>22</v>
      </c>
      <c r="G3079" t="s">
        <v>31</v>
      </c>
      <c r="H3079" s="1">
        <v>44612</v>
      </c>
      <c r="I3079" s="2">
        <v>44612.5291666667</v>
      </c>
      <c r="J3079">
        <v>12.7</v>
      </c>
      <c r="K3079" t="s">
        <v>24</v>
      </c>
      <c r="L3079">
        <v>1</v>
      </c>
      <c r="M3079">
        <v>1</v>
      </c>
      <c r="N3079" t="s">
        <v>382</v>
      </c>
      <c r="O3079" s="3" t="str">
        <f>TEXT(Ticket_Table[[#This Row],[raised_date]],"YYYY-MM")</f>
        <v>2022-02</v>
      </c>
      <c r="P3079" s="3" t="str">
        <f>IF(Ticket_Table[[#This Row],[resolution_hrs]]&lt;=4,"Fast",IF(Ticket_Table[[#This Row],[resolution_hrs]]&lt;=24,"Normal",IF(Ticket_Table[[#This Row],[resolution_hrs]]&lt;=48,"Slow","Very Slow")))</f>
        <v>Normal</v>
      </c>
      <c r="Q3079" s="3">
        <f>YEAR(Ticket_Table[[#This Row],[raised_date]])</f>
        <v>2022</v>
      </c>
    </row>
    <row r="3080" spans="1:17">
      <c r="A3080" t="s">
        <v>3641</v>
      </c>
      <c r="B3080" t="s">
        <v>703</v>
      </c>
      <c r="C3080" t="s">
        <v>82</v>
      </c>
      <c r="D3080" t="s">
        <v>36</v>
      </c>
      <c r="E3080" t="s">
        <v>166</v>
      </c>
      <c r="F3080" t="s">
        <v>45</v>
      </c>
      <c r="G3080" t="s">
        <v>74</v>
      </c>
      <c r="H3080" s="1">
        <v>45104</v>
      </c>
      <c r="I3080" s="2">
        <v>45104.0625</v>
      </c>
      <c r="J3080">
        <v>1.5</v>
      </c>
      <c r="K3080" t="s">
        <v>24</v>
      </c>
      <c r="L3080">
        <v>0</v>
      </c>
      <c r="M3080">
        <v>2</v>
      </c>
      <c r="N3080" t="s">
        <v>289</v>
      </c>
      <c r="O3080" s="3" t="str">
        <f>TEXT(Ticket_Table[[#This Row],[raised_date]],"YYYY-MM")</f>
        <v>2023-06</v>
      </c>
      <c r="P3080" s="3" t="str">
        <f>IF(Ticket_Table[[#This Row],[resolution_hrs]]&lt;=4,"Fast",IF(Ticket_Table[[#This Row],[resolution_hrs]]&lt;=24,"Normal",IF(Ticket_Table[[#This Row],[resolution_hrs]]&lt;=48,"Slow","Very Slow")))</f>
        <v>Fast</v>
      </c>
      <c r="Q3080" s="3">
        <f>YEAR(Ticket_Table[[#This Row],[raised_date]])</f>
        <v>2023</v>
      </c>
    </row>
    <row r="3081" spans="1:17">
      <c r="A3081" t="s">
        <v>3642</v>
      </c>
      <c r="B3081" t="s">
        <v>470</v>
      </c>
      <c r="C3081" t="s">
        <v>261</v>
      </c>
      <c r="D3081" t="s">
        <v>43</v>
      </c>
      <c r="E3081" t="s">
        <v>69</v>
      </c>
      <c r="F3081" t="s">
        <v>70</v>
      </c>
      <c r="G3081" t="s">
        <v>23</v>
      </c>
      <c r="H3081" s="1">
        <v>44658</v>
      </c>
      <c r="I3081" s="2">
        <v>44658.1041666667</v>
      </c>
      <c r="J3081">
        <v>2.5</v>
      </c>
      <c r="K3081" t="s">
        <v>24</v>
      </c>
      <c r="L3081">
        <v>1</v>
      </c>
      <c r="M3081">
        <v>3</v>
      </c>
      <c r="N3081" t="s">
        <v>307</v>
      </c>
      <c r="O3081" s="3" t="str">
        <f>TEXT(Ticket_Table[[#This Row],[raised_date]],"YYYY-MM")</f>
        <v>2022-04</v>
      </c>
      <c r="P3081" s="3" t="str">
        <f>IF(Ticket_Table[[#This Row],[resolution_hrs]]&lt;=4,"Fast",IF(Ticket_Table[[#This Row],[resolution_hrs]]&lt;=24,"Normal",IF(Ticket_Table[[#This Row],[resolution_hrs]]&lt;=48,"Slow","Very Slow")))</f>
        <v>Fast</v>
      </c>
      <c r="Q3081" s="3">
        <f>YEAR(Ticket_Table[[#This Row],[raised_date]])</f>
        <v>2022</v>
      </c>
    </row>
    <row r="3082" spans="1:17">
      <c r="A3082" t="s">
        <v>3643</v>
      </c>
      <c r="B3082" t="s">
        <v>464</v>
      </c>
      <c r="C3082" t="s">
        <v>64</v>
      </c>
      <c r="D3082" t="s">
        <v>36</v>
      </c>
      <c r="E3082" t="s">
        <v>37</v>
      </c>
      <c r="F3082" t="s">
        <v>22</v>
      </c>
      <c r="G3082" t="s">
        <v>46</v>
      </c>
      <c r="H3082" s="1">
        <v>44950</v>
      </c>
      <c r="I3082" s="2">
        <v>44950.7333333333</v>
      </c>
      <c r="J3082">
        <v>17.6</v>
      </c>
      <c r="K3082" t="s">
        <v>24</v>
      </c>
      <c r="L3082">
        <v>0</v>
      </c>
      <c r="M3082">
        <v>3</v>
      </c>
      <c r="N3082" t="s">
        <v>130</v>
      </c>
      <c r="O3082" s="3" t="str">
        <f>TEXT(Ticket_Table[[#This Row],[raised_date]],"YYYY-MM")</f>
        <v>2023-01</v>
      </c>
      <c r="P3082" s="3" t="str">
        <f>IF(Ticket_Table[[#This Row],[resolution_hrs]]&lt;=4,"Fast",IF(Ticket_Table[[#This Row],[resolution_hrs]]&lt;=24,"Normal",IF(Ticket_Table[[#This Row],[resolution_hrs]]&lt;=48,"Slow","Very Slow")))</f>
        <v>Normal</v>
      </c>
      <c r="Q3082" s="3">
        <f>YEAR(Ticket_Table[[#This Row],[raised_date]])</f>
        <v>2023</v>
      </c>
    </row>
    <row r="3083" spans="1:17">
      <c r="A3083" t="s">
        <v>3644</v>
      </c>
      <c r="B3083" t="s">
        <v>1078</v>
      </c>
      <c r="C3083" t="s">
        <v>201</v>
      </c>
      <c r="D3083" t="s">
        <v>43</v>
      </c>
      <c r="E3083" t="s">
        <v>37</v>
      </c>
      <c r="F3083" t="s">
        <v>38</v>
      </c>
      <c r="G3083" t="s">
        <v>31</v>
      </c>
      <c r="H3083" s="1">
        <v>44599</v>
      </c>
      <c r="I3083" s="2">
        <v>44599.7708333333</v>
      </c>
      <c r="J3083">
        <v>18.5</v>
      </c>
      <c r="K3083" t="s">
        <v>24</v>
      </c>
      <c r="L3083">
        <v>3</v>
      </c>
      <c r="M3083">
        <v>4</v>
      </c>
      <c r="N3083" t="s">
        <v>167</v>
      </c>
      <c r="O3083" s="3" t="str">
        <f>TEXT(Ticket_Table[[#This Row],[raised_date]],"YYYY-MM")</f>
        <v>2022-02</v>
      </c>
      <c r="P3083" s="3" t="str">
        <f>IF(Ticket_Table[[#This Row],[resolution_hrs]]&lt;=4,"Fast",IF(Ticket_Table[[#This Row],[resolution_hrs]]&lt;=24,"Normal",IF(Ticket_Table[[#This Row],[resolution_hrs]]&lt;=48,"Slow","Very Slow")))</f>
        <v>Normal</v>
      </c>
      <c r="Q3083" s="3">
        <f>YEAR(Ticket_Table[[#This Row],[raised_date]])</f>
        <v>2022</v>
      </c>
    </row>
    <row r="3084" spans="1:17">
      <c r="A3084" t="s">
        <v>3645</v>
      </c>
      <c r="B3084" t="s">
        <v>350</v>
      </c>
      <c r="C3084" t="s">
        <v>64</v>
      </c>
      <c r="D3084" t="s">
        <v>29</v>
      </c>
      <c r="E3084" t="s">
        <v>30</v>
      </c>
      <c r="F3084" t="s">
        <v>22</v>
      </c>
      <c r="G3084" t="s">
        <v>23</v>
      </c>
      <c r="H3084" s="1">
        <v>44593</v>
      </c>
      <c r="I3084" s="2">
        <v>44596.4625</v>
      </c>
      <c r="J3084">
        <v>83.1</v>
      </c>
      <c r="K3084" t="s">
        <v>32</v>
      </c>
      <c r="L3084">
        <v>0</v>
      </c>
      <c r="M3084">
        <v>3</v>
      </c>
      <c r="N3084" t="s">
        <v>566</v>
      </c>
      <c r="O3084" s="3" t="str">
        <f>TEXT(Ticket_Table[[#This Row],[raised_date]],"YYYY-MM")</f>
        <v>2022-02</v>
      </c>
      <c r="P3084" s="3" t="str">
        <f>IF(Ticket_Table[[#This Row],[resolution_hrs]]&lt;=4,"Fast",IF(Ticket_Table[[#This Row],[resolution_hrs]]&lt;=24,"Normal",IF(Ticket_Table[[#This Row],[resolution_hrs]]&lt;=48,"Slow","Very Slow")))</f>
        <v>Very Slow</v>
      </c>
      <c r="Q3084" s="3">
        <f>YEAR(Ticket_Table[[#This Row],[raised_date]])</f>
        <v>2022</v>
      </c>
    </row>
    <row r="3085" spans="1:17">
      <c r="A3085" t="s">
        <v>3646</v>
      </c>
      <c r="B3085" t="s">
        <v>279</v>
      </c>
      <c r="C3085" t="s">
        <v>42</v>
      </c>
      <c r="D3085" t="s">
        <v>36</v>
      </c>
      <c r="E3085" t="s">
        <v>21</v>
      </c>
      <c r="F3085" t="s">
        <v>70</v>
      </c>
      <c r="G3085" t="s">
        <v>31</v>
      </c>
      <c r="H3085" s="1">
        <v>44799</v>
      </c>
      <c r="I3085" s="2">
        <v>44799.7416666667</v>
      </c>
      <c r="J3085">
        <v>17.8</v>
      </c>
      <c r="K3085" t="s">
        <v>24</v>
      </c>
      <c r="L3085">
        <v>0</v>
      </c>
      <c r="M3085">
        <v>3</v>
      </c>
      <c r="N3085" t="s">
        <v>18</v>
      </c>
      <c r="O3085" s="3" t="str">
        <f>TEXT(Ticket_Table[[#This Row],[raised_date]],"YYYY-MM")</f>
        <v>2022-08</v>
      </c>
      <c r="P3085" s="3" t="str">
        <f>IF(Ticket_Table[[#This Row],[resolution_hrs]]&lt;=4,"Fast",IF(Ticket_Table[[#This Row],[resolution_hrs]]&lt;=24,"Normal",IF(Ticket_Table[[#This Row],[resolution_hrs]]&lt;=48,"Slow","Very Slow")))</f>
        <v>Normal</v>
      </c>
      <c r="Q3085" s="3">
        <f>YEAR(Ticket_Table[[#This Row],[raised_date]])</f>
        <v>2022</v>
      </c>
    </row>
    <row r="3086" spans="1:17">
      <c r="A3086" t="s">
        <v>3647</v>
      </c>
      <c r="B3086" t="s">
        <v>1252</v>
      </c>
      <c r="C3086" t="s">
        <v>60</v>
      </c>
      <c r="D3086" t="s">
        <v>20</v>
      </c>
      <c r="E3086" t="s">
        <v>37</v>
      </c>
      <c r="F3086" t="s">
        <v>70</v>
      </c>
      <c r="G3086" t="s">
        <v>23</v>
      </c>
      <c r="H3086" s="1">
        <v>45116</v>
      </c>
      <c r="I3086" s="2">
        <v>45118.05</v>
      </c>
      <c r="J3086">
        <v>49.2</v>
      </c>
      <c r="K3086" t="s">
        <v>32</v>
      </c>
      <c r="L3086">
        <v>0</v>
      </c>
      <c r="M3086">
        <v>4</v>
      </c>
      <c r="N3086" t="s">
        <v>1064</v>
      </c>
      <c r="O3086" s="3" t="str">
        <f>TEXT(Ticket_Table[[#This Row],[raised_date]],"YYYY-MM")</f>
        <v>2023-07</v>
      </c>
      <c r="P3086" s="3" t="str">
        <f>IF(Ticket_Table[[#This Row],[resolution_hrs]]&lt;=4,"Fast",IF(Ticket_Table[[#This Row],[resolution_hrs]]&lt;=24,"Normal",IF(Ticket_Table[[#This Row],[resolution_hrs]]&lt;=48,"Slow","Very Slow")))</f>
        <v>Very Slow</v>
      </c>
      <c r="Q3086" s="3">
        <f>YEAR(Ticket_Table[[#This Row],[raised_date]])</f>
        <v>2023</v>
      </c>
    </row>
    <row r="3087" spans="1:17">
      <c r="A3087" t="s">
        <v>3648</v>
      </c>
      <c r="B3087" t="s">
        <v>787</v>
      </c>
      <c r="C3087" t="s">
        <v>95</v>
      </c>
      <c r="D3087" t="s">
        <v>20</v>
      </c>
      <c r="E3087" t="s">
        <v>44</v>
      </c>
      <c r="F3087" t="s">
        <v>70</v>
      </c>
      <c r="G3087" t="s">
        <v>46</v>
      </c>
      <c r="H3087" s="1">
        <v>44560</v>
      </c>
      <c r="I3087" s="2">
        <v>44561.0541666667</v>
      </c>
      <c r="J3087">
        <v>25.3</v>
      </c>
      <c r="K3087" t="s">
        <v>24</v>
      </c>
      <c r="L3087">
        <v>0</v>
      </c>
      <c r="M3087">
        <v>4</v>
      </c>
      <c r="N3087" t="s">
        <v>206</v>
      </c>
      <c r="O3087" s="3" t="str">
        <f>TEXT(Ticket_Table[[#This Row],[raised_date]],"YYYY-MM")</f>
        <v>2021-12</v>
      </c>
      <c r="P3087" s="3" t="str">
        <f>IF(Ticket_Table[[#This Row],[resolution_hrs]]&lt;=4,"Fast",IF(Ticket_Table[[#This Row],[resolution_hrs]]&lt;=24,"Normal",IF(Ticket_Table[[#This Row],[resolution_hrs]]&lt;=48,"Slow","Very Slow")))</f>
        <v>Slow</v>
      </c>
      <c r="Q3087" s="3">
        <f>YEAR(Ticket_Table[[#This Row],[raised_date]])</f>
        <v>2021</v>
      </c>
    </row>
    <row r="3088" spans="1:17">
      <c r="A3088" t="s">
        <v>3649</v>
      </c>
      <c r="B3088" t="s">
        <v>405</v>
      </c>
      <c r="C3088" t="s">
        <v>287</v>
      </c>
      <c r="D3088" t="s">
        <v>20</v>
      </c>
      <c r="E3088" t="s">
        <v>166</v>
      </c>
      <c r="F3088" t="s">
        <v>38</v>
      </c>
      <c r="G3088" t="s">
        <v>23</v>
      </c>
      <c r="H3088" s="1">
        <v>44349</v>
      </c>
      <c r="I3088" s="2">
        <v>44350.4666666667</v>
      </c>
      <c r="J3088">
        <v>35.2</v>
      </c>
      <c r="K3088" t="s">
        <v>32</v>
      </c>
      <c r="L3088">
        <v>0</v>
      </c>
      <c r="M3088">
        <v>2</v>
      </c>
      <c r="N3088" t="s">
        <v>334</v>
      </c>
      <c r="O3088" s="3" t="str">
        <f>TEXT(Ticket_Table[[#This Row],[raised_date]],"YYYY-MM")</f>
        <v>2021-06</v>
      </c>
      <c r="P3088" s="3" t="str">
        <f>IF(Ticket_Table[[#This Row],[resolution_hrs]]&lt;=4,"Fast",IF(Ticket_Table[[#This Row],[resolution_hrs]]&lt;=24,"Normal",IF(Ticket_Table[[#This Row],[resolution_hrs]]&lt;=48,"Slow","Very Slow")))</f>
        <v>Slow</v>
      </c>
      <c r="Q3088" s="3">
        <f>YEAR(Ticket_Table[[#This Row],[raised_date]])</f>
        <v>2021</v>
      </c>
    </row>
    <row r="3089" spans="1:17">
      <c r="A3089" t="s">
        <v>3650</v>
      </c>
      <c r="B3089" t="s">
        <v>726</v>
      </c>
      <c r="C3089" t="s">
        <v>175</v>
      </c>
      <c r="D3089" t="s">
        <v>20</v>
      </c>
      <c r="E3089" t="s">
        <v>166</v>
      </c>
      <c r="F3089" t="s">
        <v>22</v>
      </c>
      <c r="G3089" t="s">
        <v>31</v>
      </c>
      <c r="H3089" s="1">
        <v>44579</v>
      </c>
      <c r="I3089" s="2">
        <v>44582.3291666667</v>
      </c>
      <c r="J3089">
        <v>79.9</v>
      </c>
      <c r="K3089" t="s">
        <v>32</v>
      </c>
      <c r="L3089">
        <v>0</v>
      </c>
      <c r="M3089">
        <v>4</v>
      </c>
      <c r="N3089" t="s">
        <v>550</v>
      </c>
      <c r="O3089" s="3" t="str">
        <f>TEXT(Ticket_Table[[#This Row],[raised_date]],"YYYY-MM")</f>
        <v>2022-01</v>
      </c>
      <c r="P3089" s="3" t="str">
        <f>IF(Ticket_Table[[#This Row],[resolution_hrs]]&lt;=4,"Fast",IF(Ticket_Table[[#This Row],[resolution_hrs]]&lt;=24,"Normal",IF(Ticket_Table[[#This Row],[resolution_hrs]]&lt;=48,"Slow","Very Slow")))</f>
        <v>Very Slow</v>
      </c>
      <c r="Q3089" s="3">
        <f>YEAR(Ticket_Table[[#This Row],[raised_date]])</f>
        <v>2022</v>
      </c>
    </row>
    <row r="3090" spans="1:17">
      <c r="A3090" t="s">
        <v>3651</v>
      </c>
      <c r="B3090" t="s">
        <v>420</v>
      </c>
      <c r="C3090" t="s">
        <v>19</v>
      </c>
      <c r="D3090" t="s">
        <v>20</v>
      </c>
      <c r="E3090" t="s">
        <v>37</v>
      </c>
      <c r="F3090" t="s">
        <v>70</v>
      </c>
      <c r="G3090" t="s">
        <v>31</v>
      </c>
      <c r="H3090" s="1">
        <v>44552</v>
      </c>
      <c r="I3090" s="2">
        <v>44553.325</v>
      </c>
      <c r="J3090">
        <v>31.8</v>
      </c>
      <c r="K3090" t="s">
        <v>24</v>
      </c>
      <c r="L3090">
        <v>1</v>
      </c>
      <c r="M3090">
        <v>2</v>
      </c>
      <c r="N3090" t="s">
        <v>914</v>
      </c>
      <c r="O3090" s="3" t="str">
        <f>TEXT(Ticket_Table[[#This Row],[raised_date]],"YYYY-MM")</f>
        <v>2021-12</v>
      </c>
      <c r="P3090" s="3" t="str">
        <f>IF(Ticket_Table[[#This Row],[resolution_hrs]]&lt;=4,"Fast",IF(Ticket_Table[[#This Row],[resolution_hrs]]&lt;=24,"Normal",IF(Ticket_Table[[#This Row],[resolution_hrs]]&lt;=48,"Slow","Very Slow")))</f>
        <v>Slow</v>
      </c>
      <c r="Q3090" s="3">
        <f>YEAR(Ticket_Table[[#This Row],[raised_date]])</f>
        <v>2021</v>
      </c>
    </row>
    <row r="3091" spans="1:17">
      <c r="A3091" t="s">
        <v>3652</v>
      </c>
      <c r="B3091" t="s">
        <v>493</v>
      </c>
      <c r="C3091" t="s">
        <v>82</v>
      </c>
      <c r="D3091" t="s">
        <v>43</v>
      </c>
      <c r="E3091" t="s">
        <v>106</v>
      </c>
      <c r="F3091" t="s">
        <v>70</v>
      </c>
      <c r="G3091" t="s">
        <v>74</v>
      </c>
      <c r="H3091" s="1">
        <v>45249</v>
      </c>
      <c r="I3091" s="2">
        <v>45249.9</v>
      </c>
      <c r="J3091">
        <v>21.6</v>
      </c>
      <c r="K3091" t="s">
        <v>24</v>
      </c>
      <c r="L3091">
        <v>1</v>
      </c>
      <c r="M3091">
        <v>4</v>
      </c>
      <c r="N3091" t="s">
        <v>221</v>
      </c>
      <c r="O3091" s="3" t="str">
        <f>TEXT(Ticket_Table[[#This Row],[raised_date]],"YYYY-MM")</f>
        <v>2023-11</v>
      </c>
      <c r="P3091" s="3" t="str">
        <f>IF(Ticket_Table[[#This Row],[resolution_hrs]]&lt;=4,"Fast",IF(Ticket_Table[[#This Row],[resolution_hrs]]&lt;=24,"Normal",IF(Ticket_Table[[#This Row],[resolution_hrs]]&lt;=48,"Slow","Very Slow")))</f>
        <v>Normal</v>
      </c>
      <c r="Q3091" s="3">
        <f>YEAR(Ticket_Table[[#This Row],[raised_date]])</f>
        <v>2023</v>
      </c>
    </row>
    <row r="3092" spans="1:17">
      <c r="A3092" t="s">
        <v>3653</v>
      </c>
      <c r="B3092" t="s">
        <v>327</v>
      </c>
      <c r="C3092" t="s">
        <v>19</v>
      </c>
      <c r="D3092" t="s">
        <v>36</v>
      </c>
      <c r="E3092" t="s">
        <v>56</v>
      </c>
      <c r="F3092" t="s">
        <v>38</v>
      </c>
      <c r="G3092" t="s">
        <v>23</v>
      </c>
      <c r="H3092" s="1">
        <v>44441</v>
      </c>
      <c r="I3092" s="2">
        <v>44441.75</v>
      </c>
      <c r="J3092">
        <v>18</v>
      </c>
      <c r="K3092" t="s">
        <v>24</v>
      </c>
      <c r="L3092">
        <v>0</v>
      </c>
      <c r="M3092">
        <v>4</v>
      </c>
      <c r="N3092" t="s">
        <v>235</v>
      </c>
      <c r="O3092" s="3" t="str">
        <f>TEXT(Ticket_Table[[#This Row],[raised_date]],"YYYY-MM")</f>
        <v>2021-09</v>
      </c>
      <c r="P3092" s="3" t="str">
        <f>IF(Ticket_Table[[#This Row],[resolution_hrs]]&lt;=4,"Fast",IF(Ticket_Table[[#This Row],[resolution_hrs]]&lt;=24,"Normal",IF(Ticket_Table[[#This Row],[resolution_hrs]]&lt;=48,"Slow","Very Slow")))</f>
        <v>Normal</v>
      </c>
      <c r="Q3092" s="3">
        <f>YEAR(Ticket_Table[[#This Row],[raised_date]])</f>
        <v>2021</v>
      </c>
    </row>
    <row r="3093" spans="1:17">
      <c r="A3093" t="s">
        <v>3654</v>
      </c>
      <c r="B3093" t="s">
        <v>331</v>
      </c>
      <c r="C3093" t="s">
        <v>42</v>
      </c>
      <c r="D3093" t="s">
        <v>29</v>
      </c>
      <c r="E3093" t="s">
        <v>106</v>
      </c>
      <c r="F3093" t="s">
        <v>38</v>
      </c>
      <c r="G3093" t="s">
        <v>31</v>
      </c>
      <c r="H3093" s="1">
        <v>44969</v>
      </c>
      <c r="I3093" s="2">
        <v>44970.15</v>
      </c>
      <c r="J3093">
        <v>27.6</v>
      </c>
      <c r="K3093" t="s">
        <v>32</v>
      </c>
      <c r="L3093">
        <v>0</v>
      </c>
      <c r="M3093">
        <v>5</v>
      </c>
      <c r="N3093" t="s">
        <v>71</v>
      </c>
      <c r="O3093" s="3" t="str">
        <f>TEXT(Ticket_Table[[#This Row],[raised_date]],"YYYY-MM")</f>
        <v>2023-02</v>
      </c>
      <c r="P3093" s="3" t="str">
        <f>IF(Ticket_Table[[#This Row],[resolution_hrs]]&lt;=4,"Fast",IF(Ticket_Table[[#This Row],[resolution_hrs]]&lt;=24,"Normal",IF(Ticket_Table[[#This Row],[resolution_hrs]]&lt;=48,"Slow","Very Slow")))</f>
        <v>Slow</v>
      </c>
      <c r="Q3093" s="3">
        <f>YEAR(Ticket_Table[[#This Row],[raised_date]])</f>
        <v>2023</v>
      </c>
    </row>
    <row r="3094" spans="1:17">
      <c r="A3094" t="s">
        <v>3655</v>
      </c>
      <c r="B3094" t="s">
        <v>112</v>
      </c>
      <c r="C3094" t="s">
        <v>201</v>
      </c>
      <c r="D3094" t="s">
        <v>20</v>
      </c>
      <c r="E3094" t="s">
        <v>21</v>
      </c>
      <c r="F3094" t="s">
        <v>70</v>
      </c>
      <c r="G3094" t="s">
        <v>74</v>
      </c>
      <c r="H3094" s="1">
        <v>44280</v>
      </c>
      <c r="I3094" s="2">
        <v>44280.775</v>
      </c>
      <c r="J3094">
        <v>18.6</v>
      </c>
      <c r="K3094" t="s">
        <v>24</v>
      </c>
      <c r="L3094">
        <v>0</v>
      </c>
      <c r="M3094">
        <v>2</v>
      </c>
      <c r="N3094" t="s">
        <v>1025</v>
      </c>
      <c r="O3094" s="3" t="str">
        <f>TEXT(Ticket_Table[[#This Row],[raised_date]],"YYYY-MM")</f>
        <v>2021-03</v>
      </c>
      <c r="P3094" s="3" t="str">
        <f>IF(Ticket_Table[[#This Row],[resolution_hrs]]&lt;=4,"Fast",IF(Ticket_Table[[#This Row],[resolution_hrs]]&lt;=24,"Normal",IF(Ticket_Table[[#This Row],[resolution_hrs]]&lt;=48,"Slow","Very Slow")))</f>
        <v>Normal</v>
      </c>
      <c r="Q3094" s="3">
        <f>YEAR(Ticket_Table[[#This Row],[raised_date]])</f>
        <v>2021</v>
      </c>
    </row>
    <row r="3095" spans="1:17">
      <c r="A3095" t="s">
        <v>3656</v>
      </c>
      <c r="B3095" t="s">
        <v>385</v>
      </c>
      <c r="C3095" t="s">
        <v>19</v>
      </c>
      <c r="D3095" t="s">
        <v>20</v>
      </c>
      <c r="E3095" t="s">
        <v>21</v>
      </c>
      <c r="F3095" t="s">
        <v>70</v>
      </c>
      <c r="G3095" t="s">
        <v>46</v>
      </c>
      <c r="H3095" s="1">
        <v>45074</v>
      </c>
      <c r="I3095" s="2">
        <v>45074.4916666667</v>
      </c>
      <c r="J3095">
        <v>11.8</v>
      </c>
      <c r="K3095" t="s">
        <v>24</v>
      </c>
      <c r="L3095">
        <v>0</v>
      </c>
      <c r="M3095">
        <v>3</v>
      </c>
      <c r="N3095" t="s">
        <v>405</v>
      </c>
      <c r="O3095" s="3" t="str">
        <f>TEXT(Ticket_Table[[#This Row],[raised_date]],"YYYY-MM")</f>
        <v>2023-05</v>
      </c>
      <c r="P3095" s="3" t="str">
        <f>IF(Ticket_Table[[#This Row],[resolution_hrs]]&lt;=4,"Fast",IF(Ticket_Table[[#This Row],[resolution_hrs]]&lt;=24,"Normal",IF(Ticket_Table[[#This Row],[resolution_hrs]]&lt;=48,"Slow","Very Slow")))</f>
        <v>Normal</v>
      </c>
      <c r="Q3095" s="3">
        <f>YEAR(Ticket_Table[[#This Row],[raised_date]])</f>
        <v>2023</v>
      </c>
    </row>
    <row r="3096" spans="1:17">
      <c r="A3096" t="s">
        <v>3657</v>
      </c>
      <c r="B3096" t="s">
        <v>744</v>
      </c>
      <c r="C3096" t="s">
        <v>117</v>
      </c>
      <c r="D3096" t="s">
        <v>29</v>
      </c>
      <c r="E3096" t="s">
        <v>83</v>
      </c>
      <c r="F3096" t="s">
        <v>22</v>
      </c>
      <c r="G3096" t="s">
        <v>46</v>
      </c>
      <c r="H3096" s="1">
        <v>44768</v>
      </c>
      <c r="I3096" s="2">
        <v>44770.3208333333</v>
      </c>
      <c r="J3096">
        <v>55.7</v>
      </c>
      <c r="K3096" t="s">
        <v>24</v>
      </c>
      <c r="L3096">
        <v>0</v>
      </c>
      <c r="M3096">
        <v>4</v>
      </c>
      <c r="N3096" t="s">
        <v>54</v>
      </c>
      <c r="O3096" s="3" t="str">
        <f>TEXT(Ticket_Table[[#This Row],[raised_date]],"YYYY-MM")</f>
        <v>2022-07</v>
      </c>
      <c r="P3096" s="3" t="str">
        <f>IF(Ticket_Table[[#This Row],[resolution_hrs]]&lt;=4,"Fast",IF(Ticket_Table[[#This Row],[resolution_hrs]]&lt;=24,"Normal",IF(Ticket_Table[[#This Row],[resolution_hrs]]&lt;=48,"Slow","Very Slow")))</f>
        <v>Very Slow</v>
      </c>
      <c r="Q3096" s="3">
        <f>YEAR(Ticket_Table[[#This Row],[raised_date]])</f>
        <v>2022</v>
      </c>
    </row>
    <row r="3097" spans="1:17">
      <c r="A3097" t="s">
        <v>3658</v>
      </c>
      <c r="B3097" t="s">
        <v>148</v>
      </c>
      <c r="C3097" t="s">
        <v>261</v>
      </c>
      <c r="D3097" t="s">
        <v>29</v>
      </c>
      <c r="E3097" t="s">
        <v>21</v>
      </c>
      <c r="F3097" t="s">
        <v>45</v>
      </c>
      <c r="G3097" t="s">
        <v>31</v>
      </c>
      <c r="H3097" s="1">
        <v>44738</v>
      </c>
      <c r="I3097" s="2">
        <v>44738.0916666667</v>
      </c>
      <c r="J3097">
        <v>2.2</v>
      </c>
      <c r="K3097" t="s">
        <v>24</v>
      </c>
      <c r="L3097">
        <v>1</v>
      </c>
      <c r="M3097">
        <v>3</v>
      </c>
      <c r="N3097" t="s">
        <v>808</v>
      </c>
      <c r="O3097" s="3" t="str">
        <f>TEXT(Ticket_Table[[#This Row],[raised_date]],"YYYY-MM")</f>
        <v>2022-06</v>
      </c>
      <c r="P3097" s="3" t="str">
        <f>IF(Ticket_Table[[#This Row],[resolution_hrs]]&lt;=4,"Fast",IF(Ticket_Table[[#This Row],[resolution_hrs]]&lt;=24,"Normal",IF(Ticket_Table[[#This Row],[resolution_hrs]]&lt;=48,"Slow","Very Slow")))</f>
        <v>Fast</v>
      </c>
      <c r="Q3097" s="3">
        <f>YEAR(Ticket_Table[[#This Row],[raised_date]])</f>
        <v>2022</v>
      </c>
    </row>
    <row r="3098" spans="1:17">
      <c r="A3098" t="s">
        <v>3659</v>
      </c>
      <c r="B3098" t="s">
        <v>1216</v>
      </c>
      <c r="C3098" t="s">
        <v>133</v>
      </c>
      <c r="D3098" t="s">
        <v>20</v>
      </c>
      <c r="E3098" t="s">
        <v>83</v>
      </c>
      <c r="F3098" t="s">
        <v>70</v>
      </c>
      <c r="G3098" t="s">
        <v>23</v>
      </c>
      <c r="H3098" s="1">
        <v>44463</v>
      </c>
      <c r="I3098" s="2">
        <v>44465.3083333333</v>
      </c>
      <c r="J3098">
        <v>55.4</v>
      </c>
      <c r="K3098" t="s">
        <v>32</v>
      </c>
      <c r="L3098">
        <v>2</v>
      </c>
      <c r="M3098">
        <v>4</v>
      </c>
      <c r="N3098" t="s">
        <v>1474</v>
      </c>
      <c r="O3098" s="3" t="str">
        <f>TEXT(Ticket_Table[[#This Row],[raised_date]],"YYYY-MM")</f>
        <v>2021-09</v>
      </c>
      <c r="P3098" s="3" t="str">
        <f>IF(Ticket_Table[[#This Row],[resolution_hrs]]&lt;=4,"Fast",IF(Ticket_Table[[#This Row],[resolution_hrs]]&lt;=24,"Normal",IF(Ticket_Table[[#This Row],[resolution_hrs]]&lt;=48,"Slow","Very Slow")))</f>
        <v>Very Slow</v>
      </c>
      <c r="Q3098" s="3">
        <f>YEAR(Ticket_Table[[#This Row],[raised_date]])</f>
        <v>2021</v>
      </c>
    </row>
    <row r="3099" spans="1:17">
      <c r="A3099" t="s">
        <v>3660</v>
      </c>
      <c r="B3099" t="s">
        <v>981</v>
      </c>
      <c r="C3099" t="s">
        <v>19</v>
      </c>
      <c r="D3099" t="s">
        <v>43</v>
      </c>
      <c r="E3099" t="s">
        <v>166</v>
      </c>
      <c r="F3099" t="s">
        <v>38</v>
      </c>
      <c r="G3099" t="s">
        <v>23</v>
      </c>
      <c r="H3099" s="1">
        <v>44526</v>
      </c>
      <c r="I3099" s="2">
        <v>44527.3</v>
      </c>
      <c r="J3099">
        <v>31.2</v>
      </c>
      <c r="K3099" t="s">
        <v>32</v>
      </c>
      <c r="L3099">
        <v>0</v>
      </c>
      <c r="M3099">
        <v>1</v>
      </c>
      <c r="N3099" t="s">
        <v>258</v>
      </c>
      <c r="O3099" s="3" t="str">
        <f>TEXT(Ticket_Table[[#This Row],[raised_date]],"YYYY-MM")</f>
        <v>2021-11</v>
      </c>
      <c r="P3099" s="3" t="str">
        <f>IF(Ticket_Table[[#This Row],[resolution_hrs]]&lt;=4,"Fast",IF(Ticket_Table[[#This Row],[resolution_hrs]]&lt;=24,"Normal",IF(Ticket_Table[[#This Row],[resolution_hrs]]&lt;=48,"Slow","Very Slow")))</f>
        <v>Slow</v>
      </c>
      <c r="Q3099" s="3">
        <f>YEAR(Ticket_Table[[#This Row],[raised_date]])</f>
        <v>2021</v>
      </c>
    </row>
    <row r="3100" spans="1:17">
      <c r="A3100" t="s">
        <v>3661</v>
      </c>
      <c r="B3100" t="s">
        <v>1582</v>
      </c>
      <c r="C3100" t="s">
        <v>78</v>
      </c>
      <c r="D3100" t="s">
        <v>29</v>
      </c>
      <c r="E3100" t="s">
        <v>44</v>
      </c>
      <c r="F3100" t="s">
        <v>22</v>
      </c>
      <c r="G3100" t="s">
        <v>91</v>
      </c>
      <c r="H3100" s="1">
        <v>44719</v>
      </c>
      <c r="I3100" s="2">
        <v>44723.475</v>
      </c>
      <c r="J3100">
        <v>107.4</v>
      </c>
      <c r="K3100" t="s">
        <v>32</v>
      </c>
      <c r="L3100">
        <v>0</v>
      </c>
      <c r="M3100">
        <v>4</v>
      </c>
      <c r="N3100" t="s">
        <v>186</v>
      </c>
      <c r="O3100" s="3" t="str">
        <f>TEXT(Ticket_Table[[#This Row],[raised_date]],"YYYY-MM")</f>
        <v>2022-06</v>
      </c>
      <c r="P3100" s="3" t="str">
        <f>IF(Ticket_Table[[#This Row],[resolution_hrs]]&lt;=4,"Fast",IF(Ticket_Table[[#This Row],[resolution_hrs]]&lt;=24,"Normal",IF(Ticket_Table[[#This Row],[resolution_hrs]]&lt;=48,"Slow","Very Slow")))</f>
        <v>Very Slow</v>
      </c>
      <c r="Q3100" s="3">
        <f>YEAR(Ticket_Table[[#This Row],[raised_date]])</f>
        <v>2022</v>
      </c>
    </row>
    <row r="3101" spans="1:17">
      <c r="A3101" t="s">
        <v>3662</v>
      </c>
      <c r="B3101" t="s">
        <v>212</v>
      </c>
      <c r="C3101" t="s">
        <v>60</v>
      </c>
      <c r="D3101" t="s">
        <v>36</v>
      </c>
      <c r="E3101" t="s">
        <v>51</v>
      </c>
      <c r="F3101" t="s">
        <v>22</v>
      </c>
      <c r="G3101" t="s">
        <v>31</v>
      </c>
      <c r="H3101" s="1">
        <v>44208</v>
      </c>
      <c r="I3101" s="2">
        <v>44209.1458333333</v>
      </c>
      <c r="J3101">
        <v>27.5</v>
      </c>
      <c r="K3101" t="s">
        <v>24</v>
      </c>
      <c r="L3101">
        <v>0</v>
      </c>
      <c r="M3101">
        <v>5</v>
      </c>
      <c r="N3101" t="s">
        <v>1016</v>
      </c>
      <c r="O3101" s="3" t="str">
        <f>TEXT(Ticket_Table[[#This Row],[raised_date]],"YYYY-MM")</f>
        <v>2021-01</v>
      </c>
      <c r="P3101" s="3" t="str">
        <f>IF(Ticket_Table[[#This Row],[resolution_hrs]]&lt;=4,"Fast",IF(Ticket_Table[[#This Row],[resolution_hrs]]&lt;=24,"Normal",IF(Ticket_Table[[#This Row],[resolution_hrs]]&lt;=48,"Slow","Very Slow")))</f>
        <v>Slow</v>
      </c>
      <c r="Q3101" s="3">
        <f>YEAR(Ticket_Table[[#This Row],[raised_date]])</f>
        <v>2021</v>
      </c>
    </row>
    <row r="3102" spans="1:17">
      <c r="A3102" t="s">
        <v>3663</v>
      </c>
      <c r="B3102" t="s">
        <v>353</v>
      </c>
      <c r="C3102" t="s">
        <v>95</v>
      </c>
      <c r="D3102" t="s">
        <v>36</v>
      </c>
      <c r="E3102" t="s">
        <v>56</v>
      </c>
      <c r="F3102" t="s">
        <v>70</v>
      </c>
      <c r="G3102" t="s">
        <v>23</v>
      </c>
      <c r="H3102" s="1">
        <v>44873</v>
      </c>
      <c r="I3102" s="2">
        <v>44875.4708333333</v>
      </c>
      <c r="J3102">
        <v>59.3</v>
      </c>
      <c r="K3102" t="s">
        <v>32</v>
      </c>
      <c r="L3102">
        <v>2</v>
      </c>
      <c r="M3102">
        <v>5</v>
      </c>
      <c r="N3102" t="s">
        <v>708</v>
      </c>
      <c r="O3102" s="3" t="str">
        <f>TEXT(Ticket_Table[[#This Row],[raised_date]],"YYYY-MM")</f>
        <v>2022-11</v>
      </c>
      <c r="P3102" s="3" t="str">
        <f>IF(Ticket_Table[[#This Row],[resolution_hrs]]&lt;=4,"Fast",IF(Ticket_Table[[#This Row],[resolution_hrs]]&lt;=24,"Normal",IF(Ticket_Table[[#This Row],[resolution_hrs]]&lt;=48,"Slow","Very Slow")))</f>
        <v>Very Slow</v>
      </c>
      <c r="Q3102" s="3">
        <f>YEAR(Ticket_Table[[#This Row],[raised_date]])</f>
        <v>2022</v>
      </c>
    </row>
    <row r="3103" spans="1:17">
      <c r="A3103" t="s">
        <v>3664</v>
      </c>
      <c r="B3103" t="s">
        <v>929</v>
      </c>
      <c r="C3103" t="s">
        <v>82</v>
      </c>
      <c r="D3103" t="s">
        <v>43</v>
      </c>
      <c r="E3103" t="s">
        <v>83</v>
      </c>
      <c r="F3103" t="s">
        <v>38</v>
      </c>
      <c r="G3103" t="s">
        <v>23</v>
      </c>
      <c r="H3103" s="1">
        <v>45152</v>
      </c>
      <c r="I3103" s="2">
        <v>45152.3291666667</v>
      </c>
      <c r="J3103">
        <v>7.9</v>
      </c>
      <c r="K3103" t="s">
        <v>24</v>
      </c>
      <c r="L3103">
        <v>0</v>
      </c>
      <c r="M3103">
        <v>5</v>
      </c>
      <c r="N3103" t="s">
        <v>52</v>
      </c>
      <c r="O3103" s="3" t="str">
        <f>TEXT(Ticket_Table[[#This Row],[raised_date]],"YYYY-MM")</f>
        <v>2023-08</v>
      </c>
      <c r="P3103" s="3" t="str">
        <f>IF(Ticket_Table[[#This Row],[resolution_hrs]]&lt;=4,"Fast",IF(Ticket_Table[[#This Row],[resolution_hrs]]&lt;=24,"Normal",IF(Ticket_Table[[#This Row],[resolution_hrs]]&lt;=48,"Slow","Very Slow")))</f>
        <v>Normal</v>
      </c>
      <c r="Q3103" s="3">
        <f>YEAR(Ticket_Table[[#This Row],[raised_date]])</f>
        <v>2023</v>
      </c>
    </row>
    <row r="3104" spans="1:17">
      <c r="A3104" t="s">
        <v>3665</v>
      </c>
      <c r="B3104" t="s">
        <v>552</v>
      </c>
      <c r="C3104" t="s">
        <v>287</v>
      </c>
      <c r="D3104" t="s">
        <v>90</v>
      </c>
      <c r="E3104" t="s">
        <v>30</v>
      </c>
      <c r="F3104" t="s">
        <v>70</v>
      </c>
      <c r="G3104" t="s">
        <v>46</v>
      </c>
      <c r="H3104" s="1">
        <v>44514</v>
      </c>
      <c r="I3104" s="2">
        <v>44516.1333333333</v>
      </c>
      <c r="J3104">
        <v>51.2</v>
      </c>
      <c r="K3104" t="s">
        <v>32</v>
      </c>
      <c r="L3104">
        <v>0</v>
      </c>
      <c r="M3104">
        <v>1</v>
      </c>
      <c r="N3104" t="s">
        <v>256</v>
      </c>
      <c r="O3104" s="3" t="str">
        <f>TEXT(Ticket_Table[[#This Row],[raised_date]],"YYYY-MM")</f>
        <v>2021-11</v>
      </c>
      <c r="P3104" s="3" t="str">
        <f>IF(Ticket_Table[[#This Row],[resolution_hrs]]&lt;=4,"Fast",IF(Ticket_Table[[#This Row],[resolution_hrs]]&lt;=24,"Normal",IF(Ticket_Table[[#This Row],[resolution_hrs]]&lt;=48,"Slow","Very Slow")))</f>
        <v>Very Slow</v>
      </c>
      <c r="Q3104" s="3">
        <f>YEAR(Ticket_Table[[#This Row],[raised_date]])</f>
        <v>2021</v>
      </c>
    </row>
    <row r="3105" spans="1:17">
      <c r="A3105" t="s">
        <v>3666</v>
      </c>
      <c r="B3105" t="s">
        <v>1129</v>
      </c>
      <c r="C3105" t="s">
        <v>60</v>
      </c>
      <c r="D3105" t="s">
        <v>43</v>
      </c>
      <c r="E3105" t="s">
        <v>44</v>
      </c>
      <c r="F3105" t="s">
        <v>45</v>
      </c>
      <c r="G3105" t="s">
        <v>74</v>
      </c>
      <c r="H3105" s="1">
        <v>44278</v>
      </c>
      <c r="I3105" s="2">
        <v>44278.2083333333</v>
      </c>
      <c r="J3105">
        <v>5</v>
      </c>
      <c r="K3105" t="s">
        <v>32</v>
      </c>
      <c r="L3105">
        <v>1</v>
      </c>
      <c r="M3105">
        <v>4</v>
      </c>
      <c r="N3105" t="s">
        <v>216</v>
      </c>
      <c r="O3105" s="3" t="str">
        <f>TEXT(Ticket_Table[[#This Row],[raised_date]],"YYYY-MM")</f>
        <v>2021-03</v>
      </c>
      <c r="P3105" s="3" t="str">
        <f>IF(Ticket_Table[[#This Row],[resolution_hrs]]&lt;=4,"Fast",IF(Ticket_Table[[#This Row],[resolution_hrs]]&lt;=24,"Normal",IF(Ticket_Table[[#This Row],[resolution_hrs]]&lt;=48,"Slow","Very Slow")))</f>
        <v>Normal</v>
      </c>
      <c r="Q3105" s="3">
        <f>YEAR(Ticket_Table[[#This Row],[raised_date]])</f>
        <v>2021</v>
      </c>
    </row>
    <row r="3106" spans="1:17">
      <c r="A3106" t="s">
        <v>3667</v>
      </c>
      <c r="B3106" t="s">
        <v>310</v>
      </c>
      <c r="C3106" t="s">
        <v>78</v>
      </c>
      <c r="D3106" t="s">
        <v>20</v>
      </c>
      <c r="E3106" t="s">
        <v>69</v>
      </c>
      <c r="F3106" t="s">
        <v>70</v>
      </c>
      <c r="G3106" t="s">
        <v>23</v>
      </c>
      <c r="H3106" s="1">
        <v>44511</v>
      </c>
      <c r="I3106" s="2">
        <v>44513.1166666667</v>
      </c>
      <c r="J3106">
        <v>50.8</v>
      </c>
      <c r="K3106" t="s">
        <v>32</v>
      </c>
      <c r="L3106">
        <v>0</v>
      </c>
      <c r="M3106">
        <v>4</v>
      </c>
      <c r="N3106" t="s">
        <v>310</v>
      </c>
      <c r="O3106" s="3" t="str">
        <f>TEXT(Ticket_Table[[#This Row],[raised_date]],"YYYY-MM")</f>
        <v>2021-11</v>
      </c>
      <c r="P3106" s="3" t="str">
        <f>IF(Ticket_Table[[#This Row],[resolution_hrs]]&lt;=4,"Fast",IF(Ticket_Table[[#This Row],[resolution_hrs]]&lt;=24,"Normal",IF(Ticket_Table[[#This Row],[resolution_hrs]]&lt;=48,"Slow","Very Slow")))</f>
        <v>Very Slow</v>
      </c>
      <c r="Q3106" s="3">
        <f>YEAR(Ticket_Table[[#This Row],[raised_date]])</f>
        <v>2021</v>
      </c>
    </row>
    <row r="3107" spans="1:17">
      <c r="A3107" t="s">
        <v>3668</v>
      </c>
      <c r="B3107" t="s">
        <v>320</v>
      </c>
      <c r="C3107" t="s">
        <v>55</v>
      </c>
      <c r="D3107" t="s">
        <v>90</v>
      </c>
      <c r="E3107" t="s">
        <v>30</v>
      </c>
      <c r="F3107" t="s">
        <v>70</v>
      </c>
      <c r="G3107" t="s">
        <v>23</v>
      </c>
      <c r="H3107" s="1">
        <v>44857</v>
      </c>
      <c r="I3107" s="2">
        <v>44858.5291666667</v>
      </c>
      <c r="J3107">
        <v>36.7</v>
      </c>
      <c r="K3107" t="s">
        <v>24</v>
      </c>
      <c r="L3107">
        <v>0</v>
      </c>
      <c r="M3107">
        <v>5</v>
      </c>
      <c r="N3107" t="s">
        <v>216</v>
      </c>
      <c r="O3107" s="3" t="str">
        <f>TEXT(Ticket_Table[[#This Row],[raised_date]],"YYYY-MM")</f>
        <v>2022-10</v>
      </c>
      <c r="P3107" s="3" t="str">
        <f>IF(Ticket_Table[[#This Row],[resolution_hrs]]&lt;=4,"Fast",IF(Ticket_Table[[#This Row],[resolution_hrs]]&lt;=24,"Normal",IF(Ticket_Table[[#This Row],[resolution_hrs]]&lt;=48,"Slow","Very Slow")))</f>
        <v>Slow</v>
      </c>
      <c r="Q3107" s="3">
        <f>YEAR(Ticket_Table[[#This Row],[raised_date]])</f>
        <v>2022</v>
      </c>
    </row>
    <row r="3108" spans="1:17">
      <c r="A3108" t="s">
        <v>3669</v>
      </c>
      <c r="B3108" t="s">
        <v>1200</v>
      </c>
      <c r="C3108" t="s">
        <v>213</v>
      </c>
      <c r="D3108" t="s">
        <v>20</v>
      </c>
      <c r="E3108" t="s">
        <v>44</v>
      </c>
      <c r="F3108" t="s">
        <v>22</v>
      </c>
      <c r="G3108" t="s">
        <v>23</v>
      </c>
      <c r="H3108" s="1">
        <v>44301</v>
      </c>
      <c r="I3108" s="2">
        <v>44301.85</v>
      </c>
      <c r="J3108">
        <v>20.4</v>
      </c>
      <c r="K3108" t="s">
        <v>24</v>
      </c>
      <c r="L3108">
        <v>0</v>
      </c>
      <c r="M3108">
        <v>5</v>
      </c>
      <c r="N3108" t="s">
        <v>202</v>
      </c>
      <c r="O3108" s="3" t="str">
        <f>TEXT(Ticket_Table[[#This Row],[raised_date]],"YYYY-MM")</f>
        <v>2021-04</v>
      </c>
      <c r="P3108" s="3" t="str">
        <f>IF(Ticket_Table[[#This Row],[resolution_hrs]]&lt;=4,"Fast",IF(Ticket_Table[[#This Row],[resolution_hrs]]&lt;=24,"Normal",IF(Ticket_Table[[#This Row],[resolution_hrs]]&lt;=48,"Slow","Very Slow")))</f>
        <v>Normal</v>
      </c>
      <c r="Q3108" s="3">
        <f>YEAR(Ticket_Table[[#This Row],[raised_date]])</f>
        <v>2021</v>
      </c>
    </row>
    <row r="3109" spans="1:17">
      <c r="A3109" t="s">
        <v>3670</v>
      </c>
      <c r="B3109" t="s">
        <v>1061</v>
      </c>
      <c r="C3109" t="s">
        <v>261</v>
      </c>
      <c r="D3109" t="s">
        <v>36</v>
      </c>
      <c r="E3109" t="s">
        <v>30</v>
      </c>
      <c r="F3109" t="s">
        <v>38</v>
      </c>
      <c r="G3109" t="s">
        <v>31</v>
      </c>
      <c r="H3109" s="1">
        <v>44813</v>
      </c>
      <c r="I3109" s="2">
        <v>44814.4875</v>
      </c>
      <c r="J3109">
        <v>35.7</v>
      </c>
      <c r="K3109" t="s">
        <v>32</v>
      </c>
      <c r="L3109">
        <v>1</v>
      </c>
      <c r="M3109">
        <v>5</v>
      </c>
      <c r="N3109" t="s">
        <v>103</v>
      </c>
      <c r="O3109" s="3" t="str">
        <f>TEXT(Ticket_Table[[#This Row],[raised_date]],"YYYY-MM")</f>
        <v>2022-09</v>
      </c>
      <c r="P3109" s="3" t="str">
        <f>IF(Ticket_Table[[#This Row],[resolution_hrs]]&lt;=4,"Fast",IF(Ticket_Table[[#This Row],[resolution_hrs]]&lt;=24,"Normal",IF(Ticket_Table[[#This Row],[resolution_hrs]]&lt;=48,"Slow","Very Slow")))</f>
        <v>Slow</v>
      </c>
      <c r="Q3109" s="3">
        <f>YEAR(Ticket_Table[[#This Row],[raised_date]])</f>
        <v>2022</v>
      </c>
    </row>
    <row r="3110" spans="1:17">
      <c r="A3110" t="s">
        <v>3671</v>
      </c>
      <c r="B3110" t="s">
        <v>365</v>
      </c>
      <c r="C3110" t="s">
        <v>19</v>
      </c>
      <c r="D3110" t="s">
        <v>29</v>
      </c>
      <c r="E3110" t="s">
        <v>37</v>
      </c>
      <c r="F3110" t="s">
        <v>22</v>
      </c>
      <c r="G3110" t="s">
        <v>31</v>
      </c>
      <c r="H3110" s="1">
        <v>45201</v>
      </c>
      <c r="I3110" s="2">
        <v>45203.6791666667</v>
      </c>
      <c r="J3110">
        <v>64.3</v>
      </c>
      <c r="K3110" t="s">
        <v>24</v>
      </c>
      <c r="L3110">
        <v>0</v>
      </c>
      <c r="M3110">
        <v>5</v>
      </c>
      <c r="N3110" t="s">
        <v>804</v>
      </c>
      <c r="O3110" s="3" t="str">
        <f>TEXT(Ticket_Table[[#This Row],[raised_date]],"YYYY-MM")</f>
        <v>2023-10</v>
      </c>
      <c r="P3110" s="3" t="str">
        <f>IF(Ticket_Table[[#This Row],[resolution_hrs]]&lt;=4,"Fast",IF(Ticket_Table[[#This Row],[resolution_hrs]]&lt;=24,"Normal",IF(Ticket_Table[[#This Row],[resolution_hrs]]&lt;=48,"Slow","Very Slow")))</f>
        <v>Very Slow</v>
      </c>
      <c r="Q3110" s="3">
        <f>YEAR(Ticket_Table[[#This Row],[raised_date]])</f>
        <v>2023</v>
      </c>
    </row>
    <row r="3111" spans="1:17">
      <c r="A3111" t="s">
        <v>3672</v>
      </c>
      <c r="B3111" t="s">
        <v>1195</v>
      </c>
      <c r="C3111" t="s">
        <v>68</v>
      </c>
      <c r="D3111" t="s">
        <v>20</v>
      </c>
      <c r="E3111" t="s">
        <v>30</v>
      </c>
      <c r="F3111" t="s">
        <v>38</v>
      </c>
      <c r="G3111" t="s">
        <v>74</v>
      </c>
      <c r="H3111" s="1">
        <v>44930</v>
      </c>
      <c r="I3111" s="2">
        <v>44930.9666666667</v>
      </c>
      <c r="J3111">
        <v>23.2</v>
      </c>
      <c r="K3111" t="s">
        <v>24</v>
      </c>
      <c r="L3111">
        <v>3</v>
      </c>
      <c r="M3111">
        <v>4</v>
      </c>
      <c r="N3111" t="s">
        <v>1019</v>
      </c>
      <c r="O3111" s="3" t="str">
        <f>TEXT(Ticket_Table[[#This Row],[raised_date]],"YYYY-MM")</f>
        <v>2023-01</v>
      </c>
      <c r="P3111" s="3" t="str">
        <f>IF(Ticket_Table[[#This Row],[resolution_hrs]]&lt;=4,"Fast",IF(Ticket_Table[[#This Row],[resolution_hrs]]&lt;=24,"Normal",IF(Ticket_Table[[#This Row],[resolution_hrs]]&lt;=48,"Slow","Very Slow")))</f>
        <v>Normal</v>
      </c>
      <c r="Q3111" s="3">
        <f>YEAR(Ticket_Table[[#This Row],[raised_date]])</f>
        <v>2023</v>
      </c>
    </row>
    <row r="3112" spans="1:17">
      <c r="A3112" t="s">
        <v>3673</v>
      </c>
      <c r="B3112" t="s">
        <v>599</v>
      </c>
      <c r="C3112" t="s">
        <v>287</v>
      </c>
      <c r="D3112" t="s">
        <v>36</v>
      </c>
      <c r="E3112" t="s">
        <v>83</v>
      </c>
      <c r="F3112" t="s">
        <v>45</v>
      </c>
      <c r="G3112" t="s">
        <v>23</v>
      </c>
      <c r="H3112" s="1">
        <v>44346</v>
      </c>
      <c r="I3112" s="2">
        <v>44346.0875</v>
      </c>
      <c r="J3112">
        <v>2.1</v>
      </c>
      <c r="K3112" t="s">
        <v>24</v>
      </c>
      <c r="L3112">
        <v>2</v>
      </c>
      <c r="M3112">
        <v>4</v>
      </c>
      <c r="N3112" t="s">
        <v>562</v>
      </c>
      <c r="O3112" s="3" t="str">
        <f>TEXT(Ticket_Table[[#This Row],[raised_date]],"YYYY-MM")</f>
        <v>2021-05</v>
      </c>
      <c r="P3112" s="3" t="str">
        <f>IF(Ticket_Table[[#This Row],[resolution_hrs]]&lt;=4,"Fast",IF(Ticket_Table[[#This Row],[resolution_hrs]]&lt;=24,"Normal",IF(Ticket_Table[[#This Row],[resolution_hrs]]&lt;=48,"Slow","Very Slow")))</f>
        <v>Fast</v>
      </c>
      <c r="Q3112" s="3">
        <f>YEAR(Ticket_Table[[#This Row],[raised_date]])</f>
        <v>2021</v>
      </c>
    </row>
    <row r="3113" spans="1:17">
      <c r="A3113" t="s">
        <v>3674</v>
      </c>
      <c r="B3113" t="s">
        <v>1200</v>
      </c>
      <c r="C3113" t="s">
        <v>68</v>
      </c>
      <c r="D3113" t="s">
        <v>43</v>
      </c>
      <c r="E3113" t="s">
        <v>44</v>
      </c>
      <c r="F3113" t="s">
        <v>45</v>
      </c>
      <c r="G3113" t="s">
        <v>74</v>
      </c>
      <c r="H3113" s="1">
        <v>44847</v>
      </c>
      <c r="I3113" s="2">
        <v>44847.0708333333</v>
      </c>
      <c r="J3113">
        <v>1.7</v>
      </c>
      <c r="K3113" t="s">
        <v>24</v>
      </c>
      <c r="L3113">
        <v>1</v>
      </c>
      <c r="M3113">
        <v>5</v>
      </c>
      <c r="N3113" t="s">
        <v>344</v>
      </c>
      <c r="O3113" s="3" t="str">
        <f>TEXT(Ticket_Table[[#This Row],[raised_date]],"YYYY-MM")</f>
        <v>2022-10</v>
      </c>
      <c r="P3113" s="3" t="str">
        <f>IF(Ticket_Table[[#This Row],[resolution_hrs]]&lt;=4,"Fast",IF(Ticket_Table[[#This Row],[resolution_hrs]]&lt;=24,"Normal",IF(Ticket_Table[[#This Row],[resolution_hrs]]&lt;=48,"Slow","Very Slow")))</f>
        <v>Fast</v>
      </c>
      <c r="Q3113" s="3">
        <f>YEAR(Ticket_Table[[#This Row],[raised_date]])</f>
        <v>2022</v>
      </c>
    </row>
    <row r="3114" spans="1:17">
      <c r="A3114" t="s">
        <v>3675</v>
      </c>
      <c r="B3114" t="s">
        <v>398</v>
      </c>
      <c r="C3114" t="s">
        <v>102</v>
      </c>
      <c r="D3114" t="s">
        <v>20</v>
      </c>
      <c r="E3114" t="s">
        <v>69</v>
      </c>
      <c r="F3114" t="s">
        <v>70</v>
      </c>
      <c r="G3114" t="s">
        <v>23</v>
      </c>
      <c r="H3114" s="1">
        <v>45273</v>
      </c>
      <c r="I3114" s="2">
        <v>45273.1541666667</v>
      </c>
      <c r="J3114">
        <v>3.7</v>
      </c>
      <c r="K3114" t="s">
        <v>24</v>
      </c>
      <c r="L3114">
        <v>0</v>
      </c>
      <c r="M3114">
        <v>4</v>
      </c>
      <c r="N3114" t="s">
        <v>495</v>
      </c>
      <c r="O3114" s="3" t="str">
        <f>TEXT(Ticket_Table[[#This Row],[raised_date]],"YYYY-MM")</f>
        <v>2023-12</v>
      </c>
      <c r="P3114" s="3" t="str">
        <f>IF(Ticket_Table[[#This Row],[resolution_hrs]]&lt;=4,"Fast",IF(Ticket_Table[[#This Row],[resolution_hrs]]&lt;=24,"Normal",IF(Ticket_Table[[#This Row],[resolution_hrs]]&lt;=48,"Slow","Very Slow")))</f>
        <v>Fast</v>
      </c>
      <c r="Q3114" s="3">
        <f>YEAR(Ticket_Table[[#This Row],[raised_date]])</f>
        <v>2023</v>
      </c>
    </row>
    <row r="3115" spans="1:17">
      <c r="A3115" t="s">
        <v>3676</v>
      </c>
      <c r="B3115" t="s">
        <v>760</v>
      </c>
      <c r="C3115" t="s">
        <v>102</v>
      </c>
      <c r="D3115" t="s">
        <v>36</v>
      </c>
      <c r="E3115" t="s">
        <v>21</v>
      </c>
      <c r="F3115" t="s">
        <v>38</v>
      </c>
      <c r="G3115" t="s">
        <v>46</v>
      </c>
      <c r="H3115" s="1">
        <v>44647</v>
      </c>
      <c r="I3115" s="2">
        <v>44648.4875</v>
      </c>
      <c r="J3115">
        <v>35.7</v>
      </c>
      <c r="K3115" t="s">
        <v>32</v>
      </c>
      <c r="L3115">
        <v>1</v>
      </c>
      <c r="M3115">
        <v>5</v>
      </c>
      <c r="N3115" t="s">
        <v>1080</v>
      </c>
      <c r="O3115" s="3" t="str">
        <f>TEXT(Ticket_Table[[#This Row],[raised_date]],"YYYY-MM")</f>
        <v>2022-03</v>
      </c>
      <c r="P3115" s="3" t="str">
        <f>IF(Ticket_Table[[#This Row],[resolution_hrs]]&lt;=4,"Fast",IF(Ticket_Table[[#This Row],[resolution_hrs]]&lt;=24,"Normal",IF(Ticket_Table[[#This Row],[resolution_hrs]]&lt;=48,"Slow","Very Slow")))</f>
        <v>Slow</v>
      </c>
      <c r="Q3115" s="3">
        <f>YEAR(Ticket_Table[[#This Row],[raised_date]])</f>
        <v>2022</v>
      </c>
    </row>
    <row r="3116" spans="1:17">
      <c r="A3116" t="s">
        <v>3677</v>
      </c>
      <c r="B3116" t="s">
        <v>594</v>
      </c>
      <c r="C3116" t="s">
        <v>287</v>
      </c>
      <c r="D3116" t="s">
        <v>29</v>
      </c>
      <c r="E3116" t="s">
        <v>30</v>
      </c>
      <c r="F3116" t="s">
        <v>38</v>
      </c>
      <c r="G3116" t="s">
        <v>31</v>
      </c>
      <c r="H3116" s="1">
        <v>44573</v>
      </c>
      <c r="I3116" s="2">
        <v>44574.3958333333</v>
      </c>
      <c r="J3116">
        <v>33.5</v>
      </c>
      <c r="K3116" t="s">
        <v>32</v>
      </c>
      <c r="L3116">
        <v>0</v>
      </c>
      <c r="M3116">
        <v>5</v>
      </c>
      <c r="N3116" t="s">
        <v>198</v>
      </c>
      <c r="O3116" s="3" t="str">
        <f>TEXT(Ticket_Table[[#This Row],[raised_date]],"YYYY-MM")</f>
        <v>2022-01</v>
      </c>
      <c r="P3116" s="3" t="str">
        <f>IF(Ticket_Table[[#This Row],[resolution_hrs]]&lt;=4,"Fast",IF(Ticket_Table[[#This Row],[resolution_hrs]]&lt;=24,"Normal",IF(Ticket_Table[[#This Row],[resolution_hrs]]&lt;=48,"Slow","Very Slow")))</f>
        <v>Slow</v>
      </c>
      <c r="Q3116" s="3">
        <f>YEAR(Ticket_Table[[#This Row],[raised_date]])</f>
        <v>2022</v>
      </c>
    </row>
    <row r="3117" spans="1:17">
      <c r="A3117" t="s">
        <v>3678</v>
      </c>
      <c r="B3117" t="s">
        <v>549</v>
      </c>
      <c r="C3117" t="s">
        <v>60</v>
      </c>
      <c r="D3117" t="s">
        <v>20</v>
      </c>
      <c r="E3117" t="s">
        <v>69</v>
      </c>
      <c r="F3117" t="s">
        <v>22</v>
      </c>
      <c r="G3117" t="s">
        <v>31</v>
      </c>
      <c r="H3117" s="1">
        <v>45263</v>
      </c>
      <c r="I3117" s="2">
        <v>45264.9416666667</v>
      </c>
      <c r="J3117">
        <v>46.6</v>
      </c>
      <c r="K3117" t="s">
        <v>24</v>
      </c>
      <c r="L3117">
        <v>0</v>
      </c>
      <c r="M3117">
        <v>4</v>
      </c>
      <c r="N3117" t="s">
        <v>589</v>
      </c>
      <c r="O3117" s="3" t="str">
        <f>TEXT(Ticket_Table[[#This Row],[raised_date]],"YYYY-MM")</f>
        <v>2023-12</v>
      </c>
      <c r="P3117" s="3" t="str">
        <f>IF(Ticket_Table[[#This Row],[resolution_hrs]]&lt;=4,"Fast",IF(Ticket_Table[[#This Row],[resolution_hrs]]&lt;=24,"Normal",IF(Ticket_Table[[#This Row],[resolution_hrs]]&lt;=48,"Slow","Very Slow")))</f>
        <v>Slow</v>
      </c>
      <c r="Q3117" s="3">
        <f>YEAR(Ticket_Table[[#This Row],[raised_date]])</f>
        <v>2023</v>
      </c>
    </row>
    <row r="3118" spans="1:17">
      <c r="A3118" t="s">
        <v>3679</v>
      </c>
      <c r="B3118" t="s">
        <v>554</v>
      </c>
      <c r="C3118" t="s">
        <v>133</v>
      </c>
      <c r="D3118" t="s">
        <v>36</v>
      </c>
      <c r="E3118" t="s">
        <v>44</v>
      </c>
      <c r="F3118" t="s">
        <v>70</v>
      </c>
      <c r="G3118" t="s">
        <v>74</v>
      </c>
      <c r="H3118" s="1">
        <v>44336</v>
      </c>
      <c r="I3118" s="2">
        <v>44337.8666666667</v>
      </c>
      <c r="J3118">
        <v>44.8</v>
      </c>
      <c r="K3118" t="s">
        <v>24</v>
      </c>
      <c r="L3118">
        <v>0</v>
      </c>
      <c r="M3118">
        <v>3</v>
      </c>
      <c r="N3118" t="s">
        <v>172</v>
      </c>
      <c r="O3118" s="3" t="str">
        <f>TEXT(Ticket_Table[[#This Row],[raised_date]],"YYYY-MM")</f>
        <v>2021-05</v>
      </c>
      <c r="P3118" s="3" t="str">
        <f>IF(Ticket_Table[[#This Row],[resolution_hrs]]&lt;=4,"Fast",IF(Ticket_Table[[#This Row],[resolution_hrs]]&lt;=24,"Normal",IF(Ticket_Table[[#This Row],[resolution_hrs]]&lt;=48,"Slow","Very Slow")))</f>
        <v>Slow</v>
      </c>
      <c r="Q3118" s="3">
        <f>YEAR(Ticket_Table[[#This Row],[raised_date]])</f>
        <v>2021</v>
      </c>
    </row>
    <row r="3119" spans="1:17">
      <c r="A3119" t="s">
        <v>3680</v>
      </c>
      <c r="B3119" t="s">
        <v>420</v>
      </c>
      <c r="C3119" t="s">
        <v>140</v>
      </c>
      <c r="D3119" t="s">
        <v>20</v>
      </c>
      <c r="E3119" t="s">
        <v>69</v>
      </c>
      <c r="F3119" t="s">
        <v>22</v>
      </c>
      <c r="G3119" t="s">
        <v>31</v>
      </c>
      <c r="H3119" s="1">
        <v>45231</v>
      </c>
      <c r="I3119" s="2">
        <v>45231.4458333333</v>
      </c>
      <c r="J3119">
        <v>10.7</v>
      </c>
      <c r="K3119" t="s">
        <v>24</v>
      </c>
      <c r="L3119">
        <v>0</v>
      </c>
      <c r="M3119">
        <v>3</v>
      </c>
      <c r="N3119" t="s">
        <v>1156</v>
      </c>
      <c r="O3119" s="3" t="str">
        <f>TEXT(Ticket_Table[[#This Row],[raised_date]],"YYYY-MM")</f>
        <v>2023-11</v>
      </c>
      <c r="P3119" s="3" t="str">
        <f>IF(Ticket_Table[[#This Row],[resolution_hrs]]&lt;=4,"Fast",IF(Ticket_Table[[#This Row],[resolution_hrs]]&lt;=24,"Normal",IF(Ticket_Table[[#This Row],[resolution_hrs]]&lt;=48,"Slow","Very Slow")))</f>
        <v>Normal</v>
      </c>
      <c r="Q3119" s="3">
        <f>YEAR(Ticket_Table[[#This Row],[raised_date]])</f>
        <v>2023</v>
      </c>
    </row>
    <row r="3120" spans="1:17">
      <c r="A3120" t="s">
        <v>3681</v>
      </c>
      <c r="B3120" t="s">
        <v>737</v>
      </c>
      <c r="C3120" t="s">
        <v>117</v>
      </c>
      <c r="D3120" t="s">
        <v>29</v>
      </c>
      <c r="E3120" t="s">
        <v>51</v>
      </c>
      <c r="F3120" t="s">
        <v>70</v>
      </c>
      <c r="G3120" t="s">
        <v>23</v>
      </c>
      <c r="H3120" s="1">
        <v>44523</v>
      </c>
      <c r="I3120" s="2">
        <v>44523.1916666667</v>
      </c>
      <c r="J3120">
        <v>4.6</v>
      </c>
      <c r="K3120" t="s">
        <v>24</v>
      </c>
      <c r="L3120">
        <v>1</v>
      </c>
      <c r="M3120">
        <v>2</v>
      </c>
      <c r="N3120" t="s">
        <v>35</v>
      </c>
      <c r="O3120" s="3" t="str">
        <f>TEXT(Ticket_Table[[#This Row],[raised_date]],"YYYY-MM")</f>
        <v>2021-11</v>
      </c>
      <c r="P3120" s="3" t="str">
        <f>IF(Ticket_Table[[#This Row],[resolution_hrs]]&lt;=4,"Fast",IF(Ticket_Table[[#This Row],[resolution_hrs]]&lt;=24,"Normal",IF(Ticket_Table[[#This Row],[resolution_hrs]]&lt;=48,"Slow","Very Slow")))</f>
        <v>Normal</v>
      </c>
      <c r="Q3120" s="3">
        <f>YEAR(Ticket_Table[[#This Row],[raised_date]])</f>
        <v>2021</v>
      </c>
    </row>
    <row r="3121" spans="1:17">
      <c r="A3121" t="s">
        <v>3682</v>
      </c>
      <c r="B3121" t="s">
        <v>237</v>
      </c>
      <c r="C3121" t="s">
        <v>140</v>
      </c>
      <c r="D3121" t="s">
        <v>20</v>
      </c>
      <c r="E3121" t="s">
        <v>51</v>
      </c>
      <c r="F3121" t="s">
        <v>22</v>
      </c>
      <c r="G3121" t="s">
        <v>23</v>
      </c>
      <c r="H3121" s="1">
        <v>45048</v>
      </c>
      <c r="I3121" s="2">
        <v>45049.8583333333</v>
      </c>
      <c r="J3121">
        <v>44.6</v>
      </c>
      <c r="K3121" t="s">
        <v>24</v>
      </c>
      <c r="L3121">
        <v>2</v>
      </c>
      <c r="M3121">
        <v>4</v>
      </c>
      <c r="N3121" t="s">
        <v>438</v>
      </c>
      <c r="O3121" s="3" t="str">
        <f>TEXT(Ticket_Table[[#This Row],[raised_date]],"YYYY-MM")</f>
        <v>2023-05</v>
      </c>
      <c r="P3121" s="3" t="str">
        <f>IF(Ticket_Table[[#This Row],[resolution_hrs]]&lt;=4,"Fast",IF(Ticket_Table[[#This Row],[resolution_hrs]]&lt;=24,"Normal",IF(Ticket_Table[[#This Row],[resolution_hrs]]&lt;=48,"Slow","Very Slow")))</f>
        <v>Slow</v>
      </c>
      <c r="Q3121" s="3">
        <f>YEAR(Ticket_Table[[#This Row],[raised_date]])</f>
        <v>2023</v>
      </c>
    </row>
    <row r="3122" spans="1:17">
      <c r="A3122" t="s">
        <v>3683</v>
      </c>
      <c r="B3122" t="s">
        <v>903</v>
      </c>
      <c r="C3122" t="s">
        <v>213</v>
      </c>
      <c r="D3122" t="s">
        <v>20</v>
      </c>
      <c r="E3122" t="s">
        <v>30</v>
      </c>
      <c r="F3122" t="s">
        <v>22</v>
      </c>
      <c r="G3122" t="s">
        <v>23</v>
      </c>
      <c r="H3122" s="1">
        <v>45023</v>
      </c>
      <c r="I3122" s="2">
        <v>45024.4083333333</v>
      </c>
      <c r="J3122">
        <v>33.8</v>
      </c>
      <c r="K3122" t="s">
        <v>24</v>
      </c>
      <c r="L3122">
        <v>0</v>
      </c>
      <c r="M3122">
        <v>4</v>
      </c>
      <c r="N3122" t="s">
        <v>138</v>
      </c>
      <c r="O3122" s="3" t="str">
        <f>TEXT(Ticket_Table[[#This Row],[raised_date]],"YYYY-MM")</f>
        <v>2023-04</v>
      </c>
      <c r="P3122" s="3" t="str">
        <f>IF(Ticket_Table[[#This Row],[resolution_hrs]]&lt;=4,"Fast",IF(Ticket_Table[[#This Row],[resolution_hrs]]&lt;=24,"Normal",IF(Ticket_Table[[#This Row],[resolution_hrs]]&lt;=48,"Slow","Very Slow")))</f>
        <v>Slow</v>
      </c>
      <c r="Q3122" s="3">
        <f>YEAR(Ticket_Table[[#This Row],[raised_date]])</f>
        <v>2023</v>
      </c>
    </row>
    <row r="3123" spans="1:17">
      <c r="A3123" t="s">
        <v>3684</v>
      </c>
      <c r="B3123" t="s">
        <v>107</v>
      </c>
      <c r="C3123" t="s">
        <v>140</v>
      </c>
      <c r="D3123" t="s">
        <v>36</v>
      </c>
      <c r="E3123" t="s">
        <v>30</v>
      </c>
      <c r="F3123" t="s">
        <v>70</v>
      </c>
      <c r="G3123" t="s">
        <v>31</v>
      </c>
      <c r="H3123" s="1">
        <v>44385</v>
      </c>
      <c r="I3123" s="2">
        <v>44386.9166666667</v>
      </c>
      <c r="J3123">
        <v>46</v>
      </c>
      <c r="K3123" t="s">
        <v>24</v>
      </c>
      <c r="L3123">
        <v>1</v>
      </c>
      <c r="M3123">
        <v>4</v>
      </c>
      <c r="N3123" t="s">
        <v>835</v>
      </c>
      <c r="O3123" s="3" t="str">
        <f>TEXT(Ticket_Table[[#This Row],[raised_date]],"YYYY-MM")</f>
        <v>2021-07</v>
      </c>
      <c r="P3123" s="3" t="str">
        <f>IF(Ticket_Table[[#This Row],[resolution_hrs]]&lt;=4,"Fast",IF(Ticket_Table[[#This Row],[resolution_hrs]]&lt;=24,"Normal",IF(Ticket_Table[[#This Row],[resolution_hrs]]&lt;=48,"Slow","Very Slow")))</f>
        <v>Slow</v>
      </c>
      <c r="Q3123" s="3">
        <f>YEAR(Ticket_Table[[#This Row],[raised_date]])</f>
        <v>2021</v>
      </c>
    </row>
    <row r="3124" spans="1:17">
      <c r="A3124" t="s">
        <v>3685</v>
      </c>
      <c r="B3124" t="s">
        <v>148</v>
      </c>
      <c r="C3124" t="s">
        <v>287</v>
      </c>
      <c r="D3124" t="s">
        <v>90</v>
      </c>
      <c r="E3124" t="s">
        <v>30</v>
      </c>
      <c r="F3124" t="s">
        <v>70</v>
      </c>
      <c r="G3124" t="s">
        <v>31</v>
      </c>
      <c r="H3124" s="1">
        <v>44912</v>
      </c>
      <c r="I3124" s="2">
        <v>44912.725</v>
      </c>
      <c r="J3124">
        <v>17.4</v>
      </c>
      <c r="K3124" t="s">
        <v>24</v>
      </c>
      <c r="L3124">
        <v>1</v>
      </c>
      <c r="M3124">
        <v>4</v>
      </c>
      <c r="N3124" t="s">
        <v>924</v>
      </c>
      <c r="O3124" s="3" t="str">
        <f>TEXT(Ticket_Table[[#This Row],[raised_date]],"YYYY-MM")</f>
        <v>2022-12</v>
      </c>
      <c r="P3124" s="3" t="str">
        <f>IF(Ticket_Table[[#This Row],[resolution_hrs]]&lt;=4,"Fast",IF(Ticket_Table[[#This Row],[resolution_hrs]]&lt;=24,"Normal",IF(Ticket_Table[[#This Row],[resolution_hrs]]&lt;=48,"Slow","Very Slow")))</f>
        <v>Normal</v>
      </c>
      <c r="Q3124" s="3">
        <f>YEAR(Ticket_Table[[#This Row],[raised_date]])</f>
        <v>2022</v>
      </c>
    </row>
    <row r="3125" spans="1:17">
      <c r="A3125" t="s">
        <v>3686</v>
      </c>
      <c r="B3125" t="s">
        <v>235</v>
      </c>
      <c r="C3125" t="s">
        <v>55</v>
      </c>
      <c r="D3125" t="s">
        <v>20</v>
      </c>
      <c r="E3125" t="s">
        <v>56</v>
      </c>
      <c r="F3125" t="s">
        <v>70</v>
      </c>
      <c r="G3125" t="s">
        <v>31</v>
      </c>
      <c r="H3125" s="1">
        <v>44650</v>
      </c>
      <c r="I3125" s="2">
        <v>44651.0375</v>
      </c>
      <c r="J3125">
        <v>24.9</v>
      </c>
      <c r="K3125" t="s">
        <v>24</v>
      </c>
      <c r="L3125">
        <v>2</v>
      </c>
      <c r="M3125">
        <v>5</v>
      </c>
      <c r="N3125" t="s">
        <v>607</v>
      </c>
      <c r="O3125" s="3" t="str">
        <f>TEXT(Ticket_Table[[#This Row],[raised_date]],"YYYY-MM")</f>
        <v>2022-03</v>
      </c>
      <c r="P3125" s="3" t="str">
        <f>IF(Ticket_Table[[#This Row],[resolution_hrs]]&lt;=4,"Fast",IF(Ticket_Table[[#This Row],[resolution_hrs]]&lt;=24,"Normal",IF(Ticket_Table[[#This Row],[resolution_hrs]]&lt;=48,"Slow","Very Slow")))</f>
        <v>Slow</v>
      </c>
      <c r="Q3125" s="3">
        <f>YEAR(Ticket_Table[[#This Row],[raised_date]])</f>
        <v>2022</v>
      </c>
    </row>
    <row r="3126" spans="1:17">
      <c r="A3126" t="s">
        <v>3687</v>
      </c>
      <c r="B3126" t="s">
        <v>251</v>
      </c>
      <c r="C3126" t="s">
        <v>19</v>
      </c>
      <c r="D3126" t="s">
        <v>90</v>
      </c>
      <c r="E3126" t="s">
        <v>37</v>
      </c>
      <c r="F3126" t="s">
        <v>22</v>
      </c>
      <c r="G3126" t="s">
        <v>23</v>
      </c>
      <c r="H3126" s="1">
        <v>44633</v>
      </c>
      <c r="I3126" s="2">
        <v>44635.1791666667</v>
      </c>
      <c r="J3126">
        <v>52.3</v>
      </c>
      <c r="K3126" t="s">
        <v>24</v>
      </c>
      <c r="L3126">
        <v>0</v>
      </c>
      <c r="M3126">
        <v>3</v>
      </c>
      <c r="N3126" t="s">
        <v>1223</v>
      </c>
      <c r="O3126" s="3" t="str">
        <f>TEXT(Ticket_Table[[#This Row],[raised_date]],"YYYY-MM")</f>
        <v>2022-03</v>
      </c>
      <c r="P3126" s="3" t="str">
        <f>IF(Ticket_Table[[#This Row],[resolution_hrs]]&lt;=4,"Fast",IF(Ticket_Table[[#This Row],[resolution_hrs]]&lt;=24,"Normal",IF(Ticket_Table[[#This Row],[resolution_hrs]]&lt;=48,"Slow","Very Slow")))</f>
        <v>Very Slow</v>
      </c>
      <c r="Q3126" s="3">
        <f>YEAR(Ticket_Table[[#This Row],[raised_date]])</f>
        <v>2022</v>
      </c>
    </row>
    <row r="3127" spans="1:17">
      <c r="A3127" t="s">
        <v>3688</v>
      </c>
      <c r="B3127" t="s">
        <v>163</v>
      </c>
      <c r="C3127" t="s">
        <v>19</v>
      </c>
      <c r="D3127" t="s">
        <v>43</v>
      </c>
      <c r="E3127" t="s">
        <v>69</v>
      </c>
      <c r="F3127" t="s">
        <v>70</v>
      </c>
      <c r="G3127" t="s">
        <v>31</v>
      </c>
      <c r="H3127" s="1">
        <v>44876</v>
      </c>
      <c r="I3127" s="2">
        <v>44877.55</v>
      </c>
      <c r="J3127">
        <v>37.2</v>
      </c>
      <c r="K3127" t="s">
        <v>24</v>
      </c>
      <c r="L3127">
        <v>0</v>
      </c>
      <c r="M3127">
        <v>5</v>
      </c>
      <c r="N3127" t="s">
        <v>442</v>
      </c>
      <c r="O3127" s="3" t="str">
        <f>TEXT(Ticket_Table[[#This Row],[raised_date]],"YYYY-MM")</f>
        <v>2022-11</v>
      </c>
      <c r="P3127" s="3" t="str">
        <f>IF(Ticket_Table[[#This Row],[resolution_hrs]]&lt;=4,"Fast",IF(Ticket_Table[[#This Row],[resolution_hrs]]&lt;=24,"Normal",IF(Ticket_Table[[#This Row],[resolution_hrs]]&lt;=48,"Slow","Very Slow")))</f>
        <v>Slow</v>
      </c>
      <c r="Q3127" s="3">
        <f>YEAR(Ticket_Table[[#This Row],[raised_date]])</f>
        <v>2022</v>
      </c>
    </row>
    <row r="3128" spans="1:17">
      <c r="A3128" t="s">
        <v>3689</v>
      </c>
      <c r="B3128" t="s">
        <v>59</v>
      </c>
      <c r="C3128" t="s">
        <v>213</v>
      </c>
      <c r="D3128" t="s">
        <v>20</v>
      </c>
      <c r="E3128" t="s">
        <v>106</v>
      </c>
      <c r="F3128" t="s">
        <v>22</v>
      </c>
      <c r="G3128" t="s">
        <v>91</v>
      </c>
      <c r="H3128" s="1">
        <v>44875</v>
      </c>
      <c r="I3128" s="2">
        <v>44877.9125</v>
      </c>
      <c r="J3128">
        <v>69.9</v>
      </c>
      <c r="K3128" t="s">
        <v>24</v>
      </c>
      <c r="L3128">
        <v>0</v>
      </c>
      <c r="M3128">
        <v>2</v>
      </c>
      <c r="N3128" t="s">
        <v>767</v>
      </c>
      <c r="O3128" s="3" t="str">
        <f>TEXT(Ticket_Table[[#This Row],[raised_date]],"YYYY-MM")</f>
        <v>2022-11</v>
      </c>
      <c r="P3128" s="3" t="str">
        <f>IF(Ticket_Table[[#This Row],[resolution_hrs]]&lt;=4,"Fast",IF(Ticket_Table[[#This Row],[resolution_hrs]]&lt;=24,"Normal",IF(Ticket_Table[[#This Row],[resolution_hrs]]&lt;=48,"Slow","Very Slow")))</f>
        <v>Very Slow</v>
      </c>
      <c r="Q3128" s="3">
        <f>YEAR(Ticket_Table[[#This Row],[raised_date]])</f>
        <v>2022</v>
      </c>
    </row>
    <row r="3129" spans="1:17">
      <c r="A3129" t="s">
        <v>3690</v>
      </c>
      <c r="B3129" t="s">
        <v>1013</v>
      </c>
      <c r="C3129" t="s">
        <v>28</v>
      </c>
      <c r="D3129" t="s">
        <v>90</v>
      </c>
      <c r="E3129" t="s">
        <v>166</v>
      </c>
      <c r="F3129" t="s">
        <v>70</v>
      </c>
      <c r="G3129" t="s">
        <v>23</v>
      </c>
      <c r="H3129" s="1">
        <v>44935</v>
      </c>
      <c r="I3129" s="2">
        <v>44935.9416666667</v>
      </c>
      <c r="J3129">
        <v>22.6</v>
      </c>
      <c r="K3129" t="s">
        <v>24</v>
      </c>
      <c r="L3129">
        <v>0</v>
      </c>
      <c r="M3129">
        <v>4</v>
      </c>
      <c r="N3129" t="s">
        <v>947</v>
      </c>
      <c r="O3129" s="3" t="str">
        <f>TEXT(Ticket_Table[[#This Row],[raised_date]],"YYYY-MM")</f>
        <v>2023-01</v>
      </c>
      <c r="P3129" s="3" t="str">
        <f>IF(Ticket_Table[[#This Row],[resolution_hrs]]&lt;=4,"Fast",IF(Ticket_Table[[#This Row],[resolution_hrs]]&lt;=24,"Normal",IF(Ticket_Table[[#This Row],[resolution_hrs]]&lt;=48,"Slow","Very Slow")))</f>
        <v>Normal</v>
      </c>
      <c r="Q3129" s="3">
        <f>YEAR(Ticket_Table[[#This Row],[raised_date]])</f>
        <v>2023</v>
      </c>
    </row>
    <row r="3130" spans="1:17">
      <c r="A3130" t="s">
        <v>3691</v>
      </c>
      <c r="B3130" t="s">
        <v>124</v>
      </c>
      <c r="C3130" t="s">
        <v>68</v>
      </c>
      <c r="D3130" t="s">
        <v>43</v>
      </c>
      <c r="E3130" t="s">
        <v>30</v>
      </c>
      <c r="F3130" t="s">
        <v>70</v>
      </c>
      <c r="G3130" t="s">
        <v>46</v>
      </c>
      <c r="H3130" s="1">
        <v>44798</v>
      </c>
      <c r="I3130" s="2">
        <v>44798.8375</v>
      </c>
      <c r="J3130">
        <v>20.1</v>
      </c>
      <c r="K3130" t="s">
        <v>24</v>
      </c>
      <c r="L3130">
        <v>0</v>
      </c>
      <c r="M3130">
        <v>4</v>
      </c>
      <c r="N3130" t="s">
        <v>576</v>
      </c>
      <c r="O3130" s="3" t="str">
        <f>TEXT(Ticket_Table[[#This Row],[raised_date]],"YYYY-MM")</f>
        <v>2022-08</v>
      </c>
      <c r="P3130" s="3" t="str">
        <f>IF(Ticket_Table[[#This Row],[resolution_hrs]]&lt;=4,"Fast",IF(Ticket_Table[[#This Row],[resolution_hrs]]&lt;=24,"Normal",IF(Ticket_Table[[#This Row],[resolution_hrs]]&lt;=48,"Slow","Very Slow")))</f>
        <v>Normal</v>
      </c>
      <c r="Q3130" s="3">
        <f>YEAR(Ticket_Table[[#This Row],[raised_date]])</f>
        <v>2022</v>
      </c>
    </row>
    <row r="3131" spans="1:17">
      <c r="A3131" t="s">
        <v>3692</v>
      </c>
      <c r="B3131" t="s">
        <v>652</v>
      </c>
      <c r="C3131" t="s">
        <v>19</v>
      </c>
      <c r="D3131" t="s">
        <v>36</v>
      </c>
      <c r="E3131" t="s">
        <v>83</v>
      </c>
      <c r="F3131" t="s">
        <v>70</v>
      </c>
      <c r="G3131" t="s">
        <v>31</v>
      </c>
      <c r="H3131" s="1">
        <v>44644</v>
      </c>
      <c r="I3131" s="2">
        <v>44644.8708333333</v>
      </c>
      <c r="J3131">
        <v>20.9</v>
      </c>
      <c r="K3131" t="s">
        <v>24</v>
      </c>
      <c r="L3131">
        <v>3</v>
      </c>
      <c r="M3131">
        <v>4</v>
      </c>
      <c r="N3131" t="s">
        <v>474</v>
      </c>
      <c r="O3131" s="3" t="str">
        <f>TEXT(Ticket_Table[[#This Row],[raised_date]],"YYYY-MM")</f>
        <v>2022-03</v>
      </c>
      <c r="P3131" s="3" t="str">
        <f>IF(Ticket_Table[[#This Row],[resolution_hrs]]&lt;=4,"Fast",IF(Ticket_Table[[#This Row],[resolution_hrs]]&lt;=24,"Normal",IF(Ticket_Table[[#This Row],[resolution_hrs]]&lt;=48,"Slow","Very Slow")))</f>
        <v>Normal</v>
      </c>
      <c r="Q3131" s="3">
        <f>YEAR(Ticket_Table[[#This Row],[raised_date]])</f>
        <v>2022</v>
      </c>
    </row>
    <row r="3132" spans="1:17">
      <c r="A3132" t="s">
        <v>3693</v>
      </c>
      <c r="B3132" t="s">
        <v>204</v>
      </c>
      <c r="C3132" t="s">
        <v>19</v>
      </c>
      <c r="D3132" t="s">
        <v>20</v>
      </c>
      <c r="E3132" t="s">
        <v>51</v>
      </c>
      <c r="F3132" t="s">
        <v>38</v>
      </c>
      <c r="G3132" t="s">
        <v>91</v>
      </c>
      <c r="H3132" s="1">
        <v>45283</v>
      </c>
      <c r="I3132" s="2">
        <v>45283.5541666667</v>
      </c>
      <c r="J3132">
        <v>13.3</v>
      </c>
      <c r="K3132" t="s">
        <v>24</v>
      </c>
      <c r="L3132">
        <v>2</v>
      </c>
      <c r="M3132">
        <v>4</v>
      </c>
      <c r="N3132" t="s">
        <v>509</v>
      </c>
      <c r="O3132" s="3" t="str">
        <f>TEXT(Ticket_Table[[#This Row],[raised_date]],"YYYY-MM")</f>
        <v>2023-12</v>
      </c>
      <c r="P3132" s="3" t="str">
        <f>IF(Ticket_Table[[#This Row],[resolution_hrs]]&lt;=4,"Fast",IF(Ticket_Table[[#This Row],[resolution_hrs]]&lt;=24,"Normal",IF(Ticket_Table[[#This Row],[resolution_hrs]]&lt;=48,"Slow","Very Slow")))</f>
        <v>Normal</v>
      </c>
      <c r="Q3132" s="3">
        <f>YEAR(Ticket_Table[[#This Row],[raised_date]])</f>
        <v>2023</v>
      </c>
    </row>
    <row r="3133" spans="1:17">
      <c r="A3133" t="s">
        <v>3694</v>
      </c>
      <c r="B3133" t="s">
        <v>597</v>
      </c>
      <c r="C3133" t="s">
        <v>175</v>
      </c>
      <c r="D3133" t="s">
        <v>36</v>
      </c>
      <c r="E3133" t="s">
        <v>51</v>
      </c>
      <c r="F3133" t="s">
        <v>70</v>
      </c>
      <c r="G3133" t="s">
        <v>46</v>
      </c>
      <c r="H3133" s="1">
        <v>45169</v>
      </c>
      <c r="I3133" s="2">
        <v>45170.2791666667</v>
      </c>
      <c r="J3133">
        <v>30.7</v>
      </c>
      <c r="K3133" t="s">
        <v>24</v>
      </c>
      <c r="L3133">
        <v>0</v>
      </c>
      <c r="M3133">
        <v>3</v>
      </c>
      <c r="N3133" t="s">
        <v>802</v>
      </c>
      <c r="O3133" s="3" t="str">
        <f>TEXT(Ticket_Table[[#This Row],[raised_date]],"YYYY-MM")</f>
        <v>2023-08</v>
      </c>
      <c r="P3133" s="3" t="str">
        <f>IF(Ticket_Table[[#This Row],[resolution_hrs]]&lt;=4,"Fast",IF(Ticket_Table[[#This Row],[resolution_hrs]]&lt;=24,"Normal",IF(Ticket_Table[[#This Row],[resolution_hrs]]&lt;=48,"Slow","Very Slow")))</f>
        <v>Slow</v>
      </c>
      <c r="Q3133" s="3">
        <f>YEAR(Ticket_Table[[#This Row],[raised_date]])</f>
        <v>2023</v>
      </c>
    </row>
    <row r="3134" spans="1:17">
      <c r="A3134" t="s">
        <v>3695</v>
      </c>
      <c r="B3134" t="s">
        <v>35</v>
      </c>
      <c r="C3134" t="s">
        <v>102</v>
      </c>
      <c r="D3134" t="s">
        <v>43</v>
      </c>
      <c r="E3134" t="s">
        <v>21</v>
      </c>
      <c r="F3134" t="s">
        <v>38</v>
      </c>
      <c r="G3134" t="s">
        <v>23</v>
      </c>
      <c r="H3134" s="1">
        <v>44215</v>
      </c>
      <c r="I3134" s="2">
        <v>44215.5083333333</v>
      </c>
      <c r="J3134">
        <v>12.2</v>
      </c>
      <c r="K3134" t="s">
        <v>24</v>
      </c>
      <c r="L3134">
        <v>0</v>
      </c>
      <c r="M3134">
        <v>3</v>
      </c>
      <c r="N3134" t="s">
        <v>1100</v>
      </c>
      <c r="O3134" s="3" t="str">
        <f>TEXT(Ticket_Table[[#This Row],[raised_date]],"YYYY-MM")</f>
        <v>2021-01</v>
      </c>
      <c r="P3134" s="3" t="str">
        <f>IF(Ticket_Table[[#This Row],[resolution_hrs]]&lt;=4,"Fast",IF(Ticket_Table[[#This Row],[resolution_hrs]]&lt;=24,"Normal",IF(Ticket_Table[[#This Row],[resolution_hrs]]&lt;=48,"Slow","Very Slow")))</f>
        <v>Normal</v>
      </c>
      <c r="Q3134" s="3">
        <f>YEAR(Ticket_Table[[#This Row],[raised_date]])</f>
        <v>2021</v>
      </c>
    </row>
    <row r="3135" spans="1:17">
      <c r="A3135" t="s">
        <v>3696</v>
      </c>
      <c r="B3135" t="s">
        <v>1107</v>
      </c>
      <c r="C3135" t="s">
        <v>82</v>
      </c>
      <c r="D3135" t="s">
        <v>36</v>
      </c>
      <c r="E3135" t="s">
        <v>166</v>
      </c>
      <c r="F3135" t="s">
        <v>70</v>
      </c>
      <c r="G3135" t="s">
        <v>74</v>
      </c>
      <c r="H3135" s="1">
        <v>44431</v>
      </c>
      <c r="I3135" s="2">
        <v>44431.1833333333</v>
      </c>
      <c r="J3135">
        <v>4.4</v>
      </c>
      <c r="K3135" t="s">
        <v>24</v>
      </c>
      <c r="L3135">
        <v>0</v>
      </c>
      <c r="M3135">
        <v>3</v>
      </c>
      <c r="N3135" t="s">
        <v>307</v>
      </c>
      <c r="O3135" s="3" t="str">
        <f>TEXT(Ticket_Table[[#This Row],[raised_date]],"YYYY-MM")</f>
        <v>2021-08</v>
      </c>
      <c r="P3135" s="3" t="str">
        <f>IF(Ticket_Table[[#This Row],[resolution_hrs]]&lt;=4,"Fast",IF(Ticket_Table[[#This Row],[resolution_hrs]]&lt;=24,"Normal",IF(Ticket_Table[[#This Row],[resolution_hrs]]&lt;=48,"Slow","Very Slow")))</f>
        <v>Normal</v>
      </c>
      <c r="Q3135" s="3">
        <f>YEAR(Ticket_Table[[#This Row],[raised_date]])</f>
        <v>2021</v>
      </c>
    </row>
    <row r="3136" spans="1:17">
      <c r="A3136" t="s">
        <v>3697</v>
      </c>
      <c r="B3136" t="s">
        <v>296</v>
      </c>
      <c r="C3136" t="s">
        <v>28</v>
      </c>
      <c r="D3136" t="s">
        <v>36</v>
      </c>
      <c r="E3136" t="s">
        <v>69</v>
      </c>
      <c r="F3136" t="s">
        <v>70</v>
      </c>
      <c r="G3136" t="s">
        <v>31</v>
      </c>
      <c r="H3136" s="1">
        <v>44905</v>
      </c>
      <c r="I3136" s="2">
        <v>44905.1625</v>
      </c>
      <c r="J3136">
        <v>3.9</v>
      </c>
      <c r="K3136" t="s">
        <v>24</v>
      </c>
      <c r="L3136">
        <v>0</v>
      </c>
      <c r="M3136">
        <v>4</v>
      </c>
      <c r="N3136" t="s">
        <v>77</v>
      </c>
      <c r="O3136" s="3" t="str">
        <f>TEXT(Ticket_Table[[#This Row],[raised_date]],"YYYY-MM")</f>
        <v>2022-12</v>
      </c>
      <c r="P3136" s="3" t="str">
        <f>IF(Ticket_Table[[#This Row],[resolution_hrs]]&lt;=4,"Fast",IF(Ticket_Table[[#This Row],[resolution_hrs]]&lt;=24,"Normal",IF(Ticket_Table[[#This Row],[resolution_hrs]]&lt;=48,"Slow","Very Slow")))</f>
        <v>Fast</v>
      </c>
      <c r="Q3136" s="3">
        <f>YEAR(Ticket_Table[[#This Row],[raised_date]])</f>
        <v>2022</v>
      </c>
    </row>
    <row r="3137" spans="1:17">
      <c r="A3137" t="s">
        <v>3698</v>
      </c>
      <c r="B3137" t="s">
        <v>1123</v>
      </c>
      <c r="C3137" t="s">
        <v>261</v>
      </c>
      <c r="D3137" t="s">
        <v>29</v>
      </c>
      <c r="E3137" t="s">
        <v>44</v>
      </c>
      <c r="F3137" t="s">
        <v>70</v>
      </c>
      <c r="G3137" t="s">
        <v>31</v>
      </c>
      <c r="H3137" s="1">
        <v>45109</v>
      </c>
      <c r="I3137" s="2">
        <v>45109.1958333333</v>
      </c>
      <c r="J3137">
        <v>4.7</v>
      </c>
      <c r="K3137" t="s">
        <v>24</v>
      </c>
      <c r="L3137">
        <v>0</v>
      </c>
      <c r="M3137">
        <v>4</v>
      </c>
      <c r="N3137" t="s">
        <v>479</v>
      </c>
      <c r="O3137" s="3" t="str">
        <f>TEXT(Ticket_Table[[#This Row],[raised_date]],"YYYY-MM")</f>
        <v>2023-07</v>
      </c>
      <c r="P3137" s="3" t="str">
        <f>IF(Ticket_Table[[#This Row],[resolution_hrs]]&lt;=4,"Fast",IF(Ticket_Table[[#This Row],[resolution_hrs]]&lt;=24,"Normal",IF(Ticket_Table[[#This Row],[resolution_hrs]]&lt;=48,"Slow","Very Slow")))</f>
        <v>Normal</v>
      </c>
      <c r="Q3137" s="3">
        <f>YEAR(Ticket_Table[[#This Row],[raised_date]])</f>
        <v>2023</v>
      </c>
    </row>
    <row r="3138" spans="1:17">
      <c r="A3138" t="s">
        <v>3699</v>
      </c>
      <c r="B3138" t="s">
        <v>87</v>
      </c>
      <c r="C3138" t="s">
        <v>201</v>
      </c>
      <c r="D3138" t="s">
        <v>43</v>
      </c>
      <c r="E3138" t="s">
        <v>166</v>
      </c>
      <c r="F3138" t="s">
        <v>22</v>
      </c>
      <c r="G3138" t="s">
        <v>23</v>
      </c>
      <c r="H3138" s="1">
        <v>44689</v>
      </c>
      <c r="I3138" s="2">
        <v>44692.3625</v>
      </c>
      <c r="J3138">
        <v>80.7</v>
      </c>
      <c r="K3138" t="s">
        <v>32</v>
      </c>
      <c r="L3138">
        <v>1</v>
      </c>
      <c r="M3138">
        <v>4</v>
      </c>
      <c r="N3138" t="s">
        <v>466</v>
      </c>
      <c r="O3138" s="3" t="str">
        <f>TEXT(Ticket_Table[[#This Row],[raised_date]],"YYYY-MM")</f>
        <v>2022-05</v>
      </c>
      <c r="P3138" s="3" t="str">
        <f>IF(Ticket_Table[[#This Row],[resolution_hrs]]&lt;=4,"Fast",IF(Ticket_Table[[#This Row],[resolution_hrs]]&lt;=24,"Normal",IF(Ticket_Table[[#This Row],[resolution_hrs]]&lt;=48,"Slow","Very Slow")))</f>
        <v>Very Slow</v>
      </c>
      <c r="Q3138" s="3">
        <f>YEAR(Ticket_Table[[#This Row],[raised_date]])</f>
        <v>2022</v>
      </c>
    </row>
    <row r="3139" spans="1:17">
      <c r="A3139" t="s">
        <v>3700</v>
      </c>
      <c r="B3139" t="s">
        <v>25</v>
      </c>
      <c r="C3139" t="s">
        <v>95</v>
      </c>
      <c r="D3139" t="s">
        <v>36</v>
      </c>
      <c r="E3139" t="s">
        <v>37</v>
      </c>
      <c r="F3139" t="s">
        <v>38</v>
      </c>
      <c r="G3139" t="s">
        <v>23</v>
      </c>
      <c r="H3139" s="1">
        <v>44696</v>
      </c>
      <c r="I3139" s="2">
        <v>44696.35</v>
      </c>
      <c r="J3139">
        <v>8.4</v>
      </c>
      <c r="K3139" t="s">
        <v>24</v>
      </c>
      <c r="L3139">
        <v>0</v>
      </c>
      <c r="M3139">
        <v>5</v>
      </c>
      <c r="N3139" t="s">
        <v>157</v>
      </c>
      <c r="O3139" s="3" t="str">
        <f>TEXT(Ticket_Table[[#This Row],[raised_date]],"YYYY-MM")</f>
        <v>2022-05</v>
      </c>
      <c r="P3139" s="3" t="str">
        <f>IF(Ticket_Table[[#This Row],[resolution_hrs]]&lt;=4,"Fast",IF(Ticket_Table[[#This Row],[resolution_hrs]]&lt;=24,"Normal",IF(Ticket_Table[[#This Row],[resolution_hrs]]&lt;=48,"Slow","Very Slow")))</f>
        <v>Normal</v>
      </c>
      <c r="Q3139" s="3">
        <f>YEAR(Ticket_Table[[#This Row],[raised_date]])</f>
        <v>2022</v>
      </c>
    </row>
    <row r="3140" spans="1:17">
      <c r="A3140" t="s">
        <v>3701</v>
      </c>
      <c r="B3140" t="s">
        <v>658</v>
      </c>
      <c r="C3140" t="s">
        <v>55</v>
      </c>
      <c r="D3140" t="s">
        <v>90</v>
      </c>
      <c r="E3140" t="s">
        <v>30</v>
      </c>
      <c r="F3140" t="s">
        <v>70</v>
      </c>
      <c r="G3140" t="s">
        <v>31</v>
      </c>
      <c r="H3140" s="1">
        <v>44278</v>
      </c>
      <c r="I3140" s="2">
        <v>44279.4375</v>
      </c>
      <c r="J3140">
        <v>34.5</v>
      </c>
      <c r="K3140" t="s">
        <v>24</v>
      </c>
      <c r="L3140">
        <v>0</v>
      </c>
      <c r="M3140">
        <v>5</v>
      </c>
      <c r="N3140" t="s">
        <v>899</v>
      </c>
      <c r="O3140" s="3" t="str">
        <f>TEXT(Ticket_Table[[#This Row],[raised_date]],"YYYY-MM")</f>
        <v>2021-03</v>
      </c>
      <c r="P3140" s="3" t="str">
        <f>IF(Ticket_Table[[#This Row],[resolution_hrs]]&lt;=4,"Fast",IF(Ticket_Table[[#This Row],[resolution_hrs]]&lt;=24,"Normal",IF(Ticket_Table[[#This Row],[resolution_hrs]]&lt;=48,"Slow","Very Slow")))</f>
        <v>Slow</v>
      </c>
      <c r="Q3140" s="3">
        <f>YEAR(Ticket_Table[[#This Row],[raised_date]])</f>
        <v>2021</v>
      </c>
    </row>
    <row r="3141" spans="1:17">
      <c r="A3141" t="s">
        <v>3702</v>
      </c>
      <c r="B3141" t="s">
        <v>942</v>
      </c>
      <c r="C3141" t="s">
        <v>60</v>
      </c>
      <c r="D3141" t="s">
        <v>43</v>
      </c>
      <c r="E3141" t="s">
        <v>83</v>
      </c>
      <c r="F3141" t="s">
        <v>70</v>
      </c>
      <c r="G3141" t="s">
        <v>46</v>
      </c>
      <c r="H3141" s="1">
        <v>44854</v>
      </c>
      <c r="I3141" s="2">
        <v>44856.7291666667</v>
      </c>
      <c r="J3141">
        <v>65.5</v>
      </c>
      <c r="K3141" t="s">
        <v>32</v>
      </c>
      <c r="L3141">
        <v>0</v>
      </c>
      <c r="M3141">
        <v>4</v>
      </c>
      <c r="N3141" t="s">
        <v>1051</v>
      </c>
      <c r="O3141" s="3" t="str">
        <f>TEXT(Ticket_Table[[#This Row],[raised_date]],"YYYY-MM")</f>
        <v>2022-10</v>
      </c>
      <c r="P3141" s="3" t="str">
        <f>IF(Ticket_Table[[#This Row],[resolution_hrs]]&lt;=4,"Fast",IF(Ticket_Table[[#This Row],[resolution_hrs]]&lt;=24,"Normal",IF(Ticket_Table[[#This Row],[resolution_hrs]]&lt;=48,"Slow","Very Slow")))</f>
        <v>Very Slow</v>
      </c>
      <c r="Q3141" s="3">
        <f>YEAR(Ticket_Table[[#This Row],[raised_date]])</f>
        <v>2022</v>
      </c>
    </row>
    <row r="3142" spans="1:17">
      <c r="A3142" t="s">
        <v>3703</v>
      </c>
      <c r="B3142" t="s">
        <v>906</v>
      </c>
      <c r="C3142" t="s">
        <v>60</v>
      </c>
      <c r="D3142" t="s">
        <v>29</v>
      </c>
      <c r="E3142" t="s">
        <v>69</v>
      </c>
      <c r="F3142" t="s">
        <v>22</v>
      </c>
      <c r="G3142" t="s">
        <v>31</v>
      </c>
      <c r="H3142" s="1">
        <v>44978</v>
      </c>
      <c r="I3142" s="2">
        <v>44978.4916666667</v>
      </c>
      <c r="J3142">
        <v>11.8</v>
      </c>
      <c r="K3142" t="s">
        <v>24</v>
      </c>
      <c r="L3142">
        <v>0</v>
      </c>
      <c r="M3142">
        <v>2</v>
      </c>
      <c r="N3142" t="s">
        <v>243</v>
      </c>
      <c r="O3142" s="3" t="str">
        <f>TEXT(Ticket_Table[[#This Row],[raised_date]],"YYYY-MM")</f>
        <v>2023-02</v>
      </c>
      <c r="P3142" s="3" t="str">
        <f>IF(Ticket_Table[[#This Row],[resolution_hrs]]&lt;=4,"Fast",IF(Ticket_Table[[#This Row],[resolution_hrs]]&lt;=24,"Normal",IF(Ticket_Table[[#This Row],[resolution_hrs]]&lt;=48,"Slow","Very Slow")))</f>
        <v>Normal</v>
      </c>
      <c r="Q3142" s="3">
        <f>YEAR(Ticket_Table[[#This Row],[raised_date]])</f>
        <v>2023</v>
      </c>
    </row>
    <row r="3143" spans="1:17">
      <c r="A3143" t="s">
        <v>3704</v>
      </c>
      <c r="B3143" t="s">
        <v>802</v>
      </c>
      <c r="C3143" t="s">
        <v>60</v>
      </c>
      <c r="D3143" t="s">
        <v>20</v>
      </c>
      <c r="E3143" t="s">
        <v>69</v>
      </c>
      <c r="F3143" t="s">
        <v>22</v>
      </c>
      <c r="G3143" t="s">
        <v>23</v>
      </c>
      <c r="H3143" s="1">
        <v>44429</v>
      </c>
      <c r="I3143" s="2">
        <v>44429.8666666667</v>
      </c>
      <c r="J3143">
        <v>20.8</v>
      </c>
      <c r="K3143" t="s">
        <v>24</v>
      </c>
      <c r="L3143">
        <v>1</v>
      </c>
      <c r="M3143">
        <v>4</v>
      </c>
      <c r="N3143" t="s">
        <v>315</v>
      </c>
      <c r="O3143" s="3" t="str">
        <f>TEXT(Ticket_Table[[#This Row],[raised_date]],"YYYY-MM")</f>
        <v>2021-08</v>
      </c>
      <c r="P3143" s="3" t="str">
        <f>IF(Ticket_Table[[#This Row],[resolution_hrs]]&lt;=4,"Fast",IF(Ticket_Table[[#This Row],[resolution_hrs]]&lt;=24,"Normal",IF(Ticket_Table[[#This Row],[resolution_hrs]]&lt;=48,"Slow","Very Slow")))</f>
        <v>Normal</v>
      </c>
      <c r="Q3143" s="3">
        <f>YEAR(Ticket_Table[[#This Row],[raised_date]])</f>
        <v>2021</v>
      </c>
    </row>
    <row r="3144" spans="1:17">
      <c r="A3144" t="s">
        <v>3705</v>
      </c>
      <c r="B3144" t="s">
        <v>760</v>
      </c>
      <c r="C3144" t="s">
        <v>82</v>
      </c>
      <c r="D3144" t="s">
        <v>36</v>
      </c>
      <c r="E3144" t="s">
        <v>30</v>
      </c>
      <c r="F3144" t="s">
        <v>45</v>
      </c>
      <c r="G3144" t="s">
        <v>23</v>
      </c>
      <c r="H3144" s="1">
        <v>44987</v>
      </c>
      <c r="I3144" s="2">
        <v>44987.2375</v>
      </c>
      <c r="J3144">
        <v>5.7</v>
      </c>
      <c r="K3144" t="s">
        <v>32</v>
      </c>
      <c r="L3144">
        <v>1</v>
      </c>
      <c r="M3144">
        <v>4</v>
      </c>
      <c r="N3144" t="s">
        <v>143</v>
      </c>
      <c r="O3144" s="3" t="str">
        <f>TEXT(Ticket_Table[[#This Row],[raised_date]],"YYYY-MM")</f>
        <v>2023-03</v>
      </c>
      <c r="P3144" s="3" t="str">
        <f>IF(Ticket_Table[[#This Row],[resolution_hrs]]&lt;=4,"Fast",IF(Ticket_Table[[#This Row],[resolution_hrs]]&lt;=24,"Normal",IF(Ticket_Table[[#This Row],[resolution_hrs]]&lt;=48,"Slow","Very Slow")))</f>
        <v>Normal</v>
      </c>
      <c r="Q3144" s="3">
        <f>YEAR(Ticket_Table[[#This Row],[raised_date]])</f>
        <v>2023</v>
      </c>
    </row>
    <row r="3145" spans="1:17">
      <c r="A3145" t="s">
        <v>3706</v>
      </c>
      <c r="B3145" t="s">
        <v>906</v>
      </c>
      <c r="C3145" t="s">
        <v>82</v>
      </c>
      <c r="D3145" t="s">
        <v>90</v>
      </c>
      <c r="E3145" t="s">
        <v>37</v>
      </c>
      <c r="F3145" t="s">
        <v>38</v>
      </c>
      <c r="G3145" t="s">
        <v>23</v>
      </c>
      <c r="H3145" s="1">
        <v>44722</v>
      </c>
      <c r="I3145" s="2">
        <v>44722.5708333333</v>
      </c>
      <c r="J3145">
        <v>13.7</v>
      </c>
      <c r="K3145" t="s">
        <v>24</v>
      </c>
      <c r="L3145">
        <v>0</v>
      </c>
      <c r="M3145">
        <v>4</v>
      </c>
      <c r="N3145" t="s">
        <v>546</v>
      </c>
      <c r="O3145" s="3" t="str">
        <f>TEXT(Ticket_Table[[#This Row],[raised_date]],"YYYY-MM")</f>
        <v>2022-06</v>
      </c>
      <c r="P3145" s="3" t="str">
        <f>IF(Ticket_Table[[#This Row],[resolution_hrs]]&lt;=4,"Fast",IF(Ticket_Table[[#This Row],[resolution_hrs]]&lt;=24,"Normal",IF(Ticket_Table[[#This Row],[resolution_hrs]]&lt;=48,"Slow","Very Slow")))</f>
        <v>Normal</v>
      </c>
      <c r="Q3145" s="3">
        <f>YEAR(Ticket_Table[[#This Row],[raised_date]])</f>
        <v>2022</v>
      </c>
    </row>
    <row r="3146" spans="1:17">
      <c r="A3146" t="s">
        <v>3707</v>
      </c>
      <c r="B3146" t="s">
        <v>385</v>
      </c>
      <c r="C3146" t="s">
        <v>78</v>
      </c>
      <c r="D3146" t="s">
        <v>29</v>
      </c>
      <c r="E3146" t="s">
        <v>30</v>
      </c>
      <c r="F3146" t="s">
        <v>22</v>
      </c>
      <c r="G3146" t="s">
        <v>23</v>
      </c>
      <c r="H3146" s="1">
        <v>44776</v>
      </c>
      <c r="I3146" s="2">
        <v>44777.4</v>
      </c>
      <c r="J3146">
        <v>33.6</v>
      </c>
      <c r="K3146" t="s">
        <v>24</v>
      </c>
      <c r="L3146">
        <v>1</v>
      </c>
      <c r="M3146">
        <v>4</v>
      </c>
      <c r="N3146" t="s">
        <v>1025</v>
      </c>
      <c r="O3146" s="3" t="str">
        <f>TEXT(Ticket_Table[[#This Row],[raised_date]],"YYYY-MM")</f>
        <v>2022-08</v>
      </c>
      <c r="P3146" s="3" t="str">
        <f>IF(Ticket_Table[[#This Row],[resolution_hrs]]&lt;=4,"Fast",IF(Ticket_Table[[#This Row],[resolution_hrs]]&lt;=24,"Normal",IF(Ticket_Table[[#This Row],[resolution_hrs]]&lt;=48,"Slow","Very Slow")))</f>
        <v>Slow</v>
      </c>
      <c r="Q3146" s="3">
        <f>YEAR(Ticket_Table[[#This Row],[raised_date]])</f>
        <v>2022</v>
      </c>
    </row>
    <row r="3147" spans="1:17">
      <c r="A3147" t="s">
        <v>3708</v>
      </c>
      <c r="B3147" t="s">
        <v>592</v>
      </c>
      <c r="C3147" t="s">
        <v>50</v>
      </c>
      <c r="D3147" t="s">
        <v>43</v>
      </c>
      <c r="E3147" t="s">
        <v>30</v>
      </c>
      <c r="F3147" t="s">
        <v>70</v>
      </c>
      <c r="G3147" t="s">
        <v>31</v>
      </c>
      <c r="H3147" s="1">
        <v>44247</v>
      </c>
      <c r="I3147" s="2">
        <v>44247.3291666667</v>
      </c>
      <c r="J3147">
        <v>7.9</v>
      </c>
      <c r="K3147" t="s">
        <v>24</v>
      </c>
      <c r="L3147">
        <v>0</v>
      </c>
      <c r="M3147">
        <v>4</v>
      </c>
      <c r="N3147" t="s">
        <v>1164</v>
      </c>
      <c r="O3147" s="3" t="str">
        <f>TEXT(Ticket_Table[[#This Row],[raised_date]],"YYYY-MM")</f>
        <v>2021-02</v>
      </c>
      <c r="P3147" s="3" t="str">
        <f>IF(Ticket_Table[[#This Row],[resolution_hrs]]&lt;=4,"Fast",IF(Ticket_Table[[#This Row],[resolution_hrs]]&lt;=24,"Normal",IF(Ticket_Table[[#This Row],[resolution_hrs]]&lt;=48,"Slow","Very Slow")))</f>
        <v>Normal</v>
      </c>
      <c r="Q3147" s="3">
        <f>YEAR(Ticket_Table[[#This Row],[raised_date]])</f>
        <v>2021</v>
      </c>
    </row>
    <row r="3148" spans="1:17">
      <c r="A3148" t="s">
        <v>3709</v>
      </c>
      <c r="B3148" t="s">
        <v>129</v>
      </c>
      <c r="C3148" t="s">
        <v>50</v>
      </c>
      <c r="D3148" t="s">
        <v>36</v>
      </c>
      <c r="E3148" t="s">
        <v>166</v>
      </c>
      <c r="F3148" t="s">
        <v>70</v>
      </c>
      <c r="G3148" t="s">
        <v>91</v>
      </c>
      <c r="H3148" s="1">
        <v>45255</v>
      </c>
      <c r="I3148" s="2">
        <v>45255.0833333333</v>
      </c>
      <c r="J3148">
        <v>2</v>
      </c>
      <c r="K3148" t="s">
        <v>24</v>
      </c>
      <c r="L3148">
        <v>0</v>
      </c>
      <c r="M3148">
        <v>5</v>
      </c>
      <c r="N3148" t="s">
        <v>579</v>
      </c>
      <c r="O3148" s="3" t="str">
        <f>TEXT(Ticket_Table[[#This Row],[raised_date]],"YYYY-MM")</f>
        <v>2023-11</v>
      </c>
      <c r="P3148" s="3" t="str">
        <f>IF(Ticket_Table[[#This Row],[resolution_hrs]]&lt;=4,"Fast",IF(Ticket_Table[[#This Row],[resolution_hrs]]&lt;=24,"Normal",IF(Ticket_Table[[#This Row],[resolution_hrs]]&lt;=48,"Slow","Very Slow")))</f>
        <v>Fast</v>
      </c>
      <c r="Q3148" s="3">
        <f>YEAR(Ticket_Table[[#This Row],[raised_date]])</f>
        <v>2023</v>
      </c>
    </row>
    <row r="3149" spans="1:17">
      <c r="A3149" t="s">
        <v>3710</v>
      </c>
      <c r="B3149" t="s">
        <v>1191</v>
      </c>
      <c r="C3149" t="s">
        <v>117</v>
      </c>
      <c r="D3149" t="s">
        <v>29</v>
      </c>
      <c r="E3149" t="s">
        <v>83</v>
      </c>
      <c r="F3149" t="s">
        <v>38</v>
      </c>
      <c r="G3149" t="s">
        <v>31</v>
      </c>
      <c r="H3149" s="1">
        <v>44964</v>
      </c>
      <c r="I3149" s="2">
        <v>44964.8458333333</v>
      </c>
      <c r="J3149">
        <v>20.3</v>
      </c>
      <c r="K3149" t="s">
        <v>24</v>
      </c>
      <c r="L3149">
        <v>0</v>
      </c>
      <c r="M3149">
        <v>5</v>
      </c>
      <c r="N3149" t="s">
        <v>569</v>
      </c>
      <c r="O3149" s="3" t="str">
        <f>TEXT(Ticket_Table[[#This Row],[raised_date]],"YYYY-MM")</f>
        <v>2023-02</v>
      </c>
      <c r="P3149" s="3" t="str">
        <f>IF(Ticket_Table[[#This Row],[resolution_hrs]]&lt;=4,"Fast",IF(Ticket_Table[[#This Row],[resolution_hrs]]&lt;=24,"Normal",IF(Ticket_Table[[#This Row],[resolution_hrs]]&lt;=48,"Slow","Very Slow")))</f>
        <v>Normal</v>
      </c>
      <c r="Q3149" s="3">
        <f>YEAR(Ticket_Table[[#This Row],[raised_date]])</f>
        <v>2023</v>
      </c>
    </row>
    <row r="3150" spans="1:17">
      <c r="A3150" t="s">
        <v>3711</v>
      </c>
      <c r="B3150" t="s">
        <v>126</v>
      </c>
      <c r="C3150" t="s">
        <v>78</v>
      </c>
      <c r="D3150" t="s">
        <v>29</v>
      </c>
      <c r="E3150" t="s">
        <v>69</v>
      </c>
      <c r="F3150" t="s">
        <v>22</v>
      </c>
      <c r="G3150" t="s">
        <v>46</v>
      </c>
      <c r="H3150" s="1">
        <v>45250</v>
      </c>
      <c r="I3150" s="2">
        <v>45253.8833333333</v>
      </c>
      <c r="J3150">
        <v>93.2</v>
      </c>
      <c r="K3150" t="s">
        <v>32</v>
      </c>
      <c r="L3150">
        <v>0</v>
      </c>
      <c r="M3150">
        <v>5</v>
      </c>
      <c r="N3150" t="s">
        <v>906</v>
      </c>
      <c r="O3150" s="3" t="str">
        <f>TEXT(Ticket_Table[[#This Row],[raised_date]],"YYYY-MM")</f>
        <v>2023-11</v>
      </c>
      <c r="P3150" s="3" t="str">
        <f>IF(Ticket_Table[[#This Row],[resolution_hrs]]&lt;=4,"Fast",IF(Ticket_Table[[#This Row],[resolution_hrs]]&lt;=24,"Normal",IF(Ticket_Table[[#This Row],[resolution_hrs]]&lt;=48,"Slow","Very Slow")))</f>
        <v>Very Slow</v>
      </c>
      <c r="Q3150" s="3">
        <f>YEAR(Ticket_Table[[#This Row],[raised_date]])</f>
        <v>2023</v>
      </c>
    </row>
    <row r="3151" spans="1:17">
      <c r="A3151" t="s">
        <v>3712</v>
      </c>
      <c r="B3151" t="s">
        <v>2654</v>
      </c>
      <c r="C3151" t="s">
        <v>175</v>
      </c>
      <c r="D3151" t="s">
        <v>90</v>
      </c>
      <c r="E3151" t="s">
        <v>21</v>
      </c>
      <c r="F3151" t="s">
        <v>22</v>
      </c>
      <c r="G3151" t="s">
        <v>23</v>
      </c>
      <c r="H3151" s="1">
        <v>45238</v>
      </c>
      <c r="I3151" s="2">
        <v>45239.5166666667</v>
      </c>
      <c r="J3151">
        <v>36.4</v>
      </c>
      <c r="K3151" t="s">
        <v>24</v>
      </c>
      <c r="L3151">
        <v>0</v>
      </c>
      <c r="M3151">
        <v>5</v>
      </c>
      <c r="N3151" t="s">
        <v>489</v>
      </c>
      <c r="O3151" s="3" t="str">
        <f>TEXT(Ticket_Table[[#This Row],[raised_date]],"YYYY-MM")</f>
        <v>2023-11</v>
      </c>
      <c r="P3151" s="3" t="str">
        <f>IF(Ticket_Table[[#This Row],[resolution_hrs]]&lt;=4,"Fast",IF(Ticket_Table[[#This Row],[resolution_hrs]]&lt;=24,"Normal",IF(Ticket_Table[[#This Row],[resolution_hrs]]&lt;=48,"Slow","Very Slow")))</f>
        <v>Slow</v>
      </c>
      <c r="Q3151" s="3">
        <f>YEAR(Ticket_Table[[#This Row],[raised_date]])</f>
        <v>2023</v>
      </c>
    </row>
    <row r="3152" spans="1:17">
      <c r="A3152" t="s">
        <v>3713</v>
      </c>
      <c r="B3152" t="s">
        <v>358</v>
      </c>
      <c r="C3152" t="s">
        <v>287</v>
      </c>
      <c r="D3152" t="s">
        <v>20</v>
      </c>
      <c r="E3152" t="s">
        <v>30</v>
      </c>
      <c r="F3152" t="s">
        <v>38</v>
      </c>
      <c r="G3152" t="s">
        <v>23</v>
      </c>
      <c r="H3152" s="1">
        <v>45109</v>
      </c>
      <c r="I3152" s="2">
        <v>45110.1208333333</v>
      </c>
      <c r="J3152">
        <v>26.9</v>
      </c>
      <c r="K3152" t="s">
        <v>32</v>
      </c>
      <c r="L3152">
        <v>0</v>
      </c>
      <c r="M3152">
        <v>5</v>
      </c>
      <c r="N3152" t="s">
        <v>860</v>
      </c>
      <c r="O3152" s="3" t="str">
        <f>TEXT(Ticket_Table[[#This Row],[raised_date]],"YYYY-MM")</f>
        <v>2023-07</v>
      </c>
      <c r="P3152" s="3" t="str">
        <f>IF(Ticket_Table[[#This Row],[resolution_hrs]]&lt;=4,"Fast",IF(Ticket_Table[[#This Row],[resolution_hrs]]&lt;=24,"Normal",IF(Ticket_Table[[#This Row],[resolution_hrs]]&lt;=48,"Slow","Very Slow")))</f>
        <v>Slow</v>
      </c>
      <c r="Q3152" s="3">
        <f>YEAR(Ticket_Table[[#This Row],[raised_date]])</f>
        <v>2023</v>
      </c>
    </row>
    <row r="3153" spans="1:17">
      <c r="A3153" t="s">
        <v>3714</v>
      </c>
      <c r="B3153" t="s">
        <v>571</v>
      </c>
      <c r="C3153" t="s">
        <v>175</v>
      </c>
      <c r="D3153" t="s">
        <v>20</v>
      </c>
      <c r="E3153" t="s">
        <v>56</v>
      </c>
      <c r="F3153" t="s">
        <v>22</v>
      </c>
      <c r="G3153" t="s">
        <v>31</v>
      </c>
      <c r="H3153" s="1">
        <v>45193</v>
      </c>
      <c r="I3153" s="2">
        <v>45194.6541666667</v>
      </c>
      <c r="J3153">
        <v>39.7</v>
      </c>
      <c r="K3153" t="s">
        <v>24</v>
      </c>
      <c r="L3153">
        <v>0</v>
      </c>
      <c r="M3153">
        <v>1</v>
      </c>
      <c r="N3153" t="s">
        <v>464</v>
      </c>
      <c r="O3153" s="3" t="str">
        <f>TEXT(Ticket_Table[[#This Row],[raised_date]],"YYYY-MM")</f>
        <v>2023-09</v>
      </c>
      <c r="P3153" s="3" t="str">
        <f>IF(Ticket_Table[[#This Row],[resolution_hrs]]&lt;=4,"Fast",IF(Ticket_Table[[#This Row],[resolution_hrs]]&lt;=24,"Normal",IF(Ticket_Table[[#This Row],[resolution_hrs]]&lt;=48,"Slow","Very Slow")))</f>
        <v>Slow</v>
      </c>
      <c r="Q3153" s="3">
        <f>YEAR(Ticket_Table[[#This Row],[raised_date]])</f>
        <v>2023</v>
      </c>
    </row>
    <row r="3154" spans="1:17">
      <c r="A3154" t="s">
        <v>3715</v>
      </c>
      <c r="B3154" t="s">
        <v>320</v>
      </c>
      <c r="C3154" t="s">
        <v>140</v>
      </c>
      <c r="D3154" t="s">
        <v>20</v>
      </c>
      <c r="E3154" t="s">
        <v>44</v>
      </c>
      <c r="F3154" t="s">
        <v>22</v>
      </c>
      <c r="G3154" t="s">
        <v>23</v>
      </c>
      <c r="H3154" s="1">
        <v>44286</v>
      </c>
      <c r="I3154" s="2">
        <v>44289.5125</v>
      </c>
      <c r="J3154">
        <v>84.3</v>
      </c>
      <c r="K3154" t="s">
        <v>32</v>
      </c>
      <c r="L3154">
        <v>0</v>
      </c>
      <c r="M3154">
        <v>5</v>
      </c>
      <c r="N3154" t="s">
        <v>250</v>
      </c>
      <c r="O3154" s="3" t="str">
        <f>TEXT(Ticket_Table[[#This Row],[raised_date]],"YYYY-MM")</f>
        <v>2021-03</v>
      </c>
      <c r="P3154" s="3" t="str">
        <f>IF(Ticket_Table[[#This Row],[resolution_hrs]]&lt;=4,"Fast",IF(Ticket_Table[[#This Row],[resolution_hrs]]&lt;=24,"Normal",IF(Ticket_Table[[#This Row],[resolution_hrs]]&lt;=48,"Slow","Very Slow")))</f>
        <v>Very Slow</v>
      </c>
      <c r="Q3154" s="3">
        <f>YEAR(Ticket_Table[[#This Row],[raised_date]])</f>
        <v>2021</v>
      </c>
    </row>
    <row r="3155" spans="1:17">
      <c r="A3155" t="s">
        <v>3716</v>
      </c>
      <c r="B3155" t="s">
        <v>1067</v>
      </c>
      <c r="C3155" t="s">
        <v>261</v>
      </c>
      <c r="D3155" t="s">
        <v>43</v>
      </c>
      <c r="E3155" t="s">
        <v>30</v>
      </c>
      <c r="F3155" t="s">
        <v>45</v>
      </c>
      <c r="G3155" t="s">
        <v>91</v>
      </c>
      <c r="H3155" s="1">
        <v>44804</v>
      </c>
      <c r="I3155" s="2">
        <v>44804.15</v>
      </c>
      <c r="J3155">
        <v>3.6</v>
      </c>
      <c r="K3155" t="s">
        <v>24</v>
      </c>
      <c r="L3155">
        <v>2</v>
      </c>
      <c r="M3155">
        <v>2</v>
      </c>
      <c r="N3155" t="s">
        <v>756</v>
      </c>
      <c r="O3155" s="3" t="str">
        <f>TEXT(Ticket_Table[[#This Row],[raised_date]],"YYYY-MM")</f>
        <v>2022-08</v>
      </c>
      <c r="P3155" s="3" t="str">
        <f>IF(Ticket_Table[[#This Row],[resolution_hrs]]&lt;=4,"Fast",IF(Ticket_Table[[#This Row],[resolution_hrs]]&lt;=24,"Normal",IF(Ticket_Table[[#This Row],[resolution_hrs]]&lt;=48,"Slow","Very Slow")))</f>
        <v>Fast</v>
      </c>
      <c r="Q3155" s="3">
        <f>YEAR(Ticket_Table[[#This Row],[raised_date]])</f>
        <v>2022</v>
      </c>
    </row>
    <row r="3156" spans="1:17">
      <c r="A3156" t="s">
        <v>3717</v>
      </c>
      <c r="B3156" t="s">
        <v>707</v>
      </c>
      <c r="C3156" t="s">
        <v>64</v>
      </c>
      <c r="D3156" t="s">
        <v>29</v>
      </c>
      <c r="E3156" t="s">
        <v>30</v>
      </c>
      <c r="F3156" t="s">
        <v>70</v>
      </c>
      <c r="G3156" t="s">
        <v>91</v>
      </c>
      <c r="H3156" s="1">
        <v>44591</v>
      </c>
      <c r="I3156" s="2">
        <v>44592.1416666667</v>
      </c>
      <c r="J3156">
        <v>27.4</v>
      </c>
      <c r="K3156" t="s">
        <v>24</v>
      </c>
      <c r="L3156">
        <v>0</v>
      </c>
      <c r="M3156">
        <v>4</v>
      </c>
      <c r="N3156" t="s">
        <v>146</v>
      </c>
      <c r="O3156" s="3" t="str">
        <f>TEXT(Ticket_Table[[#This Row],[raised_date]],"YYYY-MM")</f>
        <v>2022-01</v>
      </c>
      <c r="P3156" s="3" t="str">
        <f>IF(Ticket_Table[[#This Row],[resolution_hrs]]&lt;=4,"Fast",IF(Ticket_Table[[#This Row],[resolution_hrs]]&lt;=24,"Normal",IF(Ticket_Table[[#This Row],[resolution_hrs]]&lt;=48,"Slow","Very Slow")))</f>
        <v>Slow</v>
      </c>
      <c r="Q3156" s="3">
        <f>YEAR(Ticket_Table[[#This Row],[raised_date]])</f>
        <v>2022</v>
      </c>
    </row>
    <row r="3157" spans="1:17">
      <c r="A3157" t="s">
        <v>3718</v>
      </c>
      <c r="B3157" t="s">
        <v>1129</v>
      </c>
      <c r="C3157" t="s">
        <v>64</v>
      </c>
      <c r="D3157" t="s">
        <v>43</v>
      </c>
      <c r="E3157" t="s">
        <v>69</v>
      </c>
      <c r="F3157" t="s">
        <v>22</v>
      </c>
      <c r="G3157" t="s">
        <v>23</v>
      </c>
      <c r="H3157" s="1">
        <v>44853</v>
      </c>
      <c r="I3157" s="2">
        <v>44855.9416666667</v>
      </c>
      <c r="J3157">
        <v>70.6</v>
      </c>
      <c r="K3157" t="s">
        <v>24</v>
      </c>
      <c r="L3157">
        <v>1</v>
      </c>
      <c r="M3157">
        <v>3</v>
      </c>
      <c r="N3157" t="s">
        <v>828</v>
      </c>
      <c r="O3157" s="3" t="str">
        <f>TEXT(Ticket_Table[[#This Row],[raised_date]],"YYYY-MM")</f>
        <v>2022-10</v>
      </c>
      <c r="P3157" s="3" t="str">
        <f>IF(Ticket_Table[[#This Row],[resolution_hrs]]&lt;=4,"Fast",IF(Ticket_Table[[#This Row],[resolution_hrs]]&lt;=24,"Normal",IF(Ticket_Table[[#This Row],[resolution_hrs]]&lt;=48,"Slow","Very Slow")))</f>
        <v>Very Slow</v>
      </c>
      <c r="Q3157" s="3">
        <f>YEAR(Ticket_Table[[#This Row],[raised_date]])</f>
        <v>2022</v>
      </c>
    </row>
    <row r="3158" spans="1:17">
      <c r="A3158" t="s">
        <v>3719</v>
      </c>
      <c r="B3158" t="s">
        <v>269</v>
      </c>
      <c r="C3158" t="s">
        <v>60</v>
      </c>
      <c r="D3158" t="s">
        <v>29</v>
      </c>
      <c r="E3158" t="s">
        <v>51</v>
      </c>
      <c r="F3158" t="s">
        <v>22</v>
      </c>
      <c r="G3158" t="s">
        <v>31</v>
      </c>
      <c r="H3158" s="1">
        <v>45249</v>
      </c>
      <c r="I3158" s="2">
        <v>45249.9791666667</v>
      </c>
      <c r="J3158">
        <v>23.5</v>
      </c>
      <c r="K3158" t="s">
        <v>24</v>
      </c>
      <c r="L3158">
        <v>0</v>
      </c>
      <c r="M3158">
        <v>3</v>
      </c>
      <c r="N3158" t="s">
        <v>431</v>
      </c>
      <c r="O3158" s="3" t="str">
        <f>TEXT(Ticket_Table[[#This Row],[raised_date]],"YYYY-MM")</f>
        <v>2023-11</v>
      </c>
      <c r="P3158" s="3" t="str">
        <f>IF(Ticket_Table[[#This Row],[resolution_hrs]]&lt;=4,"Fast",IF(Ticket_Table[[#This Row],[resolution_hrs]]&lt;=24,"Normal",IF(Ticket_Table[[#This Row],[resolution_hrs]]&lt;=48,"Slow","Very Slow")))</f>
        <v>Normal</v>
      </c>
      <c r="Q3158" s="3">
        <f>YEAR(Ticket_Table[[#This Row],[raised_date]])</f>
        <v>2023</v>
      </c>
    </row>
    <row r="3159" spans="1:17">
      <c r="A3159" t="s">
        <v>3720</v>
      </c>
      <c r="B3159" t="s">
        <v>94</v>
      </c>
      <c r="C3159" t="s">
        <v>261</v>
      </c>
      <c r="D3159" t="s">
        <v>90</v>
      </c>
      <c r="E3159" t="s">
        <v>106</v>
      </c>
      <c r="F3159" t="s">
        <v>22</v>
      </c>
      <c r="G3159" t="s">
        <v>91</v>
      </c>
      <c r="H3159" s="1">
        <v>44365</v>
      </c>
      <c r="I3159" s="2">
        <v>44366.7541666667</v>
      </c>
      <c r="J3159">
        <v>42.1</v>
      </c>
      <c r="K3159" t="s">
        <v>24</v>
      </c>
      <c r="L3159">
        <v>1</v>
      </c>
      <c r="M3159">
        <v>3</v>
      </c>
      <c r="N3159" t="s">
        <v>189</v>
      </c>
      <c r="O3159" s="3" t="str">
        <f>TEXT(Ticket_Table[[#This Row],[raised_date]],"YYYY-MM")</f>
        <v>2021-06</v>
      </c>
      <c r="P3159" s="3" t="str">
        <f>IF(Ticket_Table[[#This Row],[resolution_hrs]]&lt;=4,"Fast",IF(Ticket_Table[[#This Row],[resolution_hrs]]&lt;=24,"Normal",IF(Ticket_Table[[#This Row],[resolution_hrs]]&lt;=48,"Slow","Very Slow")))</f>
        <v>Slow</v>
      </c>
      <c r="Q3159" s="3">
        <f>YEAR(Ticket_Table[[#This Row],[raised_date]])</f>
        <v>2021</v>
      </c>
    </row>
    <row r="3160" spans="1:17">
      <c r="A3160" t="s">
        <v>3721</v>
      </c>
      <c r="B3160" t="s">
        <v>1061</v>
      </c>
      <c r="C3160" t="s">
        <v>287</v>
      </c>
      <c r="D3160" t="s">
        <v>90</v>
      </c>
      <c r="E3160" t="s">
        <v>44</v>
      </c>
      <c r="F3160" t="s">
        <v>22</v>
      </c>
      <c r="G3160" t="s">
        <v>31</v>
      </c>
      <c r="H3160" s="1">
        <v>44393</v>
      </c>
      <c r="I3160" s="2">
        <v>44396.9958333333</v>
      </c>
      <c r="J3160">
        <v>95.9</v>
      </c>
      <c r="K3160" t="s">
        <v>32</v>
      </c>
      <c r="L3160">
        <v>0</v>
      </c>
      <c r="M3160">
        <v>4</v>
      </c>
      <c r="N3160" t="s">
        <v>776</v>
      </c>
      <c r="O3160" s="3" t="str">
        <f>TEXT(Ticket_Table[[#This Row],[raised_date]],"YYYY-MM")</f>
        <v>2021-07</v>
      </c>
      <c r="P3160" s="3" t="str">
        <f>IF(Ticket_Table[[#This Row],[resolution_hrs]]&lt;=4,"Fast",IF(Ticket_Table[[#This Row],[resolution_hrs]]&lt;=24,"Normal",IF(Ticket_Table[[#This Row],[resolution_hrs]]&lt;=48,"Slow","Very Slow")))</f>
        <v>Very Slow</v>
      </c>
      <c r="Q3160" s="3">
        <f>YEAR(Ticket_Table[[#This Row],[raised_date]])</f>
        <v>2021</v>
      </c>
    </row>
    <row r="3161" spans="1:17">
      <c r="A3161" t="s">
        <v>3722</v>
      </c>
      <c r="B3161" t="s">
        <v>857</v>
      </c>
      <c r="C3161" t="s">
        <v>68</v>
      </c>
      <c r="D3161" t="s">
        <v>43</v>
      </c>
      <c r="E3161" t="s">
        <v>51</v>
      </c>
      <c r="F3161" t="s">
        <v>38</v>
      </c>
      <c r="G3161" t="s">
        <v>31</v>
      </c>
      <c r="H3161" s="1">
        <v>44539</v>
      </c>
      <c r="I3161" s="2">
        <v>44539.2333333333</v>
      </c>
      <c r="J3161">
        <v>5.6</v>
      </c>
      <c r="K3161" t="s">
        <v>24</v>
      </c>
      <c r="L3161">
        <v>0</v>
      </c>
      <c r="M3161">
        <v>4</v>
      </c>
      <c r="N3161" t="s">
        <v>323</v>
      </c>
      <c r="O3161" s="3" t="str">
        <f>TEXT(Ticket_Table[[#This Row],[raised_date]],"YYYY-MM")</f>
        <v>2021-12</v>
      </c>
      <c r="P3161" s="3" t="str">
        <f>IF(Ticket_Table[[#This Row],[resolution_hrs]]&lt;=4,"Fast",IF(Ticket_Table[[#This Row],[resolution_hrs]]&lt;=24,"Normal",IF(Ticket_Table[[#This Row],[resolution_hrs]]&lt;=48,"Slow","Very Slow")))</f>
        <v>Normal</v>
      </c>
      <c r="Q3161" s="3">
        <f>YEAR(Ticket_Table[[#This Row],[raised_date]])</f>
        <v>2021</v>
      </c>
    </row>
    <row r="3162" spans="1:17">
      <c r="A3162" t="s">
        <v>3723</v>
      </c>
      <c r="B3162" t="s">
        <v>241</v>
      </c>
      <c r="C3162" t="s">
        <v>287</v>
      </c>
      <c r="D3162" t="s">
        <v>43</v>
      </c>
      <c r="E3162" t="s">
        <v>166</v>
      </c>
      <c r="F3162" t="s">
        <v>70</v>
      </c>
      <c r="G3162" t="s">
        <v>31</v>
      </c>
      <c r="H3162" s="1">
        <v>45289</v>
      </c>
      <c r="I3162" s="2">
        <v>45291.2375</v>
      </c>
      <c r="J3162">
        <v>53.7</v>
      </c>
      <c r="K3162" t="s">
        <v>32</v>
      </c>
      <c r="L3162">
        <v>0</v>
      </c>
      <c r="M3162">
        <v>1</v>
      </c>
      <c r="N3162" t="s">
        <v>603</v>
      </c>
      <c r="O3162" s="3" t="str">
        <f>TEXT(Ticket_Table[[#This Row],[raised_date]],"YYYY-MM")</f>
        <v>2023-12</v>
      </c>
      <c r="P3162" s="3" t="str">
        <f>IF(Ticket_Table[[#This Row],[resolution_hrs]]&lt;=4,"Fast",IF(Ticket_Table[[#This Row],[resolution_hrs]]&lt;=24,"Normal",IF(Ticket_Table[[#This Row],[resolution_hrs]]&lt;=48,"Slow","Very Slow")))</f>
        <v>Very Slow</v>
      </c>
      <c r="Q3162" s="3">
        <f>YEAR(Ticket_Table[[#This Row],[raised_date]])</f>
        <v>2023</v>
      </c>
    </row>
    <row r="3163" spans="1:17">
      <c r="A3163" t="s">
        <v>3724</v>
      </c>
      <c r="B3163" t="s">
        <v>1760</v>
      </c>
      <c r="C3163" t="s">
        <v>133</v>
      </c>
      <c r="D3163" t="s">
        <v>90</v>
      </c>
      <c r="E3163" t="s">
        <v>56</v>
      </c>
      <c r="F3163" t="s">
        <v>38</v>
      </c>
      <c r="G3163" t="s">
        <v>74</v>
      </c>
      <c r="H3163" s="1">
        <v>44212</v>
      </c>
      <c r="I3163" s="2">
        <v>44212.2166666667</v>
      </c>
      <c r="J3163">
        <v>5.2</v>
      </c>
      <c r="K3163" t="s">
        <v>24</v>
      </c>
      <c r="L3163">
        <v>0</v>
      </c>
      <c r="M3163">
        <v>5</v>
      </c>
      <c r="N3163" t="s">
        <v>432</v>
      </c>
      <c r="O3163" s="3" t="str">
        <f>TEXT(Ticket_Table[[#This Row],[raised_date]],"YYYY-MM")</f>
        <v>2021-01</v>
      </c>
      <c r="P3163" s="3" t="str">
        <f>IF(Ticket_Table[[#This Row],[resolution_hrs]]&lt;=4,"Fast",IF(Ticket_Table[[#This Row],[resolution_hrs]]&lt;=24,"Normal",IF(Ticket_Table[[#This Row],[resolution_hrs]]&lt;=48,"Slow","Very Slow")))</f>
        <v>Normal</v>
      </c>
      <c r="Q3163" s="3">
        <f>YEAR(Ticket_Table[[#This Row],[raised_date]])</f>
        <v>2021</v>
      </c>
    </row>
    <row r="3164" spans="1:17">
      <c r="A3164" t="s">
        <v>3725</v>
      </c>
      <c r="B3164" t="s">
        <v>273</v>
      </c>
      <c r="C3164" t="s">
        <v>82</v>
      </c>
      <c r="D3164" t="s">
        <v>36</v>
      </c>
      <c r="E3164" t="s">
        <v>106</v>
      </c>
      <c r="F3164" t="s">
        <v>45</v>
      </c>
      <c r="G3164" t="s">
        <v>23</v>
      </c>
      <c r="H3164" s="1">
        <v>44331</v>
      </c>
      <c r="I3164" s="2">
        <v>44331.1625</v>
      </c>
      <c r="J3164">
        <v>3.9</v>
      </c>
      <c r="K3164" t="s">
        <v>24</v>
      </c>
      <c r="L3164">
        <v>1</v>
      </c>
      <c r="M3164">
        <v>5</v>
      </c>
      <c r="N3164" t="s">
        <v>246</v>
      </c>
      <c r="O3164" s="3" t="str">
        <f>TEXT(Ticket_Table[[#This Row],[raised_date]],"YYYY-MM")</f>
        <v>2021-05</v>
      </c>
      <c r="P3164" s="3" t="str">
        <f>IF(Ticket_Table[[#This Row],[resolution_hrs]]&lt;=4,"Fast",IF(Ticket_Table[[#This Row],[resolution_hrs]]&lt;=24,"Normal",IF(Ticket_Table[[#This Row],[resolution_hrs]]&lt;=48,"Slow","Very Slow")))</f>
        <v>Fast</v>
      </c>
      <c r="Q3164" s="3">
        <f>YEAR(Ticket_Table[[#This Row],[raised_date]])</f>
        <v>2021</v>
      </c>
    </row>
    <row r="3165" spans="1:17">
      <c r="A3165" t="s">
        <v>3726</v>
      </c>
      <c r="B3165" t="s">
        <v>155</v>
      </c>
      <c r="C3165" t="s">
        <v>95</v>
      </c>
      <c r="D3165" t="s">
        <v>20</v>
      </c>
      <c r="E3165" t="s">
        <v>44</v>
      </c>
      <c r="F3165" t="s">
        <v>70</v>
      </c>
      <c r="G3165" t="s">
        <v>46</v>
      </c>
      <c r="H3165" s="1">
        <v>44628</v>
      </c>
      <c r="I3165" s="2">
        <v>44630.7416666667</v>
      </c>
      <c r="J3165">
        <v>65.8</v>
      </c>
      <c r="K3165" t="s">
        <v>32</v>
      </c>
      <c r="L3165">
        <v>2</v>
      </c>
      <c r="M3165">
        <v>4</v>
      </c>
      <c r="N3165" t="s">
        <v>270</v>
      </c>
      <c r="O3165" s="3" t="str">
        <f>TEXT(Ticket_Table[[#This Row],[raised_date]],"YYYY-MM")</f>
        <v>2022-03</v>
      </c>
      <c r="P3165" s="3" t="str">
        <f>IF(Ticket_Table[[#This Row],[resolution_hrs]]&lt;=4,"Fast",IF(Ticket_Table[[#This Row],[resolution_hrs]]&lt;=24,"Normal",IF(Ticket_Table[[#This Row],[resolution_hrs]]&lt;=48,"Slow","Very Slow")))</f>
        <v>Very Slow</v>
      </c>
      <c r="Q3165" s="3">
        <f>YEAR(Ticket_Table[[#This Row],[raised_date]])</f>
        <v>2022</v>
      </c>
    </row>
    <row r="3166" spans="1:17">
      <c r="A3166" t="s">
        <v>3727</v>
      </c>
      <c r="B3166" t="s">
        <v>1243</v>
      </c>
      <c r="C3166" t="s">
        <v>133</v>
      </c>
      <c r="D3166" t="s">
        <v>20</v>
      </c>
      <c r="E3166" t="s">
        <v>51</v>
      </c>
      <c r="F3166" t="s">
        <v>22</v>
      </c>
      <c r="G3166" t="s">
        <v>46</v>
      </c>
      <c r="H3166" s="1">
        <v>44633</v>
      </c>
      <c r="I3166" s="2">
        <v>44635.9583333333</v>
      </c>
      <c r="J3166">
        <v>71</v>
      </c>
      <c r="K3166" t="s">
        <v>24</v>
      </c>
      <c r="L3166">
        <v>0</v>
      </c>
      <c r="M3166">
        <v>5</v>
      </c>
      <c r="N3166" t="s">
        <v>101</v>
      </c>
      <c r="O3166" s="3" t="str">
        <f>TEXT(Ticket_Table[[#This Row],[raised_date]],"YYYY-MM")</f>
        <v>2022-03</v>
      </c>
      <c r="P3166" s="3" t="str">
        <f>IF(Ticket_Table[[#This Row],[resolution_hrs]]&lt;=4,"Fast",IF(Ticket_Table[[#This Row],[resolution_hrs]]&lt;=24,"Normal",IF(Ticket_Table[[#This Row],[resolution_hrs]]&lt;=48,"Slow","Very Slow")))</f>
        <v>Very Slow</v>
      </c>
      <c r="Q3166" s="3">
        <f>YEAR(Ticket_Table[[#This Row],[raised_date]])</f>
        <v>2022</v>
      </c>
    </row>
    <row r="3167" spans="1:17">
      <c r="A3167" t="s">
        <v>3728</v>
      </c>
      <c r="B3167" t="s">
        <v>610</v>
      </c>
      <c r="C3167" t="s">
        <v>60</v>
      </c>
      <c r="D3167" t="s">
        <v>90</v>
      </c>
      <c r="E3167" t="s">
        <v>83</v>
      </c>
      <c r="F3167" t="s">
        <v>70</v>
      </c>
      <c r="G3167" t="s">
        <v>31</v>
      </c>
      <c r="H3167" s="1">
        <v>45065</v>
      </c>
      <c r="I3167" s="2">
        <v>45065.6041666667</v>
      </c>
      <c r="J3167">
        <v>14.5</v>
      </c>
      <c r="K3167" t="s">
        <v>24</v>
      </c>
      <c r="L3167">
        <v>0</v>
      </c>
      <c r="M3167">
        <v>4</v>
      </c>
      <c r="N3167" t="s">
        <v>204</v>
      </c>
      <c r="O3167" s="3" t="str">
        <f>TEXT(Ticket_Table[[#This Row],[raised_date]],"YYYY-MM")</f>
        <v>2023-05</v>
      </c>
      <c r="P3167" s="3" t="str">
        <f>IF(Ticket_Table[[#This Row],[resolution_hrs]]&lt;=4,"Fast",IF(Ticket_Table[[#This Row],[resolution_hrs]]&lt;=24,"Normal",IF(Ticket_Table[[#This Row],[resolution_hrs]]&lt;=48,"Slow","Very Slow")))</f>
        <v>Normal</v>
      </c>
      <c r="Q3167" s="3">
        <f>YEAR(Ticket_Table[[#This Row],[raised_date]])</f>
        <v>2023</v>
      </c>
    </row>
    <row r="3168" spans="1:17">
      <c r="A3168" t="s">
        <v>3729</v>
      </c>
      <c r="B3168" t="s">
        <v>129</v>
      </c>
      <c r="C3168" t="s">
        <v>28</v>
      </c>
      <c r="D3168" t="s">
        <v>20</v>
      </c>
      <c r="E3168" t="s">
        <v>83</v>
      </c>
      <c r="F3168" t="s">
        <v>45</v>
      </c>
      <c r="G3168" t="s">
        <v>23</v>
      </c>
      <c r="H3168" s="1">
        <v>44409</v>
      </c>
      <c r="I3168" s="2">
        <v>44409.1875</v>
      </c>
      <c r="J3168">
        <v>4.5</v>
      </c>
      <c r="K3168" t="s">
        <v>32</v>
      </c>
      <c r="L3168">
        <v>0</v>
      </c>
      <c r="M3168">
        <v>5</v>
      </c>
      <c r="N3168" t="s">
        <v>382</v>
      </c>
      <c r="O3168" s="3" t="str">
        <f>TEXT(Ticket_Table[[#This Row],[raised_date]],"YYYY-MM")</f>
        <v>2021-08</v>
      </c>
      <c r="P3168" s="3" t="str">
        <f>IF(Ticket_Table[[#This Row],[resolution_hrs]]&lt;=4,"Fast",IF(Ticket_Table[[#This Row],[resolution_hrs]]&lt;=24,"Normal",IF(Ticket_Table[[#This Row],[resolution_hrs]]&lt;=48,"Slow","Very Slow")))</f>
        <v>Normal</v>
      </c>
      <c r="Q3168" s="3">
        <f>YEAR(Ticket_Table[[#This Row],[raised_date]])</f>
        <v>2021</v>
      </c>
    </row>
    <row r="3169" spans="1:17">
      <c r="A3169" t="s">
        <v>3730</v>
      </c>
      <c r="B3169" t="s">
        <v>1143</v>
      </c>
      <c r="C3169" t="s">
        <v>213</v>
      </c>
      <c r="D3169" t="s">
        <v>36</v>
      </c>
      <c r="E3169" t="s">
        <v>37</v>
      </c>
      <c r="F3169" t="s">
        <v>38</v>
      </c>
      <c r="G3169" t="s">
        <v>46</v>
      </c>
      <c r="H3169" s="1">
        <v>44618</v>
      </c>
      <c r="I3169" s="2">
        <v>44619.3916666667</v>
      </c>
      <c r="J3169">
        <v>33.4</v>
      </c>
      <c r="K3169" t="s">
        <v>32</v>
      </c>
      <c r="L3169">
        <v>0</v>
      </c>
      <c r="M3169">
        <v>4</v>
      </c>
      <c r="N3169" t="s">
        <v>637</v>
      </c>
      <c r="O3169" s="3" t="str">
        <f>TEXT(Ticket_Table[[#This Row],[raised_date]],"YYYY-MM")</f>
        <v>2022-02</v>
      </c>
      <c r="P3169" s="3" t="str">
        <f>IF(Ticket_Table[[#This Row],[resolution_hrs]]&lt;=4,"Fast",IF(Ticket_Table[[#This Row],[resolution_hrs]]&lt;=24,"Normal",IF(Ticket_Table[[#This Row],[resolution_hrs]]&lt;=48,"Slow","Very Slow")))</f>
        <v>Slow</v>
      </c>
      <c r="Q3169" s="3">
        <f>YEAR(Ticket_Table[[#This Row],[raised_date]])</f>
        <v>2022</v>
      </c>
    </row>
    <row r="3170" spans="1:17">
      <c r="A3170" t="s">
        <v>3731</v>
      </c>
      <c r="B3170" t="s">
        <v>749</v>
      </c>
      <c r="C3170" t="s">
        <v>82</v>
      </c>
      <c r="D3170" t="s">
        <v>36</v>
      </c>
      <c r="E3170" t="s">
        <v>30</v>
      </c>
      <c r="F3170" t="s">
        <v>22</v>
      </c>
      <c r="G3170" t="s">
        <v>23</v>
      </c>
      <c r="H3170" s="1">
        <v>45088</v>
      </c>
      <c r="I3170" s="2">
        <v>45088.375</v>
      </c>
      <c r="J3170">
        <v>9</v>
      </c>
      <c r="K3170" t="s">
        <v>24</v>
      </c>
      <c r="L3170">
        <v>2</v>
      </c>
      <c r="M3170">
        <v>4</v>
      </c>
      <c r="N3170" t="s">
        <v>293</v>
      </c>
      <c r="O3170" s="3" t="str">
        <f>TEXT(Ticket_Table[[#This Row],[raised_date]],"YYYY-MM")</f>
        <v>2023-06</v>
      </c>
      <c r="P3170" s="3" t="str">
        <f>IF(Ticket_Table[[#This Row],[resolution_hrs]]&lt;=4,"Fast",IF(Ticket_Table[[#This Row],[resolution_hrs]]&lt;=24,"Normal",IF(Ticket_Table[[#This Row],[resolution_hrs]]&lt;=48,"Slow","Very Slow")))</f>
        <v>Normal</v>
      </c>
      <c r="Q3170" s="3">
        <f>YEAR(Ticket_Table[[#This Row],[raised_date]])</f>
        <v>2023</v>
      </c>
    </row>
    <row r="3171" spans="1:17">
      <c r="A3171" t="s">
        <v>3732</v>
      </c>
      <c r="B3171" t="s">
        <v>1039</v>
      </c>
      <c r="C3171" t="s">
        <v>28</v>
      </c>
      <c r="D3171" t="s">
        <v>29</v>
      </c>
      <c r="E3171" t="s">
        <v>56</v>
      </c>
      <c r="F3171" t="s">
        <v>38</v>
      </c>
      <c r="G3171" t="s">
        <v>91</v>
      </c>
      <c r="H3171" s="1">
        <v>44344</v>
      </c>
      <c r="I3171" s="2">
        <v>44344.8375</v>
      </c>
      <c r="J3171">
        <v>20.1</v>
      </c>
      <c r="K3171" t="s">
        <v>24</v>
      </c>
      <c r="L3171">
        <v>0</v>
      </c>
      <c r="M3171">
        <v>5</v>
      </c>
      <c r="N3171" t="s">
        <v>627</v>
      </c>
      <c r="O3171" s="3" t="str">
        <f>TEXT(Ticket_Table[[#This Row],[raised_date]],"YYYY-MM")</f>
        <v>2021-05</v>
      </c>
      <c r="P3171" s="3" t="str">
        <f>IF(Ticket_Table[[#This Row],[resolution_hrs]]&lt;=4,"Fast",IF(Ticket_Table[[#This Row],[resolution_hrs]]&lt;=24,"Normal",IF(Ticket_Table[[#This Row],[resolution_hrs]]&lt;=48,"Slow","Very Slow")))</f>
        <v>Normal</v>
      </c>
      <c r="Q3171" s="3">
        <f>YEAR(Ticket_Table[[#This Row],[raised_date]])</f>
        <v>2021</v>
      </c>
    </row>
    <row r="3172" spans="1:17">
      <c r="A3172" t="s">
        <v>3733</v>
      </c>
      <c r="B3172" t="s">
        <v>751</v>
      </c>
      <c r="C3172" t="s">
        <v>95</v>
      </c>
      <c r="D3172" t="s">
        <v>43</v>
      </c>
      <c r="E3172" t="s">
        <v>106</v>
      </c>
      <c r="F3172" t="s">
        <v>70</v>
      </c>
      <c r="G3172" t="s">
        <v>31</v>
      </c>
      <c r="H3172" s="1">
        <v>44511</v>
      </c>
      <c r="I3172" s="2">
        <v>44512.0541666667</v>
      </c>
      <c r="J3172">
        <v>25.3</v>
      </c>
      <c r="K3172" t="s">
        <v>24</v>
      </c>
      <c r="L3172">
        <v>0</v>
      </c>
      <c r="M3172">
        <v>3</v>
      </c>
      <c r="N3172" t="s">
        <v>710</v>
      </c>
      <c r="O3172" s="3" t="str">
        <f>TEXT(Ticket_Table[[#This Row],[raised_date]],"YYYY-MM")</f>
        <v>2021-11</v>
      </c>
      <c r="P3172" s="3" t="str">
        <f>IF(Ticket_Table[[#This Row],[resolution_hrs]]&lt;=4,"Fast",IF(Ticket_Table[[#This Row],[resolution_hrs]]&lt;=24,"Normal",IF(Ticket_Table[[#This Row],[resolution_hrs]]&lt;=48,"Slow","Very Slow")))</f>
        <v>Slow</v>
      </c>
      <c r="Q3172" s="3">
        <f>YEAR(Ticket_Table[[#This Row],[raised_date]])</f>
        <v>2021</v>
      </c>
    </row>
    <row r="3173" spans="1:17">
      <c r="A3173" t="s">
        <v>3734</v>
      </c>
      <c r="B3173" t="s">
        <v>405</v>
      </c>
      <c r="C3173" t="s">
        <v>201</v>
      </c>
      <c r="D3173" t="s">
        <v>20</v>
      </c>
      <c r="E3173" t="s">
        <v>44</v>
      </c>
      <c r="F3173" t="s">
        <v>45</v>
      </c>
      <c r="G3173" t="s">
        <v>74</v>
      </c>
      <c r="H3173" s="1">
        <v>44245</v>
      </c>
      <c r="I3173" s="2">
        <v>44245.1916666667</v>
      </c>
      <c r="J3173">
        <v>4.6</v>
      </c>
      <c r="K3173" t="s">
        <v>32</v>
      </c>
      <c r="L3173">
        <v>0</v>
      </c>
      <c r="M3173">
        <v>2</v>
      </c>
      <c r="N3173" t="s">
        <v>712</v>
      </c>
      <c r="O3173" s="3" t="str">
        <f>TEXT(Ticket_Table[[#This Row],[raised_date]],"YYYY-MM")</f>
        <v>2021-02</v>
      </c>
      <c r="P3173" s="3" t="str">
        <f>IF(Ticket_Table[[#This Row],[resolution_hrs]]&lt;=4,"Fast",IF(Ticket_Table[[#This Row],[resolution_hrs]]&lt;=24,"Normal",IF(Ticket_Table[[#This Row],[resolution_hrs]]&lt;=48,"Slow","Very Slow")))</f>
        <v>Normal</v>
      </c>
      <c r="Q3173" s="3">
        <f>YEAR(Ticket_Table[[#This Row],[raised_date]])</f>
        <v>2021</v>
      </c>
    </row>
    <row r="3174" spans="1:17">
      <c r="A3174" t="s">
        <v>3735</v>
      </c>
      <c r="B3174" t="s">
        <v>96</v>
      </c>
      <c r="C3174" t="s">
        <v>55</v>
      </c>
      <c r="D3174" t="s">
        <v>36</v>
      </c>
      <c r="E3174" t="s">
        <v>83</v>
      </c>
      <c r="F3174" t="s">
        <v>22</v>
      </c>
      <c r="G3174" t="s">
        <v>91</v>
      </c>
      <c r="H3174" s="1">
        <v>45137</v>
      </c>
      <c r="I3174" s="2">
        <v>45141.4541666667</v>
      </c>
      <c r="J3174">
        <v>106.9</v>
      </c>
      <c r="K3174" t="s">
        <v>32</v>
      </c>
      <c r="L3174">
        <v>0</v>
      </c>
      <c r="M3174">
        <v>4</v>
      </c>
      <c r="N3174" t="s">
        <v>238</v>
      </c>
      <c r="O3174" s="3" t="str">
        <f>TEXT(Ticket_Table[[#This Row],[raised_date]],"YYYY-MM")</f>
        <v>2023-07</v>
      </c>
      <c r="P3174" s="3" t="str">
        <f>IF(Ticket_Table[[#This Row],[resolution_hrs]]&lt;=4,"Fast",IF(Ticket_Table[[#This Row],[resolution_hrs]]&lt;=24,"Normal",IF(Ticket_Table[[#This Row],[resolution_hrs]]&lt;=48,"Slow","Very Slow")))</f>
        <v>Very Slow</v>
      </c>
      <c r="Q3174" s="3">
        <f>YEAR(Ticket_Table[[#This Row],[raised_date]])</f>
        <v>2023</v>
      </c>
    </row>
    <row r="3175" spans="1:17">
      <c r="A3175" t="s">
        <v>3736</v>
      </c>
      <c r="B3175" t="s">
        <v>515</v>
      </c>
      <c r="C3175" t="s">
        <v>287</v>
      </c>
      <c r="D3175" t="s">
        <v>43</v>
      </c>
      <c r="E3175" t="s">
        <v>56</v>
      </c>
      <c r="F3175" t="s">
        <v>70</v>
      </c>
      <c r="G3175" t="s">
        <v>23</v>
      </c>
      <c r="H3175" s="1">
        <v>44876</v>
      </c>
      <c r="I3175" s="2">
        <v>44876.6375</v>
      </c>
      <c r="J3175">
        <v>15.3</v>
      </c>
      <c r="K3175" t="s">
        <v>24</v>
      </c>
      <c r="L3175">
        <v>1</v>
      </c>
      <c r="M3175">
        <v>3</v>
      </c>
      <c r="N3175" t="s">
        <v>811</v>
      </c>
      <c r="O3175" s="3" t="str">
        <f>TEXT(Ticket_Table[[#This Row],[raised_date]],"YYYY-MM")</f>
        <v>2022-11</v>
      </c>
      <c r="P3175" s="3" t="str">
        <f>IF(Ticket_Table[[#This Row],[resolution_hrs]]&lt;=4,"Fast",IF(Ticket_Table[[#This Row],[resolution_hrs]]&lt;=24,"Normal",IF(Ticket_Table[[#This Row],[resolution_hrs]]&lt;=48,"Slow","Very Slow")))</f>
        <v>Normal</v>
      </c>
      <c r="Q3175" s="3">
        <f>YEAR(Ticket_Table[[#This Row],[raised_date]])</f>
        <v>2022</v>
      </c>
    </row>
    <row r="3176" spans="1:17">
      <c r="A3176" t="s">
        <v>3737</v>
      </c>
      <c r="B3176" t="s">
        <v>1252</v>
      </c>
      <c r="C3176" t="s">
        <v>28</v>
      </c>
      <c r="D3176" t="s">
        <v>43</v>
      </c>
      <c r="E3176" t="s">
        <v>106</v>
      </c>
      <c r="F3176" t="s">
        <v>38</v>
      </c>
      <c r="G3176" t="s">
        <v>31</v>
      </c>
      <c r="H3176" s="1">
        <v>44274</v>
      </c>
      <c r="I3176" s="2">
        <v>44275.0916666667</v>
      </c>
      <c r="J3176">
        <v>26.2</v>
      </c>
      <c r="K3176" t="s">
        <v>32</v>
      </c>
      <c r="L3176">
        <v>0</v>
      </c>
      <c r="M3176">
        <v>4</v>
      </c>
      <c r="N3176" t="s">
        <v>1337</v>
      </c>
      <c r="O3176" s="3" t="str">
        <f>TEXT(Ticket_Table[[#This Row],[raised_date]],"YYYY-MM")</f>
        <v>2021-03</v>
      </c>
      <c r="P3176" s="3" t="str">
        <f>IF(Ticket_Table[[#This Row],[resolution_hrs]]&lt;=4,"Fast",IF(Ticket_Table[[#This Row],[resolution_hrs]]&lt;=24,"Normal",IF(Ticket_Table[[#This Row],[resolution_hrs]]&lt;=48,"Slow","Very Slow")))</f>
        <v>Slow</v>
      </c>
      <c r="Q3176" s="3">
        <f>YEAR(Ticket_Table[[#This Row],[raised_date]])</f>
        <v>2021</v>
      </c>
    </row>
    <row r="3177" spans="1:17">
      <c r="A3177" t="s">
        <v>3738</v>
      </c>
      <c r="B3177" t="s">
        <v>269</v>
      </c>
      <c r="C3177" t="s">
        <v>213</v>
      </c>
      <c r="D3177" t="s">
        <v>29</v>
      </c>
      <c r="E3177" t="s">
        <v>37</v>
      </c>
      <c r="F3177" t="s">
        <v>70</v>
      </c>
      <c r="G3177" t="s">
        <v>31</v>
      </c>
      <c r="H3177" s="1">
        <v>44376</v>
      </c>
      <c r="I3177" s="2">
        <v>44376.1708333333</v>
      </c>
      <c r="J3177">
        <v>4.1</v>
      </c>
      <c r="K3177" t="s">
        <v>24</v>
      </c>
      <c r="L3177">
        <v>0</v>
      </c>
      <c r="M3177">
        <v>3</v>
      </c>
      <c r="N3177" t="s">
        <v>1112</v>
      </c>
      <c r="O3177" s="3" t="str">
        <f>TEXT(Ticket_Table[[#This Row],[raised_date]],"YYYY-MM")</f>
        <v>2021-06</v>
      </c>
      <c r="P3177" s="3" t="str">
        <f>IF(Ticket_Table[[#This Row],[resolution_hrs]]&lt;=4,"Fast",IF(Ticket_Table[[#This Row],[resolution_hrs]]&lt;=24,"Normal",IF(Ticket_Table[[#This Row],[resolution_hrs]]&lt;=48,"Slow","Very Slow")))</f>
        <v>Normal</v>
      </c>
      <c r="Q3177" s="3">
        <f>YEAR(Ticket_Table[[#This Row],[raised_date]])</f>
        <v>2021</v>
      </c>
    </row>
    <row r="3178" spans="1:17">
      <c r="A3178" t="s">
        <v>3739</v>
      </c>
      <c r="B3178" t="s">
        <v>1223</v>
      </c>
      <c r="C3178" t="s">
        <v>287</v>
      </c>
      <c r="D3178" t="s">
        <v>43</v>
      </c>
      <c r="E3178" t="s">
        <v>83</v>
      </c>
      <c r="F3178" t="s">
        <v>70</v>
      </c>
      <c r="G3178" t="s">
        <v>31</v>
      </c>
      <c r="H3178" s="1">
        <v>44347</v>
      </c>
      <c r="I3178" s="2">
        <v>44347.6083333333</v>
      </c>
      <c r="J3178">
        <v>14.6</v>
      </c>
      <c r="K3178" t="s">
        <v>24</v>
      </c>
      <c r="L3178">
        <v>0</v>
      </c>
      <c r="M3178">
        <v>5</v>
      </c>
      <c r="N3178" t="s">
        <v>98</v>
      </c>
      <c r="O3178" s="3" t="str">
        <f>TEXT(Ticket_Table[[#This Row],[raised_date]],"YYYY-MM")</f>
        <v>2021-05</v>
      </c>
      <c r="P3178" s="3" t="str">
        <f>IF(Ticket_Table[[#This Row],[resolution_hrs]]&lt;=4,"Fast",IF(Ticket_Table[[#This Row],[resolution_hrs]]&lt;=24,"Normal",IF(Ticket_Table[[#This Row],[resolution_hrs]]&lt;=48,"Slow","Very Slow")))</f>
        <v>Normal</v>
      </c>
      <c r="Q3178" s="3">
        <f>YEAR(Ticket_Table[[#This Row],[raised_date]])</f>
        <v>2021</v>
      </c>
    </row>
    <row r="3179" spans="1:17">
      <c r="A3179" t="s">
        <v>3740</v>
      </c>
      <c r="B3179" t="s">
        <v>595</v>
      </c>
      <c r="C3179" t="s">
        <v>28</v>
      </c>
      <c r="D3179" t="s">
        <v>43</v>
      </c>
      <c r="E3179" t="s">
        <v>69</v>
      </c>
      <c r="F3179" t="s">
        <v>22</v>
      </c>
      <c r="G3179" t="s">
        <v>31</v>
      </c>
      <c r="H3179" s="1">
        <v>44308</v>
      </c>
      <c r="I3179" s="2">
        <v>44310.4958333333</v>
      </c>
      <c r="J3179">
        <v>59.9</v>
      </c>
      <c r="K3179" t="s">
        <v>24</v>
      </c>
      <c r="L3179">
        <v>0</v>
      </c>
      <c r="M3179">
        <v>5</v>
      </c>
      <c r="N3179" t="s">
        <v>985</v>
      </c>
      <c r="O3179" s="3" t="str">
        <f>TEXT(Ticket_Table[[#This Row],[raised_date]],"YYYY-MM")</f>
        <v>2021-04</v>
      </c>
      <c r="P3179" s="3" t="str">
        <f>IF(Ticket_Table[[#This Row],[resolution_hrs]]&lt;=4,"Fast",IF(Ticket_Table[[#This Row],[resolution_hrs]]&lt;=24,"Normal",IF(Ticket_Table[[#This Row],[resolution_hrs]]&lt;=48,"Slow","Very Slow")))</f>
        <v>Very Slow</v>
      </c>
      <c r="Q3179" s="3">
        <f>YEAR(Ticket_Table[[#This Row],[raised_date]])</f>
        <v>2021</v>
      </c>
    </row>
    <row r="3180" spans="1:17">
      <c r="A3180" t="s">
        <v>3741</v>
      </c>
      <c r="B3180" t="s">
        <v>808</v>
      </c>
      <c r="C3180" t="s">
        <v>78</v>
      </c>
      <c r="D3180" t="s">
        <v>90</v>
      </c>
      <c r="E3180" t="s">
        <v>83</v>
      </c>
      <c r="F3180" t="s">
        <v>22</v>
      </c>
      <c r="G3180" t="s">
        <v>23</v>
      </c>
      <c r="H3180" s="1">
        <v>44561</v>
      </c>
      <c r="I3180" s="2">
        <v>44562.1666666667</v>
      </c>
      <c r="J3180">
        <v>28</v>
      </c>
      <c r="K3180" t="s">
        <v>24</v>
      </c>
      <c r="L3180">
        <v>0</v>
      </c>
      <c r="M3180">
        <v>2</v>
      </c>
      <c r="N3180" t="s">
        <v>592</v>
      </c>
      <c r="O3180" s="3" t="str">
        <f>TEXT(Ticket_Table[[#This Row],[raised_date]],"YYYY-MM")</f>
        <v>2021-12</v>
      </c>
      <c r="P3180" s="3" t="str">
        <f>IF(Ticket_Table[[#This Row],[resolution_hrs]]&lt;=4,"Fast",IF(Ticket_Table[[#This Row],[resolution_hrs]]&lt;=24,"Normal",IF(Ticket_Table[[#This Row],[resolution_hrs]]&lt;=48,"Slow","Very Slow")))</f>
        <v>Slow</v>
      </c>
      <c r="Q3180" s="3">
        <f>YEAR(Ticket_Table[[#This Row],[raised_date]])</f>
        <v>2021</v>
      </c>
    </row>
    <row r="3181" spans="1:17">
      <c r="A3181" t="s">
        <v>3742</v>
      </c>
      <c r="B3181" t="s">
        <v>84</v>
      </c>
      <c r="C3181" t="s">
        <v>287</v>
      </c>
      <c r="D3181" t="s">
        <v>29</v>
      </c>
      <c r="E3181" t="s">
        <v>21</v>
      </c>
      <c r="F3181" t="s">
        <v>70</v>
      </c>
      <c r="G3181" t="s">
        <v>23</v>
      </c>
      <c r="H3181" s="1">
        <v>44712</v>
      </c>
      <c r="I3181" s="2">
        <v>44714.6375</v>
      </c>
      <c r="J3181">
        <v>63.3</v>
      </c>
      <c r="K3181" t="s">
        <v>32</v>
      </c>
      <c r="L3181">
        <v>2</v>
      </c>
      <c r="M3181">
        <v>3</v>
      </c>
      <c r="N3181" t="s">
        <v>376</v>
      </c>
      <c r="O3181" s="3" t="str">
        <f>TEXT(Ticket_Table[[#This Row],[raised_date]],"YYYY-MM")</f>
        <v>2022-05</v>
      </c>
      <c r="P3181" s="3" t="str">
        <f>IF(Ticket_Table[[#This Row],[resolution_hrs]]&lt;=4,"Fast",IF(Ticket_Table[[#This Row],[resolution_hrs]]&lt;=24,"Normal",IF(Ticket_Table[[#This Row],[resolution_hrs]]&lt;=48,"Slow","Very Slow")))</f>
        <v>Very Slow</v>
      </c>
      <c r="Q3181" s="3">
        <f>YEAR(Ticket_Table[[#This Row],[raised_date]])</f>
        <v>2022</v>
      </c>
    </row>
    <row r="3182" spans="1:17">
      <c r="A3182" t="s">
        <v>3743</v>
      </c>
      <c r="B3182" t="s">
        <v>186</v>
      </c>
      <c r="C3182" t="s">
        <v>68</v>
      </c>
      <c r="D3182" t="s">
        <v>29</v>
      </c>
      <c r="E3182" t="s">
        <v>69</v>
      </c>
      <c r="F3182" t="s">
        <v>45</v>
      </c>
      <c r="G3182" t="s">
        <v>23</v>
      </c>
      <c r="H3182" s="1">
        <v>44341</v>
      </c>
      <c r="I3182" s="2">
        <v>44341.2208333333</v>
      </c>
      <c r="J3182">
        <v>5.3</v>
      </c>
      <c r="K3182" t="s">
        <v>32</v>
      </c>
      <c r="L3182">
        <v>2</v>
      </c>
      <c r="M3182">
        <v>3</v>
      </c>
      <c r="N3182" t="s">
        <v>1051</v>
      </c>
      <c r="O3182" s="3" t="str">
        <f>TEXT(Ticket_Table[[#This Row],[raised_date]],"YYYY-MM")</f>
        <v>2021-05</v>
      </c>
      <c r="P3182" s="3" t="str">
        <f>IF(Ticket_Table[[#This Row],[resolution_hrs]]&lt;=4,"Fast",IF(Ticket_Table[[#This Row],[resolution_hrs]]&lt;=24,"Normal",IF(Ticket_Table[[#This Row],[resolution_hrs]]&lt;=48,"Slow","Very Slow")))</f>
        <v>Normal</v>
      </c>
      <c r="Q3182" s="3">
        <f>YEAR(Ticket_Table[[#This Row],[raised_date]])</f>
        <v>2021</v>
      </c>
    </row>
    <row r="3183" spans="1:17">
      <c r="A3183" t="s">
        <v>3744</v>
      </c>
      <c r="B3183" t="s">
        <v>47</v>
      </c>
      <c r="C3183" t="s">
        <v>60</v>
      </c>
      <c r="D3183" t="s">
        <v>20</v>
      </c>
      <c r="E3183" t="s">
        <v>56</v>
      </c>
      <c r="F3183" t="s">
        <v>22</v>
      </c>
      <c r="G3183" t="s">
        <v>23</v>
      </c>
      <c r="H3183" s="1">
        <v>44663</v>
      </c>
      <c r="I3183" s="2">
        <v>44667.0833333333</v>
      </c>
      <c r="J3183">
        <v>98</v>
      </c>
      <c r="K3183" t="s">
        <v>32</v>
      </c>
      <c r="L3183">
        <v>2</v>
      </c>
      <c r="M3183">
        <v>4</v>
      </c>
      <c r="N3183" t="s">
        <v>1091</v>
      </c>
      <c r="O3183" s="3" t="str">
        <f>TEXT(Ticket_Table[[#This Row],[raised_date]],"YYYY-MM")</f>
        <v>2022-04</v>
      </c>
      <c r="P3183" s="3" t="str">
        <f>IF(Ticket_Table[[#This Row],[resolution_hrs]]&lt;=4,"Fast",IF(Ticket_Table[[#This Row],[resolution_hrs]]&lt;=24,"Normal",IF(Ticket_Table[[#This Row],[resolution_hrs]]&lt;=48,"Slow","Very Slow")))</f>
        <v>Very Slow</v>
      </c>
      <c r="Q3183" s="3">
        <f>YEAR(Ticket_Table[[#This Row],[raised_date]])</f>
        <v>2022</v>
      </c>
    </row>
    <row r="3184" spans="1:17">
      <c r="A3184" t="s">
        <v>3745</v>
      </c>
      <c r="B3184" t="s">
        <v>646</v>
      </c>
      <c r="C3184" t="s">
        <v>78</v>
      </c>
      <c r="D3184" t="s">
        <v>43</v>
      </c>
      <c r="E3184" t="s">
        <v>37</v>
      </c>
      <c r="F3184" t="s">
        <v>70</v>
      </c>
      <c r="G3184" t="s">
        <v>23</v>
      </c>
      <c r="H3184" s="1">
        <v>44726</v>
      </c>
      <c r="I3184" s="2">
        <v>44728.925</v>
      </c>
      <c r="J3184">
        <v>70.2</v>
      </c>
      <c r="K3184" t="s">
        <v>32</v>
      </c>
      <c r="L3184">
        <v>3</v>
      </c>
      <c r="M3184">
        <v>4</v>
      </c>
      <c r="N3184" t="s">
        <v>650</v>
      </c>
      <c r="O3184" s="3" t="str">
        <f>TEXT(Ticket_Table[[#This Row],[raised_date]],"YYYY-MM")</f>
        <v>2022-06</v>
      </c>
      <c r="P3184" s="3" t="str">
        <f>IF(Ticket_Table[[#This Row],[resolution_hrs]]&lt;=4,"Fast",IF(Ticket_Table[[#This Row],[resolution_hrs]]&lt;=24,"Normal",IF(Ticket_Table[[#This Row],[resolution_hrs]]&lt;=48,"Slow","Very Slow")))</f>
        <v>Very Slow</v>
      </c>
      <c r="Q3184" s="3">
        <f>YEAR(Ticket_Table[[#This Row],[raised_date]])</f>
        <v>2022</v>
      </c>
    </row>
    <row r="3185" spans="1:17">
      <c r="A3185" t="s">
        <v>3746</v>
      </c>
      <c r="B3185" t="s">
        <v>204</v>
      </c>
      <c r="C3185" t="s">
        <v>213</v>
      </c>
      <c r="D3185" t="s">
        <v>20</v>
      </c>
      <c r="E3185" t="s">
        <v>51</v>
      </c>
      <c r="F3185" t="s">
        <v>38</v>
      </c>
      <c r="G3185" t="s">
        <v>23</v>
      </c>
      <c r="H3185" s="1">
        <v>45031</v>
      </c>
      <c r="I3185" s="2">
        <v>45032.3458333333</v>
      </c>
      <c r="J3185">
        <v>32.3</v>
      </c>
      <c r="K3185" t="s">
        <v>32</v>
      </c>
      <c r="L3185">
        <v>0</v>
      </c>
      <c r="M3185">
        <v>4</v>
      </c>
      <c r="N3185" t="s">
        <v>452</v>
      </c>
      <c r="O3185" s="3" t="str">
        <f>TEXT(Ticket_Table[[#This Row],[raised_date]],"YYYY-MM")</f>
        <v>2023-04</v>
      </c>
      <c r="P3185" s="3" t="str">
        <f>IF(Ticket_Table[[#This Row],[resolution_hrs]]&lt;=4,"Fast",IF(Ticket_Table[[#This Row],[resolution_hrs]]&lt;=24,"Normal",IF(Ticket_Table[[#This Row],[resolution_hrs]]&lt;=48,"Slow","Very Slow")))</f>
        <v>Slow</v>
      </c>
      <c r="Q3185" s="3">
        <f>YEAR(Ticket_Table[[#This Row],[raised_date]])</f>
        <v>2023</v>
      </c>
    </row>
    <row r="3186" spans="1:17">
      <c r="A3186" t="s">
        <v>3747</v>
      </c>
      <c r="B3186" t="s">
        <v>308</v>
      </c>
      <c r="C3186" t="s">
        <v>102</v>
      </c>
      <c r="D3186" t="s">
        <v>36</v>
      </c>
      <c r="E3186" t="s">
        <v>166</v>
      </c>
      <c r="F3186" t="s">
        <v>22</v>
      </c>
      <c r="G3186" t="s">
        <v>23</v>
      </c>
      <c r="H3186" s="1">
        <v>44991</v>
      </c>
      <c r="I3186" s="2">
        <v>44993.0416666667</v>
      </c>
      <c r="J3186">
        <v>49</v>
      </c>
      <c r="K3186" t="s">
        <v>24</v>
      </c>
      <c r="L3186">
        <v>0</v>
      </c>
      <c r="M3186">
        <v>3</v>
      </c>
      <c r="N3186" t="s">
        <v>668</v>
      </c>
      <c r="O3186" s="3" t="str">
        <f>TEXT(Ticket_Table[[#This Row],[raised_date]],"YYYY-MM")</f>
        <v>2023-03</v>
      </c>
      <c r="P3186" s="3" t="str">
        <f>IF(Ticket_Table[[#This Row],[resolution_hrs]]&lt;=4,"Fast",IF(Ticket_Table[[#This Row],[resolution_hrs]]&lt;=24,"Normal",IF(Ticket_Table[[#This Row],[resolution_hrs]]&lt;=48,"Slow","Very Slow")))</f>
        <v>Very Slow</v>
      </c>
      <c r="Q3186" s="3">
        <f>YEAR(Ticket_Table[[#This Row],[raised_date]])</f>
        <v>2023</v>
      </c>
    </row>
    <row r="3187" spans="1:17">
      <c r="A3187" t="s">
        <v>3748</v>
      </c>
      <c r="B3187" t="s">
        <v>223</v>
      </c>
      <c r="C3187" t="s">
        <v>50</v>
      </c>
      <c r="D3187" t="s">
        <v>43</v>
      </c>
      <c r="E3187" t="s">
        <v>30</v>
      </c>
      <c r="F3187" t="s">
        <v>70</v>
      </c>
      <c r="G3187" t="s">
        <v>46</v>
      </c>
      <c r="H3187" s="1">
        <v>45120</v>
      </c>
      <c r="I3187" s="2">
        <v>45122.1625</v>
      </c>
      <c r="J3187">
        <v>51.9</v>
      </c>
      <c r="K3187" t="s">
        <v>32</v>
      </c>
      <c r="L3187">
        <v>0</v>
      </c>
      <c r="M3187">
        <v>4</v>
      </c>
      <c r="N3187" t="s">
        <v>340</v>
      </c>
      <c r="O3187" s="3" t="str">
        <f>TEXT(Ticket_Table[[#This Row],[raised_date]],"YYYY-MM")</f>
        <v>2023-07</v>
      </c>
      <c r="P3187" s="3" t="str">
        <f>IF(Ticket_Table[[#This Row],[resolution_hrs]]&lt;=4,"Fast",IF(Ticket_Table[[#This Row],[resolution_hrs]]&lt;=24,"Normal",IF(Ticket_Table[[#This Row],[resolution_hrs]]&lt;=48,"Slow","Very Slow")))</f>
        <v>Very Slow</v>
      </c>
      <c r="Q3187" s="3">
        <f>YEAR(Ticket_Table[[#This Row],[raised_date]])</f>
        <v>2023</v>
      </c>
    </row>
    <row r="3188" spans="1:17">
      <c r="A3188" t="s">
        <v>3749</v>
      </c>
      <c r="B3188" t="s">
        <v>221</v>
      </c>
      <c r="C3188" t="s">
        <v>68</v>
      </c>
      <c r="D3188" t="s">
        <v>36</v>
      </c>
      <c r="E3188" t="s">
        <v>30</v>
      </c>
      <c r="F3188" t="s">
        <v>38</v>
      </c>
      <c r="G3188" t="s">
        <v>23</v>
      </c>
      <c r="H3188" s="1">
        <v>45025</v>
      </c>
      <c r="I3188" s="2">
        <v>45026.3708333333</v>
      </c>
      <c r="J3188">
        <v>32.9</v>
      </c>
      <c r="K3188" t="s">
        <v>32</v>
      </c>
      <c r="L3188">
        <v>1</v>
      </c>
      <c r="M3188">
        <v>3</v>
      </c>
      <c r="N3188" t="s">
        <v>387</v>
      </c>
      <c r="O3188" s="3" t="str">
        <f>TEXT(Ticket_Table[[#This Row],[raised_date]],"YYYY-MM")</f>
        <v>2023-04</v>
      </c>
      <c r="P3188" s="3" t="str">
        <f>IF(Ticket_Table[[#This Row],[resolution_hrs]]&lt;=4,"Fast",IF(Ticket_Table[[#This Row],[resolution_hrs]]&lt;=24,"Normal",IF(Ticket_Table[[#This Row],[resolution_hrs]]&lt;=48,"Slow","Very Slow")))</f>
        <v>Slow</v>
      </c>
      <c r="Q3188" s="3">
        <f>YEAR(Ticket_Table[[#This Row],[raised_date]])</f>
        <v>2023</v>
      </c>
    </row>
    <row r="3189" spans="1:17">
      <c r="A3189" t="s">
        <v>3750</v>
      </c>
      <c r="B3189" t="s">
        <v>439</v>
      </c>
      <c r="C3189" t="s">
        <v>213</v>
      </c>
      <c r="D3189" t="s">
        <v>90</v>
      </c>
      <c r="E3189" t="s">
        <v>83</v>
      </c>
      <c r="F3189" t="s">
        <v>38</v>
      </c>
      <c r="G3189" t="s">
        <v>31</v>
      </c>
      <c r="H3189" s="1">
        <v>45083</v>
      </c>
      <c r="I3189" s="2">
        <v>45083.1416666667</v>
      </c>
      <c r="J3189">
        <v>3.4</v>
      </c>
      <c r="K3189" t="s">
        <v>24</v>
      </c>
      <c r="L3189">
        <v>1</v>
      </c>
      <c r="M3189">
        <v>4</v>
      </c>
      <c r="N3189" t="s">
        <v>165</v>
      </c>
      <c r="O3189" s="3" t="str">
        <f>TEXT(Ticket_Table[[#This Row],[raised_date]],"YYYY-MM")</f>
        <v>2023-06</v>
      </c>
      <c r="P3189" s="3" t="str">
        <f>IF(Ticket_Table[[#This Row],[resolution_hrs]]&lt;=4,"Fast",IF(Ticket_Table[[#This Row],[resolution_hrs]]&lt;=24,"Normal",IF(Ticket_Table[[#This Row],[resolution_hrs]]&lt;=48,"Slow","Very Slow")))</f>
        <v>Fast</v>
      </c>
      <c r="Q3189" s="3">
        <f>YEAR(Ticket_Table[[#This Row],[raised_date]])</f>
        <v>2023</v>
      </c>
    </row>
    <row r="3190" spans="1:17">
      <c r="A3190" t="s">
        <v>3751</v>
      </c>
      <c r="B3190" t="s">
        <v>458</v>
      </c>
      <c r="C3190" t="s">
        <v>82</v>
      </c>
      <c r="D3190" t="s">
        <v>43</v>
      </c>
      <c r="E3190" t="s">
        <v>44</v>
      </c>
      <c r="F3190" t="s">
        <v>70</v>
      </c>
      <c r="G3190" t="s">
        <v>23</v>
      </c>
      <c r="H3190" s="1">
        <v>44844</v>
      </c>
      <c r="I3190" s="2">
        <v>44845.2791666667</v>
      </c>
      <c r="J3190">
        <v>30.7</v>
      </c>
      <c r="K3190" t="s">
        <v>24</v>
      </c>
      <c r="L3190">
        <v>0</v>
      </c>
      <c r="M3190">
        <v>3</v>
      </c>
      <c r="N3190" t="s">
        <v>180</v>
      </c>
      <c r="O3190" s="3" t="str">
        <f>TEXT(Ticket_Table[[#This Row],[raised_date]],"YYYY-MM")</f>
        <v>2022-10</v>
      </c>
      <c r="P3190" s="3" t="str">
        <f>IF(Ticket_Table[[#This Row],[resolution_hrs]]&lt;=4,"Fast",IF(Ticket_Table[[#This Row],[resolution_hrs]]&lt;=24,"Normal",IF(Ticket_Table[[#This Row],[resolution_hrs]]&lt;=48,"Slow","Very Slow")))</f>
        <v>Slow</v>
      </c>
      <c r="Q3190" s="3">
        <f>YEAR(Ticket_Table[[#This Row],[raised_date]])</f>
        <v>2022</v>
      </c>
    </row>
    <row r="3191" spans="1:17">
      <c r="A3191" t="s">
        <v>3752</v>
      </c>
      <c r="B3191" t="s">
        <v>224</v>
      </c>
      <c r="C3191" t="s">
        <v>140</v>
      </c>
      <c r="D3191" t="s">
        <v>20</v>
      </c>
      <c r="E3191" t="s">
        <v>69</v>
      </c>
      <c r="F3191" t="s">
        <v>38</v>
      </c>
      <c r="G3191" t="s">
        <v>91</v>
      </c>
      <c r="H3191" s="1">
        <v>44231</v>
      </c>
      <c r="I3191" s="2">
        <v>44232.4</v>
      </c>
      <c r="J3191">
        <v>33.6</v>
      </c>
      <c r="K3191" t="s">
        <v>32</v>
      </c>
      <c r="L3191">
        <v>2</v>
      </c>
      <c r="M3191">
        <v>4</v>
      </c>
      <c r="N3191" t="s">
        <v>1112</v>
      </c>
      <c r="O3191" s="3" t="str">
        <f>TEXT(Ticket_Table[[#This Row],[raised_date]],"YYYY-MM")</f>
        <v>2021-02</v>
      </c>
      <c r="P3191" s="3" t="str">
        <f>IF(Ticket_Table[[#This Row],[resolution_hrs]]&lt;=4,"Fast",IF(Ticket_Table[[#This Row],[resolution_hrs]]&lt;=24,"Normal",IF(Ticket_Table[[#This Row],[resolution_hrs]]&lt;=48,"Slow","Very Slow")))</f>
        <v>Slow</v>
      </c>
      <c r="Q3191" s="3">
        <f>YEAR(Ticket_Table[[#This Row],[raised_date]])</f>
        <v>2021</v>
      </c>
    </row>
    <row r="3192" spans="1:17">
      <c r="A3192" t="s">
        <v>3753</v>
      </c>
      <c r="B3192" t="s">
        <v>778</v>
      </c>
      <c r="C3192" t="s">
        <v>261</v>
      </c>
      <c r="D3192" t="s">
        <v>20</v>
      </c>
      <c r="E3192" t="s">
        <v>21</v>
      </c>
      <c r="F3192" t="s">
        <v>22</v>
      </c>
      <c r="G3192" t="s">
        <v>74</v>
      </c>
      <c r="H3192" s="1">
        <v>44994</v>
      </c>
      <c r="I3192" s="2">
        <v>44996.2875</v>
      </c>
      <c r="J3192">
        <v>54.9</v>
      </c>
      <c r="K3192" t="s">
        <v>24</v>
      </c>
      <c r="L3192">
        <v>0</v>
      </c>
      <c r="M3192">
        <v>3</v>
      </c>
      <c r="N3192" t="s">
        <v>248</v>
      </c>
      <c r="O3192" s="3" t="str">
        <f>TEXT(Ticket_Table[[#This Row],[raised_date]],"YYYY-MM")</f>
        <v>2023-03</v>
      </c>
      <c r="P3192" s="3" t="str">
        <f>IF(Ticket_Table[[#This Row],[resolution_hrs]]&lt;=4,"Fast",IF(Ticket_Table[[#This Row],[resolution_hrs]]&lt;=24,"Normal",IF(Ticket_Table[[#This Row],[resolution_hrs]]&lt;=48,"Slow","Very Slow")))</f>
        <v>Very Slow</v>
      </c>
      <c r="Q3192" s="3">
        <f>YEAR(Ticket_Table[[#This Row],[raised_date]])</f>
        <v>2023</v>
      </c>
    </row>
    <row r="3193" spans="1:17">
      <c r="A3193" t="s">
        <v>3754</v>
      </c>
      <c r="B3193" t="s">
        <v>1238</v>
      </c>
      <c r="C3193" t="s">
        <v>42</v>
      </c>
      <c r="D3193" t="s">
        <v>43</v>
      </c>
      <c r="E3193" t="s">
        <v>83</v>
      </c>
      <c r="F3193" t="s">
        <v>45</v>
      </c>
      <c r="G3193" t="s">
        <v>23</v>
      </c>
      <c r="H3193" s="1">
        <v>44439</v>
      </c>
      <c r="I3193" s="2">
        <v>44439.0458333333</v>
      </c>
      <c r="J3193">
        <v>1.1</v>
      </c>
      <c r="K3193" t="s">
        <v>24</v>
      </c>
      <c r="L3193">
        <v>0</v>
      </c>
      <c r="M3193">
        <v>3</v>
      </c>
      <c r="N3193" t="s">
        <v>664</v>
      </c>
      <c r="O3193" s="3" t="str">
        <f>TEXT(Ticket_Table[[#This Row],[raised_date]],"YYYY-MM")</f>
        <v>2021-08</v>
      </c>
      <c r="P3193" s="3" t="str">
        <f>IF(Ticket_Table[[#This Row],[resolution_hrs]]&lt;=4,"Fast",IF(Ticket_Table[[#This Row],[resolution_hrs]]&lt;=24,"Normal",IF(Ticket_Table[[#This Row],[resolution_hrs]]&lt;=48,"Slow","Very Slow")))</f>
        <v>Fast</v>
      </c>
      <c r="Q3193" s="3">
        <f>YEAR(Ticket_Table[[#This Row],[raised_date]])</f>
        <v>2021</v>
      </c>
    </row>
    <row r="3194" spans="1:17">
      <c r="A3194" t="s">
        <v>3755</v>
      </c>
      <c r="B3194" t="s">
        <v>546</v>
      </c>
      <c r="C3194" t="s">
        <v>175</v>
      </c>
      <c r="D3194" t="s">
        <v>20</v>
      </c>
      <c r="E3194" t="s">
        <v>37</v>
      </c>
      <c r="F3194" t="s">
        <v>22</v>
      </c>
      <c r="G3194" t="s">
        <v>23</v>
      </c>
      <c r="H3194" s="1">
        <v>45292</v>
      </c>
      <c r="I3194" s="2">
        <v>45294.7125</v>
      </c>
      <c r="J3194">
        <v>65.1</v>
      </c>
      <c r="K3194" t="s">
        <v>24</v>
      </c>
      <c r="L3194">
        <v>0</v>
      </c>
      <c r="M3194">
        <v>3</v>
      </c>
      <c r="N3194" t="s">
        <v>944</v>
      </c>
      <c r="O3194" s="3" t="str">
        <f>TEXT(Ticket_Table[[#This Row],[raised_date]],"YYYY-MM")</f>
        <v>2024-01</v>
      </c>
      <c r="P3194" s="3" t="str">
        <f>IF(Ticket_Table[[#This Row],[resolution_hrs]]&lt;=4,"Fast",IF(Ticket_Table[[#This Row],[resolution_hrs]]&lt;=24,"Normal",IF(Ticket_Table[[#This Row],[resolution_hrs]]&lt;=48,"Slow","Very Slow")))</f>
        <v>Very Slow</v>
      </c>
      <c r="Q3194" s="3">
        <f>YEAR(Ticket_Table[[#This Row],[raised_date]])</f>
        <v>2024</v>
      </c>
    </row>
    <row r="3195" spans="1:17">
      <c r="A3195" t="s">
        <v>3756</v>
      </c>
      <c r="B3195" t="s">
        <v>1578</v>
      </c>
      <c r="C3195" t="s">
        <v>95</v>
      </c>
      <c r="D3195" t="s">
        <v>43</v>
      </c>
      <c r="E3195" t="s">
        <v>166</v>
      </c>
      <c r="F3195" t="s">
        <v>38</v>
      </c>
      <c r="G3195" t="s">
        <v>74</v>
      </c>
      <c r="H3195" s="1">
        <v>44209</v>
      </c>
      <c r="I3195" s="2">
        <v>44210.0583333333</v>
      </c>
      <c r="J3195">
        <v>25.4</v>
      </c>
      <c r="K3195" t="s">
        <v>32</v>
      </c>
      <c r="L3195">
        <v>0</v>
      </c>
      <c r="M3195">
        <v>4</v>
      </c>
      <c r="N3195" t="s">
        <v>808</v>
      </c>
      <c r="O3195" s="3" t="str">
        <f>TEXT(Ticket_Table[[#This Row],[raised_date]],"YYYY-MM")</f>
        <v>2021-01</v>
      </c>
      <c r="P3195" s="3" t="str">
        <f>IF(Ticket_Table[[#This Row],[resolution_hrs]]&lt;=4,"Fast",IF(Ticket_Table[[#This Row],[resolution_hrs]]&lt;=24,"Normal",IF(Ticket_Table[[#This Row],[resolution_hrs]]&lt;=48,"Slow","Very Slow")))</f>
        <v>Slow</v>
      </c>
      <c r="Q3195" s="3">
        <f>YEAR(Ticket_Table[[#This Row],[raised_date]])</f>
        <v>2021</v>
      </c>
    </row>
    <row r="3196" spans="1:17">
      <c r="A3196" t="s">
        <v>3757</v>
      </c>
      <c r="B3196" t="s">
        <v>782</v>
      </c>
      <c r="C3196" t="s">
        <v>28</v>
      </c>
      <c r="D3196" t="s">
        <v>29</v>
      </c>
      <c r="E3196" t="s">
        <v>51</v>
      </c>
      <c r="F3196" t="s">
        <v>22</v>
      </c>
      <c r="G3196" t="s">
        <v>46</v>
      </c>
      <c r="H3196" s="1">
        <v>44326</v>
      </c>
      <c r="I3196" s="2">
        <v>44326.6166666667</v>
      </c>
      <c r="J3196">
        <v>14.8</v>
      </c>
      <c r="K3196" t="s">
        <v>24</v>
      </c>
      <c r="L3196">
        <v>0</v>
      </c>
      <c r="M3196">
        <v>4</v>
      </c>
      <c r="N3196" t="s">
        <v>970</v>
      </c>
      <c r="O3196" s="3" t="str">
        <f>TEXT(Ticket_Table[[#This Row],[raised_date]],"YYYY-MM")</f>
        <v>2021-05</v>
      </c>
      <c r="P3196" s="3" t="str">
        <f>IF(Ticket_Table[[#This Row],[resolution_hrs]]&lt;=4,"Fast",IF(Ticket_Table[[#This Row],[resolution_hrs]]&lt;=24,"Normal",IF(Ticket_Table[[#This Row],[resolution_hrs]]&lt;=48,"Slow","Very Slow")))</f>
        <v>Normal</v>
      </c>
      <c r="Q3196" s="3">
        <f>YEAR(Ticket_Table[[#This Row],[raised_date]])</f>
        <v>2021</v>
      </c>
    </row>
    <row r="3197" spans="1:17">
      <c r="A3197" t="s">
        <v>3758</v>
      </c>
      <c r="B3197" t="s">
        <v>620</v>
      </c>
      <c r="C3197" t="s">
        <v>201</v>
      </c>
      <c r="D3197" t="s">
        <v>20</v>
      </c>
      <c r="E3197" t="s">
        <v>166</v>
      </c>
      <c r="F3197" t="s">
        <v>45</v>
      </c>
      <c r="G3197" t="s">
        <v>31</v>
      </c>
      <c r="H3197" s="1">
        <v>44290</v>
      </c>
      <c r="I3197" s="2">
        <v>44290.05</v>
      </c>
      <c r="J3197">
        <v>1.2</v>
      </c>
      <c r="K3197" t="s">
        <v>24</v>
      </c>
      <c r="L3197">
        <v>0</v>
      </c>
      <c r="M3197">
        <v>5</v>
      </c>
      <c r="N3197" t="s">
        <v>504</v>
      </c>
      <c r="O3197" s="3" t="str">
        <f>TEXT(Ticket_Table[[#This Row],[raised_date]],"YYYY-MM")</f>
        <v>2021-04</v>
      </c>
      <c r="P3197" s="3" t="str">
        <f>IF(Ticket_Table[[#This Row],[resolution_hrs]]&lt;=4,"Fast",IF(Ticket_Table[[#This Row],[resolution_hrs]]&lt;=24,"Normal",IF(Ticket_Table[[#This Row],[resolution_hrs]]&lt;=48,"Slow","Very Slow")))</f>
        <v>Fast</v>
      </c>
      <c r="Q3197" s="3">
        <f>YEAR(Ticket_Table[[#This Row],[raised_date]])</f>
        <v>2021</v>
      </c>
    </row>
    <row r="3198" spans="1:17">
      <c r="A3198" t="s">
        <v>3759</v>
      </c>
      <c r="B3198" t="s">
        <v>1063</v>
      </c>
      <c r="C3198" t="s">
        <v>64</v>
      </c>
      <c r="D3198" t="s">
        <v>43</v>
      </c>
      <c r="E3198" t="s">
        <v>21</v>
      </c>
      <c r="F3198" t="s">
        <v>38</v>
      </c>
      <c r="G3198" t="s">
        <v>23</v>
      </c>
      <c r="H3198" s="1">
        <v>44345</v>
      </c>
      <c r="I3198" s="2">
        <v>44345.8666666667</v>
      </c>
      <c r="J3198">
        <v>20.8</v>
      </c>
      <c r="K3198" t="s">
        <v>24</v>
      </c>
      <c r="L3198">
        <v>1</v>
      </c>
      <c r="M3198">
        <v>3</v>
      </c>
      <c r="N3198" t="s">
        <v>1156</v>
      </c>
      <c r="O3198" s="3" t="str">
        <f>TEXT(Ticket_Table[[#This Row],[raised_date]],"YYYY-MM")</f>
        <v>2021-05</v>
      </c>
      <c r="P3198" s="3" t="str">
        <f>IF(Ticket_Table[[#This Row],[resolution_hrs]]&lt;=4,"Fast",IF(Ticket_Table[[#This Row],[resolution_hrs]]&lt;=24,"Normal",IF(Ticket_Table[[#This Row],[resolution_hrs]]&lt;=48,"Slow","Very Slow")))</f>
        <v>Normal</v>
      </c>
      <c r="Q3198" s="3">
        <f>YEAR(Ticket_Table[[#This Row],[raised_date]])</f>
        <v>2021</v>
      </c>
    </row>
    <row r="3199" spans="1:17">
      <c r="A3199" t="s">
        <v>3760</v>
      </c>
      <c r="B3199" t="s">
        <v>264</v>
      </c>
      <c r="C3199" t="s">
        <v>133</v>
      </c>
      <c r="D3199" t="s">
        <v>43</v>
      </c>
      <c r="E3199" t="s">
        <v>166</v>
      </c>
      <c r="F3199" t="s">
        <v>38</v>
      </c>
      <c r="G3199" t="s">
        <v>23</v>
      </c>
      <c r="H3199" s="1">
        <v>44929</v>
      </c>
      <c r="I3199" s="2">
        <v>44930.2</v>
      </c>
      <c r="J3199">
        <v>28.8</v>
      </c>
      <c r="K3199" t="s">
        <v>32</v>
      </c>
      <c r="L3199">
        <v>0</v>
      </c>
      <c r="M3199">
        <v>1</v>
      </c>
      <c r="N3199" t="s">
        <v>1348</v>
      </c>
      <c r="O3199" s="3" t="str">
        <f>TEXT(Ticket_Table[[#This Row],[raised_date]],"YYYY-MM")</f>
        <v>2023-01</v>
      </c>
      <c r="P3199" s="3" t="str">
        <f>IF(Ticket_Table[[#This Row],[resolution_hrs]]&lt;=4,"Fast",IF(Ticket_Table[[#This Row],[resolution_hrs]]&lt;=24,"Normal",IF(Ticket_Table[[#This Row],[resolution_hrs]]&lt;=48,"Slow","Very Slow")))</f>
        <v>Slow</v>
      </c>
      <c r="Q3199" s="3">
        <f>YEAR(Ticket_Table[[#This Row],[raised_date]])</f>
        <v>2023</v>
      </c>
    </row>
    <row r="3200" spans="1:17">
      <c r="A3200" t="s">
        <v>3761</v>
      </c>
      <c r="B3200" t="s">
        <v>27</v>
      </c>
      <c r="C3200" t="s">
        <v>68</v>
      </c>
      <c r="D3200" t="s">
        <v>20</v>
      </c>
      <c r="E3200" t="s">
        <v>166</v>
      </c>
      <c r="F3200" t="s">
        <v>22</v>
      </c>
      <c r="G3200" t="s">
        <v>23</v>
      </c>
      <c r="H3200" s="1">
        <v>45226</v>
      </c>
      <c r="I3200" s="2">
        <v>45229.1333333333</v>
      </c>
      <c r="J3200">
        <v>75.2</v>
      </c>
      <c r="K3200" t="s">
        <v>32</v>
      </c>
      <c r="L3200">
        <v>1</v>
      </c>
      <c r="M3200">
        <v>3</v>
      </c>
      <c r="N3200" t="s">
        <v>726</v>
      </c>
      <c r="O3200" s="3" t="str">
        <f>TEXT(Ticket_Table[[#This Row],[raised_date]],"YYYY-MM")</f>
        <v>2023-10</v>
      </c>
      <c r="P3200" s="3" t="str">
        <f>IF(Ticket_Table[[#This Row],[resolution_hrs]]&lt;=4,"Fast",IF(Ticket_Table[[#This Row],[resolution_hrs]]&lt;=24,"Normal",IF(Ticket_Table[[#This Row],[resolution_hrs]]&lt;=48,"Slow","Very Slow")))</f>
        <v>Very Slow</v>
      </c>
      <c r="Q3200" s="3">
        <f>YEAR(Ticket_Table[[#This Row],[raised_date]])</f>
        <v>2023</v>
      </c>
    </row>
    <row r="3201" spans="1:17">
      <c r="A3201" t="s">
        <v>3762</v>
      </c>
      <c r="B3201" t="s">
        <v>458</v>
      </c>
      <c r="C3201" t="s">
        <v>201</v>
      </c>
      <c r="D3201" t="s">
        <v>29</v>
      </c>
      <c r="E3201" t="s">
        <v>56</v>
      </c>
      <c r="F3201" t="s">
        <v>70</v>
      </c>
      <c r="G3201" t="s">
        <v>31</v>
      </c>
      <c r="H3201" s="1">
        <v>44414</v>
      </c>
      <c r="I3201" s="2">
        <v>44416.2333333333</v>
      </c>
      <c r="J3201">
        <v>53.6</v>
      </c>
      <c r="K3201" t="s">
        <v>32</v>
      </c>
      <c r="L3201">
        <v>0</v>
      </c>
      <c r="M3201">
        <v>3</v>
      </c>
      <c r="N3201" t="s">
        <v>255</v>
      </c>
      <c r="O3201" s="3" t="str">
        <f>TEXT(Ticket_Table[[#This Row],[raised_date]],"YYYY-MM")</f>
        <v>2021-08</v>
      </c>
      <c r="P3201" s="3" t="str">
        <f>IF(Ticket_Table[[#This Row],[resolution_hrs]]&lt;=4,"Fast",IF(Ticket_Table[[#This Row],[resolution_hrs]]&lt;=24,"Normal",IF(Ticket_Table[[#This Row],[resolution_hrs]]&lt;=48,"Slow","Very Slow")))</f>
        <v>Very Slow</v>
      </c>
      <c r="Q3201" s="3">
        <f>YEAR(Ticket_Table[[#This Row],[raised_date]])</f>
        <v>2021</v>
      </c>
    </row>
    <row r="3202" spans="1:17">
      <c r="A3202" t="s">
        <v>3763</v>
      </c>
      <c r="B3202" t="s">
        <v>269</v>
      </c>
      <c r="C3202" t="s">
        <v>95</v>
      </c>
      <c r="D3202" t="s">
        <v>20</v>
      </c>
      <c r="E3202" t="s">
        <v>37</v>
      </c>
      <c r="F3202" t="s">
        <v>70</v>
      </c>
      <c r="G3202" t="s">
        <v>23</v>
      </c>
      <c r="H3202" s="1">
        <v>44790</v>
      </c>
      <c r="I3202" s="2">
        <v>44791.2166666667</v>
      </c>
      <c r="J3202">
        <v>29.2</v>
      </c>
      <c r="K3202" t="s">
        <v>24</v>
      </c>
      <c r="L3202">
        <v>3</v>
      </c>
      <c r="M3202">
        <v>3</v>
      </c>
      <c r="N3202" t="s">
        <v>256</v>
      </c>
      <c r="O3202" s="3" t="str">
        <f>TEXT(Ticket_Table[[#This Row],[raised_date]],"YYYY-MM")</f>
        <v>2022-08</v>
      </c>
      <c r="P3202" s="3" t="str">
        <f>IF(Ticket_Table[[#This Row],[resolution_hrs]]&lt;=4,"Fast",IF(Ticket_Table[[#This Row],[resolution_hrs]]&lt;=24,"Normal",IF(Ticket_Table[[#This Row],[resolution_hrs]]&lt;=48,"Slow","Very Slow")))</f>
        <v>Slow</v>
      </c>
      <c r="Q3202" s="3">
        <f>YEAR(Ticket_Table[[#This Row],[raised_date]])</f>
        <v>2022</v>
      </c>
    </row>
    <row r="3203" spans="1:17">
      <c r="A3203" t="s">
        <v>3764</v>
      </c>
      <c r="B3203" t="s">
        <v>308</v>
      </c>
      <c r="C3203" t="s">
        <v>175</v>
      </c>
      <c r="D3203" t="s">
        <v>43</v>
      </c>
      <c r="E3203" t="s">
        <v>37</v>
      </c>
      <c r="F3203" t="s">
        <v>38</v>
      </c>
      <c r="G3203" t="s">
        <v>31</v>
      </c>
      <c r="H3203" s="1">
        <v>44814</v>
      </c>
      <c r="I3203" s="2">
        <v>44815.0416666667</v>
      </c>
      <c r="J3203">
        <v>25</v>
      </c>
      <c r="K3203" t="s">
        <v>32</v>
      </c>
      <c r="L3203">
        <v>1</v>
      </c>
      <c r="M3203">
        <v>2</v>
      </c>
      <c r="N3203" t="s">
        <v>1301</v>
      </c>
      <c r="O3203" s="3" t="str">
        <f>TEXT(Ticket_Table[[#This Row],[raised_date]],"YYYY-MM")</f>
        <v>2022-09</v>
      </c>
      <c r="P3203" s="3" t="str">
        <f>IF(Ticket_Table[[#This Row],[resolution_hrs]]&lt;=4,"Fast",IF(Ticket_Table[[#This Row],[resolution_hrs]]&lt;=24,"Normal",IF(Ticket_Table[[#This Row],[resolution_hrs]]&lt;=48,"Slow","Very Slow")))</f>
        <v>Slow</v>
      </c>
      <c r="Q3203" s="3">
        <f>YEAR(Ticket_Table[[#This Row],[raised_date]])</f>
        <v>2022</v>
      </c>
    </row>
    <row r="3204" spans="1:17">
      <c r="A3204" t="s">
        <v>3765</v>
      </c>
      <c r="B3204" t="s">
        <v>970</v>
      </c>
      <c r="C3204" t="s">
        <v>50</v>
      </c>
      <c r="D3204" t="s">
        <v>29</v>
      </c>
      <c r="E3204" t="s">
        <v>106</v>
      </c>
      <c r="F3204" t="s">
        <v>22</v>
      </c>
      <c r="G3204" t="s">
        <v>23</v>
      </c>
      <c r="H3204" s="1">
        <v>44374</v>
      </c>
      <c r="I3204" s="2">
        <v>44377.9208333333</v>
      </c>
      <c r="J3204">
        <v>94.1</v>
      </c>
      <c r="K3204" t="s">
        <v>32</v>
      </c>
      <c r="L3204">
        <v>2</v>
      </c>
      <c r="M3204">
        <v>4</v>
      </c>
      <c r="N3204" t="s">
        <v>1278</v>
      </c>
      <c r="O3204" s="3" t="str">
        <f>TEXT(Ticket_Table[[#This Row],[raised_date]],"YYYY-MM")</f>
        <v>2021-06</v>
      </c>
      <c r="P3204" s="3" t="str">
        <f>IF(Ticket_Table[[#This Row],[resolution_hrs]]&lt;=4,"Fast",IF(Ticket_Table[[#This Row],[resolution_hrs]]&lt;=24,"Normal",IF(Ticket_Table[[#This Row],[resolution_hrs]]&lt;=48,"Slow","Very Slow")))</f>
        <v>Very Slow</v>
      </c>
      <c r="Q3204" s="3">
        <f>YEAR(Ticket_Table[[#This Row],[raised_date]])</f>
        <v>2021</v>
      </c>
    </row>
    <row r="3205" spans="1:17">
      <c r="A3205" t="s">
        <v>3766</v>
      </c>
      <c r="B3205" t="s">
        <v>664</v>
      </c>
      <c r="C3205" t="s">
        <v>82</v>
      </c>
      <c r="D3205" t="s">
        <v>36</v>
      </c>
      <c r="E3205" t="s">
        <v>83</v>
      </c>
      <c r="F3205" t="s">
        <v>45</v>
      </c>
      <c r="G3205" t="s">
        <v>23</v>
      </c>
      <c r="H3205" s="1">
        <v>44773</v>
      </c>
      <c r="I3205" s="2">
        <v>44773.2458333333</v>
      </c>
      <c r="J3205">
        <v>5.9</v>
      </c>
      <c r="K3205" t="s">
        <v>32</v>
      </c>
      <c r="L3205">
        <v>0</v>
      </c>
      <c r="M3205">
        <v>4</v>
      </c>
      <c r="N3205" t="s">
        <v>1100</v>
      </c>
      <c r="O3205" s="3" t="str">
        <f>TEXT(Ticket_Table[[#This Row],[raised_date]],"YYYY-MM")</f>
        <v>2022-07</v>
      </c>
      <c r="P3205" s="3" t="str">
        <f>IF(Ticket_Table[[#This Row],[resolution_hrs]]&lt;=4,"Fast",IF(Ticket_Table[[#This Row],[resolution_hrs]]&lt;=24,"Normal",IF(Ticket_Table[[#This Row],[resolution_hrs]]&lt;=48,"Slow","Very Slow")))</f>
        <v>Normal</v>
      </c>
      <c r="Q3205" s="3">
        <f>YEAR(Ticket_Table[[#This Row],[raised_date]])</f>
        <v>2022</v>
      </c>
    </row>
    <row r="3206" spans="1:17">
      <c r="A3206" t="s">
        <v>3767</v>
      </c>
      <c r="B3206" t="s">
        <v>1382</v>
      </c>
      <c r="C3206" t="s">
        <v>213</v>
      </c>
      <c r="D3206" t="s">
        <v>90</v>
      </c>
      <c r="E3206" t="s">
        <v>44</v>
      </c>
      <c r="F3206" t="s">
        <v>38</v>
      </c>
      <c r="G3206" t="s">
        <v>46</v>
      </c>
      <c r="H3206" s="1">
        <v>45093</v>
      </c>
      <c r="I3206" s="2">
        <v>45093.2833333333</v>
      </c>
      <c r="J3206">
        <v>6.8</v>
      </c>
      <c r="K3206" t="s">
        <v>24</v>
      </c>
      <c r="L3206">
        <v>0</v>
      </c>
      <c r="M3206">
        <v>4</v>
      </c>
      <c r="N3206" t="s">
        <v>71</v>
      </c>
      <c r="O3206" s="3" t="str">
        <f>TEXT(Ticket_Table[[#This Row],[raised_date]],"YYYY-MM")</f>
        <v>2023-06</v>
      </c>
      <c r="P3206" s="3" t="str">
        <f>IF(Ticket_Table[[#This Row],[resolution_hrs]]&lt;=4,"Fast",IF(Ticket_Table[[#This Row],[resolution_hrs]]&lt;=24,"Normal",IF(Ticket_Table[[#This Row],[resolution_hrs]]&lt;=48,"Slow","Very Slow")))</f>
        <v>Normal</v>
      </c>
      <c r="Q3206" s="3">
        <f>YEAR(Ticket_Table[[#This Row],[raised_date]])</f>
        <v>2023</v>
      </c>
    </row>
    <row r="3207" spans="1:17">
      <c r="A3207" t="s">
        <v>3768</v>
      </c>
      <c r="B3207" t="s">
        <v>180</v>
      </c>
      <c r="C3207" t="s">
        <v>64</v>
      </c>
      <c r="D3207" t="s">
        <v>20</v>
      </c>
      <c r="E3207" t="s">
        <v>106</v>
      </c>
      <c r="F3207" t="s">
        <v>22</v>
      </c>
      <c r="G3207" t="s">
        <v>31</v>
      </c>
      <c r="H3207" s="1">
        <v>44978</v>
      </c>
      <c r="I3207" s="2">
        <v>44981.3875</v>
      </c>
      <c r="J3207">
        <v>81.3</v>
      </c>
      <c r="K3207" t="s">
        <v>32</v>
      </c>
      <c r="L3207">
        <v>0</v>
      </c>
      <c r="M3207">
        <v>3</v>
      </c>
      <c r="N3207" t="s">
        <v>67</v>
      </c>
      <c r="O3207" s="3" t="str">
        <f>TEXT(Ticket_Table[[#This Row],[raised_date]],"YYYY-MM")</f>
        <v>2023-02</v>
      </c>
      <c r="P3207" s="3" t="str">
        <f>IF(Ticket_Table[[#This Row],[resolution_hrs]]&lt;=4,"Fast",IF(Ticket_Table[[#This Row],[resolution_hrs]]&lt;=24,"Normal",IF(Ticket_Table[[#This Row],[resolution_hrs]]&lt;=48,"Slow","Very Slow")))</f>
        <v>Very Slow</v>
      </c>
      <c r="Q3207" s="3">
        <f>YEAR(Ticket_Table[[#This Row],[raised_date]])</f>
        <v>2023</v>
      </c>
    </row>
    <row r="3208" spans="1:17">
      <c r="A3208" t="s">
        <v>3769</v>
      </c>
      <c r="B3208" t="s">
        <v>1760</v>
      </c>
      <c r="C3208" t="s">
        <v>95</v>
      </c>
      <c r="D3208" t="s">
        <v>43</v>
      </c>
      <c r="E3208" t="s">
        <v>37</v>
      </c>
      <c r="F3208" t="s">
        <v>38</v>
      </c>
      <c r="G3208" t="s">
        <v>31</v>
      </c>
      <c r="H3208" s="1">
        <v>45006</v>
      </c>
      <c r="I3208" s="2">
        <v>45006.6</v>
      </c>
      <c r="J3208">
        <v>14.4</v>
      </c>
      <c r="K3208" t="s">
        <v>24</v>
      </c>
      <c r="L3208">
        <v>0</v>
      </c>
      <c r="M3208">
        <v>4</v>
      </c>
      <c r="N3208" t="s">
        <v>833</v>
      </c>
      <c r="O3208" s="3" t="str">
        <f>TEXT(Ticket_Table[[#This Row],[raised_date]],"YYYY-MM")</f>
        <v>2023-03</v>
      </c>
      <c r="P3208" s="3" t="str">
        <f>IF(Ticket_Table[[#This Row],[resolution_hrs]]&lt;=4,"Fast",IF(Ticket_Table[[#This Row],[resolution_hrs]]&lt;=24,"Normal",IF(Ticket_Table[[#This Row],[resolution_hrs]]&lt;=48,"Slow","Very Slow")))</f>
        <v>Normal</v>
      </c>
      <c r="Q3208" s="3">
        <f>YEAR(Ticket_Table[[#This Row],[raised_date]])</f>
        <v>2023</v>
      </c>
    </row>
    <row r="3209" spans="1:17">
      <c r="A3209" t="s">
        <v>3770</v>
      </c>
      <c r="B3209" t="s">
        <v>195</v>
      </c>
      <c r="C3209" t="s">
        <v>95</v>
      </c>
      <c r="D3209" t="s">
        <v>29</v>
      </c>
      <c r="E3209" t="s">
        <v>30</v>
      </c>
      <c r="F3209" t="s">
        <v>70</v>
      </c>
      <c r="G3209" t="s">
        <v>23</v>
      </c>
      <c r="H3209" s="1">
        <v>44260</v>
      </c>
      <c r="I3209" s="2">
        <v>44262.3458333333</v>
      </c>
      <c r="J3209">
        <v>56.3</v>
      </c>
      <c r="K3209" t="s">
        <v>32</v>
      </c>
      <c r="L3209">
        <v>0</v>
      </c>
      <c r="M3209">
        <v>4</v>
      </c>
      <c r="N3209" t="s">
        <v>685</v>
      </c>
      <c r="O3209" s="3" t="str">
        <f>TEXT(Ticket_Table[[#This Row],[raised_date]],"YYYY-MM")</f>
        <v>2021-03</v>
      </c>
      <c r="P3209" s="3" t="str">
        <f>IF(Ticket_Table[[#This Row],[resolution_hrs]]&lt;=4,"Fast",IF(Ticket_Table[[#This Row],[resolution_hrs]]&lt;=24,"Normal",IF(Ticket_Table[[#This Row],[resolution_hrs]]&lt;=48,"Slow","Very Slow")))</f>
        <v>Very Slow</v>
      </c>
      <c r="Q3209" s="3">
        <f>YEAR(Ticket_Table[[#This Row],[raised_date]])</f>
        <v>2021</v>
      </c>
    </row>
    <row r="3210" spans="1:17">
      <c r="A3210" t="s">
        <v>3771</v>
      </c>
      <c r="B3210" t="s">
        <v>802</v>
      </c>
      <c r="C3210" t="s">
        <v>133</v>
      </c>
      <c r="D3210" t="s">
        <v>29</v>
      </c>
      <c r="E3210" t="s">
        <v>83</v>
      </c>
      <c r="F3210" t="s">
        <v>70</v>
      </c>
      <c r="G3210" t="s">
        <v>74</v>
      </c>
      <c r="H3210" s="1">
        <v>45167</v>
      </c>
      <c r="I3210" s="2">
        <v>45168.2291666667</v>
      </c>
      <c r="J3210">
        <v>29.5</v>
      </c>
      <c r="K3210" t="s">
        <v>24</v>
      </c>
      <c r="L3210">
        <v>0</v>
      </c>
      <c r="M3210">
        <v>3</v>
      </c>
      <c r="N3210" t="s">
        <v>86</v>
      </c>
      <c r="O3210" s="3" t="str">
        <f>TEXT(Ticket_Table[[#This Row],[raised_date]],"YYYY-MM")</f>
        <v>2023-08</v>
      </c>
      <c r="P3210" s="3" t="str">
        <f>IF(Ticket_Table[[#This Row],[resolution_hrs]]&lt;=4,"Fast",IF(Ticket_Table[[#This Row],[resolution_hrs]]&lt;=24,"Normal",IF(Ticket_Table[[#This Row],[resolution_hrs]]&lt;=48,"Slow","Very Slow")))</f>
        <v>Slow</v>
      </c>
      <c r="Q3210" s="3">
        <f>YEAR(Ticket_Table[[#This Row],[raised_date]])</f>
        <v>2023</v>
      </c>
    </row>
    <row r="3211" spans="1:17">
      <c r="A3211" t="s">
        <v>3772</v>
      </c>
      <c r="B3211" t="s">
        <v>141</v>
      </c>
      <c r="C3211" t="s">
        <v>175</v>
      </c>
      <c r="D3211" t="s">
        <v>36</v>
      </c>
      <c r="E3211" t="s">
        <v>21</v>
      </c>
      <c r="F3211" t="s">
        <v>70</v>
      </c>
      <c r="G3211" t="s">
        <v>23</v>
      </c>
      <c r="H3211" s="1">
        <v>44517</v>
      </c>
      <c r="I3211" s="2">
        <v>44517.8458333333</v>
      </c>
      <c r="J3211">
        <v>20.3</v>
      </c>
      <c r="K3211" t="s">
        <v>24</v>
      </c>
      <c r="L3211">
        <v>0</v>
      </c>
      <c r="M3211">
        <v>4</v>
      </c>
      <c r="N3211" t="s">
        <v>607</v>
      </c>
      <c r="O3211" s="3" t="str">
        <f>TEXT(Ticket_Table[[#This Row],[raised_date]],"YYYY-MM")</f>
        <v>2021-11</v>
      </c>
      <c r="P3211" s="3" t="str">
        <f>IF(Ticket_Table[[#This Row],[resolution_hrs]]&lt;=4,"Fast",IF(Ticket_Table[[#This Row],[resolution_hrs]]&lt;=24,"Normal",IF(Ticket_Table[[#This Row],[resolution_hrs]]&lt;=48,"Slow","Very Slow")))</f>
        <v>Normal</v>
      </c>
      <c r="Q3211" s="3">
        <f>YEAR(Ticket_Table[[#This Row],[raised_date]])</f>
        <v>2021</v>
      </c>
    </row>
    <row r="3212" spans="1:17">
      <c r="A3212" t="s">
        <v>3773</v>
      </c>
      <c r="B3212" t="s">
        <v>41</v>
      </c>
      <c r="C3212" t="s">
        <v>64</v>
      </c>
      <c r="D3212" t="s">
        <v>20</v>
      </c>
      <c r="E3212" t="s">
        <v>56</v>
      </c>
      <c r="F3212" t="s">
        <v>70</v>
      </c>
      <c r="G3212" t="s">
        <v>46</v>
      </c>
      <c r="H3212" s="1">
        <v>45289</v>
      </c>
      <c r="I3212" s="2">
        <v>45289.5875</v>
      </c>
      <c r="J3212">
        <v>14.1</v>
      </c>
      <c r="K3212" t="s">
        <v>24</v>
      </c>
      <c r="L3212">
        <v>2</v>
      </c>
      <c r="M3212">
        <v>5</v>
      </c>
      <c r="N3212" t="s">
        <v>627</v>
      </c>
      <c r="O3212" s="3" t="str">
        <f>TEXT(Ticket_Table[[#This Row],[raised_date]],"YYYY-MM")</f>
        <v>2023-12</v>
      </c>
      <c r="P3212" s="3" t="str">
        <f>IF(Ticket_Table[[#This Row],[resolution_hrs]]&lt;=4,"Fast",IF(Ticket_Table[[#This Row],[resolution_hrs]]&lt;=24,"Normal",IF(Ticket_Table[[#This Row],[resolution_hrs]]&lt;=48,"Slow","Very Slow")))</f>
        <v>Normal</v>
      </c>
      <c r="Q3212" s="3">
        <f>YEAR(Ticket_Table[[#This Row],[raised_date]])</f>
        <v>2023</v>
      </c>
    </row>
    <row r="3213" spans="1:17">
      <c r="A3213" t="s">
        <v>3774</v>
      </c>
      <c r="B3213" t="s">
        <v>304</v>
      </c>
      <c r="C3213" t="s">
        <v>19</v>
      </c>
      <c r="D3213" t="s">
        <v>29</v>
      </c>
      <c r="E3213" t="s">
        <v>51</v>
      </c>
      <c r="F3213" t="s">
        <v>38</v>
      </c>
      <c r="G3213" t="s">
        <v>23</v>
      </c>
      <c r="H3213" s="1">
        <v>44647</v>
      </c>
      <c r="I3213" s="2">
        <v>44647.275</v>
      </c>
      <c r="J3213">
        <v>6.6</v>
      </c>
      <c r="K3213" t="s">
        <v>24</v>
      </c>
      <c r="L3213">
        <v>0</v>
      </c>
      <c r="M3213">
        <v>5</v>
      </c>
      <c r="N3213" t="s">
        <v>620</v>
      </c>
      <c r="O3213" s="3" t="str">
        <f>TEXT(Ticket_Table[[#This Row],[raised_date]],"YYYY-MM")</f>
        <v>2022-03</v>
      </c>
      <c r="P3213" s="3" t="str">
        <f>IF(Ticket_Table[[#This Row],[resolution_hrs]]&lt;=4,"Fast",IF(Ticket_Table[[#This Row],[resolution_hrs]]&lt;=24,"Normal",IF(Ticket_Table[[#This Row],[resolution_hrs]]&lt;=48,"Slow","Very Slow")))</f>
        <v>Normal</v>
      </c>
      <c r="Q3213" s="3">
        <f>YEAR(Ticket_Table[[#This Row],[raised_date]])</f>
        <v>2022</v>
      </c>
    </row>
    <row r="3214" spans="1:17">
      <c r="A3214" t="s">
        <v>3775</v>
      </c>
      <c r="B3214" t="s">
        <v>529</v>
      </c>
      <c r="C3214" t="s">
        <v>42</v>
      </c>
      <c r="D3214" t="s">
        <v>36</v>
      </c>
      <c r="E3214" t="s">
        <v>30</v>
      </c>
      <c r="F3214" t="s">
        <v>70</v>
      </c>
      <c r="G3214" t="s">
        <v>31</v>
      </c>
      <c r="H3214" s="1">
        <v>44476</v>
      </c>
      <c r="I3214" s="2">
        <v>44476.6875</v>
      </c>
      <c r="J3214">
        <v>16.5</v>
      </c>
      <c r="K3214" t="s">
        <v>24</v>
      </c>
      <c r="L3214">
        <v>3</v>
      </c>
      <c r="M3214">
        <v>4</v>
      </c>
      <c r="N3214" t="s">
        <v>157</v>
      </c>
      <c r="O3214" s="3" t="str">
        <f>TEXT(Ticket_Table[[#This Row],[raised_date]],"YYYY-MM")</f>
        <v>2021-10</v>
      </c>
      <c r="P3214" s="3" t="str">
        <f>IF(Ticket_Table[[#This Row],[resolution_hrs]]&lt;=4,"Fast",IF(Ticket_Table[[#This Row],[resolution_hrs]]&lt;=24,"Normal",IF(Ticket_Table[[#This Row],[resolution_hrs]]&lt;=48,"Slow","Very Slow")))</f>
        <v>Normal</v>
      </c>
      <c r="Q3214" s="3">
        <f>YEAR(Ticket_Table[[#This Row],[raised_date]])</f>
        <v>2021</v>
      </c>
    </row>
    <row r="3215" spans="1:17">
      <c r="A3215" t="s">
        <v>3776</v>
      </c>
      <c r="B3215" t="s">
        <v>33</v>
      </c>
      <c r="C3215" t="s">
        <v>133</v>
      </c>
      <c r="D3215" t="s">
        <v>43</v>
      </c>
      <c r="E3215" t="s">
        <v>37</v>
      </c>
      <c r="F3215" t="s">
        <v>70</v>
      </c>
      <c r="G3215" t="s">
        <v>31</v>
      </c>
      <c r="H3215" s="1">
        <v>44997</v>
      </c>
      <c r="I3215" s="2">
        <v>44999.1041666667</v>
      </c>
      <c r="J3215">
        <v>50.5</v>
      </c>
      <c r="K3215" t="s">
        <v>32</v>
      </c>
      <c r="L3215">
        <v>0</v>
      </c>
      <c r="M3215">
        <v>4</v>
      </c>
      <c r="N3215" t="s">
        <v>710</v>
      </c>
      <c r="O3215" s="3" t="str">
        <f>TEXT(Ticket_Table[[#This Row],[raised_date]],"YYYY-MM")</f>
        <v>2023-03</v>
      </c>
      <c r="P3215" s="3" t="str">
        <f>IF(Ticket_Table[[#This Row],[resolution_hrs]]&lt;=4,"Fast",IF(Ticket_Table[[#This Row],[resolution_hrs]]&lt;=24,"Normal",IF(Ticket_Table[[#This Row],[resolution_hrs]]&lt;=48,"Slow","Very Slow")))</f>
        <v>Very Slow</v>
      </c>
      <c r="Q3215" s="3">
        <f>YEAR(Ticket_Table[[#This Row],[raised_date]])</f>
        <v>2023</v>
      </c>
    </row>
    <row r="3216" spans="1:17">
      <c r="A3216" t="s">
        <v>3777</v>
      </c>
      <c r="B3216" t="s">
        <v>143</v>
      </c>
      <c r="C3216" t="s">
        <v>201</v>
      </c>
      <c r="D3216" t="s">
        <v>36</v>
      </c>
      <c r="E3216" t="s">
        <v>83</v>
      </c>
      <c r="F3216" t="s">
        <v>38</v>
      </c>
      <c r="G3216" t="s">
        <v>46</v>
      </c>
      <c r="H3216" s="1">
        <v>44801</v>
      </c>
      <c r="I3216" s="2">
        <v>44802.325</v>
      </c>
      <c r="J3216">
        <v>31.8</v>
      </c>
      <c r="K3216" t="s">
        <v>32</v>
      </c>
      <c r="L3216">
        <v>0</v>
      </c>
      <c r="M3216">
        <v>4</v>
      </c>
      <c r="N3216" t="s">
        <v>337</v>
      </c>
      <c r="O3216" s="3" t="str">
        <f>TEXT(Ticket_Table[[#This Row],[raised_date]],"YYYY-MM")</f>
        <v>2022-08</v>
      </c>
      <c r="P3216" s="3" t="str">
        <f>IF(Ticket_Table[[#This Row],[resolution_hrs]]&lt;=4,"Fast",IF(Ticket_Table[[#This Row],[resolution_hrs]]&lt;=24,"Normal",IF(Ticket_Table[[#This Row],[resolution_hrs]]&lt;=48,"Slow","Very Slow")))</f>
        <v>Slow</v>
      </c>
      <c r="Q3216" s="3">
        <f>YEAR(Ticket_Table[[#This Row],[raised_date]])</f>
        <v>2022</v>
      </c>
    </row>
    <row r="3217" spans="1:17">
      <c r="A3217" t="s">
        <v>3778</v>
      </c>
      <c r="B3217" t="s">
        <v>363</v>
      </c>
      <c r="C3217" t="s">
        <v>42</v>
      </c>
      <c r="D3217" t="s">
        <v>20</v>
      </c>
      <c r="E3217" t="s">
        <v>37</v>
      </c>
      <c r="F3217" t="s">
        <v>38</v>
      </c>
      <c r="G3217" t="s">
        <v>91</v>
      </c>
      <c r="H3217" s="1">
        <v>44492</v>
      </c>
      <c r="I3217" s="2">
        <v>44493.1958333333</v>
      </c>
      <c r="J3217">
        <v>28.7</v>
      </c>
      <c r="K3217" t="s">
        <v>32</v>
      </c>
      <c r="L3217">
        <v>0</v>
      </c>
      <c r="M3217">
        <v>3</v>
      </c>
      <c r="N3217" t="s">
        <v>558</v>
      </c>
      <c r="O3217" s="3" t="str">
        <f>TEXT(Ticket_Table[[#This Row],[raised_date]],"YYYY-MM")</f>
        <v>2021-10</v>
      </c>
      <c r="P3217" s="3" t="str">
        <f>IF(Ticket_Table[[#This Row],[resolution_hrs]]&lt;=4,"Fast",IF(Ticket_Table[[#This Row],[resolution_hrs]]&lt;=24,"Normal",IF(Ticket_Table[[#This Row],[resolution_hrs]]&lt;=48,"Slow","Very Slow")))</f>
        <v>Slow</v>
      </c>
      <c r="Q3217" s="3">
        <f>YEAR(Ticket_Table[[#This Row],[raised_date]])</f>
        <v>2021</v>
      </c>
    </row>
    <row r="3218" spans="1:17">
      <c r="A3218" t="s">
        <v>3779</v>
      </c>
      <c r="B3218" t="s">
        <v>235</v>
      </c>
      <c r="C3218" t="s">
        <v>175</v>
      </c>
      <c r="D3218" t="s">
        <v>36</v>
      </c>
      <c r="E3218" t="s">
        <v>69</v>
      </c>
      <c r="F3218" t="s">
        <v>22</v>
      </c>
      <c r="G3218" t="s">
        <v>31</v>
      </c>
      <c r="H3218" s="1">
        <v>44807</v>
      </c>
      <c r="I3218" s="2">
        <v>44809.0708333333</v>
      </c>
      <c r="J3218">
        <v>49.7</v>
      </c>
      <c r="K3218" t="s">
        <v>24</v>
      </c>
      <c r="L3218">
        <v>1</v>
      </c>
      <c r="M3218">
        <v>4</v>
      </c>
      <c r="N3218" t="s">
        <v>18</v>
      </c>
      <c r="O3218" s="3" t="str">
        <f>TEXT(Ticket_Table[[#This Row],[raised_date]],"YYYY-MM")</f>
        <v>2022-09</v>
      </c>
      <c r="P3218" s="3" t="str">
        <f>IF(Ticket_Table[[#This Row],[resolution_hrs]]&lt;=4,"Fast",IF(Ticket_Table[[#This Row],[resolution_hrs]]&lt;=24,"Normal",IF(Ticket_Table[[#This Row],[resolution_hrs]]&lt;=48,"Slow","Very Slow")))</f>
        <v>Very Slow</v>
      </c>
      <c r="Q3218" s="3">
        <f>YEAR(Ticket_Table[[#This Row],[raised_date]])</f>
        <v>2022</v>
      </c>
    </row>
    <row r="3219" spans="1:17">
      <c r="A3219" t="s">
        <v>3780</v>
      </c>
      <c r="B3219" t="s">
        <v>495</v>
      </c>
      <c r="C3219" t="s">
        <v>287</v>
      </c>
      <c r="D3219" t="s">
        <v>29</v>
      </c>
      <c r="E3219" t="s">
        <v>106</v>
      </c>
      <c r="F3219" t="s">
        <v>38</v>
      </c>
      <c r="G3219" t="s">
        <v>23</v>
      </c>
      <c r="H3219" s="1">
        <v>44961</v>
      </c>
      <c r="I3219" s="2">
        <v>44962.075</v>
      </c>
      <c r="J3219">
        <v>25.8</v>
      </c>
      <c r="K3219" t="s">
        <v>32</v>
      </c>
      <c r="L3219">
        <v>1</v>
      </c>
      <c r="M3219">
        <v>4</v>
      </c>
      <c r="N3219" t="s">
        <v>290</v>
      </c>
      <c r="O3219" s="3" t="str">
        <f>TEXT(Ticket_Table[[#This Row],[raised_date]],"YYYY-MM")</f>
        <v>2023-02</v>
      </c>
      <c r="P3219" s="3" t="str">
        <f>IF(Ticket_Table[[#This Row],[resolution_hrs]]&lt;=4,"Fast",IF(Ticket_Table[[#This Row],[resolution_hrs]]&lt;=24,"Normal",IF(Ticket_Table[[#This Row],[resolution_hrs]]&lt;=48,"Slow","Very Slow")))</f>
        <v>Slow</v>
      </c>
      <c r="Q3219" s="3">
        <f>YEAR(Ticket_Table[[#This Row],[raised_date]])</f>
        <v>2023</v>
      </c>
    </row>
    <row r="3220" spans="1:17">
      <c r="A3220" t="s">
        <v>3781</v>
      </c>
      <c r="B3220" t="s">
        <v>471</v>
      </c>
      <c r="C3220" t="s">
        <v>50</v>
      </c>
      <c r="D3220" t="s">
        <v>29</v>
      </c>
      <c r="E3220" t="s">
        <v>51</v>
      </c>
      <c r="F3220" t="s">
        <v>70</v>
      </c>
      <c r="G3220" t="s">
        <v>23</v>
      </c>
      <c r="H3220" s="1">
        <v>44219</v>
      </c>
      <c r="I3220" s="2">
        <v>44220.5958333333</v>
      </c>
      <c r="J3220">
        <v>38.3</v>
      </c>
      <c r="K3220" t="s">
        <v>24</v>
      </c>
      <c r="L3220">
        <v>1</v>
      </c>
      <c r="M3220">
        <v>5</v>
      </c>
      <c r="N3220" t="s">
        <v>1154</v>
      </c>
      <c r="O3220" s="3" t="str">
        <f>TEXT(Ticket_Table[[#This Row],[raised_date]],"YYYY-MM")</f>
        <v>2021-01</v>
      </c>
      <c r="P3220" s="3" t="str">
        <f>IF(Ticket_Table[[#This Row],[resolution_hrs]]&lt;=4,"Fast",IF(Ticket_Table[[#This Row],[resolution_hrs]]&lt;=24,"Normal",IF(Ticket_Table[[#This Row],[resolution_hrs]]&lt;=48,"Slow","Very Slow")))</f>
        <v>Slow</v>
      </c>
      <c r="Q3220" s="3">
        <f>YEAR(Ticket_Table[[#This Row],[raised_date]])</f>
        <v>2021</v>
      </c>
    </row>
    <row r="3221" spans="1:17">
      <c r="A3221" t="s">
        <v>3782</v>
      </c>
      <c r="B3221" t="s">
        <v>822</v>
      </c>
      <c r="C3221" t="s">
        <v>287</v>
      </c>
      <c r="D3221" t="s">
        <v>90</v>
      </c>
      <c r="E3221" t="s">
        <v>51</v>
      </c>
      <c r="F3221" t="s">
        <v>22</v>
      </c>
      <c r="G3221" t="s">
        <v>31</v>
      </c>
      <c r="H3221" s="1">
        <v>44486</v>
      </c>
      <c r="I3221" s="2">
        <v>44487.3958333333</v>
      </c>
      <c r="J3221">
        <v>33.5</v>
      </c>
      <c r="K3221" t="s">
        <v>24</v>
      </c>
      <c r="L3221">
        <v>0</v>
      </c>
      <c r="M3221">
        <v>3</v>
      </c>
      <c r="N3221" t="s">
        <v>468</v>
      </c>
      <c r="O3221" s="3" t="str">
        <f>TEXT(Ticket_Table[[#This Row],[raised_date]],"YYYY-MM")</f>
        <v>2021-10</v>
      </c>
      <c r="P3221" s="3" t="str">
        <f>IF(Ticket_Table[[#This Row],[resolution_hrs]]&lt;=4,"Fast",IF(Ticket_Table[[#This Row],[resolution_hrs]]&lt;=24,"Normal",IF(Ticket_Table[[#This Row],[resolution_hrs]]&lt;=48,"Slow","Very Slow")))</f>
        <v>Slow</v>
      </c>
      <c r="Q3221" s="3">
        <f>YEAR(Ticket_Table[[#This Row],[raised_date]])</f>
        <v>2021</v>
      </c>
    </row>
    <row r="3222" spans="1:17">
      <c r="A3222" t="s">
        <v>3783</v>
      </c>
      <c r="B3222" t="s">
        <v>152</v>
      </c>
      <c r="C3222" t="s">
        <v>117</v>
      </c>
      <c r="D3222" t="s">
        <v>36</v>
      </c>
      <c r="E3222" t="s">
        <v>44</v>
      </c>
      <c r="F3222" t="s">
        <v>22</v>
      </c>
      <c r="G3222" t="s">
        <v>23</v>
      </c>
      <c r="H3222" s="1">
        <v>44449</v>
      </c>
      <c r="I3222" s="2">
        <v>44450.025</v>
      </c>
      <c r="J3222">
        <v>24.6</v>
      </c>
      <c r="K3222" t="s">
        <v>24</v>
      </c>
      <c r="L3222">
        <v>0</v>
      </c>
      <c r="M3222">
        <v>1</v>
      </c>
      <c r="N3222" t="s">
        <v>576</v>
      </c>
      <c r="O3222" s="3" t="str">
        <f>TEXT(Ticket_Table[[#This Row],[raised_date]],"YYYY-MM")</f>
        <v>2021-09</v>
      </c>
      <c r="P3222" s="3" t="str">
        <f>IF(Ticket_Table[[#This Row],[resolution_hrs]]&lt;=4,"Fast",IF(Ticket_Table[[#This Row],[resolution_hrs]]&lt;=24,"Normal",IF(Ticket_Table[[#This Row],[resolution_hrs]]&lt;=48,"Slow","Very Slow")))</f>
        <v>Slow</v>
      </c>
      <c r="Q3222" s="3">
        <f>YEAR(Ticket_Table[[#This Row],[raised_date]])</f>
        <v>2021</v>
      </c>
    </row>
    <row r="3223" spans="1:17">
      <c r="A3223" t="s">
        <v>3784</v>
      </c>
      <c r="B3223" t="s">
        <v>914</v>
      </c>
      <c r="C3223" t="s">
        <v>102</v>
      </c>
      <c r="D3223" t="s">
        <v>43</v>
      </c>
      <c r="E3223" t="s">
        <v>69</v>
      </c>
      <c r="F3223" t="s">
        <v>70</v>
      </c>
      <c r="G3223" t="s">
        <v>23</v>
      </c>
      <c r="H3223" s="1">
        <v>44282</v>
      </c>
      <c r="I3223" s="2">
        <v>44284.1375</v>
      </c>
      <c r="J3223">
        <v>51.3</v>
      </c>
      <c r="K3223" t="s">
        <v>32</v>
      </c>
      <c r="L3223">
        <v>0</v>
      </c>
      <c r="M3223">
        <v>4</v>
      </c>
      <c r="N3223" t="s">
        <v>588</v>
      </c>
      <c r="O3223" s="3" t="str">
        <f>TEXT(Ticket_Table[[#This Row],[raised_date]],"YYYY-MM")</f>
        <v>2021-03</v>
      </c>
      <c r="P3223" s="3" t="str">
        <f>IF(Ticket_Table[[#This Row],[resolution_hrs]]&lt;=4,"Fast",IF(Ticket_Table[[#This Row],[resolution_hrs]]&lt;=24,"Normal",IF(Ticket_Table[[#This Row],[resolution_hrs]]&lt;=48,"Slow","Very Slow")))</f>
        <v>Very Slow</v>
      </c>
      <c r="Q3223" s="3">
        <f>YEAR(Ticket_Table[[#This Row],[raised_date]])</f>
        <v>2021</v>
      </c>
    </row>
    <row r="3224" spans="1:17">
      <c r="A3224" t="s">
        <v>3785</v>
      </c>
      <c r="B3224" t="s">
        <v>389</v>
      </c>
      <c r="C3224" t="s">
        <v>19</v>
      </c>
      <c r="D3224" t="s">
        <v>20</v>
      </c>
      <c r="E3224" t="s">
        <v>166</v>
      </c>
      <c r="F3224" t="s">
        <v>38</v>
      </c>
      <c r="G3224" t="s">
        <v>31</v>
      </c>
      <c r="H3224" s="1">
        <v>44207</v>
      </c>
      <c r="I3224" s="2">
        <v>44207.8458333333</v>
      </c>
      <c r="J3224">
        <v>20.3</v>
      </c>
      <c r="K3224" t="s">
        <v>24</v>
      </c>
      <c r="L3224">
        <v>0</v>
      </c>
      <c r="M3224">
        <v>4</v>
      </c>
      <c r="N3224" t="s">
        <v>308</v>
      </c>
      <c r="O3224" s="3" t="str">
        <f>TEXT(Ticket_Table[[#This Row],[raised_date]],"YYYY-MM")</f>
        <v>2021-01</v>
      </c>
      <c r="P3224" s="3" t="str">
        <f>IF(Ticket_Table[[#This Row],[resolution_hrs]]&lt;=4,"Fast",IF(Ticket_Table[[#This Row],[resolution_hrs]]&lt;=24,"Normal",IF(Ticket_Table[[#This Row],[resolution_hrs]]&lt;=48,"Slow","Very Slow")))</f>
        <v>Normal</v>
      </c>
      <c r="Q3224" s="3">
        <f>YEAR(Ticket_Table[[#This Row],[raised_date]])</f>
        <v>2021</v>
      </c>
    </row>
    <row r="3225" spans="1:17">
      <c r="A3225" t="s">
        <v>3786</v>
      </c>
      <c r="B3225" t="s">
        <v>398</v>
      </c>
      <c r="C3225" t="s">
        <v>287</v>
      </c>
      <c r="D3225" t="s">
        <v>90</v>
      </c>
      <c r="E3225" t="s">
        <v>69</v>
      </c>
      <c r="F3225" t="s">
        <v>70</v>
      </c>
      <c r="G3225" t="s">
        <v>46</v>
      </c>
      <c r="H3225" s="1">
        <v>45004</v>
      </c>
      <c r="I3225" s="2">
        <v>45004.5458333333</v>
      </c>
      <c r="J3225">
        <v>13.1</v>
      </c>
      <c r="K3225" t="s">
        <v>24</v>
      </c>
      <c r="L3225">
        <v>3</v>
      </c>
      <c r="M3225">
        <v>2</v>
      </c>
      <c r="N3225" t="s">
        <v>365</v>
      </c>
      <c r="O3225" s="3" t="str">
        <f>TEXT(Ticket_Table[[#This Row],[raised_date]],"YYYY-MM")</f>
        <v>2023-03</v>
      </c>
      <c r="P3225" s="3" t="str">
        <f>IF(Ticket_Table[[#This Row],[resolution_hrs]]&lt;=4,"Fast",IF(Ticket_Table[[#This Row],[resolution_hrs]]&lt;=24,"Normal",IF(Ticket_Table[[#This Row],[resolution_hrs]]&lt;=48,"Slow","Very Slow")))</f>
        <v>Normal</v>
      </c>
      <c r="Q3225" s="3">
        <f>YEAR(Ticket_Table[[#This Row],[raised_date]])</f>
        <v>2023</v>
      </c>
    </row>
    <row r="3226" spans="1:17">
      <c r="A3226" t="s">
        <v>3787</v>
      </c>
      <c r="B3226" t="s">
        <v>290</v>
      </c>
      <c r="C3226" t="s">
        <v>78</v>
      </c>
      <c r="D3226" t="s">
        <v>36</v>
      </c>
      <c r="E3226" t="s">
        <v>51</v>
      </c>
      <c r="F3226" t="s">
        <v>38</v>
      </c>
      <c r="G3226" t="s">
        <v>31</v>
      </c>
      <c r="H3226" s="1">
        <v>44371</v>
      </c>
      <c r="I3226" s="2">
        <v>44371.1083333333</v>
      </c>
      <c r="J3226">
        <v>2.6</v>
      </c>
      <c r="K3226" t="s">
        <v>24</v>
      </c>
      <c r="L3226">
        <v>2</v>
      </c>
      <c r="M3226">
        <v>4</v>
      </c>
      <c r="N3226" t="s">
        <v>512</v>
      </c>
      <c r="O3226" s="3" t="str">
        <f>TEXT(Ticket_Table[[#This Row],[raised_date]],"YYYY-MM")</f>
        <v>2021-06</v>
      </c>
      <c r="P3226" s="3" t="str">
        <f>IF(Ticket_Table[[#This Row],[resolution_hrs]]&lt;=4,"Fast",IF(Ticket_Table[[#This Row],[resolution_hrs]]&lt;=24,"Normal",IF(Ticket_Table[[#This Row],[resolution_hrs]]&lt;=48,"Slow","Very Slow")))</f>
        <v>Fast</v>
      </c>
      <c r="Q3226" s="3">
        <f>YEAR(Ticket_Table[[#This Row],[raised_date]])</f>
        <v>2021</v>
      </c>
    </row>
    <row r="3227" spans="1:17">
      <c r="A3227" t="s">
        <v>3788</v>
      </c>
      <c r="B3227" t="s">
        <v>349</v>
      </c>
      <c r="C3227" t="s">
        <v>213</v>
      </c>
      <c r="D3227" t="s">
        <v>43</v>
      </c>
      <c r="E3227" t="s">
        <v>30</v>
      </c>
      <c r="F3227" t="s">
        <v>22</v>
      </c>
      <c r="G3227" t="s">
        <v>23</v>
      </c>
      <c r="H3227" s="1">
        <v>44821</v>
      </c>
      <c r="I3227" s="2">
        <v>44822.1041666667</v>
      </c>
      <c r="J3227">
        <v>26.5</v>
      </c>
      <c r="K3227" t="s">
        <v>24</v>
      </c>
      <c r="L3227">
        <v>0</v>
      </c>
      <c r="M3227">
        <v>3</v>
      </c>
      <c r="N3227" t="s">
        <v>154</v>
      </c>
      <c r="O3227" s="3" t="str">
        <f>TEXT(Ticket_Table[[#This Row],[raised_date]],"YYYY-MM")</f>
        <v>2022-09</v>
      </c>
      <c r="P3227" s="3" t="str">
        <f>IF(Ticket_Table[[#This Row],[resolution_hrs]]&lt;=4,"Fast",IF(Ticket_Table[[#This Row],[resolution_hrs]]&lt;=24,"Normal",IF(Ticket_Table[[#This Row],[resolution_hrs]]&lt;=48,"Slow","Very Slow")))</f>
        <v>Slow</v>
      </c>
      <c r="Q3227" s="3">
        <f>YEAR(Ticket_Table[[#This Row],[raised_date]])</f>
        <v>2022</v>
      </c>
    </row>
    <row r="3228" spans="1:17">
      <c r="A3228" t="s">
        <v>3789</v>
      </c>
      <c r="B3228" t="s">
        <v>296</v>
      </c>
      <c r="C3228" t="s">
        <v>82</v>
      </c>
      <c r="D3228" t="s">
        <v>90</v>
      </c>
      <c r="E3228" t="s">
        <v>44</v>
      </c>
      <c r="F3228" t="s">
        <v>70</v>
      </c>
      <c r="G3228" t="s">
        <v>23</v>
      </c>
      <c r="H3228" s="1">
        <v>44627</v>
      </c>
      <c r="I3228" s="2">
        <v>44627.1583333333</v>
      </c>
      <c r="J3228">
        <v>3.8</v>
      </c>
      <c r="K3228" t="s">
        <v>24</v>
      </c>
      <c r="L3228">
        <v>1</v>
      </c>
      <c r="M3228">
        <v>4</v>
      </c>
      <c r="N3228" t="s">
        <v>503</v>
      </c>
      <c r="O3228" s="3" t="str">
        <f>TEXT(Ticket_Table[[#This Row],[raised_date]],"YYYY-MM")</f>
        <v>2022-03</v>
      </c>
      <c r="P3228" s="3" t="str">
        <f>IF(Ticket_Table[[#This Row],[resolution_hrs]]&lt;=4,"Fast",IF(Ticket_Table[[#This Row],[resolution_hrs]]&lt;=24,"Normal",IF(Ticket_Table[[#This Row],[resolution_hrs]]&lt;=48,"Slow","Very Slow")))</f>
        <v>Fast</v>
      </c>
      <c r="Q3228" s="3">
        <f>YEAR(Ticket_Table[[#This Row],[raised_date]])</f>
        <v>2022</v>
      </c>
    </row>
    <row r="3229" spans="1:17">
      <c r="A3229" t="s">
        <v>3790</v>
      </c>
      <c r="B3229" t="s">
        <v>227</v>
      </c>
      <c r="C3229" t="s">
        <v>64</v>
      </c>
      <c r="D3229" t="s">
        <v>29</v>
      </c>
      <c r="E3229" t="s">
        <v>21</v>
      </c>
      <c r="F3229" t="s">
        <v>45</v>
      </c>
      <c r="G3229" t="s">
        <v>74</v>
      </c>
      <c r="H3229" s="1">
        <v>44901</v>
      </c>
      <c r="I3229" s="2">
        <v>44901.0708333333</v>
      </c>
      <c r="J3229">
        <v>1.7</v>
      </c>
      <c r="K3229" t="s">
        <v>24</v>
      </c>
      <c r="L3229">
        <v>0</v>
      </c>
      <c r="M3229">
        <v>4</v>
      </c>
      <c r="N3229" t="s">
        <v>720</v>
      </c>
      <c r="O3229" s="3" t="str">
        <f>TEXT(Ticket_Table[[#This Row],[raised_date]],"YYYY-MM")</f>
        <v>2022-12</v>
      </c>
      <c r="P3229" s="3" t="str">
        <f>IF(Ticket_Table[[#This Row],[resolution_hrs]]&lt;=4,"Fast",IF(Ticket_Table[[#This Row],[resolution_hrs]]&lt;=24,"Normal",IF(Ticket_Table[[#This Row],[resolution_hrs]]&lt;=48,"Slow","Very Slow")))</f>
        <v>Fast</v>
      </c>
      <c r="Q3229" s="3">
        <f>YEAR(Ticket_Table[[#This Row],[raised_date]])</f>
        <v>2022</v>
      </c>
    </row>
    <row r="3230" spans="1:17">
      <c r="A3230" t="s">
        <v>3791</v>
      </c>
      <c r="B3230" t="s">
        <v>395</v>
      </c>
      <c r="C3230" t="s">
        <v>50</v>
      </c>
      <c r="D3230" t="s">
        <v>20</v>
      </c>
      <c r="E3230" t="s">
        <v>30</v>
      </c>
      <c r="F3230" t="s">
        <v>38</v>
      </c>
      <c r="G3230" t="s">
        <v>23</v>
      </c>
      <c r="H3230" s="1">
        <v>44630</v>
      </c>
      <c r="I3230" s="2">
        <v>44631.3291666667</v>
      </c>
      <c r="J3230">
        <v>31.9</v>
      </c>
      <c r="K3230" t="s">
        <v>32</v>
      </c>
      <c r="L3230">
        <v>0</v>
      </c>
      <c r="M3230">
        <v>3</v>
      </c>
      <c r="N3230" t="s">
        <v>77</v>
      </c>
      <c r="O3230" s="3" t="str">
        <f>TEXT(Ticket_Table[[#This Row],[raised_date]],"YYYY-MM")</f>
        <v>2022-03</v>
      </c>
      <c r="P3230" s="3" t="str">
        <f>IF(Ticket_Table[[#This Row],[resolution_hrs]]&lt;=4,"Fast",IF(Ticket_Table[[#This Row],[resolution_hrs]]&lt;=24,"Normal",IF(Ticket_Table[[#This Row],[resolution_hrs]]&lt;=48,"Slow","Very Slow")))</f>
        <v>Slow</v>
      </c>
      <c r="Q3230" s="3">
        <f>YEAR(Ticket_Table[[#This Row],[raised_date]])</f>
        <v>2022</v>
      </c>
    </row>
    <row r="3231" spans="1:17">
      <c r="A3231" t="s">
        <v>3792</v>
      </c>
      <c r="B3231" t="s">
        <v>974</v>
      </c>
      <c r="C3231" t="s">
        <v>201</v>
      </c>
      <c r="D3231" t="s">
        <v>36</v>
      </c>
      <c r="E3231" t="s">
        <v>83</v>
      </c>
      <c r="F3231" t="s">
        <v>22</v>
      </c>
      <c r="G3231" t="s">
        <v>23</v>
      </c>
      <c r="H3231" s="1">
        <v>45042</v>
      </c>
      <c r="I3231" s="2">
        <v>45046.175</v>
      </c>
      <c r="J3231">
        <v>100.2</v>
      </c>
      <c r="K3231" t="s">
        <v>32</v>
      </c>
      <c r="L3231">
        <v>0</v>
      </c>
      <c r="M3231">
        <v>4</v>
      </c>
      <c r="N3231" t="s">
        <v>811</v>
      </c>
      <c r="O3231" s="3" t="str">
        <f>TEXT(Ticket_Table[[#This Row],[raised_date]],"YYYY-MM")</f>
        <v>2023-04</v>
      </c>
      <c r="P3231" s="3" t="str">
        <f>IF(Ticket_Table[[#This Row],[resolution_hrs]]&lt;=4,"Fast",IF(Ticket_Table[[#This Row],[resolution_hrs]]&lt;=24,"Normal",IF(Ticket_Table[[#This Row],[resolution_hrs]]&lt;=48,"Slow","Very Slow")))</f>
        <v>Very Slow</v>
      </c>
      <c r="Q3231" s="3">
        <f>YEAR(Ticket_Table[[#This Row],[raised_date]])</f>
        <v>2023</v>
      </c>
    </row>
    <row r="3232" spans="1:17">
      <c r="A3232" t="s">
        <v>3793</v>
      </c>
      <c r="B3232" t="s">
        <v>1223</v>
      </c>
      <c r="C3232" t="s">
        <v>140</v>
      </c>
      <c r="D3232" t="s">
        <v>43</v>
      </c>
      <c r="E3232" t="s">
        <v>166</v>
      </c>
      <c r="F3232" t="s">
        <v>70</v>
      </c>
      <c r="G3232" t="s">
        <v>23</v>
      </c>
      <c r="H3232" s="1">
        <v>45246</v>
      </c>
      <c r="I3232" s="2">
        <v>45246.8416666667</v>
      </c>
      <c r="J3232">
        <v>20.2</v>
      </c>
      <c r="K3232" t="s">
        <v>24</v>
      </c>
      <c r="L3232">
        <v>0</v>
      </c>
      <c r="M3232">
        <v>3</v>
      </c>
      <c r="N3232" t="s">
        <v>67</v>
      </c>
      <c r="O3232" s="3" t="str">
        <f>TEXT(Ticket_Table[[#This Row],[raised_date]],"YYYY-MM")</f>
        <v>2023-11</v>
      </c>
      <c r="P3232" s="3" t="str">
        <f>IF(Ticket_Table[[#This Row],[resolution_hrs]]&lt;=4,"Fast",IF(Ticket_Table[[#This Row],[resolution_hrs]]&lt;=24,"Normal",IF(Ticket_Table[[#This Row],[resolution_hrs]]&lt;=48,"Slow","Very Slow")))</f>
        <v>Normal</v>
      </c>
      <c r="Q3232" s="3">
        <f>YEAR(Ticket_Table[[#This Row],[raised_date]])</f>
        <v>2023</v>
      </c>
    </row>
    <row r="3233" spans="1:17">
      <c r="A3233" t="s">
        <v>3794</v>
      </c>
      <c r="B3233" t="s">
        <v>1301</v>
      </c>
      <c r="C3233" t="s">
        <v>55</v>
      </c>
      <c r="D3233" t="s">
        <v>29</v>
      </c>
      <c r="E3233" t="s">
        <v>106</v>
      </c>
      <c r="F3233" t="s">
        <v>22</v>
      </c>
      <c r="G3233" t="s">
        <v>31</v>
      </c>
      <c r="H3233" s="1">
        <v>44488</v>
      </c>
      <c r="I3233" s="2">
        <v>44491.5666666667</v>
      </c>
      <c r="J3233">
        <v>85.6</v>
      </c>
      <c r="K3233" t="s">
        <v>32</v>
      </c>
      <c r="L3233">
        <v>0</v>
      </c>
      <c r="M3233">
        <v>4</v>
      </c>
      <c r="N3233" t="s">
        <v>327</v>
      </c>
      <c r="O3233" s="3" t="str">
        <f>TEXT(Ticket_Table[[#This Row],[raised_date]],"YYYY-MM")</f>
        <v>2021-10</v>
      </c>
      <c r="P3233" s="3" t="str">
        <f>IF(Ticket_Table[[#This Row],[resolution_hrs]]&lt;=4,"Fast",IF(Ticket_Table[[#This Row],[resolution_hrs]]&lt;=24,"Normal",IF(Ticket_Table[[#This Row],[resolution_hrs]]&lt;=48,"Slow","Very Slow")))</f>
        <v>Very Slow</v>
      </c>
      <c r="Q3233" s="3">
        <f>YEAR(Ticket_Table[[#This Row],[raised_date]])</f>
        <v>2021</v>
      </c>
    </row>
    <row r="3234" spans="1:17">
      <c r="A3234" t="s">
        <v>3795</v>
      </c>
      <c r="B3234" t="s">
        <v>167</v>
      </c>
      <c r="C3234" t="s">
        <v>50</v>
      </c>
      <c r="D3234" t="s">
        <v>90</v>
      </c>
      <c r="E3234" t="s">
        <v>21</v>
      </c>
      <c r="F3234" t="s">
        <v>70</v>
      </c>
      <c r="G3234" t="s">
        <v>23</v>
      </c>
      <c r="H3234" s="1">
        <v>44526</v>
      </c>
      <c r="I3234" s="2">
        <v>44527.9416666667</v>
      </c>
      <c r="J3234">
        <v>46.6</v>
      </c>
      <c r="K3234" t="s">
        <v>24</v>
      </c>
      <c r="L3234">
        <v>0</v>
      </c>
      <c r="M3234">
        <v>3</v>
      </c>
      <c r="N3234" t="s">
        <v>722</v>
      </c>
      <c r="O3234" s="3" t="str">
        <f>TEXT(Ticket_Table[[#This Row],[raised_date]],"YYYY-MM")</f>
        <v>2021-11</v>
      </c>
      <c r="P3234" s="3" t="str">
        <f>IF(Ticket_Table[[#This Row],[resolution_hrs]]&lt;=4,"Fast",IF(Ticket_Table[[#This Row],[resolution_hrs]]&lt;=24,"Normal",IF(Ticket_Table[[#This Row],[resolution_hrs]]&lt;=48,"Slow","Very Slow")))</f>
        <v>Slow</v>
      </c>
      <c r="Q3234" s="3">
        <f>YEAR(Ticket_Table[[#This Row],[raised_date]])</f>
        <v>2021</v>
      </c>
    </row>
    <row r="3235" spans="1:17">
      <c r="A3235" t="s">
        <v>3796</v>
      </c>
      <c r="B3235" t="s">
        <v>853</v>
      </c>
      <c r="C3235" t="s">
        <v>102</v>
      </c>
      <c r="D3235" t="s">
        <v>20</v>
      </c>
      <c r="E3235" t="s">
        <v>30</v>
      </c>
      <c r="F3235" t="s">
        <v>38</v>
      </c>
      <c r="G3235" t="s">
        <v>46</v>
      </c>
      <c r="H3235" s="1">
        <v>44573</v>
      </c>
      <c r="I3235" s="2">
        <v>44573.4041666667</v>
      </c>
      <c r="J3235">
        <v>9.7</v>
      </c>
      <c r="K3235" t="s">
        <v>24</v>
      </c>
      <c r="L3235">
        <v>2</v>
      </c>
      <c r="M3235">
        <v>5</v>
      </c>
      <c r="N3235" t="s">
        <v>350</v>
      </c>
      <c r="O3235" s="3" t="str">
        <f>TEXT(Ticket_Table[[#This Row],[raised_date]],"YYYY-MM")</f>
        <v>2022-01</v>
      </c>
      <c r="P3235" s="3" t="str">
        <f>IF(Ticket_Table[[#This Row],[resolution_hrs]]&lt;=4,"Fast",IF(Ticket_Table[[#This Row],[resolution_hrs]]&lt;=24,"Normal",IF(Ticket_Table[[#This Row],[resolution_hrs]]&lt;=48,"Slow","Very Slow")))</f>
        <v>Normal</v>
      </c>
      <c r="Q3235" s="3">
        <f>YEAR(Ticket_Table[[#This Row],[raised_date]])</f>
        <v>2022</v>
      </c>
    </row>
    <row r="3236" spans="1:17">
      <c r="A3236" t="s">
        <v>3797</v>
      </c>
      <c r="B3236" t="s">
        <v>206</v>
      </c>
      <c r="C3236" t="s">
        <v>201</v>
      </c>
      <c r="D3236" t="s">
        <v>90</v>
      </c>
      <c r="E3236" t="s">
        <v>83</v>
      </c>
      <c r="F3236" t="s">
        <v>38</v>
      </c>
      <c r="G3236" t="s">
        <v>23</v>
      </c>
      <c r="H3236" s="1">
        <v>44649</v>
      </c>
      <c r="I3236" s="2">
        <v>44650.2416666667</v>
      </c>
      <c r="J3236">
        <v>29.8</v>
      </c>
      <c r="K3236" t="s">
        <v>32</v>
      </c>
      <c r="L3236">
        <v>0</v>
      </c>
      <c r="M3236">
        <v>1</v>
      </c>
      <c r="N3236" t="s">
        <v>280</v>
      </c>
      <c r="O3236" s="3" t="str">
        <f>TEXT(Ticket_Table[[#This Row],[raised_date]],"YYYY-MM")</f>
        <v>2022-03</v>
      </c>
      <c r="P3236" s="3" t="str">
        <f>IF(Ticket_Table[[#This Row],[resolution_hrs]]&lt;=4,"Fast",IF(Ticket_Table[[#This Row],[resolution_hrs]]&lt;=24,"Normal",IF(Ticket_Table[[#This Row],[resolution_hrs]]&lt;=48,"Slow","Very Slow")))</f>
        <v>Slow</v>
      </c>
      <c r="Q3236" s="3">
        <f>YEAR(Ticket_Table[[#This Row],[raised_date]])</f>
        <v>2022</v>
      </c>
    </row>
    <row r="3237" spans="1:17">
      <c r="A3237" t="s">
        <v>3798</v>
      </c>
      <c r="B3237" t="s">
        <v>1041</v>
      </c>
      <c r="C3237" t="s">
        <v>95</v>
      </c>
      <c r="D3237" t="s">
        <v>90</v>
      </c>
      <c r="E3237" t="s">
        <v>37</v>
      </c>
      <c r="F3237" t="s">
        <v>22</v>
      </c>
      <c r="G3237" t="s">
        <v>23</v>
      </c>
      <c r="H3237" s="1">
        <v>44714</v>
      </c>
      <c r="I3237" s="2">
        <v>44716.425</v>
      </c>
      <c r="J3237">
        <v>58.2</v>
      </c>
      <c r="K3237" t="s">
        <v>24</v>
      </c>
      <c r="L3237">
        <v>0</v>
      </c>
      <c r="M3237">
        <v>4</v>
      </c>
      <c r="N3237" t="s">
        <v>415</v>
      </c>
      <c r="O3237" s="3" t="str">
        <f>TEXT(Ticket_Table[[#This Row],[raised_date]],"YYYY-MM")</f>
        <v>2022-06</v>
      </c>
      <c r="P3237" s="3" t="str">
        <f>IF(Ticket_Table[[#This Row],[resolution_hrs]]&lt;=4,"Fast",IF(Ticket_Table[[#This Row],[resolution_hrs]]&lt;=24,"Normal",IF(Ticket_Table[[#This Row],[resolution_hrs]]&lt;=48,"Slow","Very Slow")))</f>
        <v>Very Slow</v>
      </c>
      <c r="Q3237" s="3">
        <f>YEAR(Ticket_Table[[#This Row],[raised_date]])</f>
        <v>2022</v>
      </c>
    </row>
    <row r="3238" spans="1:17">
      <c r="A3238" t="s">
        <v>3799</v>
      </c>
      <c r="B3238" t="s">
        <v>666</v>
      </c>
      <c r="C3238" t="s">
        <v>64</v>
      </c>
      <c r="D3238" t="s">
        <v>43</v>
      </c>
      <c r="E3238" t="s">
        <v>56</v>
      </c>
      <c r="F3238" t="s">
        <v>45</v>
      </c>
      <c r="G3238" t="s">
        <v>46</v>
      </c>
      <c r="H3238" s="1">
        <v>44594</v>
      </c>
      <c r="I3238" s="2">
        <v>44594.0416666667</v>
      </c>
      <c r="J3238">
        <v>1</v>
      </c>
      <c r="K3238" t="s">
        <v>24</v>
      </c>
      <c r="L3238">
        <v>0</v>
      </c>
      <c r="M3238">
        <v>4</v>
      </c>
      <c r="N3238" t="s">
        <v>272</v>
      </c>
      <c r="O3238" s="3" t="str">
        <f>TEXT(Ticket_Table[[#This Row],[raised_date]],"YYYY-MM")</f>
        <v>2022-02</v>
      </c>
      <c r="P3238" s="3" t="str">
        <f>IF(Ticket_Table[[#This Row],[resolution_hrs]]&lt;=4,"Fast",IF(Ticket_Table[[#This Row],[resolution_hrs]]&lt;=24,"Normal",IF(Ticket_Table[[#This Row],[resolution_hrs]]&lt;=48,"Slow","Very Slow")))</f>
        <v>Fast</v>
      </c>
      <c r="Q3238" s="3">
        <f>YEAR(Ticket_Table[[#This Row],[raised_date]])</f>
        <v>2022</v>
      </c>
    </row>
    <row r="3239" spans="1:17">
      <c r="A3239" t="s">
        <v>3800</v>
      </c>
      <c r="B3239" t="s">
        <v>1241</v>
      </c>
      <c r="C3239" t="s">
        <v>55</v>
      </c>
      <c r="D3239" t="s">
        <v>29</v>
      </c>
      <c r="E3239" t="s">
        <v>166</v>
      </c>
      <c r="F3239" t="s">
        <v>70</v>
      </c>
      <c r="G3239" t="s">
        <v>74</v>
      </c>
      <c r="H3239" s="1">
        <v>44431</v>
      </c>
      <c r="I3239" s="2">
        <v>44432.0708333333</v>
      </c>
      <c r="J3239">
        <v>25.7</v>
      </c>
      <c r="K3239" t="s">
        <v>24</v>
      </c>
      <c r="L3239">
        <v>1</v>
      </c>
      <c r="M3239">
        <v>1</v>
      </c>
      <c r="N3239" t="s">
        <v>406</v>
      </c>
      <c r="O3239" s="3" t="str">
        <f>TEXT(Ticket_Table[[#This Row],[raised_date]],"YYYY-MM")</f>
        <v>2021-08</v>
      </c>
      <c r="P3239" s="3" t="str">
        <f>IF(Ticket_Table[[#This Row],[resolution_hrs]]&lt;=4,"Fast",IF(Ticket_Table[[#This Row],[resolution_hrs]]&lt;=24,"Normal",IF(Ticket_Table[[#This Row],[resolution_hrs]]&lt;=48,"Slow","Very Slow")))</f>
        <v>Slow</v>
      </c>
      <c r="Q3239" s="3">
        <f>YEAR(Ticket_Table[[#This Row],[raised_date]])</f>
        <v>2021</v>
      </c>
    </row>
    <row r="3240" spans="1:17">
      <c r="A3240" t="s">
        <v>3801</v>
      </c>
      <c r="B3240" t="s">
        <v>589</v>
      </c>
      <c r="C3240" t="s">
        <v>175</v>
      </c>
      <c r="D3240" t="s">
        <v>36</v>
      </c>
      <c r="E3240" t="s">
        <v>106</v>
      </c>
      <c r="F3240" t="s">
        <v>70</v>
      </c>
      <c r="G3240" t="s">
        <v>31</v>
      </c>
      <c r="H3240" s="1">
        <v>44568</v>
      </c>
      <c r="I3240" s="2">
        <v>44569.8333333333</v>
      </c>
      <c r="J3240">
        <v>44</v>
      </c>
      <c r="K3240" t="s">
        <v>24</v>
      </c>
      <c r="L3240">
        <v>0</v>
      </c>
      <c r="M3240">
        <v>3</v>
      </c>
      <c r="N3240" t="s">
        <v>353</v>
      </c>
      <c r="O3240" s="3" t="str">
        <f>TEXT(Ticket_Table[[#This Row],[raised_date]],"YYYY-MM")</f>
        <v>2022-01</v>
      </c>
      <c r="P3240" s="3" t="str">
        <f>IF(Ticket_Table[[#This Row],[resolution_hrs]]&lt;=4,"Fast",IF(Ticket_Table[[#This Row],[resolution_hrs]]&lt;=24,"Normal",IF(Ticket_Table[[#This Row],[resolution_hrs]]&lt;=48,"Slow","Very Slow")))</f>
        <v>Slow</v>
      </c>
      <c r="Q3240" s="3">
        <f>YEAR(Ticket_Table[[#This Row],[raised_date]])</f>
        <v>2022</v>
      </c>
    </row>
    <row r="3241" spans="1:17">
      <c r="A3241" t="s">
        <v>3802</v>
      </c>
      <c r="B3241" t="s">
        <v>314</v>
      </c>
      <c r="C3241" t="s">
        <v>95</v>
      </c>
      <c r="D3241" t="s">
        <v>43</v>
      </c>
      <c r="E3241" t="s">
        <v>44</v>
      </c>
      <c r="F3241" t="s">
        <v>70</v>
      </c>
      <c r="G3241" t="s">
        <v>74</v>
      </c>
      <c r="H3241" s="1">
        <v>44308</v>
      </c>
      <c r="I3241" s="2">
        <v>44309.1333333333</v>
      </c>
      <c r="J3241">
        <v>27.2</v>
      </c>
      <c r="K3241" t="s">
        <v>24</v>
      </c>
      <c r="L3241">
        <v>1</v>
      </c>
      <c r="M3241">
        <v>3</v>
      </c>
      <c r="N3241" t="s">
        <v>305</v>
      </c>
      <c r="O3241" s="3" t="str">
        <f>TEXT(Ticket_Table[[#This Row],[raised_date]],"YYYY-MM")</f>
        <v>2021-04</v>
      </c>
      <c r="P3241" s="3" t="str">
        <f>IF(Ticket_Table[[#This Row],[resolution_hrs]]&lt;=4,"Fast",IF(Ticket_Table[[#This Row],[resolution_hrs]]&lt;=24,"Normal",IF(Ticket_Table[[#This Row],[resolution_hrs]]&lt;=48,"Slow","Very Slow")))</f>
        <v>Slow</v>
      </c>
      <c r="Q3241" s="3">
        <f>YEAR(Ticket_Table[[#This Row],[raised_date]])</f>
        <v>2021</v>
      </c>
    </row>
    <row r="3242" spans="1:17">
      <c r="A3242" t="s">
        <v>3803</v>
      </c>
      <c r="B3242" t="s">
        <v>241</v>
      </c>
      <c r="C3242" t="s">
        <v>213</v>
      </c>
      <c r="D3242" t="s">
        <v>20</v>
      </c>
      <c r="E3242" t="s">
        <v>69</v>
      </c>
      <c r="F3242" t="s">
        <v>70</v>
      </c>
      <c r="G3242" t="s">
        <v>31</v>
      </c>
      <c r="H3242" s="1">
        <v>45141</v>
      </c>
      <c r="I3242" s="2">
        <v>45141.2875</v>
      </c>
      <c r="J3242">
        <v>6.9</v>
      </c>
      <c r="K3242" t="s">
        <v>24</v>
      </c>
      <c r="L3242">
        <v>0</v>
      </c>
      <c r="M3242">
        <v>1</v>
      </c>
      <c r="N3242" t="s">
        <v>372</v>
      </c>
      <c r="O3242" s="3" t="str">
        <f>TEXT(Ticket_Table[[#This Row],[raised_date]],"YYYY-MM")</f>
        <v>2023-08</v>
      </c>
      <c r="P3242" s="3" t="str">
        <f>IF(Ticket_Table[[#This Row],[resolution_hrs]]&lt;=4,"Fast",IF(Ticket_Table[[#This Row],[resolution_hrs]]&lt;=24,"Normal",IF(Ticket_Table[[#This Row],[resolution_hrs]]&lt;=48,"Slow","Very Slow")))</f>
        <v>Normal</v>
      </c>
      <c r="Q3242" s="3">
        <f>YEAR(Ticket_Table[[#This Row],[raised_date]])</f>
        <v>2023</v>
      </c>
    </row>
    <row r="3243" spans="1:17">
      <c r="A3243" t="s">
        <v>3804</v>
      </c>
      <c r="B3243" t="s">
        <v>656</v>
      </c>
      <c r="C3243" t="s">
        <v>64</v>
      </c>
      <c r="D3243" t="s">
        <v>90</v>
      </c>
      <c r="E3243" t="s">
        <v>56</v>
      </c>
      <c r="F3243" t="s">
        <v>70</v>
      </c>
      <c r="G3243" t="s">
        <v>23</v>
      </c>
      <c r="H3243" s="1">
        <v>44346</v>
      </c>
      <c r="I3243" s="2">
        <v>44348.1291666667</v>
      </c>
      <c r="J3243">
        <v>51.1</v>
      </c>
      <c r="K3243" t="s">
        <v>32</v>
      </c>
      <c r="L3243">
        <v>0</v>
      </c>
      <c r="M3243">
        <v>4</v>
      </c>
      <c r="N3243" t="s">
        <v>627</v>
      </c>
      <c r="O3243" s="3" t="str">
        <f>TEXT(Ticket_Table[[#This Row],[raised_date]],"YYYY-MM")</f>
        <v>2021-05</v>
      </c>
      <c r="P3243" s="3" t="str">
        <f>IF(Ticket_Table[[#This Row],[resolution_hrs]]&lt;=4,"Fast",IF(Ticket_Table[[#This Row],[resolution_hrs]]&lt;=24,"Normal",IF(Ticket_Table[[#This Row],[resolution_hrs]]&lt;=48,"Slow","Very Slow")))</f>
        <v>Very Slow</v>
      </c>
      <c r="Q3243" s="3">
        <f>YEAR(Ticket_Table[[#This Row],[raised_date]])</f>
        <v>2021</v>
      </c>
    </row>
    <row r="3244" spans="1:17">
      <c r="A3244" t="s">
        <v>3805</v>
      </c>
      <c r="B3244" t="s">
        <v>608</v>
      </c>
      <c r="C3244" t="s">
        <v>28</v>
      </c>
      <c r="D3244" t="s">
        <v>20</v>
      </c>
      <c r="E3244" t="s">
        <v>166</v>
      </c>
      <c r="F3244" t="s">
        <v>70</v>
      </c>
      <c r="G3244" t="s">
        <v>31</v>
      </c>
      <c r="H3244" s="1">
        <v>44792</v>
      </c>
      <c r="I3244" s="2">
        <v>44793.6666666667</v>
      </c>
      <c r="J3244">
        <v>40</v>
      </c>
      <c r="K3244" t="s">
        <v>24</v>
      </c>
      <c r="L3244">
        <v>0</v>
      </c>
      <c r="M3244">
        <v>4</v>
      </c>
      <c r="N3244" t="s">
        <v>1058</v>
      </c>
      <c r="O3244" s="3" t="str">
        <f>TEXT(Ticket_Table[[#This Row],[raised_date]],"YYYY-MM")</f>
        <v>2022-08</v>
      </c>
      <c r="P3244" s="3" t="str">
        <f>IF(Ticket_Table[[#This Row],[resolution_hrs]]&lt;=4,"Fast",IF(Ticket_Table[[#This Row],[resolution_hrs]]&lt;=24,"Normal",IF(Ticket_Table[[#This Row],[resolution_hrs]]&lt;=48,"Slow","Very Slow")))</f>
        <v>Slow</v>
      </c>
      <c r="Q3244" s="3">
        <f>YEAR(Ticket_Table[[#This Row],[raised_date]])</f>
        <v>2022</v>
      </c>
    </row>
    <row r="3245" spans="1:17">
      <c r="A3245" t="s">
        <v>3806</v>
      </c>
      <c r="B3245" t="s">
        <v>1241</v>
      </c>
      <c r="C3245" t="s">
        <v>28</v>
      </c>
      <c r="D3245" t="s">
        <v>43</v>
      </c>
      <c r="E3245" t="s">
        <v>21</v>
      </c>
      <c r="F3245" t="s">
        <v>70</v>
      </c>
      <c r="G3245" t="s">
        <v>46</v>
      </c>
      <c r="H3245" s="1">
        <v>44334</v>
      </c>
      <c r="I3245" s="2">
        <v>44336.1791666667</v>
      </c>
      <c r="J3245">
        <v>52.3</v>
      </c>
      <c r="K3245" t="s">
        <v>32</v>
      </c>
      <c r="L3245">
        <v>0</v>
      </c>
      <c r="M3245">
        <v>3</v>
      </c>
      <c r="N3245" t="s">
        <v>312</v>
      </c>
      <c r="O3245" s="3" t="str">
        <f>TEXT(Ticket_Table[[#This Row],[raised_date]],"YYYY-MM")</f>
        <v>2021-05</v>
      </c>
      <c r="P3245" s="3" t="str">
        <f>IF(Ticket_Table[[#This Row],[resolution_hrs]]&lt;=4,"Fast",IF(Ticket_Table[[#This Row],[resolution_hrs]]&lt;=24,"Normal",IF(Ticket_Table[[#This Row],[resolution_hrs]]&lt;=48,"Slow","Very Slow")))</f>
        <v>Very Slow</v>
      </c>
      <c r="Q3245" s="3">
        <f>YEAR(Ticket_Table[[#This Row],[raised_date]])</f>
        <v>2021</v>
      </c>
    </row>
    <row r="3246" spans="1:17">
      <c r="A3246" t="s">
        <v>3807</v>
      </c>
      <c r="B3246" t="s">
        <v>372</v>
      </c>
      <c r="C3246" t="s">
        <v>64</v>
      </c>
      <c r="D3246" t="s">
        <v>43</v>
      </c>
      <c r="E3246" t="s">
        <v>37</v>
      </c>
      <c r="F3246" t="s">
        <v>22</v>
      </c>
      <c r="G3246" t="s">
        <v>31</v>
      </c>
      <c r="H3246" s="1">
        <v>44710</v>
      </c>
      <c r="I3246" s="2">
        <v>44711.8625</v>
      </c>
      <c r="J3246">
        <v>44.7</v>
      </c>
      <c r="K3246" t="s">
        <v>24</v>
      </c>
      <c r="L3246">
        <v>0</v>
      </c>
      <c r="M3246">
        <v>4</v>
      </c>
      <c r="N3246" t="s">
        <v>470</v>
      </c>
      <c r="O3246" s="3" t="str">
        <f>TEXT(Ticket_Table[[#This Row],[raised_date]],"YYYY-MM")</f>
        <v>2022-05</v>
      </c>
      <c r="P3246" s="3" t="str">
        <f>IF(Ticket_Table[[#This Row],[resolution_hrs]]&lt;=4,"Fast",IF(Ticket_Table[[#This Row],[resolution_hrs]]&lt;=24,"Normal",IF(Ticket_Table[[#This Row],[resolution_hrs]]&lt;=48,"Slow","Very Slow")))</f>
        <v>Slow</v>
      </c>
      <c r="Q3246" s="3">
        <f>YEAR(Ticket_Table[[#This Row],[raised_date]])</f>
        <v>2022</v>
      </c>
    </row>
    <row r="3247" spans="1:17">
      <c r="A3247" t="s">
        <v>3808</v>
      </c>
      <c r="B3247" t="s">
        <v>858</v>
      </c>
      <c r="C3247" t="s">
        <v>28</v>
      </c>
      <c r="D3247" t="s">
        <v>36</v>
      </c>
      <c r="E3247" t="s">
        <v>44</v>
      </c>
      <c r="F3247" t="s">
        <v>38</v>
      </c>
      <c r="G3247" t="s">
        <v>46</v>
      </c>
      <c r="H3247" s="1">
        <v>44398</v>
      </c>
      <c r="I3247" s="2">
        <v>44398.9333333333</v>
      </c>
      <c r="J3247">
        <v>22.4</v>
      </c>
      <c r="K3247" t="s">
        <v>24</v>
      </c>
      <c r="L3247">
        <v>0</v>
      </c>
      <c r="M3247">
        <v>5</v>
      </c>
      <c r="N3247" t="s">
        <v>397</v>
      </c>
      <c r="O3247" s="3" t="str">
        <f>TEXT(Ticket_Table[[#This Row],[raised_date]],"YYYY-MM")</f>
        <v>2021-07</v>
      </c>
      <c r="P3247" s="3" t="str">
        <f>IF(Ticket_Table[[#This Row],[resolution_hrs]]&lt;=4,"Fast",IF(Ticket_Table[[#This Row],[resolution_hrs]]&lt;=24,"Normal",IF(Ticket_Table[[#This Row],[resolution_hrs]]&lt;=48,"Slow","Very Slow")))</f>
        <v>Normal</v>
      </c>
      <c r="Q3247" s="3">
        <f>YEAR(Ticket_Table[[#This Row],[raised_date]])</f>
        <v>2021</v>
      </c>
    </row>
    <row r="3248" spans="1:17">
      <c r="A3248" t="s">
        <v>3809</v>
      </c>
      <c r="B3248" t="s">
        <v>849</v>
      </c>
      <c r="C3248" t="s">
        <v>117</v>
      </c>
      <c r="D3248" t="s">
        <v>90</v>
      </c>
      <c r="E3248" t="s">
        <v>51</v>
      </c>
      <c r="F3248" t="s">
        <v>70</v>
      </c>
      <c r="G3248" t="s">
        <v>23</v>
      </c>
      <c r="H3248" s="1">
        <v>44601</v>
      </c>
      <c r="I3248" s="2">
        <v>44602</v>
      </c>
      <c r="J3248">
        <v>24</v>
      </c>
      <c r="K3248" t="s">
        <v>24</v>
      </c>
      <c r="L3248">
        <v>0</v>
      </c>
      <c r="M3248">
        <v>5</v>
      </c>
      <c r="N3248" t="s">
        <v>315</v>
      </c>
      <c r="O3248" s="3" t="str">
        <f>TEXT(Ticket_Table[[#This Row],[raised_date]],"YYYY-MM")</f>
        <v>2022-02</v>
      </c>
      <c r="P3248" s="3" t="str">
        <f>IF(Ticket_Table[[#This Row],[resolution_hrs]]&lt;=4,"Fast",IF(Ticket_Table[[#This Row],[resolution_hrs]]&lt;=24,"Normal",IF(Ticket_Table[[#This Row],[resolution_hrs]]&lt;=48,"Slow","Very Slow")))</f>
        <v>Normal</v>
      </c>
      <c r="Q3248" s="3">
        <f>YEAR(Ticket_Table[[#This Row],[raised_date]])</f>
        <v>2022</v>
      </c>
    </row>
    <row r="3249" spans="1:17">
      <c r="A3249" t="s">
        <v>3810</v>
      </c>
      <c r="B3249" t="s">
        <v>165</v>
      </c>
      <c r="C3249" t="s">
        <v>117</v>
      </c>
      <c r="D3249" t="s">
        <v>43</v>
      </c>
      <c r="E3249" t="s">
        <v>30</v>
      </c>
      <c r="F3249" t="s">
        <v>22</v>
      </c>
      <c r="G3249" t="s">
        <v>46</v>
      </c>
      <c r="H3249" s="1">
        <v>45194</v>
      </c>
      <c r="I3249" s="2">
        <v>45194.2958333333</v>
      </c>
      <c r="J3249">
        <v>7.1</v>
      </c>
      <c r="K3249" t="s">
        <v>24</v>
      </c>
      <c r="L3249">
        <v>0</v>
      </c>
      <c r="M3249">
        <v>2</v>
      </c>
      <c r="N3249" t="s">
        <v>135</v>
      </c>
      <c r="O3249" s="3" t="str">
        <f>TEXT(Ticket_Table[[#This Row],[raised_date]],"YYYY-MM")</f>
        <v>2023-09</v>
      </c>
      <c r="P3249" s="3" t="str">
        <f>IF(Ticket_Table[[#This Row],[resolution_hrs]]&lt;=4,"Fast",IF(Ticket_Table[[#This Row],[resolution_hrs]]&lt;=24,"Normal",IF(Ticket_Table[[#This Row],[resolution_hrs]]&lt;=48,"Slow","Very Slow")))</f>
        <v>Normal</v>
      </c>
      <c r="Q3249" s="3">
        <f>YEAR(Ticket_Table[[#This Row],[raised_date]])</f>
        <v>2023</v>
      </c>
    </row>
    <row r="3250" spans="1:17">
      <c r="A3250" t="s">
        <v>3811</v>
      </c>
      <c r="B3250" t="s">
        <v>114</v>
      </c>
      <c r="C3250" t="s">
        <v>95</v>
      </c>
      <c r="D3250" t="s">
        <v>20</v>
      </c>
      <c r="E3250" t="s">
        <v>30</v>
      </c>
      <c r="F3250" t="s">
        <v>38</v>
      </c>
      <c r="G3250" t="s">
        <v>31</v>
      </c>
      <c r="H3250" s="1">
        <v>44874</v>
      </c>
      <c r="I3250" s="2">
        <v>44875.2333333333</v>
      </c>
      <c r="J3250">
        <v>29.6</v>
      </c>
      <c r="K3250" t="s">
        <v>32</v>
      </c>
      <c r="L3250">
        <v>0</v>
      </c>
      <c r="M3250">
        <v>2</v>
      </c>
      <c r="N3250" t="s">
        <v>944</v>
      </c>
      <c r="O3250" s="3" t="str">
        <f>TEXT(Ticket_Table[[#This Row],[raised_date]],"YYYY-MM")</f>
        <v>2022-11</v>
      </c>
      <c r="P3250" s="3" t="str">
        <f>IF(Ticket_Table[[#This Row],[resolution_hrs]]&lt;=4,"Fast",IF(Ticket_Table[[#This Row],[resolution_hrs]]&lt;=24,"Normal",IF(Ticket_Table[[#This Row],[resolution_hrs]]&lt;=48,"Slow","Very Slow")))</f>
        <v>Slow</v>
      </c>
      <c r="Q3250" s="3">
        <f>YEAR(Ticket_Table[[#This Row],[raised_date]])</f>
        <v>2022</v>
      </c>
    </row>
    <row r="3251" spans="1:17">
      <c r="A3251" t="s">
        <v>3812</v>
      </c>
      <c r="B3251" t="s">
        <v>302</v>
      </c>
      <c r="C3251" t="s">
        <v>68</v>
      </c>
      <c r="D3251" t="s">
        <v>36</v>
      </c>
      <c r="E3251" t="s">
        <v>44</v>
      </c>
      <c r="F3251" t="s">
        <v>45</v>
      </c>
      <c r="G3251" t="s">
        <v>31</v>
      </c>
      <c r="H3251" s="1">
        <v>44928</v>
      </c>
      <c r="I3251" s="2">
        <v>44928.2125</v>
      </c>
      <c r="J3251">
        <v>5.1</v>
      </c>
      <c r="K3251" t="s">
        <v>32</v>
      </c>
      <c r="L3251">
        <v>1</v>
      </c>
      <c r="M3251">
        <v>4</v>
      </c>
      <c r="N3251" t="s">
        <v>376</v>
      </c>
      <c r="O3251" s="3" t="str">
        <f>TEXT(Ticket_Table[[#This Row],[raised_date]],"YYYY-MM")</f>
        <v>2023-01</v>
      </c>
      <c r="P3251" s="3" t="str">
        <f>IF(Ticket_Table[[#This Row],[resolution_hrs]]&lt;=4,"Fast",IF(Ticket_Table[[#This Row],[resolution_hrs]]&lt;=24,"Normal",IF(Ticket_Table[[#This Row],[resolution_hrs]]&lt;=48,"Slow","Very Slow")))</f>
        <v>Normal</v>
      </c>
      <c r="Q3251" s="3">
        <f>YEAR(Ticket_Table[[#This Row],[raised_date]])</f>
        <v>2023</v>
      </c>
    </row>
    <row r="3252" spans="1:17">
      <c r="A3252" t="s">
        <v>3813</v>
      </c>
      <c r="B3252" t="s">
        <v>455</v>
      </c>
      <c r="C3252" t="s">
        <v>19</v>
      </c>
      <c r="D3252" t="s">
        <v>20</v>
      </c>
      <c r="E3252" t="s">
        <v>51</v>
      </c>
      <c r="F3252" t="s">
        <v>45</v>
      </c>
      <c r="G3252" t="s">
        <v>23</v>
      </c>
      <c r="H3252" s="1">
        <v>44459</v>
      </c>
      <c r="I3252" s="2">
        <v>44459.0875</v>
      </c>
      <c r="J3252">
        <v>2.1</v>
      </c>
      <c r="K3252" t="s">
        <v>24</v>
      </c>
      <c r="L3252">
        <v>1</v>
      </c>
      <c r="M3252">
        <v>3</v>
      </c>
      <c r="N3252" t="s">
        <v>401</v>
      </c>
      <c r="O3252" s="3" t="str">
        <f>TEXT(Ticket_Table[[#This Row],[raised_date]],"YYYY-MM")</f>
        <v>2021-09</v>
      </c>
      <c r="P3252" s="3" t="str">
        <f>IF(Ticket_Table[[#This Row],[resolution_hrs]]&lt;=4,"Fast",IF(Ticket_Table[[#This Row],[resolution_hrs]]&lt;=24,"Normal",IF(Ticket_Table[[#This Row],[resolution_hrs]]&lt;=48,"Slow","Very Slow")))</f>
        <v>Fast</v>
      </c>
      <c r="Q3252" s="3">
        <f>YEAR(Ticket_Table[[#This Row],[raised_date]])</f>
        <v>2021</v>
      </c>
    </row>
    <row r="3253" spans="1:17">
      <c r="A3253" t="s">
        <v>3814</v>
      </c>
      <c r="B3253" t="s">
        <v>481</v>
      </c>
      <c r="C3253" t="s">
        <v>95</v>
      </c>
      <c r="D3253" t="s">
        <v>90</v>
      </c>
      <c r="E3253" t="s">
        <v>30</v>
      </c>
      <c r="F3253" t="s">
        <v>70</v>
      </c>
      <c r="G3253" t="s">
        <v>23</v>
      </c>
      <c r="H3253" s="1">
        <v>44677</v>
      </c>
      <c r="I3253" s="2">
        <v>44679.8958333333</v>
      </c>
      <c r="J3253">
        <v>69.5</v>
      </c>
      <c r="K3253" t="s">
        <v>32</v>
      </c>
      <c r="L3253">
        <v>1</v>
      </c>
      <c r="M3253">
        <v>2</v>
      </c>
      <c r="N3253" t="s">
        <v>320</v>
      </c>
      <c r="O3253" s="3" t="str">
        <f>TEXT(Ticket_Table[[#This Row],[raised_date]],"YYYY-MM")</f>
        <v>2022-04</v>
      </c>
      <c r="P3253" s="3" t="str">
        <f>IF(Ticket_Table[[#This Row],[resolution_hrs]]&lt;=4,"Fast",IF(Ticket_Table[[#This Row],[resolution_hrs]]&lt;=24,"Normal",IF(Ticket_Table[[#This Row],[resolution_hrs]]&lt;=48,"Slow","Very Slow")))</f>
        <v>Very Slow</v>
      </c>
      <c r="Q3253" s="3">
        <f>YEAR(Ticket_Table[[#This Row],[raised_date]])</f>
        <v>2022</v>
      </c>
    </row>
    <row r="3254" spans="1:17">
      <c r="A3254" t="s">
        <v>3815</v>
      </c>
      <c r="B3254" t="s">
        <v>521</v>
      </c>
      <c r="C3254" t="s">
        <v>95</v>
      </c>
      <c r="D3254" t="s">
        <v>36</v>
      </c>
      <c r="E3254" t="s">
        <v>166</v>
      </c>
      <c r="F3254" t="s">
        <v>22</v>
      </c>
      <c r="G3254" t="s">
        <v>31</v>
      </c>
      <c r="H3254" s="1">
        <v>44401</v>
      </c>
      <c r="I3254" s="2">
        <v>44401.8291666667</v>
      </c>
      <c r="J3254">
        <v>19.9</v>
      </c>
      <c r="K3254" t="s">
        <v>24</v>
      </c>
      <c r="L3254">
        <v>0</v>
      </c>
      <c r="M3254">
        <v>3</v>
      </c>
      <c r="N3254" t="s">
        <v>917</v>
      </c>
      <c r="O3254" s="3" t="str">
        <f>TEXT(Ticket_Table[[#This Row],[raised_date]],"YYYY-MM")</f>
        <v>2021-07</v>
      </c>
      <c r="P3254" s="3" t="str">
        <f>IF(Ticket_Table[[#This Row],[resolution_hrs]]&lt;=4,"Fast",IF(Ticket_Table[[#This Row],[resolution_hrs]]&lt;=24,"Normal",IF(Ticket_Table[[#This Row],[resolution_hrs]]&lt;=48,"Slow","Very Slow")))</f>
        <v>Normal</v>
      </c>
      <c r="Q3254" s="3">
        <f>YEAR(Ticket_Table[[#This Row],[raised_date]])</f>
        <v>2021</v>
      </c>
    </row>
    <row r="3255" spans="1:17">
      <c r="A3255" t="s">
        <v>3816</v>
      </c>
      <c r="B3255" t="s">
        <v>1502</v>
      </c>
      <c r="C3255" t="s">
        <v>287</v>
      </c>
      <c r="D3255" t="s">
        <v>36</v>
      </c>
      <c r="E3255" t="s">
        <v>44</v>
      </c>
      <c r="F3255" t="s">
        <v>70</v>
      </c>
      <c r="G3255" t="s">
        <v>31</v>
      </c>
      <c r="H3255" s="1">
        <v>44780</v>
      </c>
      <c r="I3255" s="2">
        <v>44782.9166666667</v>
      </c>
      <c r="J3255">
        <v>70</v>
      </c>
      <c r="K3255" t="s">
        <v>32</v>
      </c>
      <c r="L3255">
        <v>0</v>
      </c>
      <c r="M3255">
        <v>2</v>
      </c>
      <c r="N3255" t="s">
        <v>922</v>
      </c>
      <c r="O3255" s="3" t="str">
        <f>TEXT(Ticket_Table[[#This Row],[raised_date]],"YYYY-MM")</f>
        <v>2022-08</v>
      </c>
      <c r="P3255" s="3" t="str">
        <f>IF(Ticket_Table[[#This Row],[resolution_hrs]]&lt;=4,"Fast",IF(Ticket_Table[[#This Row],[resolution_hrs]]&lt;=24,"Normal",IF(Ticket_Table[[#This Row],[resolution_hrs]]&lt;=48,"Slow","Very Slow")))</f>
        <v>Very Slow</v>
      </c>
      <c r="Q3255" s="3">
        <f>YEAR(Ticket_Table[[#This Row],[raised_date]])</f>
        <v>2022</v>
      </c>
    </row>
    <row r="3256" spans="1:17">
      <c r="A3256" t="s">
        <v>3817</v>
      </c>
      <c r="B3256" t="s">
        <v>1143</v>
      </c>
      <c r="C3256" t="s">
        <v>117</v>
      </c>
      <c r="D3256" t="s">
        <v>36</v>
      </c>
      <c r="E3256" t="s">
        <v>44</v>
      </c>
      <c r="F3256" t="s">
        <v>22</v>
      </c>
      <c r="G3256" t="s">
        <v>23</v>
      </c>
      <c r="H3256" s="1">
        <v>44339</v>
      </c>
      <c r="I3256" s="2">
        <v>44341.4375</v>
      </c>
      <c r="J3256">
        <v>58.5</v>
      </c>
      <c r="K3256" t="s">
        <v>24</v>
      </c>
      <c r="L3256">
        <v>1</v>
      </c>
      <c r="M3256">
        <v>4</v>
      </c>
      <c r="N3256" t="s">
        <v>676</v>
      </c>
      <c r="O3256" s="3" t="str">
        <f>TEXT(Ticket_Table[[#This Row],[raised_date]],"YYYY-MM")</f>
        <v>2021-05</v>
      </c>
      <c r="P3256" s="3" t="str">
        <f>IF(Ticket_Table[[#This Row],[resolution_hrs]]&lt;=4,"Fast",IF(Ticket_Table[[#This Row],[resolution_hrs]]&lt;=24,"Normal",IF(Ticket_Table[[#This Row],[resolution_hrs]]&lt;=48,"Slow","Very Slow")))</f>
        <v>Very Slow</v>
      </c>
      <c r="Q3256" s="3">
        <f>YEAR(Ticket_Table[[#This Row],[raised_date]])</f>
        <v>2021</v>
      </c>
    </row>
    <row r="3257" spans="1:17">
      <c r="A3257" t="s">
        <v>3818</v>
      </c>
      <c r="B3257" t="s">
        <v>703</v>
      </c>
      <c r="C3257" t="s">
        <v>117</v>
      </c>
      <c r="D3257" t="s">
        <v>29</v>
      </c>
      <c r="E3257" t="s">
        <v>21</v>
      </c>
      <c r="F3257" t="s">
        <v>45</v>
      </c>
      <c r="G3257" t="s">
        <v>31</v>
      </c>
      <c r="H3257" s="1">
        <v>44593</v>
      </c>
      <c r="I3257" s="2">
        <v>44593.2458333333</v>
      </c>
      <c r="J3257">
        <v>5.9</v>
      </c>
      <c r="K3257" t="s">
        <v>32</v>
      </c>
      <c r="L3257">
        <v>0</v>
      </c>
      <c r="M3257">
        <v>4</v>
      </c>
      <c r="N3257" t="s">
        <v>860</v>
      </c>
      <c r="O3257" s="3" t="str">
        <f>TEXT(Ticket_Table[[#This Row],[raised_date]],"YYYY-MM")</f>
        <v>2022-02</v>
      </c>
      <c r="P3257" s="3" t="str">
        <f>IF(Ticket_Table[[#This Row],[resolution_hrs]]&lt;=4,"Fast",IF(Ticket_Table[[#This Row],[resolution_hrs]]&lt;=24,"Normal",IF(Ticket_Table[[#This Row],[resolution_hrs]]&lt;=48,"Slow","Very Slow")))</f>
        <v>Normal</v>
      </c>
      <c r="Q3257" s="3">
        <f>YEAR(Ticket_Table[[#This Row],[raised_date]])</f>
        <v>2022</v>
      </c>
    </row>
    <row r="3258" spans="1:17">
      <c r="A3258" t="s">
        <v>3819</v>
      </c>
      <c r="B3258" t="s">
        <v>370</v>
      </c>
      <c r="C3258" t="s">
        <v>78</v>
      </c>
      <c r="D3258" t="s">
        <v>36</v>
      </c>
      <c r="E3258" t="s">
        <v>51</v>
      </c>
      <c r="F3258" t="s">
        <v>22</v>
      </c>
      <c r="G3258" t="s">
        <v>23</v>
      </c>
      <c r="H3258" s="1">
        <v>44847</v>
      </c>
      <c r="I3258" s="2">
        <v>44850.5125</v>
      </c>
      <c r="J3258">
        <v>84.3</v>
      </c>
      <c r="K3258" t="s">
        <v>32</v>
      </c>
      <c r="L3258">
        <v>1</v>
      </c>
      <c r="M3258">
        <v>1</v>
      </c>
      <c r="N3258" t="s">
        <v>233</v>
      </c>
      <c r="O3258" s="3" t="str">
        <f>TEXT(Ticket_Table[[#This Row],[raised_date]],"YYYY-MM")</f>
        <v>2022-10</v>
      </c>
      <c r="P3258" s="3" t="str">
        <f>IF(Ticket_Table[[#This Row],[resolution_hrs]]&lt;=4,"Fast",IF(Ticket_Table[[#This Row],[resolution_hrs]]&lt;=24,"Normal",IF(Ticket_Table[[#This Row],[resolution_hrs]]&lt;=48,"Slow","Very Slow")))</f>
        <v>Very Slow</v>
      </c>
      <c r="Q3258" s="3">
        <f>YEAR(Ticket_Table[[#This Row],[raised_date]])</f>
        <v>2022</v>
      </c>
    </row>
    <row r="3259" spans="1:17">
      <c r="A3259" t="s">
        <v>3820</v>
      </c>
      <c r="B3259" t="s">
        <v>1533</v>
      </c>
      <c r="C3259" t="s">
        <v>28</v>
      </c>
      <c r="D3259" t="s">
        <v>20</v>
      </c>
      <c r="E3259" t="s">
        <v>21</v>
      </c>
      <c r="F3259" t="s">
        <v>22</v>
      </c>
      <c r="G3259" t="s">
        <v>46</v>
      </c>
      <c r="H3259" s="1">
        <v>45192</v>
      </c>
      <c r="I3259" s="2">
        <v>45195.5208333333</v>
      </c>
      <c r="J3259">
        <v>84.5</v>
      </c>
      <c r="K3259" t="s">
        <v>32</v>
      </c>
      <c r="L3259">
        <v>1</v>
      </c>
      <c r="M3259">
        <v>4</v>
      </c>
      <c r="N3259" t="s">
        <v>246</v>
      </c>
      <c r="O3259" s="3" t="str">
        <f>TEXT(Ticket_Table[[#This Row],[raised_date]],"YYYY-MM")</f>
        <v>2023-09</v>
      </c>
      <c r="P3259" s="3" t="str">
        <f>IF(Ticket_Table[[#This Row],[resolution_hrs]]&lt;=4,"Fast",IF(Ticket_Table[[#This Row],[resolution_hrs]]&lt;=24,"Normal",IF(Ticket_Table[[#This Row],[resolution_hrs]]&lt;=48,"Slow","Very Slow")))</f>
        <v>Very Slow</v>
      </c>
      <c r="Q3259" s="3">
        <f>YEAR(Ticket_Table[[#This Row],[raised_date]])</f>
        <v>2023</v>
      </c>
    </row>
    <row r="3260" spans="1:17">
      <c r="A3260" t="s">
        <v>3821</v>
      </c>
      <c r="B3260" t="s">
        <v>406</v>
      </c>
      <c r="C3260" t="s">
        <v>261</v>
      </c>
      <c r="D3260" t="s">
        <v>20</v>
      </c>
      <c r="E3260" t="s">
        <v>51</v>
      </c>
      <c r="F3260" t="s">
        <v>70</v>
      </c>
      <c r="G3260" t="s">
        <v>46</v>
      </c>
      <c r="H3260" s="1">
        <v>45119</v>
      </c>
      <c r="I3260" s="2">
        <v>45119.3583333333</v>
      </c>
      <c r="J3260">
        <v>8.6</v>
      </c>
      <c r="K3260" t="s">
        <v>24</v>
      </c>
      <c r="L3260">
        <v>0</v>
      </c>
      <c r="M3260">
        <v>4</v>
      </c>
      <c r="N3260" t="s">
        <v>562</v>
      </c>
      <c r="O3260" s="3" t="str">
        <f>TEXT(Ticket_Table[[#This Row],[raised_date]],"YYYY-MM")</f>
        <v>2023-07</v>
      </c>
      <c r="P3260" s="3" t="str">
        <f>IF(Ticket_Table[[#This Row],[resolution_hrs]]&lt;=4,"Fast",IF(Ticket_Table[[#This Row],[resolution_hrs]]&lt;=24,"Normal",IF(Ticket_Table[[#This Row],[resolution_hrs]]&lt;=48,"Slow","Very Slow")))</f>
        <v>Normal</v>
      </c>
      <c r="Q3260" s="3">
        <f>YEAR(Ticket_Table[[#This Row],[raised_date]])</f>
        <v>2023</v>
      </c>
    </row>
    <row r="3261" spans="1:17">
      <c r="A3261" t="s">
        <v>3822</v>
      </c>
      <c r="B3261" t="s">
        <v>89</v>
      </c>
      <c r="C3261" t="s">
        <v>95</v>
      </c>
      <c r="D3261" t="s">
        <v>90</v>
      </c>
      <c r="E3261" t="s">
        <v>21</v>
      </c>
      <c r="F3261" t="s">
        <v>70</v>
      </c>
      <c r="G3261" t="s">
        <v>31</v>
      </c>
      <c r="H3261" s="1">
        <v>44869</v>
      </c>
      <c r="I3261" s="2">
        <v>44871.2458333333</v>
      </c>
      <c r="J3261">
        <v>53.9</v>
      </c>
      <c r="K3261" t="s">
        <v>32</v>
      </c>
      <c r="L3261">
        <v>0</v>
      </c>
      <c r="M3261">
        <v>4</v>
      </c>
      <c r="N3261" t="s">
        <v>758</v>
      </c>
      <c r="O3261" s="3" t="str">
        <f>TEXT(Ticket_Table[[#This Row],[raised_date]],"YYYY-MM")</f>
        <v>2022-11</v>
      </c>
      <c r="P3261" s="3" t="str">
        <f>IF(Ticket_Table[[#This Row],[resolution_hrs]]&lt;=4,"Fast",IF(Ticket_Table[[#This Row],[resolution_hrs]]&lt;=24,"Normal",IF(Ticket_Table[[#This Row],[resolution_hrs]]&lt;=48,"Slow","Very Slow")))</f>
        <v>Very Slow</v>
      </c>
      <c r="Q3261" s="3">
        <f>YEAR(Ticket_Table[[#This Row],[raised_date]])</f>
        <v>2022</v>
      </c>
    </row>
    <row r="3262" spans="1:17">
      <c r="A3262" t="s">
        <v>3823</v>
      </c>
      <c r="B3262" t="s">
        <v>666</v>
      </c>
      <c r="C3262" t="s">
        <v>55</v>
      </c>
      <c r="D3262" t="s">
        <v>43</v>
      </c>
      <c r="E3262" t="s">
        <v>44</v>
      </c>
      <c r="F3262" t="s">
        <v>38</v>
      </c>
      <c r="G3262" t="s">
        <v>23</v>
      </c>
      <c r="H3262" s="1">
        <v>44823</v>
      </c>
      <c r="I3262" s="2">
        <v>44823.6</v>
      </c>
      <c r="J3262">
        <v>14.4</v>
      </c>
      <c r="K3262" t="s">
        <v>24</v>
      </c>
      <c r="L3262">
        <v>3</v>
      </c>
      <c r="M3262">
        <v>5</v>
      </c>
      <c r="N3262" t="s">
        <v>525</v>
      </c>
      <c r="O3262" s="3" t="str">
        <f>TEXT(Ticket_Table[[#This Row],[raised_date]],"YYYY-MM")</f>
        <v>2022-09</v>
      </c>
      <c r="P3262" s="3" t="str">
        <f>IF(Ticket_Table[[#This Row],[resolution_hrs]]&lt;=4,"Fast",IF(Ticket_Table[[#This Row],[resolution_hrs]]&lt;=24,"Normal",IF(Ticket_Table[[#This Row],[resolution_hrs]]&lt;=48,"Slow","Very Slow")))</f>
        <v>Normal</v>
      </c>
      <c r="Q3262" s="3">
        <f>YEAR(Ticket_Table[[#This Row],[raised_date]])</f>
        <v>2022</v>
      </c>
    </row>
    <row r="3263" spans="1:17">
      <c r="A3263" t="s">
        <v>3824</v>
      </c>
      <c r="B3263" t="s">
        <v>385</v>
      </c>
      <c r="C3263" t="s">
        <v>261</v>
      </c>
      <c r="D3263" t="s">
        <v>43</v>
      </c>
      <c r="E3263" t="s">
        <v>69</v>
      </c>
      <c r="F3263" t="s">
        <v>70</v>
      </c>
      <c r="G3263" t="s">
        <v>46</v>
      </c>
      <c r="H3263" s="1">
        <v>44509</v>
      </c>
      <c r="I3263" s="2">
        <v>44510.975</v>
      </c>
      <c r="J3263">
        <v>47.4</v>
      </c>
      <c r="K3263" t="s">
        <v>24</v>
      </c>
      <c r="L3263">
        <v>1</v>
      </c>
      <c r="M3263">
        <v>5</v>
      </c>
      <c r="N3263" t="s">
        <v>246</v>
      </c>
      <c r="O3263" s="3" t="str">
        <f>TEXT(Ticket_Table[[#This Row],[raised_date]],"YYYY-MM")</f>
        <v>2021-11</v>
      </c>
      <c r="P3263" s="3" t="str">
        <f>IF(Ticket_Table[[#This Row],[resolution_hrs]]&lt;=4,"Fast",IF(Ticket_Table[[#This Row],[resolution_hrs]]&lt;=24,"Normal",IF(Ticket_Table[[#This Row],[resolution_hrs]]&lt;=48,"Slow","Very Slow")))</f>
        <v>Slow</v>
      </c>
      <c r="Q3263" s="3">
        <f>YEAR(Ticket_Table[[#This Row],[raised_date]])</f>
        <v>2021</v>
      </c>
    </row>
    <row r="3264" spans="1:17">
      <c r="A3264" t="s">
        <v>3825</v>
      </c>
      <c r="B3264" t="s">
        <v>1356</v>
      </c>
      <c r="C3264" t="s">
        <v>19</v>
      </c>
      <c r="D3264" t="s">
        <v>29</v>
      </c>
      <c r="E3264" t="s">
        <v>69</v>
      </c>
      <c r="F3264" t="s">
        <v>22</v>
      </c>
      <c r="G3264" t="s">
        <v>23</v>
      </c>
      <c r="H3264" s="1">
        <v>44943</v>
      </c>
      <c r="I3264" s="2">
        <v>44946.9208333333</v>
      </c>
      <c r="J3264">
        <v>94.1</v>
      </c>
      <c r="K3264" t="s">
        <v>32</v>
      </c>
      <c r="L3264">
        <v>1</v>
      </c>
      <c r="M3264">
        <v>4</v>
      </c>
      <c r="N3264" t="s">
        <v>1200</v>
      </c>
      <c r="O3264" s="3" t="str">
        <f>TEXT(Ticket_Table[[#This Row],[raised_date]],"YYYY-MM")</f>
        <v>2023-01</v>
      </c>
      <c r="P3264" s="3" t="str">
        <f>IF(Ticket_Table[[#This Row],[resolution_hrs]]&lt;=4,"Fast",IF(Ticket_Table[[#This Row],[resolution_hrs]]&lt;=24,"Normal",IF(Ticket_Table[[#This Row],[resolution_hrs]]&lt;=48,"Slow","Very Slow")))</f>
        <v>Very Slow</v>
      </c>
      <c r="Q3264" s="3">
        <f>YEAR(Ticket_Table[[#This Row],[raised_date]])</f>
        <v>2023</v>
      </c>
    </row>
    <row r="3265" spans="1:17">
      <c r="A3265" t="s">
        <v>3826</v>
      </c>
      <c r="B3265" t="s">
        <v>135</v>
      </c>
      <c r="C3265" t="s">
        <v>117</v>
      </c>
      <c r="D3265" t="s">
        <v>36</v>
      </c>
      <c r="E3265" t="s">
        <v>69</v>
      </c>
      <c r="F3265" t="s">
        <v>22</v>
      </c>
      <c r="G3265" t="s">
        <v>23</v>
      </c>
      <c r="H3265" s="1">
        <v>44844</v>
      </c>
      <c r="I3265" s="2">
        <v>44846.8708333333</v>
      </c>
      <c r="J3265">
        <v>68.9</v>
      </c>
      <c r="K3265" t="s">
        <v>24</v>
      </c>
      <c r="L3265">
        <v>0</v>
      </c>
      <c r="M3265">
        <v>5</v>
      </c>
      <c r="N3265" t="s">
        <v>640</v>
      </c>
      <c r="O3265" s="3" t="str">
        <f>TEXT(Ticket_Table[[#This Row],[raised_date]],"YYYY-MM")</f>
        <v>2022-10</v>
      </c>
      <c r="P3265" s="3" t="str">
        <f>IF(Ticket_Table[[#This Row],[resolution_hrs]]&lt;=4,"Fast",IF(Ticket_Table[[#This Row],[resolution_hrs]]&lt;=24,"Normal",IF(Ticket_Table[[#This Row],[resolution_hrs]]&lt;=48,"Slow","Very Slow")))</f>
        <v>Very Slow</v>
      </c>
      <c r="Q3265" s="3">
        <f>YEAR(Ticket_Table[[#This Row],[raised_date]])</f>
        <v>2022</v>
      </c>
    </row>
    <row r="3266" spans="1:17">
      <c r="A3266" t="s">
        <v>3827</v>
      </c>
      <c r="B3266" t="s">
        <v>18</v>
      </c>
      <c r="C3266" t="s">
        <v>213</v>
      </c>
      <c r="D3266" t="s">
        <v>29</v>
      </c>
      <c r="E3266" t="s">
        <v>44</v>
      </c>
      <c r="F3266" t="s">
        <v>70</v>
      </c>
      <c r="G3266" t="s">
        <v>46</v>
      </c>
      <c r="H3266" s="1">
        <v>45074</v>
      </c>
      <c r="I3266" s="2">
        <v>45075.6708333333</v>
      </c>
      <c r="J3266">
        <v>40.1</v>
      </c>
      <c r="K3266" t="s">
        <v>24</v>
      </c>
      <c r="L3266">
        <v>0</v>
      </c>
      <c r="M3266">
        <v>2</v>
      </c>
      <c r="N3266" t="s">
        <v>347</v>
      </c>
      <c r="O3266" s="3" t="str">
        <f>TEXT(Ticket_Table[[#This Row],[raised_date]],"YYYY-MM")</f>
        <v>2023-05</v>
      </c>
      <c r="P3266" s="3" t="str">
        <f>IF(Ticket_Table[[#This Row],[resolution_hrs]]&lt;=4,"Fast",IF(Ticket_Table[[#This Row],[resolution_hrs]]&lt;=24,"Normal",IF(Ticket_Table[[#This Row],[resolution_hrs]]&lt;=48,"Slow","Very Slow")))</f>
        <v>Slow</v>
      </c>
      <c r="Q3266" s="3">
        <f>YEAR(Ticket_Table[[#This Row],[raised_date]])</f>
        <v>2023</v>
      </c>
    </row>
    <row r="3267" spans="1:17">
      <c r="A3267" t="s">
        <v>3828</v>
      </c>
      <c r="B3267" t="s">
        <v>756</v>
      </c>
      <c r="C3267" t="s">
        <v>60</v>
      </c>
      <c r="D3267" t="s">
        <v>90</v>
      </c>
      <c r="E3267" t="s">
        <v>30</v>
      </c>
      <c r="F3267" t="s">
        <v>22</v>
      </c>
      <c r="G3267" t="s">
        <v>74</v>
      </c>
      <c r="H3267" s="1">
        <v>44542</v>
      </c>
      <c r="I3267" s="2">
        <v>44545.6833333333</v>
      </c>
      <c r="J3267">
        <v>88.4</v>
      </c>
      <c r="K3267" t="s">
        <v>32</v>
      </c>
      <c r="L3267">
        <v>0</v>
      </c>
      <c r="M3267">
        <v>4</v>
      </c>
      <c r="N3267" t="s">
        <v>77</v>
      </c>
      <c r="O3267" s="3" t="str">
        <f>TEXT(Ticket_Table[[#This Row],[raised_date]],"YYYY-MM")</f>
        <v>2021-12</v>
      </c>
      <c r="P3267" s="3" t="str">
        <f>IF(Ticket_Table[[#This Row],[resolution_hrs]]&lt;=4,"Fast",IF(Ticket_Table[[#This Row],[resolution_hrs]]&lt;=24,"Normal",IF(Ticket_Table[[#This Row],[resolution_hrs]]&lt;=48,"Slow","Very Slow")))</f>
        <v>Very Slow</v>
      </c>
      <c r="Q3267" s="3">
        <f>YEAR(Ticket_Table[[#This Row],[raised_date]])</f>
        <v>2021</v>
      </c>
    </row>
    <row r="3268" spans="1:17">
      <c r="A3268" t="s">
        <v>3829</v>
      </c>
      <c r="B3268" t="s">
        <v>457</v>
      </c>
      <c r="C3268" t="s">
        <v>140</v>
      </c>
      <c r="D3268" t="s">
        <v>90</v>
      </c>
      <c r="E3268" t="s">
        <v>37</v>
      </c>
      <c r="F3268" t="s">
        <v>70</v>
      </c>
      <c r="G3268" t="s">
        <v>31</v>
      </c>
      <c r="H3268" s="1">
        <v>44206</v>
      </c>
      <c r="I3268" s="2">
        <v>44206.6958333333</v>
      </c>
      <c r="J3268">
        <v>16.7</v>
      </c>
      <c r="K3268" t="s">
        <v>24</v>
      </c>
      <c r="L3268">
        <v>0</v>
      </c>
      <c r="M3268">
        <v>4</v>
      </c>
      <c r="N3268" t="s">
        <v>109</v>
      </c>
      <c r="O3268" s="3" t="str">
        <f>TEXT(Ticket_Table[[#This Row],[raised_date]],"YYYY-MM")</f>
        <v>2021-01</v>
      </c>
      <c r="P3268" s="3" t="str">
        <f>IF(Ticket_Table[[#This Row],[resolution_hrs]]&lt;=4,"Fast",IF(Ticket_Table[[#This Row],[resolution_hrs]]&lt;=24,"Normal",IF(Ticket_Table[[#This Row],[resolution_hrs]]&lt;=48,"Slow","Very Slow")))</f>
        <v>Normal</v>
      </c>
      <c r="Q3268" s="3">
        <f>YEAR(Ticket_Table[[#This Row],[raised_date]])</f>
        <v>2021</v>
      </c>
    </row>
    <row r="3269" spans="1:17">
      <c r="A3269" t="s">
        <v>3830</v>
      </c>
      <c r="B3269" t="s">
        <v>25</v>
      </c>
      <c r="C3269" t="s">
        <v>201</v>
      </c>
      <c r="D3269" t="s">
        <v>43</v>
      </c>
      <c r="E3269" t="s">
        <v>106</v>
      </c>
      <c r="F3269" t="s">
        <v>70</v>
      </c>
      <c r="G3269" t="s">
        <v>23</v>
      </c>
      <c r="H3269" s="1">
        <v>44838</v>
      </c>
      <c r="I3269" s="2">
        <v>44838.8375</v>
      </c>
      <c r="J3269">
        <v>20.1</v>
      </c>
      <c r="K3269" t="s">
        <v>24</v>
      </c>
      <c r="L3269">
        <v>0</v>
      </c>
      <c r="M3269">
        <v>4</v>
      </c>
      <c r="N3269" t="s">
        <v>782</v>
      </c>
      <c r="O3269" s="3" t="str">
        <f>TEXT(Ticket_Table[[#This Row],[raised_date]],"YYYY-MM")</f>
        <v>2022-10</v>
      </c>
      <c r="P3269" s="3" t="str">
        <f>IF(Ticket_Table[[#This Row],[resolution_hrs]]&lt;=4,"Fast",IF(Ticket_Table[[#This Row],[resolution_hrs]]&lt;=24,"Normal",IF(Ticket_Table[[#This Row],[resolution_hrs]]&lt;=48,"Slow","Very Slow")))</f>
        <v>Normal</v>
      </c>
      <c r="Q3269" s="3">
        <f>YEAR(Ticket_Table[[#This Row],[raised_date]])</f>
        <v>2022</v>
      </c>
    </row>
    <row r="3270" spans="1:17">
      <c r="A3270" t="s">
        <v>3831</v>
      </c>
      <c r="B3270" t="s">
        <v>737</v>
      </c>
      <c r="C3270" t="s">
        <v>201</v>
      </c>
      <c r="D3270" t="s">
        <v>90</v>
      </c>
      <c r="E3270" t="s">
        <v>37</v>
      </c>
      <c r="F3270" t="s">
        <v>38</v>
      </c>
      <c r="G3270" t="s">
        <v>46</v>
      </c>
      <c r="H3270" s="1">
        <v>44701</v>
      </c>
      <c r="I3270" s="2">
        <v>44701.8916666667</v>
      </c>
      <c r="J3270">
        <v>21.4</v>
      </c>
      <c r="K3270" t="s">
        <v>24</v>
      </c>
      <c r="L3270">
        <v>1</v>
      </c>
      <c r="M3270">
        <v>3</v>
      </c>
      <c r="N3270" t="s">
        <v>332</v>
      </c>
      <c r="O3270" s="3" t="str">
        <f>TEXT(Ticket_Table[[#This Row],[raised_date]],"YYYY-MM")</f>
        <v>2022-05</v>
      </c>
      <c r="P3270" s="3" t="str">
        <f>IF(Ticket_Table[[#This Row],[resolution_hrs]]&lt;=4,"Fast",IF(Ticket_Table[[#This Row],[resolution_hrs]]&lt;=24,"Normal",IF(Ticket_Table[[#This Row],[resolution_hrs]]&lt;=48,"Slow","Very Slow")))</f>
        <v>Normal</v>
      </c>
      <c r="Q3270" s="3">
        <f>YEAR(Ticket_Table[[#This Row],[raised_date]])</f>
        <v>2022</v>
      </c>
    </row>
    <row r="3271" spans="1:17">
      <c r="A3271" t="s">
        <v>3832</v>
      </c>
      <c r="B3271" t="s">
        <v>1006</v>
      </c>
      <c r="C3271" t="s">
        <v>287</v>
      </c>
      <c r="D3271" t="s">
        <v>36</v>
      </c>
      <c r="E3271" t="s">
        <v>69</v>
      </c>
      <c r="F3271" t="s">
        <v>45</v>
      </c>
      <c r="G3271" t="s">
        <v>31</v>
      </c>
      <c r="H3271" s="1">
        <v>44650</v>
      </c>
      <c r="I3271" s="2">
        <v>44650.2083333333</v>
      </c>
      <c r="J3271">
        <v>5</v>
      </c>
      <c r="K3271" t="s">
        <v>32</v>
      </c>
      <c r="L3271">
        <v>0</v>
      </c>
      <c r="M3271">
        <v>2</v>
      </c>
      <c r="N3271" t="s">
        <v>98</v>
      </c>
      <c r="O3271" s="3" t="str">
        <f>TEXT(Ticket_Table[[#This Row],[raised_date]],"YYYY-MM")</f>
        <v>2022-03</v>
      </c>
      <c r="P3271" s="3" t="str">
        <f>IF(Ticket_Table[[#This Row],[resolution_hrs]]&lt;=4,"Fast",IF(Ticket_Table[[#This Row],[resolution_hrs]]&lt;=24,"Normal",IF(Ticket_Table[[#This Row],[resolution_hrs]]&lt;=48,"Slow","Very Slow")))</f>
        <v>Normal</v>
      </c>
      <c r="Q3271" s="3">
        <f>YEAR(Ticket_Table[[#This Row],[raised_date]])</f>
        <v>2022</v>
      </c>
    </row>
    <row r="3272" spans="1:17">
      <c r="A3272" t="s">
        <v>3833</v>
      </c>
      <c r="B3272" t="s">
        <v>275</v>
      </c>
      <c r="C3272" t="s">
        <v>140</v>
      </c>
      <c r="D3272" t="s">
        <v>20</v>
      </c>
      <c r="E3272" t="s">
        <v>30</v>
      </c>
      <c r="F3272" t="s">
        <v>45</v>
      </c>
      <c r="G3272" t="s">
        <v>31</v>
      </c>
      <c r="H3272" s="1">
        <v>45090</v>
      </c>
      <c r="I3272" s="2">
        <v>45090.2</v>
      </c>
      <c r="J3272">
        <v>4.8</v>
      </c>
      <c r="K3272" t="s">
        <v>32</v>
      </c>
      <c r="L3272">
        <v>0</v>
      </c>
      <c r="M3272">
        <v>3</v>
      </c>
      <c r="N3272" t="s">
        <v>200</v>
      </c>
      <c r="O3272" s="3" t="str">
        <f>TEXT(Ticket_Table[[#This Row],[raised_date]],"YYYY-MM")</f>
        <v>2023-06</v>
      </c>
      <c r="P3272" s="3" t="str">
        <f>IF(Ticket_Table[[#This Row],[resolution_hrs]]&lt;=4,"Fast",IF(Ticket_Table[[#This Row],[resolution_hrs]]&lt;=24,"Normal",IF(Ticket_Table[[#This Row],[resolution_hrs]]&lt;=48,"Slow","Very Slow")))</f>
        <v>Normal</v>
      </c>
      <c r="Q3272" s="3">
        <f>YEAR(Ticket_Table[[#This Row],[raised_date]])</f>
        <v>2023</v>
      </c>
    </row>
    <row r="3273" spans="1:17">
      <c r="A3273" t="s">
        <v>3834</v>
      </c>
      <c r="B3273" t="s">
        <v>365</v>
      </c>
      <c r="C3273" t="s">
        <v>95</v>
      </c>
      <c r="D3273" t="s">
        <v>90</v>
      </c>
      <c r="E3273" t="s">
        <v>44</v>
      </c>
      <c r="F3273" t="s">
        <v>45</v>
      </c>
      <c r="G3273" t="s">
        <v>23</v>
      </c>
      <c r="H3273" s="1">
        <v>44763</v>
      </c>
      <c r="I3273" s="2">
        <v>44763.075</v>
      </c>
      <c r="J3273">
        <v>1.8</v>
      </c>
      <c r="K3273" t="s">
        <v>24</v>
      </c>
      <c r="L3273">
        <v>0</v>
      </c>
      <c r="M3273">
        <v>4</v>
      </c>
      <c r="N3273" t="s">
        <v>474</v>
      </c>
      <c r="O3273" s="3" t="str">
        <f>TEXT(Ticket_Table[[#This Row],[raised_date]],"YYYY-MM")</f>
        <v>2022-07</v>
      </c>
      <c r="P3273" s="3" t="str">
        <f>IF(Ticket_Table[[#This Row],[resolution_hrs]]&lt;=4,"Fast",IF(Ticket_Table[[#This Row],[resolution_hrs]]&lt;=24,"Normal",IF(Ticket_Table[[#This Row],[resolution_hrs]]&lt;=48,"Slow","Very Slow")))</f>
        <v>Fast</v>
      </c>
      <c r="Q3273" s="3">
        <f>YEAR(Ticket_Table[[#This Row],[raised_date]])</f>
        <v>2022</v>
      </c>
    </row>
    <row r="3274" spans="1:17">
      <c r="A3274" t="s">
        <v>3835</v>
      </c>
      <c r="B3274" t="s">
        <v>751</v>
      </c>
      <c r="C3274" t="s">
        <v>19</v>
      </c>
      <c r="D3274" t="s">
        <v>29</v>
      </c>
      <c r="E3274" t="s">
        <v>83</v>
      </c>
      <c r="F3274" t="s">
        <v>22</v>
      </c>
      <c r="G3274" t="s">
        <v>23</v>
      </c>
      <c r="H3274" s="1">
        <v>44933</v>
      </c>
      <c r="I3274" s="2">
        <v>44934.075</v>
      </c>
      <c r="J3274">
        <v>25.8</v>
      </c>
      <c r="K3274" t="s">
        <v>24</v>
      </c>
      <c r="L3274">
        <v>0</v>
      </c>
      <c r="M3274">
        <v>5</v>
      </c>
      <c r="N3274" t="s">
        <v>275</v>
      </c>
      <c r="O3274" s="3" t="str">
        <f>TEXT(Ticket_Table[[#This Row],[raised_date]],"YYYY-MM")</f>
        <v>2023-01</v>
      </c>
      <c r="P3274" s="3" t="str">
        <f>IF(Ticket_Table[[#This Row],[resolution_hrs]]&lt;=4,"Fast",IF(Ticket_Table[[#This Row],[resolution_hrs]]&lt;=24,"Normal",IF(Ticket_Table[[#This Row],[resolution_hrs]]&lt;=48,"Slow","Very Slow")))</f>
        <v>Slow</v>
      </c>
      <c r="Q3274" s="3">
        <f>YEAR(Ticket_Table[[#This Row],[raised_date]])</f>
        <v>2023</v>
      </c>
    </row>
    <row r="3275" spans="1:17">
      <c r="A3275" t="s">
        <v>3836</v>
      </c>
      <c r="B3275" t="s">
        <v>764</v>
      </c>
      <c r="C3275" t="s">
        <v>133</v>
      </c>
      <c r="D3275" t="s">
        <v>36</v>
      </c>
      <c r="E3275" t="s">
        <v>30</v>
      </c>
      <c r="F3275" t="s">
        <v>22</v>
      </c>
      <c r="G3275" t="s">
        <v>31</v>
      </c>
      <c r="H3275" s="1">
        <v>44472</v>
      </c>
      <c r="I3275" s="2">
        <v>44475.2791666667</v>
      </c>
      <c r="J3275">
        <v>78.7</v>
      </c>
      <c r="K3275" t="s">
        <v>32</v>
      </c>
      <c r="L3275">
        <v>2</v>
      </c>
      <c r="M3275">
        <v>3</v>
      </c>
      <c r="N3275" t="s">
        <v>942</v>
      </c>
      <c r="O3275" s="3" t="str">
        <f>TEXT(Ticket_Table[[#This Row],[raised_date]],"YYYY-MM")</f>
        <v>2021-10</v>
      </c>
      <c r="P3275" s="3" t="str">
        <f>IF(Ticket_Table[[#This Row],[resolution_hrs]]&lt;=4,"Fast",IF(Ticket_Table[[#This Row],[resolution_hrs]]&lt;=24,"Normal",IF(Ticket_Table[[#This Row],[resolution_hrs]]&lt;=48,"Slow","Very Slow")))</f>
        <v>Very Slow</v>
      </c>
      <c r="Q3275" s="3">
        <f>YEAR(Ticket_Table[[#This Row],[raised_date]])</f>
        <v>2021</v>
      </c>
    </row>
    <row r="3276" spans="1:17">
      <c r="A3276" t="s">
        <v>3837</v>
      </c>
      <c r="B3276" t="s">
        <v>1533</v>
      </c>
      <c r="C3276" t="s">
        <v>140</v>
      </c>
      <c r="D3276" t="s">
        <v>90</v>
      </c>
      <c r="E3276" t="s">
        <v>83</v>
      </c>
      <c r="F3276" t="s">
        <v>70</v>
      </c>
      <c r="G3276" t="s">
        <v>23</v>
      </c>
      <c r="H3276" s="1">
        <v>44876</v>
      </c>
      <c r="I3276" s="2">
        <v>44877.1333333333</v>
      </c>
      <c r="J3276">
        <v>27.2</v>
      </c>
      <c r="K3276" t="s">
        <v>24</v>
      </c>
      <c r="L3276">
        <v>1</v>
      </c>
      <c r="M3276">
        <v>5</v>
      </c>
      <c r="N3276" t="s">
        <v>127</v>
      </c>
      <c r="O3276" s="3" t="str">
        <f>TEXT(Ticket_Table[[#This Row],[raised_date]],"YYYY-MM")</f>
        <v>2022-11</v>
      </c>
      <c r="P3276" s="3" t="str">
        <f>IF(Ticket_Table[[#This Row],[resolution_hrs]]&lt;=4,"Fast",IF(Ticket_Table[[#This Row],[resolution_hrs]]&lt;=24,"Normal",IF(Ticket_Table[[#This Row],[resolution_hrs]]&lt;=48,"Slow","Very Slow")))</f>
        <v>Slow</v>
      </c>
      <c r="Q3276" s="3">
        <f>YEAR(Ticket_Table[[#This Row],[raised_date]])</f>
        <v>2022</v>
      </c>
    </row>
    <row r="3277" spans="1:17">
      <c r="A3277" t="s">
        <v>3838</v>
      </c>
      <c r="B3277" t="s">
        <v>300</v>
      </c>
      <c r="C3277" t="s">
        <v>117</v>
      </c>
      <c r="D3277" t="s">
        <v>90</v>
      </c>
      <c r="E3277" t="s">
        <v>44</v>
      </c>
      <c r="F3277" t="s">
        <v>38</v>
      </c>
      <c r="G3277" t="s">
        <v>23</v>
      </c>
      <c r="H3277" s="1">
        <v>45179</v>
      </c>
      <c r="I3277" s="2">
        <v>45180.3583333333</v>
      </c>
      <c r="J3277">
        <v>32.6</v>
      </c>
      <c r="K3277" t="s">
        <v>32</v>
      </c>
      <c r="L3277">
        <v>0</v>
      </c>
      <c r="M3277">
        <v>2</v>
      </c>
      <c r="N3277" t="s">
        <v>854</v>
      </c>
      <c r="O3277" s="3" t="str">
        <f>TEXT(Ticket_Table[[#This Row],[raised_date]],"YYYY-MM")</f>
        <v>2023-09</v>
      </c>
      <c r="P3277" s="3" t="str">
        <f>IF(Ticket_Table[[#This Row],[resolution_hrs]]&lt;=4,"Fast",IF(Ticket_Table[[#This Row],[resolution_hrs]]&lt;=24,"Normal",IF(Ticket_Table[[#This Row],[resolution_hrs]]&lt;=48,"Slow","Very Slow")))</f>
        <v>Slow</v>
      </c>
      <c r="Q3277" s="3">
        <f>YEAR(Ticket_Table[[#This Row],[raised_date]])</f>
        <v>2023</v>
      </c>
    </row>
    <row r="3278" spans="1:17">
      <c r="A3278" t="s">
        <v>3839</v>
      </c>
      <c r="B3278" t="s">
        <v>1582</v>
      </c>
      <c r="C3278" t="s">
        <v>201</v>
      </c>
      <c r="D3278" t="s">
        <v>36</v>
      </c>
      <c r="E3278" t="s">
        <v>166</v>
      </c>
      <c r="F3278" t="s">
        <v>45</v>
      </c>
      <c r="G3278" t="s">
        <v>23</v>
      </c>
      <c r="H3278" s="1">
        <v>45144</v>
      </c>
      <c r="I3278" s="2">
        <v>45144.0625</v>
      </c>
      <c r="J3278">
        <v>1.5</v>
      </c>
      <c r="K3278" t="s">
        <v>24</v>
      </c>
      <c r="L3278">
        <v>0</v>
      </c>
      <c r="M3278">
        <v>5</v>
      </c>
      <c r="N3278" t="s">
        <v>89</v>
      </c>
      <c r="O3278" s="3" t="str">
        <f>TEXT(Ticket_Table[[#This Row],[raised_date]],"YYYY-MM")</f>
        <v>2023-08</v>
      </c>
      <c r="P3278" s="3" t="str">
        <f>IF(Ticket_Table[[#This Row],[resolution_hrs]]&lt;=4,"Fast",IF(Ticket_Table[[#This Row],[resolution_hrs]]&lt;=24,"Normal",IF(Ticket_Table[[#This Row],[resolution_hrs]]&lt;=48,"Slow","Very Slow")))</f>
        <v>Fast</v>
      </c>
      <c r="Q3278" s="3">
        <f>YEAR(Ticket_Table[[#This Row],[raised_date]])</f>
        <v>2023</v>
      </c>
    </row>
    <row r="3279" spans="1:17">
      <c r="A3279" t="s">
        <v>3840</v>
      </c>
      <c r="B3279" t="s">
        <v>810</v>
      </c>
      <c r="C3279" t="s">
        <v>28</v>
      </c>
      <c r="D3279" t="s">
        <v>90</v>
      </c>
      <c r="E3279" t="s">
        <v>51</v>
      </c>
      <c r="F3279" t="s">
        <v>38</v>
      </c>
      <c r="G3279" t="s">
        <v>31</v>
      </c>
      <c r="H3279" s="1">
        <v>45109</v>
      </c>
      <c r="I3279" s="2">
        <v>45109.3083333333</v>
      </c>
      <c r="J3279">
        <v>7.4</v>
      </c>
      <c r="K3279" t="s">
        <v>24</v>
      </c>
      <c r="L3279">
        <v>0</v>
      </c>
      <c r="M3279">
        <v>5</v>
      </c>
      <c r="N3279" t="s">
        <v>1191</v>
      </c>
      <c r="O3279" s="3" t="str">
        <f>TEXT(Ticket_Table[[#This Row],[raised_date]],"YYYY-MM")</f>
        <v>2023-07</v>
      </c>
      <c r="P3279" s="3" t="str">
        <f>IF(Ticket_Table[[#This Row],[resolution_hrs]]&lt;=4,"Fast",IF(Ticket_Table[[#This Row],[resolution_hrs]]&lt;=24,"Normal",IF(Ticket_Table[[#This Row],[resolution_hrs]]&lt;=48,"Slow","Very Slow")))</f>
        <v>Normal</v>
      </c>
      <c r="Q3279" s="3">
        <f>YEAR(Ticket_Table[[#This Row],[raised_date]])</f>
        <v>2023</v>
      </c>
    </row>
    <row r="3280" spans="1:17">
      <c r="A3280" t="s">
        <v>3841</v>
      </c>
      <c r="B3280" t="s">
        <v>350</v>
      </c>
      <c r="C3280" t="s">
        <v>19</v>
      </c>
      <c r="D3280" t="s">
        <v>20</v>
      </c>
      <c r="E3280" t="s">
        <v>106</v>
      </c>
      <c r="F3280" t="s">
        <v>22</v>
      </c>
      <c r="G3280" t="s">
        <v>23</v>
      </c>
      <c r="H3280" s="1">
        <v>44931</v>
      </c>
      <c r="I3280" s="2">
        <v>44931.8666666667</v>
      </c>
      <c r="J3280">
        <v>20.8</v>
      </c>
      <c r="K3280" t="s">
        <v>24</v>
      </c>
      <c r="L3280">
        <v>0</v>
      </c>
      <c r="M3280">
        <v>1</v>
      </c>
      <c r="N3280" t="s">
        <v>123</v>
      </c>
      <c r="O3280" s="3" t="str">
        <f>TEXT(Ticket_Table[[#This Row],[raised_date]],"YYYY-MM")</f>
        <v>2023-01</v>
      </c>
      <c r="P3280" s="3" t="str">
        <f>IF(Ticket_Table[[#This Row],[resolution_hrs]]&lt;=4,"Fast",IF(Ticket_Table[[#This Row],[resolution_hrs]]&lt;=24,"Normal",IF(Ticket_Table[[#This Row],[resolution_hrs]]&lt;=48,"Slow","Very Slow")))</f>
        <v>Normal</v>
      </c>
      <c r="Q3280" s="3">
        <f>YEAR(Ticket_Table[[#This Row],[raised_date]])</f>
        <v>2023</v>
      </c>
    </row>
    <row r="3281" spans="1:17">
      <c r="A3281" t="s">
        <v>3842</v>
      </c>
      <c r="B3281" t="s">
        <v>233</v>
      </c>
      <c r="C3281" t="s">
        <v>201</v>
      </c>
      <c r="D3281" t="s">
        <v>43</v>
      </c>
      <c r="E3281" t="s">
        <v>37</v>
      </c>
      <c r="F3281" t="s">
        <v>45</v>
      </c>
      <c r="G3281" t="s">
        <v>31</v>
      </c>
      <c r="H3281" s="1">
        <v>44822</v>
      </c>
      <c r="I3281" s="2">
        <v>44822.2208333333</v>
      </c>
      <c r="J3281">
        <v>5.3</v>
      </c>
      <c r="K3281" t="s">
        <v>32</v>
      </c>
      <c r="L3281">
        <v>0</v>
      </c>
      <c r="M3281">
        <v>3</v>
      </c>
      <c r="N3281" t="s">
        <v>471</v>
      </c>
      <c r="O3281" s="3" t="str">
        <f>TEXT(Ticket_Table[[#This Row],[raised_date]],"YYYY-MM")</f>
        <v>2022-09</v>
      </c>
      <c r="P3281" s="3" t="str">
        <f>IF(Ticket_Table[[#This Row],[resolution_hrs]]&lt;=4,"Fast",IF(Ticket_Table[[#This Row],[resolution_hrs]]&lt;=24,"Normal",IF(Ticket_Table[[#This Row],[resolution_hrs]]&lt;=48,"Slow","Very Slow")))</f>
        <v>Normal</v>
      </c>
      <c r="Q3281" s="3">
        <f>YEAR(Ticket_Table[[#This Row],[raised_date]])</f>
        <v>2022</v>
      </c>
    </row>
    <row r="3282" spans="1:17">
      <c r="A3282" t="s">
        <v>3843</v>
      </c>
      <c r="B3282" t="s">
        <v>406</v>
      </c>
      <c r="C3282" t="s">
        <v>60</v>
      </c>
      <c r="D3282" t="s">
        <v>36</v>
      </c>
      <c r="E3282" t="s">
        <v>21</v>
      </c>
      <c r="F3282" t="s">
        <v>70</v>
      </c>
      <c r="G3282" t="s">
        <v>23</v>
      </c>
      <c r="H3282" s="1">
        <v>45194</v>
      </c>
      <c r="I3282" s="2">
        <v>45194.6</v>
      </c>
      <c r="J3282">
        <v>14.4</v>
      </c>
      <c r="K3282" t="s">
        <v>24</v>
      </c>
      <c r="L3282">
        <v>0</v>
      </c>
      <c r="M3282">
        <v>2</v>
      </c>
      <c r="N3282" t="s">
        <v>703</v>
      </c>
      <c r="O3282" s="3" t="str">
        <f>TEXT(Ticket_Table[[#This Row],[raised_date]],"YYYY-MM")</f>
        <v>2023-09</v>
      </c>
      <c r="P3282" s="3" t="str">
        <f>IF(Ticket_Table[[#This Row],[resolution_hrs]]&lt;=4,"Fast",IF(Ticket_Table[[#This Row],[resolution_hrs]]&lt;=24,"Normal",IF(Ticket_Table[[#This Row],[resolution_hrs]]&lt;=48,"Slow","Very Slow")))</f>
        <v>Normal</v>
      </c>
      <c r="Q3282" s="3">
        <f>YEAR(Ticket_Table[[#This Row],[raised_date]])</f>
        <v>2023</v>
      </c>
    </row>
    <row r="3283" spans="1:17">
      <c r="A3283" t="s">
        <v>3844</v>
      </c>
      <c r="B3283" t="s">
        <v>968</v>
      </c>
      <c r="C3283" t="s">
        <v>42</v>
      </c>
      <c r="D3283" t="s">
        <v>29</v>
      </c>
      <c r="E3283" t="s">
        <v>21</v>
      </c>
      <c r="F3283" t="s">
        <v>22</v>
      </c>
      <c r="G3283" t="s">
        <v>31</v>
      </c>
      <c r="H3283" s="1">
        <v>44419</v>
      </c>
      <c r="I3283" s="2">
        <v>44421.2291666667</v>
      </c>
      <c r="J3283">
        <v>53.5</v>
      </c>
      <c r="K3283" t="s">
        <v>24</v>
      </c>
      <c r="L3283">
        <v>1</v>
      </c>
      <c r="M3283">
        <v>5</v>
      </c>
      <c r="N3283" t="s">
        <v>1067</v>
      </c>
      <c r="O3283" s="3" t="str">
        <f>TEXT(Ticket_Table[[#This Row],[raised_date]],"YYYY-MM")</f>
        <v>2021-08</v>
      </c>
      <c r="P3283" s="3" t="str">
        <f>IF(Ticket_Table[[#This Row],[resolution_hrs]]&lt;=4,"Fast",IF(Ticket_Table[[#This Row],[resolution_hrs]]&lt;=24,"Normal",IF(Ticket_Table[[#This Row],[resolution_hrs]]&lt;=48,"Slow","Very Slow")))</f>
        <v>Very Slow</v>
      </c>
      <c r="Q3283" s="3">
        <f>YEAR(Ticket_Table[[#This Row],[raised_date]])</f>
        <v>2021</v>
      </c>
    </row>
    <row r="3284" spans="1:17">
      <c r="A3284" t="s">
        <v>3845</v>
      </c>
      <c r="B3284" t="s">
        <v>523</v>
      </c>
      <c r="C3284" t="s">
        <v>261</v>
      </c>
      <c r="D3284" t="s">
        <v>90</v>
      </c>
      <c r="E3284" t="s">
        <v>51</v>
      </c>
      <c r="F3284" t="s">
        <v>70</v>
      </c>
      <c r="G3284" t="s">
        <v>23</v>
      </c>
      <c r="H3284" s="1">
        <v>44556</v>
      </c>
      <c r="I3284" s="2">
        <v>44558.2</v>
      </c>
      <c r="J3284">
        <v>52.8</v>
      </c>
      <c r="K3284" t="s">
        <v>32</v>
      </c>
      <c r="L3284">
        <v>0</v>
      </c>
      <c r="M3284">
        <v>4</v>
      </c>
      <c r="N3284" t="s">
        <v>209</v>
      </c>
      <c r="O3284" s="3" t="str">
        <f>TEXT(Ticket_Table[[#This Row],[raised_date]],"YYYY-MM")</f>
        <v>2021-12</v>
      </c>
      <c r="P3284" s="3" t="str">
        <f>IF(Ticket_Table[[#This Row],[resolution_hrs]]&lt;=4,"Fast",IF(Ticket_Table[[#This Row],[resolution_hrs]]&lt;=24,"Normal",IF(Ticket_Table[[#This Row],[resolution_hrs]]&lt;=48,"Slow","Very Slow")))</f>
        <v>Very Slow</v>
      </c>
      <c r="Q3284" s="3">
        <f>YEAR(Ticket_Table[[#This Row],[raised_date]])</f>
        <v>2021</v>
      </c>
    </row>
    <row r="3285" spans="1:17">
      <c r="A3285" t="s">
        <v>3846</v>
      </c>
      <c r="B3285" t="s">
        <v>339</v>
      </c>
      <c r="C3285" t="s">
        <v>55</v>
      </c>
      <c r="D3285" t="s">
        <v>43</v>
      </c>
      <c r="E3285" t="s">
        <v>30</v>
      </c>
      <c r="F3285" t="s">
        <v>22</v>
      </c>
      <c r="G3285" t="s">
        <v>23</v>
      </c>
      <c r="H3285" s="1">
        <v>44364</v>
      </c>
      <c r="I3285" s="2">
        <v>44366.9291666667</v>
      </c>
      <c r="J3285">
        <v>70.3</v>
      </c>
      <c r="K3285" t="s">
        <v>24</v>
      </c>
      <c r="L3285">
        <v>0</v>
      </c>
      <c r="M3285">
        <v>4</v>
      </c>
      <c r="N3285" t="s">
        <v>703</v>
      </c>
      <c r="O3285" s="3" t="str">
        <f>TEXT(Ticket_Table[[#This Row],[raised_date]],"YYYY-MM")</f>
        <v>2021-06</v>
      </c>
      <c r="P3285" s="3" t="str">
        <f>IF(Ticket_Table[[#This Row],[resolution_hrs]]&lt;=4,"Fast",IF(Ticket_Table[[#This Row],[resolution_hrs]]&lt;=24,"Normal",IF(Ticket_Table[[#This Row],[resolution_hrs]]&lt;=48,"Slow","Very Slow")))</f>
        <v>Very Slow</v>
      </c>
      <c r="Q3285" s="3">
        <f>YEAR(Ticket_Table[[#This Row],[raised_date]])</f>
        <v>2021</v>
      </c>
    </row>
    <row r="3286" spans="1:17">
      <c r="A3286" t="s">
        <v>3847</v>
      </c>
      <c r="B3286" t="s">
        <v>919</v>
      </c>
      <c r="C3286" t="s">
        <v>175</v>
      </c>
      <c r="D3286" t="s">
        <v>29</v>
      </c>
      <c r="E3286" t="s">
        <v>21</v>
      </c>
      <c r="F3286" t="s">
        <v>70</v>
      </c>
      <c r="G3286" t="s">
        <v>23</v>
      </c>
      <c r="H3286" s="1">
        <v>44771</v>
      </c>
      <c r="I3286" s="2">
        <v>44771.1041666667</v>
      </c>
      <c r="J3286">
        <v>2.5</v>
      </c>
      <c r="K3286" t="s">
        <v>24</v>
      </c>
      <c r="L3286">
        <v>0</v>
      </c>
      <c r="M3286">
        <v>3</v>
      </c>
      <c r="N3286" t="s">
        <v>339</v>
      </c>
      <c r="O3286" s="3" t="str">
        <f>TEXT(Ticket_Table[[#This Row],[raised_date]],"YYYY-MM")</f>
        <v>2022-07</v>
      </c>
      <c r="P3286" s="3" t="str">
        <f>IF(Ticket_Table[[#This Row],[resolution_hrs]]&lt;=4,"Fast",IF(Ticket_Table[[#This Row],[resolution_hrs]]&lt;=24,"Normal",IF(Ticket_Table[[#This Row],[resolution_hrs]]&lt;=48,"Slow","Very Slow")))</f>
        <v>Fast</v>
      </c>
      <c r="Q3286" s="3">
        <f>YEAR(Ticket_Table[[#This Row],[raised_date]])</f>
        <v>2022</v>
      </c>
    </row>
    <row r="3287" spans="1:17">
      <c r="A3287" t="s">
        <v>3848</v>
      </c>
      <c r="B3287" t="s">
        <v>620</v>
      </c>
      <c r="C3287" t="s">
        <v>64</v>
      </c>
      <c r="D3287" t="s">
        <v>29</v>
      </c>
      <c r="E3287" t="s">
        <v>56</v>
      </c>
      <c r="F3287" t="s">
        <v>70</v>
      </c>
      <c r="G3287" t="s">
        <v>74</v>
      </c>
      <c r="H3287" s="1">
        <v>44483</v>
      </c>
      <c r="I3287" s="2">
        <v>44483.525</v>
      </c>
      <c r="J3287">
        <v>12.6</v>
      </c>
      <c r="K3287" t="s">
        <v>24</v>
      </c>
      <c r="L3287">
        <v>2</v>
      </c>
      <c r="M3287">
        <v>5</v>
      </c>
      <c r="N3287" t="s">
        <v>86</v>
      </c>
      <c r="O3287" s="3" t="str">
        <f>TEXT(Ticket_Table[[#This Row],[raised_date]],"YYYY-MM")</f>
        <v>2021-10</v>
      </c>
      <c r="P3287" s="3" t="str">
        <f>IF(Ticket_Table[[#This Row],[resolution_hrs]]&lt;=4,"Fast",IF(Ticket_Table[[#This Row],[resolution_hrs]]&lt;=24,"Normal",IF(Ticket_Table[[#This Row],[resolution_hrs]]&lt;=48,"Slow","Very Slow")))</f>
        <v>Normal</v>
      </c>
      <c r="Q3287" s="3">
        <f>YEAR(Ticket_Table[[#This Row],[raised_date]])</f>
        <v>2021</v>
      </c>
    </row>
    <row r="3288" spans="1:17">
      <c r="A3288" t="s">
        <v>3849</v>
      </c>
      <c r="B3288" t="s">
        <v>1093</v>
      </c>
      <c r="C3288" t="s">
        <v>175</v>
      </c>
      <c r="D3288" t="s">
        <v>20</v>
      </c>
      <c r="E3288" t="s">
        <v>21</v>
      </c>
      <c r="F3288" t="s">
        <v>70</v>
      </c>
      <c r="G3288" t="s">
        <v>46</v>
      </c>
      <c r="H3288" s="1">
        <v>44599</v>
      </c>
      <c r="I3288" s="2">
        <v>44599.5666666667</v>
      </c>
      <c r="J3288">
        <v>13.6</v>
      </c>
      <c r="K3288" t="s">
        <v>24</v>
      </c>
      <c r="L3288">
        <v>2</v>
      </c>
      <c r="M3288">
        <v>3</v>
      </c>
      <c r="N3288" t="s">
        <v>558</v>
      </c>
      <c r="O3288" s="3" t="str">
        <f>TEXT(Ticket_Table[[#This Row],[raised_date]],"YYYY-MM")</f>
        <v>2022-02</v>
      </c>
      <c r="P3288" s="3" t="str">
        <f>IF(Ticket_Table[[#This Row],[resolution_hrs]]&lt;=4,"Fast",IF(Ticket_Table[[#This Row],[resolution_hrs]]&lt;=24,"Normal",IF(Ticket_Table[[#This Row],[resolution_hrs]]&lt;=48,"Slow","Very Slow")))</f>
        <v>Normal</v>
      </c>
      <c r="Q3288" s="3">
        <f>YEAR(Ticket_Table[[#This Row],[raised_date]])</f>
        <v>2022</v>
      </c>
    </row>
    <row r="3289" spans="1:17">
      <c r="A3289" t="s">
        <v>3850</v>
      </c>
      <c r="B3289" t="s">
        <v>174</v>
      </c>
      <c r="C3289" t="s">
        <v>140</v>
      </c>
      <c r="D3289" t="s">
        <v>43</v>
      </c>
      <c r="E3289" t="s">
        <v>44</v>
      </c>
      <c r="F3289" t="s">
        <v>70</v>
      </c>
      <c r="G3289" t="s">
        <v>31</v>
      </c>
      <c r="H3289" s="1">
        <v>44736</v>
      </c>
      <c r="I3289" s="2">
        <v>44737.2083333333</v>
      </c>
      <c r="J3289">
        <v>29</v>
      </c>
      <c r="K3289" t="s">
        <v>24</v>
      </c>
      <c r="L3289">
        <v>1</v>
      </c>
      <c r="M3289">
        <v>3</v>
      </c>
      <c r="N3289" t="s">
        <v>650</v>
      </c>
      <c r="O3289" s="3" t="str">
        <f>TEXT(Ticket_Table[[#This Row],[raised_date]],"YYYY-MM")</f>
        <v>2022-06</v>
      </c>
      <c r="P3289" s="3" t="str">
        <f>IF(Ticket_Table[[#This Row],[resolution_hrs]]&lt;=4,"Fast",IF(Ticket_Table[[#This Row],[resolution_hrs]]&lt;=24,"Normal",IF(Ticket_Table[[#This Row],[resolution_hrs]]&lt;=48,"Slow","Very Slow")))</f>
        <v>Slow</v>
      </c>
      <c r="Q3289" s="3">
        <f>YEAR(Ticket_Table[[#This Row],[raised_date]])</f>
        <v>2022</v>
      </c>
    </row>
    <row r="3290" spans="1:17">
      <c r="A3290" t="s">
        <v>3851</v>
      </c>
      <c r="B3290" t="s">
        <v>974</v>
      </c>
      <c r="C3290" t="s">
        <v>95</v>
      </c>
      <c r="D3290" t="s">
        <v>36</v>
      </c>
      <c r="E3290" t="s">
        <v>51</v>
      </c>
      <c r="F3290" t="s">
        <v>38</v>
      </c>
      <c r="G3290" t="s">
        <v>31</v>
      </c>
      <c r="H3290" s="1">
        <v>44353</v>
      </c>
      <c r="I3290" s="2">
        <v>44353.9291666667</v>
      </c>
      <c r="J3290">
        <v>22.3</v>
      </c>
      <c r="K3290" t="s">
        <v>24</v>
      </c>
      <c r="L3290">
        <v>0</v>
      </c>
      <c r="M3290">
        <v>3</v>
      </c>
      <c r="N3290" t="s">
        <v>926</v>
      </c>
      <c r="O3290" s="3" t="str">
        <f>TEXT(Ticket_Table[[#This Row],[raised_date]],"YYYY-MM")</f>
        <v>2021-06</v>
      </c>
      <c r="P3290" s="3" t="str">
        <f>IF(Ticket_Table[[#This Row],[resolution_hrs]]&lt;=4,"Fast",IF(Ticket_Table[[#This Row],[resolution_hrs]]&lt;=24,"Normal",IF(Ticket_Table[[#This Row],[resolution_hrs]]&lt;=48,"Slow","Very Slow")))</f>
        <v>Normal</v>
      </c>
      <c r="Q3290" s="3">
        <f>YEAR(Ticket_Table[[#This Row],[raised_date]])</f>
        <v>2021</v>
      </c>
    </row>
    <row r="3291" spans="1:17">
      <c r="A3291" t="s">
        <v>3852</v>
      </c>
      <c r="B3291" t="s">
        <v>1216</v>
      </c>
      <c r="C3291" t="s">
        <v>50</v>
      </c>
      <c r="D3291" t="s">
        <v>43</v>
      </c>
      <c r="E3291" t="s">
        <v>106</v>
      </c>
      <c r="F3291" t="s">
        <v>38</v>
      </c>
      <c r="G3291" t="s">
        <v>46</v>
      </c>
      <c r="H3291" s="1">
        <v>44351</v>
      </c>
      <c r="I3291" s="2">
        <v>44351.1416666667</v>
      </c>
      <c r="J3291">
        <v>3.4</v>
      </c>
      <c r="K3291" t="s">
        <v>24</v>
      </c>
      <c r="L3291">
        <v>0</v>
      </c>
      <c r="M3291">
        <v>4</v>
      </c>
      <c r="N3291" t="s">
        <v>988</v>
      </c>
      <c r="O3291" s="3" t="str">
        <f>TEXT(Ticket_Table[[#This Row],[raised_date]],"YYYY-MM")</f>
        <v>2021-06</v>
      </c>
      <c r="P3291" s="3" t="str">
        <f>IF(Ticket_Table[[#This Row],[resolution_hrs]]&lt;=4,"Fast",IF(Ticket_Table[[#This Row],[resolution_hrs]]&lt;=24,"Normal",IF(Ticket_Table[[#This Row],[resolution_hrs]]&lt;=48,"Slow","Very Slow")))</f>
        <v>Fast</v>
      </c>
      <c r="Q3291" s="3">
        <f>YEAR(Ticket_Table[[#This Row],[raised_date]])</f>
        <v>2021</v>
      </c>
    </row>
    <row r="3292" spans="1:17">
      <c r="A3292" t="s">
        <v>3853</v>
      </c>
      <c r="B3292" t="s">
        <v>232</v>
      </c>
      <c r="C3292" t="s">
        <v>60</v>
      </c>
      <c r="D3292" t="s">
        <v>43</v>
      </c>
      <c r="E3292" t="s">
        <v>51</v>
      </c>
      <c r="F3292" t="s">
        <v>70</v>
      </c>
      <c r="G3292" t="s">
        <v>23</v>
      </c>
      <c r="H3292" s="1">
        <v>44235</v>
      </c>
      <c r="I3292" s="2">
        <v>44235.2541666667</v>
      </c>
      <c r="J3292">
        <v>6.1</v>
      </c>
      <c r="K3292" t="s">
        <v>24</v>
      </c>
      <c r="L3292">
        <v>1</v>
      </c>
      <c r="M3292">
        <v>1</v>
      </c>
      <c r="N3292" t="s">
        <v>929</v>
      </c>
      <c r="O3292" s="3" t="str">
        <f>TEXT(Ticket_Table[[#This Row],[raised_date]],"YYYY-MM")</f>
        <v>2021-02</v>
      </c>
      <c r="P3292" s="3" t="str">
        <f>IF(Ticket_Table[[#This Row],[resolution_hrs]]&lt;=4,"Fast",IF(Ticket_Table[[#This Row],[resolution_hrs]]&lt;=24,"Normal",IF(Ticket_Table[[#This Row],[resolution_hrs]]&lt;=48,"Slow","Very Slow")))</f>
        <v>Normal</v>
      </c>
      <c r="Q3292" s="3">
        <f>YEAR(Ticket_Table[[#This Row],[raised_date]])</f>
        <v>2021</v>
      </c>
    </row>
    <row r="3293" spans="1:17">
      <c r="A3293" t="s">
        <v>3854</v>
      </c>
      <c r="B3293" t="s">
        <v>383</v>
      </c>
      <c r="C3293" t="s">
        <v>140</v>
      </c>
      <c r="D3293" t="s">
        <v>29</v>
      </c>
      <c r="E3293" t="s">
        <v>106</v>
      </c>
      <c r="F3293" t="s">
        <v>38</v>
      </c>
      <c r="G3293" t="s">
        <v>46</v>
      </c>
      <c r="H3293" s="1">
        <v>45235</v>
      </c>
      <c r="I3293" s="2">
        <v>45235.4</v>
      </c>
      <c r="J3293">
        <v>9.6</v>
      </c>
      <c r="K3293" t="s">
        <v>24</v>
      </c>
      <c r="L3293">
        <v>1</v>
      </c>
      <c r="M3293">
        <v>4</v>
      </c>
      <c r="N3293" t="s">
        <v>558</v>
      </c>
      <c r="O3293" s="3" t="str">
        <f>TEXT(Ticket_Table[[#This Row],[raised_date]],"YYYY-MM")</f>
        <v>2023-11</v>
      </c>
      <c r="P3293" s="3" t="str">
        <f>IF(Ticket_Table[[#This Row],[resolution_hrs]]&lt;=4,"Fast",IF(Ticket_Table[[#This Row],[resolution_hrs]]&lt;=24,"Normal",IF(Ticket_Table[[#This Row],[resolution_hrs]]&lt;=48,"Slow","Very Slow")))</f>
        <v>Normal</v>
      </c>
      <c r="Q3293" s="3">
        <f>YEAR(Ticket_Table[[#This Row],[raised_date]])</f>
        <v>2023</v>
      </c>
    </row>
    <row r="3294" spans="1:17">
      <c r="A3294" t="s">
        <v>3855</v>
      </c>
      <c r="B3294" t="s">
        <v>1191</v>
      </c>
      <c r="C3294" t="s">
        <v>68</v>
      </c>
      <c r="D3294" t="s">
        <v>20</v>
      </c>
      <c r="E3294" t="s">
        <v>56</v>
      </c>
      <c r="F3294" t="s">
        <v>45</v>
      </c>
      <c r="G3294" t="s">
        <v>31</v>
      </c>
      <c r="H3294" s="1">
        <v>44260</v>
      </c>
      <c r="I3294" s="2">
        <v>44260.2291666667</v>
      </c>
      <c r="J3294">
        <v>5.5</v>
      </c>
      <c r="K3294" t="s">
        <v>32</v>
      </c>
      <c r="L3294">
        <v>0</v>
      </c>
      <c r="M3294">
        <v>1</v>
      </c>
      <c r="N3294" t="s">
        <v>267</v>
      </c>
      <c r="O3294" s="3" t="str">
        <f>TEXT(Ticket_Table[[#This Row],[raised_date]],"YYYY-MM")</f>
        <v>2021-03</v>
      </c>
      <c r="P3294" s="3" t="str">
        <f>IF(Ticket_Table[[#This Row],[resolution_hrs]]&lt;=4,"Fast",IF(Ticket_Table[[#This Row],[resolution_hrs]]&lt;=24,"Normal",IF(Ticket_Table[[#This Row],[resolution_hrs]]&lt;=48,"Slow","Very Slow")))</f>
        <v>Normal</v>
      </c>
      <c r="Q3294" s="3">
        <f>YEAR(Ticket_Table[[#This Row],[raised_date]])</f>
        <v>2021</v>
      </c>
    </row>
    <row r="3295" spans="1:17">
      <c r="A3295" t="s">
        <v>3856</v>
      </c>
      <c r="B3295" t="s">
        <v>235</v>
      </c>
      <c r="C3295" t="s">
        <v>117</v>
      </c>
      <c r="D3295" t="s">
        <v>20</v>
      </c>
      <c r="E3295" t="s">
        <v>21</v>
      </c>
      <c r="F3295" t="s">
        <v>22</v>
      </c>
      <c r="G3295" t="s">
        <v>46</v>
      </c>
      <c r="H3295" s="1">
        <v>45026</v>
      </c>
      <c r="I3295" s="2">
        <v>45030.3666666667</v>
      </c>
      <c r="J3295">
        <v>104.8</v>
      </c>
      <c r="K3295" t="s">
        <v>32</v>
      </c>
      <c r="L3295">
        <v>0</v>
      </c>
      <c r="M3295">
        <v>4</v>
      </c>
      <c r="N3295" t="s">
        <v>145</v>
      </c>
      <c r="O3295" s="3" t="str">
        <f>TEXT(Ticket_Table[[#This Row],[raised_date]],"YYYY-MM")</f>
        <v>2023-04</v>
      </c>
      <c r="P3295" s="3" t="str">
        <f>IF(Ticket_Table[[#This Row],[resolution_hrs]]&lt;=4,"Fast",IF(Ticket_Table[[#This Row],[resolution_hrs]]&lt;=24,"Normal",IF(Ticket_Table[[#This Row],[resolution_hrs]]&lt;=48,"Slow","Very Slow")))</f>
        <v>Very Slow</v>
      </c>
      <c r="Q3295" s="3">
        <f>YEAR(Ticket_Table[[#This Row],[raised_date]])</f>
        <v>2023</v>
      </c>
    </row>
    <row r="3296" spans="1:17">
      <c r="A3296" t="s">
        <v>3857</v>
      </c>
      <c r="B3296" t="s">
        <v>599</v>
      </c>
      <c r="C3296" t="s">
        <v>19</v>
      </c>
      <c r="D3296" t="s">
        <v>43</v>
      </c>
      <c r="E3296" t="s">
        <v>51</v>
      </c>
      <c r="F3296" t="s">
        <v>70</v>
      </c>
      <c r="G3296" t="s">
        <v>31</v>
      </c>
      <c r="H3296" s="1">
        <v>44632</v>
      </c>
      <c r="I3296" s="2">
        <v>44632.3375</v>
      </c>
      <c r="J3296">
        <v>8.1</v>
      </c>
      <c r="K3296" t="s">
        <v>24</v>
      </c>
      <c r="L3296">
        <v>0</v>
      </c>
      <c r="M3296">
        <v>4</v>
      </c>
      <c r="N3296" t="s">
        <v>123</v>
      </c>
      <c r="O3296" s="3" t="str">
        <f>TEXT(Ticket_Table[[#This Row],[raised_date]],"YYYY-MM")</f>
        <v>2022-03</v>
      </c>
      <c r="P3296" s="3" t="str">
        <f>IF(Ticket_Table[[#This Row],[resolution_hrs]]&lt;=4,"Fast",IF(Ticket_Table[[#This Row],[resolution_hrs]]&lt;=24,"Normal",IF(Ticket_Table[[#This Row],[resolution_hrs]]&lt;=48,"Slow","Very Slow")))</f>
        <v>Normal</v>
      </c>
      <c r="Q3296" s="3">
        <f>YEAR(Ticket_Table[[#This Row],[raised_date]])</f>
        <v>2022</v>
      </c>
    </row>
    <row r="3297" spans="1:17">
      <c r="A3297" t="s">
        <v>3858</v>
      </c>
      <c r="B3297" t="s">
        <v>1297</v>
      </c>
      <c r="C3297" t="s">
        <v>42</v>
      </c>
      <c r="D3297" t="s">
        <v>43</v>
      </c>
      <c r="E3297" t="s">
        <v>83</v>
      </c>
      <c r="F3297" t="s">
        <v>22</v>
      </c>
      <c r="G3297" t="s">
        <v>23</v>
      </c>
      <c r="H3297" s="1">
        <v>44272</v>
      </c>
      <c r="I3297" s="2">
        <v>44274.3916666667</v>
      </c>
      <c r="J3297">
        <v>57.4</v>
      </c>
      <c r="K3297" t="s">
        <v>24</v>
      </c>
      <c r="L3297">
        <v>1</v>
      </c>
      <c r="M3297">
        <v>3</v>
      </c>
      <c r="N3297" t="s">
        <v>790</v>
      </c>
      <c r="O3297" s="3" t="str">
        <f>TEXT(Ticket_Table[[#This Row],[raised_date]],"YYYY-MM")</f>
        <v>2021-03</v>
      </c>
      <c r="P3297" s="3" t="str">
        <f>IF(Ticket_Table[[#This Row],[resolution_hrs]]&lt;=4,"Fast",IF(Ticket_Table[[#This Row],[resolution_hrs]]&lt;=24,"Normal",IF(Ticket_Table[[#This Row],[resolution_hrs]]&lt;=48,"Slow","Very Slow")))</f>
        <v>Very Slow</v>
      </c>
      <c r="Q3297" s="3">
        <f>YEAR(Ticket_Table[[#This Row],[raised_date]])</f>
        <v>2021</v>
      </c>
    </row>
    <row r="3298" spans="1:17">
      <c r="A3298" t="s">
        <v>3859</v>
      </c>
      <c r="B3298" t="s">
        <v>710</v>
      </c>
      <c r="C3298" t="s">
        <v>42</v>
      </c>
      <c r="D3298" t="s">
        <v>90</v>
      </c>
      <c r="E3298" t="s">
        <v>69</v>
      </c>
      <c r="F3298" t="s">
        <v>22</v>
      </c>
      <c r="G3298" t="s">
        <v>23</v>
      </c>
      <c r="H3298" s="1">
        <v>44730</v>
      </c>
      <c r="I3298" s="2">
        <v>44733.2833333333</v>
      </c>
      <c r="J3298">
        <v>78.8</v>
      </c>
      <c r="K3298" t="s">
        <v>32</v>
      </c>
      <c r="L3298">
        <v>0</v>
      </c>
      <c r="M3298">
        <v>3</v>
      </c>
      <c r="N3298" t="s">
        <v>1067</v>
      </c>
      <c r="O3298" s="3" t="str">
        <f>TEXT(Ticket_Table[[#This Row],[raised_date]],"YYYY-MM")</f>
        <v>2022-06</v>
      </c>
      <c r="P3298" s="3" t="str">
        <f>IF(Ticket_Table[[#This Row],[resolution_hrs]]&lt;=4,"Fast",IF(Ticket_Table[[#This Row],[resolution_hrs]]&lt;=24,"Normal",IF(Ticket_Table[[#This Row],[resolution_hrs]]&lt;=48,"Slow","Very Slow")))</f>
        <v>Very Slow</v>
      </c>
      <c r="Q3298" s="3">
        <f>YEAR(Ticket_Table[[#This Row],[raised_date]])</f>
        <v>2022</v>
      </c>
    </row>
    <row r="3299" spans="1:17">
      <c r="A3299" t="s">
        <v>3860</v>
      </c>
      <c r="B3299" t="s">
        <v>866</v>
      </c>
      <c r="C3299" t="s">
        <v>117</v>
      </c>
      <c r="D3299" t="s">
        <v>29</v>
      </c>
      <c r="E3299" t="s">
        <v>56</v>
      </c>
      <c r="F3299" t="s">
        <v>38</v>
      </c>
      <c r="G3299" t="s">
        <v>23</v>
      </c>
      <c r="H3299" s="1">
        <v>45163</v>
      </c>
      <c r="I3299" s="2">
        <v>45164.2208333333</v>
      </c>
      <c r="J3299">
        <v>29.3</v>
      </c>
      <c r="K3299" t="s">
        <v>32</v>
      </c>
      <c r="L3299">
        <v>0</v>
      </c>
      <c r="M3299">
        <v>4</v>
      </c>
      <c r="N3299" t="s">
        <v>529</v>
      </c>
      <c r="O3299" s="3" t="str">
        <f>TEXT(Ticket_Table[[#This Row],[raised_date]],"YYYY-MM")</f>
        <v>2023-08</v>
      </c>
      <c r="P3299" s="3" t="str">
        <f>IF(Ticket_Table[[#This Row],[resolution_hrs]]&lt;=4,"Fast",IF(Ticket_Table[[#This Row],[resolution_hrs]]&lt;=24,"Normal",IF(Ticket_Table[[#This Row],[resolution_hrs]]&lt;=48,"Slow","Very Slow")))</f>
        <v>Slow</v>
      </c>
      <c r="Q3299" s="3">
        <f>YEAR(Ticket_Table[[#This Row],[raised_date]])</f>
        <v>2023</v>
      </c>
    </row>
    <row r="3300" spans="1:17">
      <c r="A3300" t="s">
        <v>3861</v>
      </c>
      <c r="B3300" t="s">
        <v>579</v>
      </c>
      <c r="C3300" t="s">
        <v>175</v>
      </c>
      <c r="D3300" t="s">
        <v>36</v>
      </c>
      <c r="E3300" t="s">
        <v>30</v>
      </c>
      <c r="F3300" t="s">
        <v>38</v>
      </c>
      <c r="G3300" t="s">
        <v>23</v>
      </c>
      <c r="H3300" s="1">
        <v>44501</v>
      </c>
      <c r="I3300" s="2">
        <v>44501.9208333333</v>
      </c>
      <c r="J3300">
        <v>22.1</v>
      </c>
      <c r="K3300" t="s">
        <v>24</v>
      </c>
      <c r="L3300">
        <v>2</v>
      </c>
      <c r="M3300">
        <v>1</v>
      </c>
      <c r="N3300" t="s">
        <v>365</v>
      </c>
      <c r="O3300" s="3" t="str">
        <f>TEXT(Ticket_Table[[#This Row],[raised_date]],"YYYY-MM")</f>
        <v>2021-11</v>
      </c>
      <c r="P3300" s="3" t="str">
        <f>IF(Ticket_Table[[#This Row],[resolution_hrs]]&lt;=4,"Fast",IF(Ticket_Table[[#This Row],[resolution_hrs]]&lt;=24,"Normal",IF(Ticket_Table[[#This Row],[resolution_hrs]]&lt;=48,"Slow","Very Slow")))</f>
        <v>Normal</v>
      </c>
      <c r="Q3300" s="3">
        <f>YEAR(Ticket_Table[[#This Row],[raised_date]])</f>
        <v>2021</v>
      </c>
    </row>
    <row r="3301" spans="1:17">
      <c r="A3301" t="s">
        <v>3862</v>
      </c>
      <c r="B3301" t="s">
        <v>558</v>
      </c>
      <c r="C3301" t="s">
        <v>78</v>
      </c>
      <c r="D3301" t="s">
        <v>36</v>
      </c>
      <c r="E3301" t="s">
        <v>83</v>
      </c>
      <c r="F3301" t="s">
        <v>22</v>
      </c>
      <c r="G3301" t="s">
        <v>31</v>
      </c>
      <c r="H3301" s="1">
        <v>44946</v>
      </c>
      <c r="I3301" s="2">
        <v>44947.725</v>
      </c>
      <c r="J3301">
        <v>41.4</v>
      </c>
      <c r="K3301" t="s">
        <v>24</v>
      </c>
      <c r="L3301">
        <v>1</v>
      </c>
      <c r="M3301">
        <v>3</v>
      </c>
      <c r="N3301" t="s">
        <v>552</v>
      </c>
      <c r="O3301" s="3" t="str">
        <f>TEXT(Ticket_Table[[#This Row],[raised_date]],"YYYY-MM")</f>
        <v>2023-01</v>
      </c>
      <c r="P3301" s="3" t="str">
        <f>IF(Ticket_Table[[#This Row],[resolution_hrs]]&lt;=4,"Fast",IF(Ticket_Table[[#This Row],[resolution_hrs]]&lt;=24,"Normal",IF(Ticket_Table[[#This Row],[resolution_hrs]]&lt;=48,"Slow","Very Slow")))</f>
        <v>Slow</v>
      </c>
      <c r="Q3301" s="3">
        <f>YEAR(Ticket_Table[[#This Row],[raised_date]])</f>
        <v>2023</v>
      </c>
    </row>
    <row r="3302" spans="1:17">
      <c r="A3302" t="s">
        <v>3863</v>
      </c>
      <c r="B3302" t="s">
        <v>541</v>
      </c>
      <c r="C3302" t="s">
        <v>55</v>
      </c>
      <c r="D3302" t="s">
        <v>20</v>
      </c>
      <c r="E3302" t="s">
        <v>106</v>
      </c>
      <c r="F3302" t="s">
        <v>38</v>
      </c>
      <c r="G3302" t="s">
        <v>31</v>
      </c>
      <c r="H3302" s="1">
        <v>45000</v>
      </c>
      <c r="I3302" s="2">
        <v>45000.0708333333</v>
      </c>
      <c r="J3302">
        <v>1.7</v>
      </c>
      <c r="K3302" t="s">
        <v>24</v>
      </c>
      <c r="L3302">
        <v>0</v>
      </c>
      <c r="M3302">
        <v>4</v>
      </c>
      <c r="N3302" t="s">
        <v>1061</v>
      </c>
      <c r="O3302" s="3" t="str">
        <f>TEXT(Ticket_Table[[#This Row],[raised_date]],"YYYY-MM")</f>
        <v>2023-03</v>
      </c>
      <c r="P3302" s="3" t="str">
        <f>IF(Ticket_Table[[#This Row],[resolution_hrs]]&lt;=4,"Fast",IF(Ticket_Table[[#This Row],[resolution_hrs]]&lt;=24,"Normal",IF(Ticket_Table[[#This Row],[resolution_hrs]]&lt;=48,"Slow","Very Slow")))</f>
        <v>Fast</v>
      </c>
      <c r="Q3302" s="3">
        <f>YEAR(Ticket_Table[[#This Row],[raised_date]])</f>
        <v>2023</v>
      </c>
    </row>
    <row r="3303" spans="1:17">
      <c r="A3303" t="s">
        <v>3864</v>
      </c>
      <c r="B3303" t="s">
        <v>906</v>
      </c>
      <c r="C3303" t="s">
        <v>95</v>
      </c>
      <c r="D3303" t="s">
        <v>29</v>
      </c>
      <c r="E3303" t="s">
        <v>51</v>
      </c>
      <c r="F3303" t="s">
        <v>38</v>
      </c>
      <c r="G3303" t="s">
        <v>31</v>
      </c>
      <c r="H3303" s="1">
        <v>44654</v>
      </c>
      <c r="I3303" s="2">
        <v>44655.2458333333</v>
      </c>
      <c r="J3303">
        <v>29.9</v>
      </c>
      <c r="K3303" t="s">
        <v>32</v>
      </c>
      <c r="L3303">
        <v>0</v>
      </c>
      <c r="M3303">
        <v>3</v>
      </c>
      <c r="N3303" t="s">
        <v>101</v>
      </c>
      <c r="O3303" s="3" t="str">
        <f>TEXT(Ticket_Table[[#This Row],[raised_date]],"YYYY-MM")</f>
        <v>2022-04</v>
      </c>
      <c r="P3303" s="3" t="str">
        <f>IF(Ticket_Table[[#This Row],[resolution_hrs]]&lt;=4,"Fast",IF(Ticket_Table[[#This Row],[resolution_hrs]]&lt;=24,"Normal",IF(Ticket_Table[[#This Row],[resolution_hrs]]&lt;=48,"Slow","Very Slow")))</f>
        <v>Slow</v>
      </c>
      <c r="Q3303" s="3">
        <f>YEAR(Ticket_Table[[#This Row],[raised_date]])</f>
        <v>2022</v>
      </c>
    </row>
    <row r="3304" spans="1:17">
      <c r="A3304" t="s">
        <v>3865</v>
      </c>
      <c r="B3304" t="s">
        <v>258</v>
      </c>
      <c r="C3304" t="s">
        <v>64</v>
      </c>
      <c r="D3304" t="s">
        <v>20</v>
      </c>
      <c r="E3304" t="s">
        <v>106</v>
      </c>
      <c r="F3304" t="s">
        <v>45</v>
      </c>
      <c r="G3304" t="s">
        <v>31</v>
      </c>
      <c r="H3304" s="1">
        <v>44792</v>
      </c>
      <c r="I3304" s="2">
        <v>44792.2</v>
      </c>
      <c r="J3304">
        <v>4.8</v>
      </c>
      <c r="K3304" t="s">
        <v>32</v>
      </c>
      <c r="L3304">
        <v>0</v>
      </c>
      <c r="M3304">
        <v>4</v>
      </c>
      <c r="N3304" t="s">
        <v>708</v>
      </c>
      <c r="O3304" s="3" t="str">
        <f>TEXT(Ticket_Table[[#This Row],[raised_date]],"YYYY-MM")</f>
        <v>2022-08</v>
      </c>
      <c r="P3304" s="3" t="str">
        <f>IF(Ticket_Table[[#This Row],[resolution_hrs]]&lt;=4,"Fast",IF(Ticket_Table[[#This Row],[resolution_hrs]]&lt;=24,"Normal",IF(Ticket_Table[[#This Row],[resolution_hrs]]&lt;=48,"Slow","Very Slow")))</f>
        <v>Normal</v>
      </c>
      <c r="Q3304" s="3">
        <f>YEAR(Ticket_Table[[#This Row],[raised_date]])</f>
        <v>2022</v>
      </c>
    </row>
    <row r="3305" spans="1:17">
      <c r="A3305" t="s">
        <v>3866</v>
      </c>
      <c r="B3305" t="s">
        <v>906</v>
      </c>
      <c r="C3305" t="s">
        <v>78</v>
      </c>
      <c r="D3305" t="s">
        <v>36</v>
      </c>
      <c r="E3305" t="s">
        <v>106</v>
      </c>
      <c r="F3305" t="s">
        <v>22</v>
      </c>
      <c r="G3305" t="s">
        <v>46</v>
      </c>
      <c r="H3305" s="1">
        <v>44471</v>
      </c>
      <c r="I3305" s="2">
        <v>44473.9166666667</v>
      </c>
      <c r="J3305">
        <v>70</v>
      </c>
      <c r="K3305" t="s">
        <v>24</v>
      </c>
      <c r="L3305">
        <v>0</v>
      </c>
      <c r="M3305">
        <v>3</v>
      </c>
      <c r="N3305" t="s">
        <v>337</v>
      </c>
      <c r="O3305" s="3" t="str">
        <f>TEXT(Ticket_Table[[#This Row],[raised_date]],"YYYY-MM")</f>
        <v>2021-10</v>
      </c>
      <c r="P3305" s="3" t="str">
        <f>IF(Ticket_Table[[#This Row],[resolution_hrs]]&lt;=4,"Fast",IF(Ticket_Table[[#This Row],[resolution_hrs]]&lt;=24,"Normal",IF(Ticket_Table[[#This Row],[resolution_hrs]]&lt;=48,"Slow","Very Slow")))</f>
        <v>Very Slow</v>
      </c>
      <c r="Q3305" s="3">
        <f>YEAR(Ticket_Table[[#This Row],[raised_date]])</f>
        <v>2021</v>
      </c>
    </row>
    <row r="3306" spans="1:17">
      <c r="A3306" t="s">
        <v>3867</v>
      </c>
      <c r="B3306" t="s">
        <v>826</v>
      </c>
      <c r="C3306" t="s">
        <v>117</v>
      </c>
      <c r="D3306" t="s">
        <v>43</v>
      </c>
      <c r="E3306" t="s">
        <v>56</v>
      </c>
      <c r="F3306" t="s">
        <v>45</v>
      </c>
      <c r="G3306" t="s">
        <v>74</v>
      </c>
      <c r="H3306" s="1">
        <v>45148</v>
      </c>
      <c r="I3306" s="2">
        <v>45148.05</v>
      </c>
      <c r="J3306">
        <v>1.2</v>
      </c>
      <c r="K3306" t="s">
        <v>24</v>
      </c>
      <c r="L3306">
        <v>0</v>
      </c>
      <c r="M3306">
        <v>3</v>
      </c>
      <c r="N3306" t="s">
        <v>154</v>
      </c>
      <c r="O3306" s="3" t="str">
        <f>TEXT(Ticket_Table[[#This Row],[raised_date]],"YYYY-MM")</f>
        <v>2023-08</v>
      </c>
      <c r="P3306" s="3" t="str">
        <f>IF(Ticket_Table[[#This Row],[resolution_hrs]]&lt;=4,"Fast",IF(Ticket_Table[[#This Row],[resolution_hrs]]&lt;=24,"Normal",IF(Ticket_Table[[#This Row],[resolution_hrs]]&lt;=48,"Slow","Very Slow")))</f>
        <v>Fast</v>
      </c>
      <c r="Q3306" s="3">
        <f>YEAR(Ticket_Table[[#This Row],[raised_date]])</f>
        <v>2023</v>
      </c>
    </row>
    <row r="3307" spans="1:17">
      <c r="A3307" t="s">
        <v>3868</v>
      </c>
      <c r="B3307" t="s">
        <v>959</v>
      </c>
      <c r="C3307" t="s">
        <v>64</v>
      </c>
      <c r="D3307" t="s">
        <v>29</v>
      </c>
      <c r="E3307" t="s">
        <v>83</v>
      </c>
      <c r="F3307" t="s">
        <v>70</v>
      </c>
      <c r="G3307" t="s">
        <v>31</v>
      </c>
      <c r="H3307" s="1">
        <v>45223</v>
      </c>
      <c r="I3307" s="2">
        <v>45223.775</v>
      </c>
      <c r="J3307">
        <v>18.6</v>
      </c>
      <c r="K3307" t="s">
        <v>24</v>
      </c>
      <c r="L3307">
        <v>0</v>
      </c>
      <c r="M3307">
        <v>4</v>
      </c>
      <c r="N3307" t="s">
        <v>931</v>
      </c>
      <c r="O3307" s="3" t="str">
        <f>TEXT(Ticket_Table[[#This Row],[raised_date]],"YYYY-MM")</f>
        <v>2023-10</v>
      </c>
      <c r="P3307" s="3" t="str">
        <f>IF(Ticket_Table[[#This Row],[resolution_hrs]]&lt;=4,"Fast",IF(Ticket_Table[[#This Row],[resolution_hrs]]&lt;=24,"Normal",IF(Ticket_Table[[#This Row],[resolution_hrs]]&lt;=48,"Slow","Very Slow")))</f>
        <v>Normal</v>
      </c>
      <c r="Q3307" s="3">
        <f>YEAR(Ticket_Table[[#This Row],[raised_date]])</f>
        <v>2023</v>
      </c>
    </row>
    <row r="3308" spans="1:17">
      <c r="A3308" t="s">
        <v>3869</v>
      </c>
      <c r="B3308" t="s">
        <v>251</v>
      </c>
      <c r="C3308" t="s">
        <v>68</v>
      </c>
      <c r="D3308" t="s">
        <v>29</v>
      </c>
      <c r="E3308" t="s">
        <v>51</v>
      </c>
      <c r="F3308" t="s">
        <v>70</v>
      </c>
      <c r="G3308" t="s">
        <v>31</v>
      </c>
      <c r="H3308" s="1">
        <v>45242</v>
      </c>
      <c r="I3308" s="2">
        <v>45242.2875</v>
      </c>
      <c r="J3308">
        <v>6.9</v>
      </c>
      <c r="K3308" t="s">
        <v>24</v>
      </c>
      <c r="L3308">
        <v>0</v>
      </c>
      <c r="M3308">
        <v>3</v>
      </c>
      <c r="N3308" t="s">
        <v>84</v>
      </c>
      <c r="O3308" s="3" t="str">
        <f>TEXT(Ticket_Table[[#This Row],[raised_date]],"YYYY-MM")</f>
        <v>2023-11</v>
      </c>
      <c r="P3308" s="3" t="str">
        <f>IF(Ticket_Table[[#This Row],[resolution_hrs]]&lt;=4,"Fast",IF(Ticket_Table[[#This Row],[resolution_hrs]]&lt;=24,"Normal",IF(Ticket_Table[[#This Row],[resolution_hrs]]&lt;=48,"Slow","Very Slow")))</f>
        <v>Normal</v>
      </c>
      <c r="Q3308" s="3">
        <f>YEAR(Ticket_Table[[#This Row],[raised_date]])</f>
        <v>2023</v>
      </c>
    </row>
    <row r="3309" spans="1:17">
      <c r="A3309" t="s">
        <v>3870</v>
      </c>
      <c r="B3309" t="s">
        <v>123</v>
      </c>
      <c r="C3309" t="s">
        <v>95</v>
      </c>
      <c r="D3309" t="s">
        <v>90</v>
      </c>
      <c r="E3309" t="s">
        <v>21</v>
      </c>
      <c r="F3309" t="s">
        <v>22</v>
      </c>
      <c r="G3309" t="s">
        <v>31</v>
      </c>
      <c r="H3309" s="1">
        <v>44382</v>
      </c>
      <c r="I3309" s="2">
        <v>44382.6791666667</v>
      </c>
      <c r="J3309">
        <v>16.3</v>
      </c>
      <c r="K3309" t="s">
        <v>24</v>
      </c>
      <c r="L3309">
        <v>0</v>
      </c>
      <c r="M3309">
        <v>3</v>
      </c>
      <c r="N3309" t="s">
        <v>478</v>
      </c>
      <c r="O3309" s="3" t="str">
        <f>TEXT(Ticket_Table[[#This Row],[raised_date]],"YYYY-MM")</f>
        <v>2021-07</v>
      </c>
      <c r="P3309" s="3" t="str">
        <f>IF(Ticket_Table[[#This Row],[resolution_hrs]]&lt;=4,"Fast",IF(Ticket_Table[[#This Row],[resolution_hrs]]&lt;=24,"Normal",IF(Ticket_Table[[#This Row],[resolution_hrs]]&lt;=48,"Slow","Very Slow")))</f>
        <v>Normal</v>
      </c>
      <c r="Q3309" s="3">
        <f>YEAR(Ticket_Table[[#This Row],[raised_date]])</f>
        <v>2021</v>
      </c>
    </row>
    <row r="3310" spans="1:17">
      <c r="A3310" t="s">
        <v>3871</v>
      </c>
      <c r="B3310" t="s">
        <v>238</v>
      </c>
      <c r="C3310" t="s">
        <v>117</v>
      </c>
      <c r="D3310" t="s">
        <v>43</v>
      </c>
      <c r="E3310" t="s">
        <v>166</v>
      </c>
      <c r="F3310" t="s">
        <v>22</v>
      </c>
      <c r="G3310" t="s">
        <v>23</v>
      </c>
      <c r="H3310" s="1">
        <v>45009</v>
      </c>
      <c r="I3310" s="2">
        <v>45011.8375</v>
      </c>
      <c r="J3310">
        <v>68.1</v>
      </c>
      <c r="K3310" t="s">
        <v>24</v>
      </c>
      <c r="L3310">
        <v>3</v>
      </c>
      <c r="M3310">
        <v>4</v>
      </c>
      <c r="N3310" t="s">
        <v>258</v>
      </c>
      <c r="O3310" s="3" t="str">
        <f>TEXT(Ticket_Table[[#This Row],[raised_date]],"YYYY-MM")</f>
        <v>2023-03</v>
      </c>
      <c r="P3310" s="3" t="str">
        <f>IF(Ticket_Table[[#This Row],[resolution_hrs]]&lt;=4,"Fast",IF(Ticket_Table[[#This Row],[resolution_hrs]]&lt;=24,"Normal",IF(Ticket_Table[[#This Row],[resolution_hrs]]&lt;=48,"Slow","Very Slow")))</f>
        <v>Very Slow</v>
      </c>
      <c r="Q3310" s="3">
        <f>YEAR(Ticket_Table[[#This Row],[raised_date]])</f>
        <v>2023</v>
      </c>
    </row>
    <row r="3311" spans="1:17">
      <c r="A3311" t="s">
        <v>3872</v>
      </c>
      <c r="B3311" t="s">
        <v>922</v>
      </c>
      <c r="C3311" t="s">
        <v>95</v>
      </c>
      <c r="D3311" t="s">
        <v>43</v>
      </c>
      <c r="E3311" t="s">
        <v>37</v>
      </c>
      <c r="F3311" t="s">
        <v>38</v>
      </c>
      <c r="G3311" t="s">
        <v>23</v>
      </c>
      <c r="H3311" s="1">
        <v>44942</v>
      </c>
      <c r="I3311" s="2">
        <v>44942.0625</v>
      </c>
      <c r="J3311">
        <v>1.5</v>
      </c>
      <c r="K3311" t="s">
        <v>24</v>
      </c>
      <c r="L3311">
        <v>1</v>
      </c>
      <c r="M3311">
        <v>3</v>
      </c>
      <c r="N3311" t="s">
        <v>676</v>
      </c>
      <c r="O3311" s="3" t="str">
        <f>TEXT(Ticket_Table[[#This Row],[raised_date]],"YYYY-MM")</f>
        <v>2023-01</v>
      </c>
      <c r="P3311" s="3" t="str">
        <f>IF(Ticket_Table[[#This Row],[resolution_hrs]]&lt;=4,"Fast",IF(Ticket_Table[[#This Row],[resolution_hrs]]&lt;=24,"Normal",IF(Ticket_Table[[#This Row],[resolution_hrs]]&lt;=48,"Slow","Very Slow")))</f>
        <v>Fast</v>
      </c>
      <c r="Q3311" s="3">
        <f>YEAR(Ticket_Table[[#This Row],[raised_date]])</f>
        <v>2023</v>
      </c>
    </row>
    <row r="3312" spans="1:17">
      <c r="A3312" t="s">
        <v>3873</v>
      </c>
      <c r="B3312" t="s">
        <v>1041</v>
      </c>
      <c r="C3312" t="s">
        <v>64</v>
      </c>
      <c r="D3312" t="s">
        <v>20</v>
      </c>
      <c r="E3312" t="s">
        <v>37</v>
      </c>
      <c r="F3312" t="s">
        <v>70</v>
      </c>
      <c r="G3312" t="s">
        <v>46</v>
      </c>
      <c r="H3312" s="1">
        <v>45225</v>
      </c>
      <c r="I3312" s="2">
        <v>45227.9</v>
      </c>
      <c r="J3312">
        <v>69.6</v>
      </c>
      <c r="K3312" t="s">
        <v>32</v>
      </c>
      <c r="L3312">
        <v>0</v>
      </c>
      <c r="M3312">
        <v>4</v>
      </c>
      <c r="N3312" t="s">
        <v>1058</v>
      </c>
      <c r="O3312" s="3" t="str">
        <f>TEXT(Ticket_Table[[#This Row],[raised_date]],"YYYY-MM")</f>
        <v>2023-10</v>
      </c>
      <c r="P3312" s="3" t="str">
        <f>IF(Ticket_Table[[#This Row],[resolution_hrs]]&lt;=4,"Fast",IF(Ticket_Table[[#This Row],[resolution_hrs]]&lt;=24,"Normal",IF(Ticket_Table[[#This Row],[resolution_hrs]]&lt;=48,"Slow","Very Slow")))</f>
        <v>Very Slow</v>
      </c>
      <c r="Q3312" s="3">
        <f>YEAR(Ticket_Table[[#This Row],[raised_date]])</f>
        <v>2023</v>
      </c>
    </row>
    <row r="3313" spans="1:17">
      <c r="A3313" t="s">
        <v>3874</v>
      </c>
      <c r="B3313" t="s">
        <v>158</v>
      </c>
      <c r="C3313" t="s">
        <v>213</v>
      </c>
      <c r="D3313" t="s">
        <v>29</v>
      </c>
      <c r="E3313" t="s">
        <v>56</v>
      </c>
      <c r="F3313" t="s">
        <v>22</v>
      </c>
      <c r="G3313" t="s">
        <v>31</v>
      </c>
      <c r="H3313" s="1">
        <v>44218</v>
      </c>
      <c r="I3313" s="2">
        <v>44222.3125</v>
      </c>
      <c r="J3313">
        <v>103.5</v>
      </c>
      <c r="K3313" t="s">
        <v>32</v>
      </c>
      <c r="L3313">
        <v>2</v>
      </c>
      <c r="M3313">
        <v>5</v>
      </c>
      <c r="N3313" t="s">
        <v>107</v>
      </c>
      <c r="O3313" s="3" t="str">
        <f>TEXT(Ticket_Table[[#This Row],[raised_date]],"YYYY-MM")</f>
        <v>2021-01</v>
      </c>
      <c r="P3313" s="3" t="str">
        <f>IF(Ticket_Table[[#This Row],[resolution_hrs]]&lt;=4,"Fast",IF(Ticket_Table[[#This Row],[resolution_hrs]]&lt;=24,"Normal",IF(Ticket_Table[[#This Row],[resolution_hrs]]&lt;=48,"Slow","Very Slow")))</f>
        <v>Very Slow</v>
      </c>
      <c r="Q3313" s="3">
        <f>YEAR(Ticket_Table[[#This Row],[raised_date]])</f>
        <v>2021</v>
      </c>
    </row>
    <row r="3314" spans="1:17">
      <c r="A3314" t="s">
        <v>3875</v>
      </c>
      <c r="B3314" t="s">
        <v>61</v>
      </c>
      <c r="C3314" t="s">
        <v>95</v>
      </c>
      <c r="D3314" t="s">
        <v>20</v>
      </c>
      <c r="E3314" t="s">
        <v>30</v>
      </c>
      <c r="F3314" t="s">
        <v>22</v>
      </c>
      <c r="G3314" t="s">
        <v>31</v>
      </c>
      <c r="H3314" s="1">
        <v>44686</v>
      </c>
      <c r="I3314" s="2">
        <v>44686.5166666667</v>
      </c>
      <c r="J3314">
        <v>12.4</v>
      </c>
      <c r="K3314" t="s">
        <v>24</v>
      </c>
      <c r="L3314">
        <v>0</v>
      </c>
      <c r="M3314">
        <v>4</v>
      </c>
      <c r="N3314" t="s">
        <v>756</v>
      </c>
      <c r="O3314" s="3" t="str">
        <f>TEXT(Ticket_Table[[#This Row],[raised_date]],"YYYY-MM")</f>
        <v>2022-05</v>
      </c>
      <c r="P3314" s="3" t="str">
        <f>IF(Ticket_Table[[#This Row],[resolution_hrs]]&lt;=4,"Fast",IF(Ticket_Table[[#This Row],[resolution_hrs]]&lt;=24,"Normal",IF(Ticket_Table[[#This Row],[resolution_hrs]]&lt;=48,"Slow","Very Slow")))</f>
        <v>Normal</v>
      </c>
      <c r="Q3314" s="3">
        <f>YEAR(Ticket_Table[[#This Row],[raised_date]])</f>
        <v>2022</v>
      </c>
    </row>
    <row r="3315" spans="1:17">
      <c r="A3315" t="s">
        <v>3876</v>
      </c>
      <c r="B3315" t="s">
        <v>956</v>
      </c>
      <c r="C3315" t="s">
        <v>102</v>
      </c>
      <c r="D3315" t="s">
        <v>43</v>
      </c>
      <c r="E3315" t="s">
        <v>44</v>
      </c>
      <c r="F3315" t="s">
        <v>38</v>
      </c>
      <c r="G3315" t="s">
        <v>23</v>
      </c>
      <c r="H3315" s="1">
        <v>44536</v>
      </c>
      <c r="I3315" s="2">
        <v>44537.1166666667</v>
      </c>
      <c r="J3315">
        <v>26.8</v>
      </c>
      <c r="K3315" t="s">
        <v>32</v>
      </c>
      <c r="L3315">
        <v>1</v>
      </c>
      <c r="M3315">
        <v>1</v>
      </c>
      <c r="N3315" t="s">
        <v>1016</v>
      </c>
      <c r="O3315" s="3" t="str">
        <f>TEXT(Ticket_Table[[#This Row],[raised_date]],"YYYY-MM")</f>
        <v>2021-12</v>
      </c>
      <c r="P3315" s="3" t="str">
        <f>IF(Ticket_Table[[#This Row],[resolution_hrs]]&lt;=4,"Fast",IF(Ticket_Table[[#This Row],[resolution_hrs]]&lt;=24,"Normal",IF(Ticket_Table[[#This Row],[resolution_hrs]]&lt;=48,"Slow","Very Slow")))</f>
        <v>Slow</v>
      </c>
      <c r="Q3315" s="3">
        <f>YEAR(Ticket_Table[[#This Row],[raised_date]])</f>
        <v>2021</v>
      </c>
    </row>
    <row r="3316" spans="1:17">
      <c r="A3316" t="s">
        <v>3877</v>
      </c>
      <c r="B3316" t="s">
        <v>610</v>
      </c>
      <c r="C3316" t="s">
        <v>19</v>
      </c>
      <c r="D3316" t="s">
        <v>90</v>
      </c>
      <c r="E3316" t="s">
        <v>166</v>
      </c>
      <c r="F3316" t="s">
        <v>22</v>
      </c>
      <c r="G3316" t="s">
        <v>23</v>
      </c>
      <c r="H3316" s="1">
        <v>45249</v>
      </c>
      <c r="I3316" s="2">
        <v>45250.55</v>
      </c>
      <c r="J3316">
        <v>37.2</v>
      </c>
      <c r="K3316" t="s">
        <v>24</v>
      </c>
      <c r="L3316">
        <v>0</v>
      </c>
      <c r="M3316">
        <v>4</v>
      </c>
      <c r="N3316" t="s">
        <v>1265</v>
      </c>
      <c r="O3316" s="3" t="str">
        <f>TEXT(Ticket_Table[[#This Row],[raised_date]],"YYYY-MM")</f>
        <v>2023-11</v>
      </c>
      <c r="P3316" s="3" t="str">
        <f>IF(Ticket_Table[[#This Row],[resolution_hrs]]&lt;=4,"Fast",IF(Ticket_Table[[#This Row],[resolution_hrs]]&lt;=24,"Normal",IF(Ticket_Table[[#This Row],[resolution_hrs]]&lt;=48,"Slow","Very Slow")))</f>
        <v>Slow</v>
      </c>
      <c r="Q3316" s="3">
        <f>YEAR(Ticket_Table[[#This Row],[raised_date]])</f>
        <v>2023</v>
      </c>
    </row>
    <row r="3317" spans="1:17">
      <c r="A3317" t="s">
        <v>3878</v>
      </c>
      <c r="B3317" t="s">
        <v>866</v>
      </c>
      <c r="C3317" t="s">
        <v>140</v>
      </c>
      <c r="D3317" t="s">
        <v>29</v>
      </c>
      <c r="E3317" t="s">
        <v>51</v>
      </c>
      <c r="F3317" t="s">
        <v>38</v>
      </c>
      <c r="G3317" t="s">
        <v>23</v>
      </c>
      <c r="H3317" s="1">
        <v>44484</v>
      </c>
      <c r="I3317" s="2">
        <v>44485.075</v>
      </c>
      <c r="J3317">
        <v>25.8</v>
      </c>
      <c r="K3317" t="s">
        <v>32</v>
      </c>
      <c r="L3317">
        <v>1</v>
      </c>
      <c r="M3317">
        <v>2</v>
      </c>
      <c r="N3317" t="s">
        <v>857</v>
      </c>
      <c r="O3317" s="3" t="str">
        <f>TEXT(Ticket_Table[[#This Row],[raised_date]],"YYYY-MM")</f>
        <v>2021-10</v>
      </c>
      <c r="P3317" s="3" t="str">
        <f>IF(Ticket_Table[[#This Row],[resolution_hrs]]&lt;=4,"Fast",IF(Ticket_Table[[#This Row],[resolution_hrs]]&lt;=24,"Normal",IF(Ticket_Table[[#This Row],[resolution_hrs]]&lt;=48,"Slow","Very Slow")))</f>
        <v>Slow</v>
      </c>
      <c r="Q3317" s="3">
        <f>YEAR(Ticket_Table[[#This Row],[raised_date]])</f>
        <v>2021</v>
      </c>
    </row>
    <row r="3318" spans="1:17">
      <c r="A3318" t="s">
        <v>3879</v>
      </c>
      <c r="B3318" t="s">
        <v>579</v>
      </c>
      <c r="C3318" t="s">
        <v>78</v>
      </c>
      <c r="D3318" t="s">
        <v>43</v>
      </c>
      <c r="E3318" t="s">
        <v>37</v>
      </c>
      <c r="F3318" t="s">
        <v>22</v>
      </c>
      <c r="G3318" t="s">
        <v>74</v>
      </c>
      <c r="H3318" s="1">
        <v>45110</v>
      </c>
      <c r="I3318" s="2">
        <v>45110.9416666667</v>
      </c>
      <c r="J3318">
        <v>22.6</v>
      </c>
      <c r="K3318" t="s">
        <v>24</v>
      </c>
      <c r="L3318">
        <v>0</v>
      </c>
      <c r="M3318">
        <v>3</v>
      </c>
      <c r="N3318" t="s">
        <v>462</v>
      </c>
      <c r="O3318" s="3" t="str">
        <f>TEXT(Ticket_Table[[#This Row],[raised_date]],"YYYY-MM")</f>
        <v>2023-07</v>
      </c>
      <c r="P3318" s="3" t="str">
        <f>IF(Ticket_Table[[#This Row],[resolution_hrs]]&lt;=4,"Fast",IF(Ticket_Table[[#This Row],[resolution_hrs]]&lt;=24,"Normal",IF(Ticket_Table[[#This Row],[resolution_hrs]]&lt;=48,"Slow","Very Slow")))</f>
        <v>Normal</v>
      </c>
      <c r="Q3318" s="3">
        <f>YEAR(Ticket_Table[[#This Row],[raised_date]])</f>
        <v>2023</v>
      </c>
    </row>
    <row r="3319" spans="1:17">
      <c r="A3319" t="s">
        <v>3880</v>
      </c>
      <c r="B3319" t="s">
        <v>810</v>
      </c>
      <c r="C3319" t="s">
        <v>64</v>
      </c>
      <c r="D3319" t="s">
        <v>90</v>
      </c>
      <c r="E3319" t="s">
        <v>30</v>
      </c>
      <c r="F3319" t="s">
        <v>22</v>
      </c>
      <c r="G3319" t="s">
        <v>23</v>
      </c>
      <c r="H3319" s="1">
        <v>44523</v>
      </c>
      <c r="I3319" s="2">
        <v>44525.1833333333</v>
      </c>
      <c r="J3319">
        <v>52.4</v>
      </c>
      <c r="K3319" t="s">
        <v>24</v>
      </c>
      <c r="L3319">
        <v>0</v>
      </c>
      <c r="M3319">
        <v>5</v>
      </c>
      <c r="N3319" t="s">
        <v>947</v>
      </c>
      <c r="O3319" s="3" t="str">
        <f>TEXT(Ticket_Table[[#This Row],[raised_date]],"YYYY-MM")</f>
        <v>2021-11</v>
      </c>
      <c r="P3319" s="3" t="str">
        <f>IF(Ticket_Table[[#This Row],[resolution_hrs]]&lt;=4,"Fast",IF(Ticket_Table[[#This Row],[resolution_hrs]]&lt;=24,"Normal",IF(Ticket_Table[[#This Row],[resolution_hrs]]&lt;=48,"Slow","Very Slow")))</f>
        <v>Very Slow</v>
      </c>
      <c r="Q3319" s="3">
        <f>YEAR(Ticket_Table[[#This Row],[raised_date]])</f>
        <v>2021</v>
      </c>
    </row>
    <row r="3320" spans="1:17">
      <c r="A3320" t="s">
        <v>3881</v>
      </c>
      <c r="B3320" t="s">
        <v>792</v>
      </c>
      <c r="C3320" t="s">
        <v>82</v>
      </c>
      <c r="D3320" t="s">
        <v>36</v>
      </c>
      <c r="E3320" t="s">
        <v>44</v>
      </c>
      <c r="F3320" t="s">
        <v>70</v>
      </c>
      <c r="G3320" t="s">
        <v>91</v>
      </c>
      <c r="H3320" s="1">
        <v>44563</v>
      </c>
      <c r="I3320" s="2">
        <v>44564.7083333333</v>
      </c>
      <c r="J3320">
        <v>41</v>
      </c>
      <c r="K3320" t="s">
        <v>24</v>
      </c>
      <c r="L3320">
        <v>1</v>
      </c>
      <c r="M3320">
        <v>1</v>
      </c>
      <c r="N3320" t="s">
        <v>163</v>
      </c>
      <c r="O3320" s="3" t="str">
        <f>TEXT(Ticket_Table[[#This Row],[raised_date]],"YYYY-MM")</f>
        <v>2022-01</v>
      </c>
      <c r="P3320" s="3" t="str">
        <f>IF(Ticket_Table[[#This Row],[resolution_hrs]]&lt;=4,"Fast",IF(Ticket_Table[[#This Row],[resolution_hrs]]&lt;=24,"Normal",IF(Ticket_Table[[#This Row],[resolution_hrs]]&lt;=48,"Slow","Very Slow")))</f>
        <v>Slow</v>
      </c>
      <c r="Q3320" s="3">
        <f>YEAR(Ticket_Table[[#This Row],[raised_date]])</f>
        <v>2022</v>
      </c>
    </row>
    <row r="3321" spans="1:17">
      <c r="A3321" t="s">
        <v>3882</v>
      </c>
      <c r="B3321" t="s">
        <v>186</v>
      </c>
      <c r="C3321" t="s">
        <v>175</v>
      </c>
      <c r="D3321" t="s">
        <v>43</v>
      </c>
      <c r="E3321" t="s">
        <v>83</v>
      </c>
      <c r="F3321" t="s">
        <v>70</v>
      </c>
      <c r="G3321" t="s">
        <v>31</v>
      </c>
      <c r="H3321" s="1">
        <v>44496</v>
      </c>
      <c r="I3321" s="2">
        <v>44497.3541666667</v>
      </c>
      <c r="J3321">
        <v>32.5</v>
      </c>
      <c r="K3321" t="s">
        <v>24</v>
      </c>
      <c r="L3321">
        <v>0</v>
      </c>
      <c r="M3321">
        <v>2</v>
      </c>
      <c r="N3321" t="s">
        <v>255</v>
      </c>
      <c r="O3321" s="3" t="str">
        <f>TEXT(Ticket_Table[[#This Row],[raised_date]],"YYYY-MM")</f>
        <v>2021-10</v>
      </c>
      <c r="P3321" s="3" t="str">
        <f>IF(Ticket_Table[[#This Row],[resolution_hrs]]&lt;=4,"Fast",IF(Ticket_Table[[#This Row],[resolution_hrs]]&lt;=24,"Normal",IF(Ticket_Table[[#This Row],[resolution_hrs]]&lt;=48,"Slow","Very Slow")))</f>
        <v>Slow</v>
      </c>
      <c r="Q3321" s="3">
        <f>YEAR(Ticket_Table[[#This Row],[raised_date]])</f>
        <v>2021</v>
      </c>
    </row>
    <row r="3322" spans="1:17">
      <c r="A3322" t="s">
        <v>3883</v>
      </c>
      <c r="B3322" t="s">
        <v>479</v>
      </c>
      <c r="C3322" t="s">
        <v>55</v>
      </c>
      <c r="D3322" t="s">
        <v>36</v>
      </c>
      <c r="E3322" t="s">
        <v>51</v>
      </c>
      <c r="F3322" t="s">
        <v>70</v>
      </c>
      <c r="G3322" t="s">
        <v>31</v>
      </c>
      <c r="H3322" s="1">
        <v>45187</v>
      </c>
      <c r="I3322" s="2">
        <v>45187.525</v>
      </c>
      <c r="J3322">
        <v>12.6</v>
      </c>
      <c r="K3322" t="s">
        <v>24</v>
      </c>
      <c r="L3322">
        <v>0</v>
      </c>
      <c r="M3322">
        <v>3</v>
      </c>
      <c r="N3322" t="s">
        <v>707</v>
      </c>
      <c r="O3322" s="3" t="str">
        <f>TEXT(Ticket_Table[[#This Row],[raised_date]],"YYYY-MM")</f>
        <v>2023-09</v>
      </c>
      <c r="P3322" s="3" t="str">
        <f>IF(Ticket_Table[[#This Row],[resolution_hrs]]&lt;=4,"Fast",IF(Ticket_Table[[#This Row],[resolution_hrs]]&lt;=24,"Normal",IF(Ticket_Table[[#This Row],[resolution_hrs]]&lt;=48,"Slow","Very Slow")))</f>
        <v>Normal</v>
      </c>
      <c r="Q3322" s="3">
        <f>YEAR(Ticket_Table[[#This Row],[raised_date]])</f>
        <v>2023</v>
      </c>
    </row>
    <row r="3323" spans="1:17">
      <c r="A3323" t="s">
        <v>3884</v>
      </c>
      <c r="B3323" t="s">
        <v>286</v>
      </c>
      <c r="C3323" t="s">
        <v>28</v>
      </c>
      <c r="D3323" t="s">
        <v>20</v>
      </c>
      <c r="E3323" t="s">
        <v>106</v>
      </c>
      <c r="F3323" t="s">
        <v>70</v>
      </c>
      <c r="G3323" t="s">
        <v>23</v>
      </c>
      <c r="H3323" s="1">
        <v>44931</v>
      </c>
      <c r="I3323" s="2">
        <v>44932.025</v>
      </c>
      <c r="J3323">
        <v>24.6</v>
      </c>
      <c r="K3323" t="s">
        <v>24</v>
      </c>
      <c r="L3323">
        <v>0</v>
      </c>
      <c r="M3323">
        <v>5</v>
      </c>
      <c r="N3323" t="s">
        <v>571</v>
      </c>
      <c r="O3323" s="3" t="str">
        <f>TEXT(Ticket_Table[[#This Row],[raised_date]],"YYYY-MM")</f>
        <v>2023-01</v>
      </c>
      <c r="P3323" s="3" t="str">
        <f>IF(Ticket_Table[[#This Row],[resolution_hrs]]&lt;=4,"Fast",IF(Ticket_Table[[#This Row],[resolution_hrs]]&lt;=24,"Normal",IF(Ticket_Table[[#This Row],[resolution_hrs]]&lt;=48,"Slow","Very Slow")))</f>
        <v>Slow</v>
      </c>
      <c r="Q3323" s="3">
        <f>YEAR(Ticket_Table[[#This Row],[raised_date]])</f>
        <v>2023</v>
      </c>
    </row>
    <row r="3324" spans="1:17">
      <c r="A3324" t="s">
        <v>3885</v>
      </c>
      <c r="B3324" t="s">
        <v>54</v>
      </c>
      <c r="C3324" t="s">
        <v>175</v>
      </c>
      <c r="D3324" t="s">
        <v>36</v>
      </c>
      <c r="E3324" t="s">
        <v>30</v>
      </c>
      <c r="F3324" t="s">
        <v>45</v>
      </c>
      <c r="G3324" t="s">
        <v>23</v>
      </c>
      <c r="H3324" s="1">
        <v>44279</v>
      </c>
      <c r="I3324" s="2">
        <v>44279.075</v>
      </c>
      <c r="J3324">
        <v>1.8</v>
      </c>
      <c r="K3324" t="s">
        <v>24</v>
      </c>
      <c r="L3324">
        <v>0</v>
      </c>
      <c r="M3324">
        <v>3</v>
      </c>
      <c r="N3324" t="s">
        <v>1348</v>
      </c>
      <c r="O3324" s="3" t="str">
        <f>TEXT(Ticket_Table[[#This Row],[raised_date]],"YYYY-MM")</f>
        <v>2021-03</v>
      </c>
      <c r="P3324" s="3" t="str">
        <f>IF(Ticket_Table[[#This Row],[resolution_hrs]]&lt;=4,"Fast",IF(Ticket_Table[[#This Row],[resolution_hrs]]&lt;=24,"Normal",IF(Ticket_Table[[#This Row],[resolution_hrs]]&lt;=48,"Slow","Very Slow")))</f>
        <v>Fast</v>
      </c>
      <c r="Q3324" s="3">
        <f>YEAR(Ticket_Table[[#This Row],[raised_date]])</f>
        <v>2021</v>
      </c>
    </row>
    <row r="3325" spans="1:17">
      <c r="A3325" t="s">
        <v>3886</v>
      </c>
      <c r="B3325" t="s">
        <v>240</v>
      </c>
      <c r="C3325" t="s">
        <v>19</v>
      </c>
      <c r="D3325" t="s">
        <v>43</v>
      </c>
      <c r="E3325" t="s">
        <v>51</v>
      </c>
      <c r="F3325" t="s">
        <v>70</v>
      </c>
      <c r="G3325" t="s">
        <v>91</v>
      </c>
      <c r="H3325" s="1">
        <v>44645</v>
      </c>
      <c r="I3325" s="2">
        <v>44645.2083333333</v>
      </c>
      <c r="J3325">
        <v>5</v>
      </c>
      <c r="K3325" t="s">
        <v>24</v>
      </c>
      <c r="L3325">
        <v>0</v>
      </c>
      <c r="M3325">
        <v>3</v>
      </c>
      <c r="N3325" t="s">
        <v>258</v>
      </c>
      <c r="O3325" s="3" t="str">
        <f>TEXT(Ticket_Table[[#This Row],[raised_date]],"YYYY-MM")</f>
        <v>2022-03</v>
      </c>
      <c r="P3325" s="3" t="str">
        <f>IF(Ticket_Table[[#This Row],[resolution_hrs]]&lt;=4,"Fast",IF(Ticket_Table[[#This Row],[resolution_hrs]]&lt;=24,"Normal",IF(Ticket_Table[[#This Row],[resolution_hrs]]&lt;=48,"Slow","Very Slow")))</f>
        <v>Normal</v>
      </c>
      <c r="Q3325" s="3">
        <f>YEAR(Ticket_Table[[#This Row],[raised_date]])</f>
        <v>2022</v>
      </c>
    </row>
    <row r="3326" spans="1:17">
      <c r="A3326" t="s">
        <v>3887</v>
      </c>
      <c r="B3326" t="s">
        <v>169</v>
      </c>
      <c r="C3326" t="s">
        <v>287</v>
      </c>
      <c r="D3326" t="s">
        <v>36</v>
      </c>
      <c r="E3326" t="s">
        <v>166</v>
      </c>
      <c r="F3326" t="s">
        <v>22</v>
      </c>
      <c r="G3326" t="s">
        <v>23</v>
      </c>
      <c r="H3326" s="1">
        <v>45195</v>
      </c>
      <c r="I3326" s="2">
        <v>45198.125</v>
      </c>
      <c r="J3326">
        <v>75</v>
      </c>
      <c r="K3326" t="s">
        <v>32</v>
      </c>
      <c r="L3326">
        <v>0</v>
      </c>
      <c r="M3326">
        <v>4</v>
      </c>
      <c r="N3326" t="s">
        <v>1136</v>
      </c>
      <c r="O3326" s="3" t="str">
        <f>TEXT(Ticket_Table[[#This Row],[raised_date]],"YYYY-MM")</f>
        <v>2023-09</v>
      </c>
      <c r="P3326" s="3" t="str">
        <f>IF(Ticket_Table[[#This Row],[resolution_hrs]]&lt;=4,"Fast",IF(Ticket_Table[[#This Row],[resolution_hrs]]&lt;=24,"Normal",IF(Ticket_Table[[#This Row],[resolution_hrs]]&lt;=48,"Slow","Very Slow")))</f>
        <v>Very Slow</v>
      </c>
      <c r="Q3326" s="3">
        <f>YEAR(Ticket_Table[[#This Row],[raised_date]])</f>
        <v>2023</v>
      </c>
    </row>
    <row r="3327" spans="1:17">
      <c r="A3327" t="s">
        <v>3888</v>
      </c>
      <c r="B3327" t="s">
        <v>614</v>
      </c>
      <c r="C3327" t="s">
        <v>117</v>
      </c>
      <c r="D3327" t="s">
        <v>29</v>
      </c>
      <c r="E3327" t="s">
        <v>106</v>
      </c>
      <c r="F3327" t="s">
        <v>70</v>
      </c>
      <c r="G3327" t="s">
        <v>31</v>
      </c>
      <c r="H3327" s="1">
        <v>44671</v>
      </c>
      <c r="I3327" s="2">
        <v>44672.9</v>
      </c>
      <c r="J3327">
        <v>45.6</v>
      </c>
      <c r="K3327" t="s">
        <v>24</v>
      </c>
      <c r="L3327">
        <v>0</v>
      </c>
      <c r="M3327">
        <v>4</v>
      </c>
      <c r="N3327" t="s">
        <v>255</v>
      </c>
      <c r="O3327" s="3" t="str">
        <f>TEXT(Ticket_Table[[#This Row],[raised_date]],"YYYY-MM")</f>
        <v>2022-04</v>
      </c>
      <c r="P3327" s="3" t="str">
        <f>IF(Ticket_Table[[#This Row],[resolution_hrs]]&lt;=4,"Fast",IF(Ticket_Table[[#This Row],[resolution_hrs]]&lt;=24,"Normal",IF(Ticket_Table[[#This Row],[resolution_hrs]]&lt;=48,"Slow","Very Slow")))</f>
        <v>Slow</v>
      </c>
      <c r="Q3327" s="3">
        <f>YEAR(Ticket_Table[[#This Row],[raised_date]])</f>
        <v>2022</v>
      </c>
    </row>
    <row r="3328" spans="1:17">
      <c r="A3328" t="s">
        <v>3889</v>
      </c>
      <c r="B3328" t="s">
        <v>707</v>
      </c>
      <c r="C3328" t="s">
        <v>201</v>
      </c>
      <c r="D3328" t="s">
        <v>43</v>
      </c>
      <c r="E3328" t="s">
        <v>166</v>
      </c>
      <c r="F3328" t="s">
        <v>38</v>
      </c>
      <c r="G3328" t="s">
        <v>31</v>
      </c>
      <c r="H3328" s="1">
        <v>44325</v>
      </c>
      <c r="I3328" s="2">
        <v>44325.2208333333</v>
      </c>
      <c r="J3328">
        <v>5.3</v>
      </c>
      <c r="K3328" t="s">
        <v>24</v>
      </c>
      <c r="L3328">
        <v>0</v>
      </c>
      <c r="M3328">
        <v>4</v>
      </c>
      <c r="N3328" t="s">
        <v>174</v>
      </c>
      <c r="O3328" s="3" t="str">
        <f>TEXT(Ticket_Table[[#This Row],[raised_date]],"YYYY-MM")</f>
        <v>2021-05</v>
      </c>
      <c r="P3328" s="3" t="str">
        <f>IF(Ticket_Table[[#This Row],[resolution_hrs]]&lt;=4,"Fast",IF(Ticket_Table[[#This Row],[resolution_hrs]]&lt;=24,"Normal",IF(Ticket_Table[[#This Row],[resolution_hrs]]&lt;=48,"Slow","Very Slow")))</f>
        <v>Normal</v>
      </c>
      <c r="Q3328" s="3">
        <f>YEAR(Ticket_Table[[#This Row],[raised_date]])</f>
        <v>2021</v>
      </c>
    </row>
    <row r="3329" spans="1:17">
      <c r="A3329" t="s">
        <v>3890</v>
      </c>
      <c r="B3329" t="s">
        <v>318</v>
      </c>
      <c r="C3329" t="s">
        <v>82</v>
      </c>
      <c r="D3329" t="s">
        <v>90</v>
      </c>
      <c r="E3329" t="s">
        <v>69</v>
      </c>
      <c r="F3329" t="s">
        <v>70</v>
      </c>
      <c r="G3329" t="s">
        <v>23</v>
      </c>
      <c r="H3329" s="1">
        <v>44738</v>
      </c>
      <c r="I3329" s="2">
        <v>44740.4833333333</v>
      </c>
      <c r="J3329">
        <v>59.6</v>
      </c>
      <c r="K3329" t="s">
        <v>32</v>
      </c>
      <c r="L3329">
        <v>2</v>
      </c>
      <c r="M3329">
        <v>5</v>
      </c>
      <c r="N3329" t="s">
        <v>562</v>
      </c>
      <c r="O3329" s="3" t="str">
        <f>TEXT(Ticket_Table[[#This Row],[raised_date]],"YYYY-MM")</f>
        <v>2022-06</v>
      </c>
      <c r="P3329" s="3" t="str">
        <f>IF(Ticket_Table[[#This Row],[resolution_hrs]]&lt;=4,"Fast",IF(Ticket_Table[[#This Row],[resolution_hrs]]&lt;=24,"Normal",IF(Ticket_Table[[#This Row],[resolution_hrs]]&lt;=48,"Slow","Very Slow")))</f>
        <v>Very Slow</v>
      </c>
      <c r="Q3329" s="3">
        <f>YEAR(Ticket_Table[[#This Row],[raised_date]])</f>
        <v>2022</v>
      </c>
    </row>
    <row r="3330" spans="1:17">
      <c r="A3330" t="s">
        <v>3891</v>
      </c>
      <c r="B3330" t="s">
        <v>656</v>
      </c>
      <c r="C3330" t="s">
        <v>140</v>
      </c>
      <c r="D3330" t="s">
        <v>36</v>
      </c>
      <c r="E3330" t="s">
        <v>37</v>
      </c>
      <c r="F3330" t="s">
        <v>22</v>
      </c>
      <c r="G3330" t="s">
        <v>23</v>
      </c>
      <c r="H3330" s="1">
        <v>44953</v>
      </c>
      <c r="I3330" s="2">
        <v>44953.5</v>
      </c>
      <c r="J3330">
        <v>12</v>
      </c>
      <c r="K3330" t="s">
        <v>24</v>
      </c>
      <c r="L3330">
        <v>0</v>
      </c>
      <c r="M3330">
        <v>3</v>
      </c>
      <c r="N3330" t="s">
        <v>374</v>
      </c>
      <c r="O3330" s="3" t="str">
        <f>TEXT(Ticket_Table[[#This Row],[raised_date]],"YYYY-MM")</f>
        <v>2023-01</v>
      </c>
      <c r="P3330" s="3" t="str">
        <f>IF(Ticket_Table[[#This Row],[resolution_hrs]]&lt;=4,"Fast",IF(Ticket_Table[[#This Row],[resolution_hrs]]&lt;=24,"Normal",IF(Ticket_Table[[#This Row],[resolution_hrs]]&lt;=48,"Slow","Very Slow")))</f>
        <v>Normal</v>
      </c>
      <c r="Q3330" s="3">
        <f>YEAR(Ticket_Table[[#This Row],[raised_date]])</f>
        <v>2023</v>
      </c>
    </row>
    <row r="3331" spans="1:17">
      <c r="A3331" t="s">
        <v>3892</v>
      </c>
      <c r="B3331" t="s">
        <v>132</v>
      </c>
      <c r="C3331" t="s">
        <v>287</v>
      </c>
      <c r="D3331" t="s">
        <v>29</v>
      </c>
      <c r="E3331" t="s">
        <v>44</v>
      </c>
      <c r="F3331" t="s">
        <v>38</v>
      </c>
      <c r="G3331" t="s">
        <v>23</v>
      </c>
      <c r="H3331" s="1">
        <v>44676</v>
      </c>
      <c r="I3331" s="2">
        <v>44676.475</v>
      </c>
      <c r="J3331">
        <v>11.4</v>
      </c>
      <c r="K3331" t="s">
        <v>24</v>
      </c>
      <c r="L3331">
        <v>0</v>
      </c>
      <c r="M3331">
        <v>3</v>
      </c>
      <c r="N3331" t="s">
        <v>63</v>
      </c>
      <c r="O3331" s="3" t="str">
        <f>TEXT(Ticket_Table[[#This Row],[raised_date]],"YYYY-MM")</f>
        <v>2022-04</v>
      </c>
      <c r="P3331" s="3" t="str">
        <f>IF(Ticket_Table[[#This Row],[resolution_hrs]]&lt;=4,"Fast",IF(Ticket_Table[[#This Row],[resolution_hrs]]&lt;=24,"Normal",IF(Ticket_Table[[#This Row],[resolution_hrs]]&lt;=48,"Slow","Very Slow")))</f>
        <v>Normal</v>
      </c>
      <c r="Q3331" s="3">
        <f>YEAR(Ticket_Table[[#This Row],[raised_date]])</f>
        <v>2022</v>
      </c>
    </row>
    <row r="3332" spans="1:17">
      <c r="A3332" t="s">
        <v>3893</v>
      </c>
      <c r="B3332" t="s">
        <v>63</v>
      </c>
      <c r="C3332" t="s">
        <v>287</v>
      </c>
      <c r="D3332" t="s">
        <v>20</v>
      </c>
      <c r="E3332" t="s">
        <v>30</v>
      </c>
      <c r="F3332" t="s">
        <v>70</v>
      </c>
      <c r="G3332" t="s">
        <v>46</v>
      </c>
      <c r="H3332" s="1">
        <v>44284</v>
      </c>
      <c r="I3332" s="2">
        <v>44285.5541666667</v>
      </c>
      <c r="J3332">
        <v>37.3</v>
      </c>
      <c r="K3332" t="s">
        <v>24</v>
      </c>
      <c r="L3332">
        <v>0</v>
      </c>
      <c r="M3332">
        <v>2</v>
      </c>
      <c r="N3332" t="s">
        <v>696</v>
      </c>
      <c r="O3332" s="3" t="str">
        <f>TEXT(Ticket_Table[[#This Row],[raised_date]],"YYYY-MM")</f>
        <v>2021-03</v>
      </c>
      <c r="P3332" s="3" t="str">
        <f>IF(Ticket_Table[[#This Row],[resolution_hrs]]&lt;=4,"Fast",IF(Ticket_Table[[#This Row],[resolution_hrs]]&lt;=24,"Normal",IF(Ticket_Table[[#This Row],[resolution_hrs]]&lt;=48,"Slow","Very Slow")))</f>
        <v>Slow</v>
      </c>
      <c r="Q3332" s="3">
        <f>YEAR(Ticket_Table[[#This Row],[raised_date]])</f>
        <v>2021</v>
      </c>
    </row>
    <row r="3333" spans="1:17">
      <c r="A3333" t="s">
        <v>3894</v>
      </c>
      <c r="B3333" t="s">
        <v>214</v>
      </c>
      <c r="C3333" t="s">
        <v>68</v>
      </c>
      <c r="D3333" t="s">
        <v>20</v>
      </c>
      <c r="E3333" t="s">
        <v>106</v>
      </c>
      <c r="F3333" t="s">
        <v>70</v>
      </c>
      <c r="G3333" t="s">
        <v>23</v>
      </c>
      <c r="H3333" s="1">
        <v>44620</v>
      </c>
      <c r="I3333" s="2">
        <v>44622.5166666667</v>
      </c>
      <c r="J3333">
        <v>60.4</v>
      </c>
      <c r="K3333" t="s">
        <v>32</v>
      </c>
      <c r="L3333">
        <v>1</v>
      </c>
      <c r="M3333">
        <v>4</v>
      </c>
      <c r="N3333" t="s">
        <v>462</v>
      </c>
      <c r="O3333" s="3" t="str">
        <f>TEXT(Ticket_Table[[#This Row],[raised_date]],"YYYY-MM")</f>
        <v>2022-02</v>
      </c>
      <c r="P3333" s="3" t="str">
        <f>IF(Ticket_Table[[#This Row],[resolution_hrs]]&lt;=4,"Fast",IF(Ticket_Table[[#This Row],[resolution_hrs]]&lt;=24,"Normal",IF(Ticket_Table[[#This Row],[resolution_hrs]]&lt;=48,"Slow","Very Slow")))</f>
        <v>Very Slow</v>
      </c>
      <c r="Q3333" s="3">
        <f>YEAR(Ticket_Table[[#This Row],[raised_date]])</f>
        <v>2022</v>
      </c>
    </row>
    <row r="3334" spans="1:17">
      <c r="A3334" t="s">
        <v>3895</v>
      </c>
      <c r="B3334" t="s">
        <v>1143</v>
      </c>
      <c r="C3334" t="s">
        <v>55</v>
      </c>
      <c r="D3334" t="s">
        <v>36</v>
      </c>
      <c r="E3334" t="s">
        <v>37</v>
      </c>
      <c r="F3334" t="s">
        <v>22</v>
      </c>
      <c r="G3334" t="s">
        <v>31</v>
      </c>
      <c r="H3334" s="1">
        <v>45257</v>
      </c>
      <c r="I3334" s="2">
        <v>45257.675</v>
      </c>
      <c r="J3334">
        <v>16.2</v>
      </c>
      <c r="K3334" t="s">
        <v>24</v>
      </c>
      <c r="L3334">
        <v>1</v>
      </c>
      <c r="M3334">
        <v>3</v>
      </c>
      <c r="N3334" t="s">
        <v>824</v>
      </c>
      <c r="O3334" s="3" t="str">
        <f>TEXT(Ticket_Table[[#This Row],[raised_date]],"YYYY-MM")</f>
        <v>2023-11</v>
      </c>
      <c r="P3334" s="3" t="str">
        <f>IF(Ticket_Table[[#This Row],[resolution_hrs]]&lt;=4,"Fast",IF(Ticket_Table[[#This Row],[resolution_hrs]]&lt;=24,"Normal",IF(Ticket_Table[[#This Row],[resolution_hrs]]&lt;=48,"Slow","Very Slow")))</f>
        <v>Normal</v>
      </c>
      <c r="Q3334" s="3">
        <f>YEAR(Ticket_Table[[#This Row],[raised_date]])</f>
        <v>2023</v>
      </c>
    </row>
    <row r="3335" spans="1:17">
      <c r="A3335" t="s">
        <v>3896</v>
      </c>
      <c r="B3335" t="s">
        <v>367</v>
      </c>
      <c r="C3335" t="s">
        <v>287</v>
      </c>
      <c r="D3335" t="s">
        <v>20</v>
      </c>
      <c r="E3335" t="s">
        <v>56</v>
      </c>
      <c r="F3335" t="s">
        <v>22</v>
      </c>
      <c r="G3335" t="s">
        <v>31</v>
      </c>
      <c r="H3335" s="1">
        <v>44936</v>
      </c>
      <c r="I3335" s="2">
        <v>44940.1083333333</v>
      </c>
      <c r="J3335">
        <v>98.6</v>
      </c>
      <c r="K3335" t="s">
        <v>32</v>
      </c>
      <c r="L3335">
        <v>0</v>
      </c>
      <c r="M3335">
        <v>5</v>
      </c>
      <c r="N3335" t="s">
        <v>455</v>
      </c>
      <c r="O3335" s="3" t="str">
        <f>TEXT(Ticket_Table[[#This Row],[raised_date]],"YYYY-MM")</f>
        <v>2023-01</v>
      </c>
      <c r="P3335" s="3" t="str">
        <f>IF(Ticket_Table[[#This Row],[resolution_hrs]]&lt;=4,"Fast",IF(Ticket_Table[[#This Row],[resolution_hrs]]&lt;=24,"Normal",IF(Ticket_Table[[#This Row],[resolution_hrs]]&lt;=48,"Slow","Very Slow")))</f>
        <v>Very Slow</v>
      </c>
      <c r="Q3335" s="3">
        <f>YEAR(Ticket_Table[[#This Row],[raised_date]])</f>
        <v>2023</v>
      </c>
    </row>
    <row r="3336" spans="1:17">
      <c r="A3336" t="s">
        <v>3897</v>
      </c>
      <c r="B3336" t="s">
        <v>180</v>
      </c>
      <c r="C3336" t="s">
        <v>133</v>
      </c>
      <c r="D3336" t="s">
        <v>90</v>
      </c>
      <c r="E3336" t="s">
        <v>166</v>
      </c>
      <c r="F3336" t="s">
        <v>70</v>
      </c>
      <c r="G3336" t="s">
        <v>23</v>
      </c>
      <c r="H3336" s="1">
        <v>44991</v>
      </c>
      <c r="I3336" s="2">
        <v>44991.1125</v>
      </c>
      <c r="J3336">
        <v>2.7</v>
      </c>
      <c r="K3336" t="s">
        <v>24</v>
      </c>
      <c r="L3336">
        <v>2</v>
      </c>
      <c r="M3336">
        <v>5</v>
      </c>
      <c r="N3336" t="s">
        <v>200</v>
      </c>
      <c r="O3336" s="3" t="str">
        <f>TEXT(Ticket_Table[[#This Row],[raised_date]],"YYYY-MM")</f>
        <v>2023-03</v>
      </c>
      <c r="P3336" s="3" t="str">
        <f>IF(Ticket_Table[[#This Row],[resolution_hrs]]&lt;=4,"Fast",IF(Ticket_Table[[#This Row],[resolution_hrs]]&lt;=24,"Normal",IF(Ticket_Table[[#This Row],[resolution_hrs]]&lt;=48,"Slow","Very Slow")))</f>
        <v>Fast</v>
      </c>
      <c r="Q3336" s="3">
        <f>YEAR(Ticket_Table[[#This Row],[raised_date]])</f>
        <v>2023</v>
      </c>
    </row>
    <row r="3337" spans="1:17">
      <c r="A3337" t="s">
        <v>3898</v>
      </c>
      <c r="B3337" t="s">
        <v>116</v>
      </c>
      <c r="C3337" t="s">
        <v>50</v>
      </c>
      <c r="D3337" t="s">
        <v>43</v>
      </c>
      <c r="E3337" t="s">
        <v>69</v>
      </c>
      <c r="F3337" t="s">
        <v>22</v>
      </c>
      <c r="G3337" t="s">
        <v>23</v>
      </c>
      <c r="H3337" s="1">
        <v>45158</v>
      </c>
      <c r="I3337" s="2">
        <v>45159.9458333333</v>
      </c>
      <c r="J3337">
        <v>46.7</v>
      </c>
      <c r="K3337" t="s">
        <v>24</v>
      </c>
      <c r="L3337">
        <v>1</v>
      </c>
      <c r="M3337">
        <v>1</v>
      </c>
      <c r="N3337" t="s">
        <v>603</v>
      </c>
      <c r="O3337" s="3" t="str">
        <f>TEXT(Ticket_Table[[#This Row],[raised_date]],"YYYY-MM")</f>
        <v>2023-08</v>
      </c>
      <c r="P3337" s="3" t="str">
        <f>IF(Ticket_Table[[#This Row],[resolution_hrs]]&lt;=4,"Fast",IF(Ticket_Table[[#This Row],[resolution_hrs]]&lt;=24,"Normal",IF(Ticket_Table[[#This Row],[resolution_hrs]]&lt;=48,"Slow","Very Slow")))</f>
        <v>Slow</v>
      </c>
      <c r="Q3337" s="3">
        <f>YEAR(Ticket_Table[[#This Row],[raised_date]])</f>
        <v>2023</v>
      </c>
    </row>
    <row r="3338" spans="1:17">
      <c r="A3338" t="s">
        <v>3899</v>
      </c>
      <c r="B3338" t="s">
        <v>618</v>
      </c>
      <c r="C3338" t="s">
        <v>102</v>
      </c>
      <c r="D3338" t="s">
        <v>29</v>
      </c>
      <c r="E3338" t="s">
        <v>166</v>
      </c>
      <c r="F3338" t="s">
        <v>70</v>
      </c>
      <c r="G3338" t="s">
        <v>23</v>
      </c>
      <c r="H3338" s="1">
        <v>45128</v>
      </c>
      <c r="I3338" s="2">
        <v>45128.4791666667</v>
      </c>
      <c r="J3338">
        <v>11.5</v>
      </c>
      <c r="K3338" t="s">
        <v>24</v>
      </c>
      <c r="L3338">
        <v>1</v>
      </c>
      <c r="M3338">
        <v>5</v>
      </c>
      <c r="N3338" t="s">
        <v>1003</v>
      </c>
      <c r="O3338" s="3" t="str">
        <f>TEXT(Ticket_Table[[#This Row],[raised_date]],"YYYY-MM")</f>
        <v>2023-07</v>
      </c>
      <c r="P3338" s="3" t="str">
        <f>IF(Ticket_Table[[#This Row],[resolution_hrs]]&lt;=4,"Fast",IF(Ticket_Table[[#This Row],[resolution_hrs]]&lt;=24,"Normal",IF(Ticket_Table[[#This Row],[resolution_hrs]]&lt;=48,"Slow","Very Slow")))</f>
        <v>Normal</v>
      </c>
      <c r="Q3338" s="3">
        <f>YEAR(Ticket_Table[[#This Row],[raised_date]])</f>
        <v>2023</v>
      </c>
    </row>
    <row r="3339" spans="1:17">
      <c r="A3339" t="s">
        <v>3900</v>
      </c>
      <c r="B3339" t="s">
        <v>1123</v>
      </c>
      <c r="C3339" t="s">
        <v>201</v>
      </c>
      <c r="D3339" t="s">
        <v>36</v>
      </c>
      <c r="E3339" t="s">
        <v>51</v>
      </c>
      <c r="F3339" t="s">
        <v>70</v>
      </c>
      <c r="G3339" t="s">
        <v>23</v>
      </c>
      <c r="H3339" s="1">
        <v>44292</v>
      </c>
      <c r="I3339" s="2">
        <v>44293.9791666667</v>
      </c>
      <c r="J3339">
        <v>47.5</v>
      </c>
      <c r="K3339" t="s">
        <v>24</v>
      </c>
      <c r="L3339">
        <v>0</v>
      </c>
      <c r="M3339">
        <v>3</v>
      </c>
      <c r="N3339" t="s">
        <v>235</v>
      </c>
      <c r="O3339" s="3" t="str">
        <f>TEXT(Ticket_Table[[#This Row],[raised_date]],"YYYY-MM")</f>
        <v>2021-04</v>
      </c>
      <c r="P3339" s="3" t="str">
        <f>IF(Ticket_Table[[#This Row],[resolution_hrs]]&lt;=4,"Fast",IF(Ticket_Table[[#This Row],[resolution_hrs]]&lt;=24,"Normal",IF(Ticket_Table[[#This Row],[resolution_hrs]]&lt;=48,"Slow","Very Slow")))</f>
        <v>Slow</v>
      </c>
      <c r="Q3339" s="3">
        <f>YEAR(Ticket_Table[[#This Row],[raised_date]])</f>
        <v>2021</v>
      </c>
    </row>
    <row r="3340" spans="1:17">
      <c r="A3340" t="s">
        <v>3901</v>
      </c>
      <c r="B3340" t="s">
        <v>385</v>
      </c>
      <c r="C3340" t="s">
        <v>28</v>
      </c>
      <c r="D3340" t="s">
        <v>20</v>
      </c>
      <c r="E3340" t="s">
        <v>83</v>
      </c>
      <c r="F3340" t="s">
        <v>22</v>
      </c>
      <c r="G3340" t="s">
        <v>23</v>
      </c>
      <c r="H3340" s="1">
        <v>44278</v>
      </c>
      <c r="I3340" s="2">
        <v>44279.05</v>
      </c>
      <c r="J3340">
        <v>25.2</v>
      </c>
      <c r="K3340" t="s">
        <v>24</v>
      </c>
      <c r="L3340">
        <v>0</v>
      </c>
      <c r="M3340">
        <v>4</v>
      </c>
      <c r="N3340" t="s">
        <v>794</v>
      </c>
      <c r="O3340" s="3" t="str">
        <f>TEXT(Ticket_Table[[#This Row],[raised_date]],"YYYY-MM")</f>
        <v>2021-03</v>
      </c>
      <c r="P3340" s="3" t="str">
        <f>IF(Ticket_Table[[#This Row],[resolution_hrs]]&lt;=4,"Fast",IF(Ticket_Table[[#This Row],[resolution_hrs]]&lt;=24,"Normal",IF(Ticket_Table[[#This Row],[resolution_hrs]]&lt;=48,"Slow","Very Slow")))</f>
        <v>Slow</v>
      </c>
      <c r="Q3340" s="3">
        <f>YEAR(Ticket_Table[[#This Row],[raised_date]])</f>
        <v>2021</v>
      </c>
    </row>
    <row r="3341" spans="1:17">
      <c r="A3341" t="s">
        <v>3902</v>
      </c>
      <c r="B3341" t="s">
        <v>126</v>
      </c>
      <c r="C3341" t="s">
        <v>95</v>
      </c>
      <c r="D3341" t="s">
        <v>43</v>
      </c>
      <c r="E3341" t="s">
        <v>69</v>
      </c>
      <c r="F3341" t="s">
        <v>45</v>
      </c>
      <c r="G3341" t="s">
        <v>31</v>
      </c>
      <c r="H3341" s="1">
        <v>44860</v>
      </c>
      <c r="I3341" s="2">
        <v>44860.225</v>
      </c>
      <c r="J3341">
        <v>5.4</v>
      </c>
      <c r="K3341" t="s">
        <v>32</v>
      </c>
      <c r="L3341">
        <v>0</v>
      </c>
      <c r="M3341">
        <v>4</v>
      </c>
      <c r="N3341" t="s">
        <v>1265</v>
      </c>
      <c r="O3341" s="3" t="str">
        <f>TEXT(Ticket_Table[[#This Row],[raised_date]],"YYYY-MM")</f>
        <v>2022-10</v>
      </c>
      <c r="P3341" s="3" t="str">
        <f>IF(Ticket_Table[[#This Row],[resolution_hrs]]&lt;=4,"Fast",IF(Ticket_Table[[#This Row],[resolution_hrs]]&lt;=24,"Normal",IF(Ticket_Table[[#This Row],[resolution_hrs]]&lt;=48,"Slow","Very Slow")))</f>
        <v>Normal</v>
      </c>
      <c r="Q3341" s="3">
        <f>YEAR(Ticket_Table[[#This Row],[raised_date]])</f>
        <v>2022</v>
      </c>
    </row>
    <row r="3342" spans="1:17">
      <c r="A3342" t="s">
        <v>3903</v>
      </c>
      <c r="B3342" t="s">
        <v>209</v>
      </c>
      <c r="C3342" t="s">
        <v>102</v>
      </c>
      <c r="D3342" t="s">
        <v>90</v>
      </c>
      <c r="E3342" t="s">
        <v>69</v>
      </c>
      <c r="F3342" t="s">
        <v>38</v>
      </c>
      <c r="G3342" t="s">
        <v>23</v>
      </c>
      <c r="H3342" s="1">
        <v>44408</v>
      </c>
      <c r="I3342" s="2">
        <v>44408.6041666667</v>
      </c>
      <c r="J3342">
        <v>14.5</v>
      </c>
      <c r="K3342" t="s">
        <v>24</v>
      </c>
      <c r="L3342">
        <v>0</v>
      </c>
      <c r="M3342">
        <v>4</v>
      </c>
      <c r="N3342" t="s">
        <v>854</v>
      </c>
      <c r="O3342" s="3" t="str">
        <f>TEXT(Ticket_Table[[#This Row],[raised_date]],"YYYY-MM")</f>
        <v>2021-07</v>
      </c>
      <c r="P3342" s="3" t="str">
        <f>IF(Ticket_Table[[#This Row],[resolution_hrs]]&lt;=4,"Fast",IF(Ticket_Table[[#This Row],[resolution_hrs]]&lt;=24,"Normal",IF(Ticket_Table[[#This Row],[resolution_hrs]]&lt;=48,"Slow","Very Slow")))</f>
        <v>Normal</v>
      </c>
      <c r="Q3342" s="3">
        <f>YEAR(Ticket_Table[[#This Row],[raised_date]])</f>
        <v>2021</v>
      </c>
    </row>
    <row r="3343" spans="1:17">
      <c r="A3343" t="s">
        <v>3904</v>
      </c>
      <c r="B3343" t="s">
        <v>1100</v>
      </c>
      <c r="C3343" t="s">
        <v>102</v>
      </c>
      <c r="D3343" t="s">
        <v>20</v>
      </c>
      <c r="E3343" t="s">
        <v>44</v>
      </c>
      <c r="F3343" t="s">
        <v>38</v>
      </c>
      <c r="G3343" t="s">
        <v>46</v>
      </c>
      <c r="H3343" s="1">
        <v>45264</v>
      </c>
      <c r="I3343" s="2">
        <v>45265.3291666667</v>
      </c>
      <c r="J3343">
        <v>31.9</v>
      </c>
      <c r="K3343" t="s">
        <v>32</v>
      </c>
      <c r="L3343">
        <v>0</v>
      </c>
      <c r="M3343">
        <v>4</v>
      </c>
      <c r="N3343" t="s">
        <v>501</v>
      </c>
      <c r="O3343" s="3" t="str">
        <f>TEXT(Ticket_Table[[#This Row],[raised_date]],"YYYY-MM")</f>
        <v>2023-12</v>
      </c>
      <c r="P3343" s="3" t="str">
        <f>IF(Ticket_Table[[#This Row],[resolution_hrs]]&lt;=4,"Fast",IF(Ticket_Table[[#This Row],[resolution_hrs]]&lt;=24,"Normal",IF(Ticket_Table[[#This Row],[resolution_hrs]]&lt;=48,"Slow","Very Slow")))</f>
        <v>Slow</v>
      </c>
      <c r="Q3343" s="3">
        <f>YEAR(Ticket_Table[[#This Row],[raised_date]])</f>
        <v>2023</v>
      </c>
    </row>
    <row r="3344" spans="1:17">
      <c r="A3344" t="s">
        <v>3905</v>
      </c>
      <c r="B3344" t="s">
        <v>387</v>
      </c>
      <c r="C3344" t="s">
        <v>42</v>
      </c>
      <c r="D3344" t="s">
        <v>20</v>
      </c>
      <c r="E3344" t="s">
        <v>30</v>
      </c>
      <c r="F3344" t="s">
        <v>22</v>
      </c>
      <c r="G3344" t="s">
        <v>23</v>
      </c>
      <c r="H3344" s="1">
        <v>44757</v>
      </c>
      <c r="I3344" s="2">
        <v>44760.7083333333</v>
      </c>
      <c r="J3344">
        <v>89</v>
      </c>
      <c r="K3344" t="s">
        <v>32</v>
      </c>
      <c r="L3344">
        <v>0</v>
      </c>
      <c r="M3344">
        <v>4</v>
      </c>
      <c r="N3344" t="s">
        <v>857</v>
      </c>
      <c r="O3344" s="3" t="str">
        <f>TEXT(Ticket_Table[[#This Row],[raised_date]],"YYYY-MM")</f>
        <v>2022-07</v>
      </c>
      <c r="P3344" s="3" t="str">
        <f>IF(Ticket_Table[[#This Row],[resolution_hrs]]&lt;=4,"Fast",IF(Ticket_Table[[#This Row],[resolution_hrs]]&lt;=24,"Normal",IF(Ticket_Table[[#This Row],[resolution_hrs]]&lt;=48,"Slow","Very Slow")))</f>
        <v>Very Slow</v>
      </c>
      <c r="Q3344" s="3">
        <f>YEAR(Ticket_Table[[#This Row],[raised_date]])</f>
        <v>2022</v>
      </c>
    </row>
    <row r="3345" spans="1:17">
      <c r="A3345" t="s">
        <v>3906</v>
      </c>
      <c r="B3345" t="s">
        <v>687</v>
      </c>
      <c r="C3345" t="s">
        <v>201</v>
      </c>
      <c r="D3345" t="s">
        <v>29</v>
      </c>
      <c r="E3345" t="s">
        <v>56</v>
      </c>
      <c r="F3345" t="s">
        <v>22</v>
      </c>
      <c r="G3345" t="s">
        <v>23</v>
      </c>
      <c r="H3345" s="1">
        <v>44736</v>
      </c>
      <c r="I3345" s="2">
        <v>44736.5416666667</v>
      </c>
      <c r="J3345">
        <v>13</v>
      </c>
      <c r="K3345" t="s">
        <v>24</v>
      </c>
      <c r="L3345">
        <v>1</v>
      </c>
      <c r="M3345">
        <v>5</v>
      </c>
      <c r="N3345" t="s">
        <v>854</v>
      </c>
      <c r="O3345" s="3" t="str">
        <f>TEXT(Ticket_Table[[#This Row],[raised_date]],"YYYY-MM")</f>
        <v>2022-06</v>
      </c>
      <c r="P3345" s="3" t="str">
        <f>IF(Ticket_Table[[#This Row],[resolution_hrs]]&lt;=4,"Fast",IF(Ticket_Table[[#This Row],[resolution_hrs]]&lt;=24,"Normal",IF(Ticket_Table[[#This Row],[resolution_hrs]]&lt;=48,"Slow","Very Slow")))</f>
        <v>Normal</v>
      </c>
      <c r="Q3345" s="3">
        <f>YEAR(Ticket_Table[[#This Row],[raised_date]])</f>
        <v>2022</v>
      </c>
    </row>
    <row r="3346" spans="1:17">
      <c r="A3346" t="s">
        <v>3907</v>
      </c>
      <c r="B3346" t="s">
        <v>186</v>
      </c>
      <c r="C3346" t="s">
        <v>175</v>
      </c>
      <c r="D3346" t="s">
        <v>90</v>
      </c>
      <c r="E3346" t="s">
        <v>56</v>
      </c>
      <c r="F3346" t="s">
        <v>70</v>
      </c>
      <c r="G3346" t="s">
        <v>23</v>
      </c>
      <c r="H3346" s="1">
        <v>44553</v>
      </c>
      <c r="I3346" s="2">
        <v>44553.5416666667</v>
      </c>
      <c r="J3346">
        <v>13</v>
      </c>
      <c r="K3346" t="s">
        <v>24</v>
      </c>
      <c r="L3346">
        <v>0</v>
      </c>
      <c r="M3346">
        <v>4</v>
      </c>
      <c r="N3346" t="s">
        <v>802</v>
      </c>
      <c r="O3346" s="3" t="str">
        <f>TEXT(Ticket_Table[[#This Row],[raised_date]],"YYYY-MM")</f>
        <v>2021-12</v>
      </c>
      <c r="P3346" s="3" t="str">
        <f>IF(Ticket_Table[[#This Row],[resolution_hrs]]&lt;=4,"Fast",IF(Ticket_Table[[#This Row],[resolution_hrs]]&lt;=24,"Normal",IF(Ticket_Table[[#This Row],[resolution_hrs]]&lt;=48,"Slow","Very Slow")))</f>
        <v>Normal</v>
      </c>
      <c r="Q3346" s="3">
        <f>YEAR(Ticket_Table[[#This Row],[raised_date]])</f>
        <v>2021</v>
      </c>
    </row>
    <row r="3347" spans="1:17">
      <c r="A3347" t="s">
        <v>3908</v>
      </c>
      <c r="B3347" t="s">
        <v>595</v>
      </c>
      <c r="C3347" t="s">
        <v>78</v>
      </c>
      <c r="D3347" t="s">
        <v>90</v>
      </c>
      <c r="E3347" t="s">
        <v>44</v>
      </c>
      <c r="F3347" t="s">
        <v>22</v>
      </c>
      <c r="G3347" t="s">
        <v>23</v>
      </c>
      <c r="H3347" s="1">
        <v>44968</v>
      </c>
      <c r="I3347" s="2">
        <v>44968.5333333333</v>
      </c>
      <c r="J3347">
        <v>12.8</v>
      </c>
      <c r="K3347" t="s">
        <v>24</v>
      </c>
      <c r="L3347">
        <v>0</v>
      </c>
      <c r="M3347">
        <v>3</v>
      </c>
      <c r="N3347" t="s">
        <v>35</v>
      </c>
      <c r="O3347" s="3" t="str">
        <f>TEXT(Ticket_Table[[#This Row],[raised_date]],"YYYY-MM")</f>
        <v>2023-02</v>
      </c>
      <c r="P3347" s="3" t="str">
        <f>IF(Ticket_Table[[#This Row],[resolution_hrs]]&lt;=4,"Fast",IF(Ticket_Table[[#This Row],[resolution_hrs]]&lt;=24,"Normal",IF(Ticket_Table[[#This Row],[resolution_hrs]]&lt;=48,"Slow","Very Slow")))</f>
        <v>Normal</v>
      </c>
      <c r="Q3347" s="3">
        <f>YEAR(Ticket_Table[[#This Row],[raised_date]])</f>
        <v>2023</v>
      </c>
    </row>
    <row r="3348" spans="1:17">
      <c r="A3348" t="s">
        <v>3909</v>
      </c>
      <c r="B3348" t="s">
        <v>269</v>
      </c>
      <c r="C3348" t="s">
        <v>64</v>
      </c>
      <c r="D3348" t="s">
        <v>36</v>
      </c>
      <c r="E3348" t="s">
        <v>166</v>
      </c>
      <c r="F3348" t="s">
        <v>45</v>
      </c>
      <c r="G3348" t="s">
        <v>23</v>
      </c>
      <c r="H3348" s="1">
        <v>44972</v>
      </c>
      <c r="I3348" s="2">
        <v>44972.0625</v>
      </c>
      <c r="J3348">
        <v>1.5</v>
      </c>
      <c r="K3348" t="s">
        <v>24</v>
      </c>
      <c r="L3348">
        <v>2</v>
      </c>
      <c r="M3348">
        <v>5</v>
      </c>
      <c r="N3348" t="s">
        <v>1063</v>
      </c>
      <c r="O3348" s="3" t="str">
        <f>TEXT(Ticket_Table[[#This Row],[raised_date]],"YYYY-MM")</f>
        <v>2023-02</v>
      </c>
      <c r="P3348" s="3" t="str">
        <f>IF(Ticket_Table[[#This Row],[resolution_hrs]]&lt;=4,"Fast",IF(Ticket_Table[[#This Row],[resolution_hrs]]&lt;=24,"Normal",IF(Ticket_Table[[#This Row],[resolution_hrs]]&lt;=48,"Slow","Very Slow")))</f>
        <v>Fast</v>
      </c>
      <c r="Q3348" s="3">
        <f>YEAR(Ticket_Table[[#This Row],[raised_date]])</f>
        <v>2023</v>
      </c>
    </row>
    <row r="3349" spans="1:17">
      <c r="A3349" t="s">
        <v>3910</v>
      </c>
      <c r="B3349" t="s">
        <v>780</v>
      </c>
      <c r="C3349" t="s">
        <v>82</v>
      </c>
      <c r="D3349" t="s">
        <v>29</v>
      </c>
      <c r="E3349" t="s">
        <v>21</v>
      </c>
      <c r="F3349" t="s">
        <v>22</v>
      </c>
      <c r="G3349" t="s">
        <v>31</v>
      </c>
      <c r="H3349" s="1">
        <v>44945</v>
      </c>
      <c r="I3349" s="2">
        <v>44949.3041666667</v>
      </c>
      <c r="J3349">
        <v>103.3</v>
      </c>
      <c r="K3349" t="s">
        <v>32</v>
      </c>
      <c r="L3349">
        <v>0</v>
      </c>
      <c r="M3349">
        <v>5</v>
      </c>
      <c r="N3349" t="s">
        <v>413</v>
      </c>
      <c r="O3349" s="3" t="str">
        <f>TEXT(Ticket_Table[[#This Row],[raised_date]],"YYYY-MM")</f>
        <v>2023-01</v>
      </c>
      <c r="P3349" s="3" t="str">
        <f>IF(Ticket_Table[[#This Row],[resolution_hrs]]&lt;=4,"Fast",IF(Ticket_Table[[#This Row],[resolution_hrs]]&lt;=24,"Normal",IF(Ticket_Table[[#This Row],[resolution_hrs]]&lt;=48,"Slow","Very Slow")))</f>
        <v>Very Slow</v>
      </c>
      <c r="Q3349" s="3">
        <f>YEAR(Ticket_Table[[#This Row],[raised_date]])</f>
        <v>2023</v>
      </c>
    </row>
    <row r="3350" spans="1:17">
      <c r="A3350" t="s">
        <v>3911</v>
      </c>
      <c r="B3350" t="s">
        <v>401</v>
      </c>
      <c r="C3350" t="s">
        <v>82</v>
      </c>
      <c r="D3350" t="s">
        <v>36</v>
      </c>
      <c r="E3350" t="s">
        <v>37</v>
      </c>
      <c r="F3350" t="s">
        <v>70</v>
      </c>
      <c r="G3350" t="s">
        <v>31</v>
      </c>
      <c r="H3350" s="1">
        <v>44356</v>
      </c>
      <c r="I3350" s="2">
        <v>44357.1</v>
      </c>
      <c r="J3350">
        <v>26.4</v>
      </c>
      <c r="K3350" t="s">
        <v>24</v>
      </c>
      <c r="L3350">
        <v>0</v>
      </c>
      <c r="M3350">
        <v>4</v>
      </c>
      <c r="N3350" t="s">
        <v>405</v>
      </c>
      <c r="O3350" s="3" t="str">
        <f>TEXT(Ticket_Table[[#This Row],[raised_date]],"YYYY-MM")</f>
        <v>2021-06</v>
      </c>
      <c r="P3350" s="3" t="str">
        <f>IF(Ticket_Table[[#This Row],[resolution_hrs]]&lt;=4,"Fast",IF(Ticket_Table[[#This Row],[resolution_hrs]]&lt;=24,"Normal",IF(Ticket_Table[[#This Row],[resolution_hrs]]&lt;=48,"Slow","Very Slow")))</f>
        <v>Slow</v>
      </c>
      <c r="Q3350" s="3">
        <f>YEAR(Ticket_Table[[#This Row],[raised_date]])</f>
        <v>2021</v>
      </c>
    </row>
    <row r="3351" spans="1:17">
      <c r="A3351" t="s">
        <v>3912</v>
      </c>
      <c r="B3351" t="s">
        <v>178</v>
      </c>
      <c r="C3351" t="s">
        <v>82</v>
      </c>
      <c r="D3351" t="s">
        <v>29</v>
      </c>
      <c r="E3351" t="s">
        <v>21</v>
      </c>
      <c r="F3351" t="s">
        <v>70</v>
      </c>
      <c r="G3351" t="s">
        <v>31</v>
      </c>
      <c r="H3351" s="1">
        <v>45255</v>
      </c>
      <c r="I3351" s="2">
        <v>45256.8625</v>
      </c>
      <c r="J3351">
        <v>44.7</v>
      </c>
      <c r="K3351" t="s">
        <v>24</v>
      </c>
      <c r="L3351">
        <v>0</v>
      </c>
      <c r="M3351">
        <v>4</v>
      </c>
      <c r="N3351" t="s">
        <v>621</v>
      </c>
      <c r="O3351" s="3" t="str">
        <f>TEXT(Ticket_Table[[#This Row],[raised_date]],"YYYY-MM")</f>
        <v>2023-11</v>
      </c>
      <c r="P3351" s="3" t="str">
        <f>IF(Ticket_Table[[#This Row],[resolution_hrs]]&lt;=4,"Fast",IF(Ticket_Table[[#This Row],[resolution_hrs]]&lt;=24,"Normal",IF(Ticket_Table[[#This Row],[resolution_hrs]]&lt;=48,"Slow","Very Slow")))</f>
        <v>Slow</v>
      </c>
      <c r="Q3351" s="3">
        <f>YEAR(Ticket_Table[[#This Row],[raised_date]])</f>
        <v>2023</v>
      </c>
    </row>
    <row r="3352" spans="1:17">
      <c r="A3352" t="s">
        <v>3913</v>
      </c>
      <c r="B3352" t="s">
        <v>640</v>
      </c>
      <c r="C3352" t="s">
        <v>117</v>
      </c>
      <c r="D3352" t="s">
        <v>90</v>
      </c>
      <c r="E3352" t="s">
        <v>51</v>
      </c>
      <c r="F3352" t="s">
        <v>70</v>
      </c>
      <c r="G3352" t="s">
        <v>23</v>
      </c>
      <c r="H3352" s="1">
        <v>44712</v>
      </c>
      <c r="I3352" s="2">
        <v>44712.3916666667</v>
      </c>
      <c r="J3352">
        <v>9.4</v>
      </c>
      <c r="K3352" t="s">
        <v>24</v>
      </c>
      <c r="L3352">
        <v>2</v>
      </c>
      <c r="M3352">
        <v>5</v>
      </c>
      <c r="N3352" t="s">
        <v>804</v>
      </c>
      <c r="O3352" s="3" t="str">
        <f>TEXT(Ticket_Table[[#This Row],[raised_date]],"YYYY-MM")</f>
        <v>2022-05</v>
      </c>
      <c r="P3352" s="3" t="str">
        <f>IF(Ticket_Table[[#This Row],[resolution_hrs]]&lt;=4,"Fast",IF(Ticket_Table[[#This Row],[resolution_hrs]]&lt;=24,"Normal",IF(Ticket_Table[[#This Row],[resolution_hrs]]&lt;=48,"Slow","Very Slow")))</f>
        <v>Normal</v>
      </c>
      <c r="Q3352" s="3">
        <f>YEAR(Ticket_Table[[#This Row],[raised_date]])</f>
        <v>2022</v>
      </c>
    </row>
    <row r="3353" spans="1:17">
      <c r="A3353" t="s">
        <v>3914</v>
      </c>
      <c r="B3353" t="s">
        <v>334</v>
      </c>
      <c r="C3353" t="s">
        <v>64</v>
      </c>
      <c r="D3353" t="s">
        <v>29</v>
      </c>
      <c r="E3353" t="s">
        <v>56</v>
      </c>
      <c r="F3353" t="s">
        <v>22</v>
      </c>
      <c r="G3353" t="s">
        <v>74</v>
      </c>
      <c r="H3353" s="1">
        <v>44967</v>
      </c>
      <c r="I3353" s="2">
        <v>44971.1583333333</v>
      </c>
      <c r="J3353">
        <v>99.8</v>
      </c>
      <c r="K3353" t="s">
        <v>32</v>
      </c>
      <c r="L3353">
        <v>1</v>
      </c>
      <c r="M3353">
        <v>5</v>
      </c>
      <c r="N3353" t="s">
        <v>455</v>
      </c>
      <c r="O3353" s="3" t="str">
        <f>TEXT(Ticket_Table[[#This Row],[raised_date]],"YYYY-MM")</f>
        <v>2023-02</v>
      </c>
      <c r="P3353" s="3" t="str">
        <f>IF(Ticket_Table[[#This Row],[resolution_hrs]]&lt;=4,"Fast",IF(Ticket_Table[[#This Row],[resolution_hrs]]&lt;=24,"Normal",IF(Ticket_Table[[#This Row],[resolution_hrs]]&lt;=48,"Slow","Very Slow")))</f>
        <v>Very Slow</v>
      </c>
      <c r="Q3353" s="3">
        <f>YEAR(Ticket_Table[[#This Row],[raised_date]])</f>
        <v>2023</v>
      </c>
    </row>
    <row r="3354" spans="1:17">
      <c r="A3354" t="s">
        <v>3915</v>
      </c>
      <c r="B3354" t="s">
        <v>302</v>
      </c>
      <c r="C3354" t="s">
        <v>133</v>
      </c>
      <c r="D3354" t="s">
        <v>29</v>
      </c>
      <c r="E3354" t="s">
        <v>30</v>
      </c>
      <c r="F3354" t="s">
        <v>70</v>
      </c>
      <c r="G3354" t="s">
        <v>23</v>
      </c>
      <c r="H3354" s="1">
        <v>44653</v>
      </c>
      <c r="I3354" s="2">
        <v>44655.7625</v>
      </c>
      <c r="J3354">
        <v>66.3</v>
      </c>
      <c r="K3354" t="s">
        <v>32</v>
      </c>
      <c r="L3354">
        <v>0</v>
      </c>
      <c r="M3354">
        <v>1</v>
      </c>
      <c r="N3354" t="s">
        <v>296</v>
      </c>
      <c r="O3354" s="3" t="str">
        <f>TEXT(Ticket_Table[[#This Row],[raised_date]],"YYYY-MM")</f>
        <v>2022-04</v>
      </c>
      <c r="P3354" s="3" t="str">
        <f>IF(Ticket_Table[[#This Row],[resolution_hrs]]&lt;=4,"Fast",IF(Ticket_Table[[#This Row],[resolution_hrs]]&lt;=24,"Normal",IF(Ticket_Table[[#This Row],[resolution_hrs]]&lt;=48,"Slow","Very Slow")))</f>
        <v>Very Slow</v>
      </c>
      <c r="Q3354" s="3">
        <f>YEAR(Ticket_Table[[#This Row],[raised_date]])</f>
        <v>2022</v>
      </c>
    </row>
    <row r="3355" spans="1:17">
      <c r="A3355" t="s">
        <v>3916</v>
      </c>
      <c r="B3355" t="s">
        <v>267</v>
      </c>
      <c r="C3355" t="s">
        <v>28</v>
      </c>
      <c r="D3355" t="s">
        <v>29</v>
      </c>
      <c r="E3355" t="s">
        <v>83</v>
      </c>
      <c r="F3355" t="s">
        <v>22</v>
      </c>
      <c r="G3355" t="s">
        <v>31</v>
      </c>
      <c r="H3355" s="1">
        <v>45254</v>
      </c>
      <c r="I3355" s="2">
        <v>45258.0333333333</v>
      </c>
      <c r="J3355">
        <v>96.8</v>
      </c>
      <c r="K3355" t="s">
        <v>32</v>
      </c>
      <c r="L3355">
        <v>2</v>
      </c>
      <c r="M3355">
        <v>4</v>
      </c>
      <c r="N3355" t="s">
        <v>75</v>
      </c>
      <c r="O3355" s="3" t="str">
        <f>TEXT(Ticket_Table[[#This Row],[raised_date]],"YYYY-MM")</f>
        <v>2023-11</v>
      </c>
      <c r="P3355" s="3" t="str">
        <f>IF(Ticket_Table[[#This Row],[resolution_hrs]]&lt;=4,"Fast",IF(Ticket_Table[[#This Row],[resolution_hrs]]&lt;=24,"Normal",IF(Ticket_Table[[#This Row],[resolution_hrs]]&lt;=48,"Slow","Very Slow")))</f>
        <v>Very Slow</v>
      </c>
      <c r="Q3355" s="3">
        <f>YEAR(Ticket_Table[[#This Row],[raised_date]])</f>
        <v>2023</v>
      </c>
    </row>
    <row r="3356" spans="1:17">
      <c r="A3356" t="s">
        <v>3917</v>
      </c>
      <c r="B3356" t="s">
        <v>966</v>
      </c>
      <c r="C3356" t="s">
        <v>133</v>
      </c>
      <c r="D3356" t="s">
        <v>43</v>
      </c>
      <c r="E3356" t="s">
        <v>166</v>
      </c>
      <c r="F3356" t="s">
        <v>38</v>
      </c>
      <c r="G3356" t="s">
        <v>23</v>
      </c>
      <c r="H3356" s="1">
        <v>45028</v>
      </c>
      <c r="I3356" s="2">
        <v>45028.925</v>
      </c>
      <c r="J3356">
        <v>22.2</v>
      </c>
      <c r="K3356" t="s">
        <v>24</v>
      </c>
      <c r="L3356">
        <v>0</v>
      </c>
      <c r="M3356">
        <v>5</v>
      </c>
      <c r="N3356" t="s">
        <v>406</v>
      </c>
      <c r="O3356" s="3" t="str">
        <f>TEXT(Ticket_Table[[#This Row],[raised_date]],"YYYY-MM")</f>
        <v>2023-04</v>
      </c>
      <c r="P3356" s="3" t="str">
        <f>IF(Ticket_Table[[#This Row],[resolution_hrs]]&lt;=4,"Fast",IF(Ticket_Table[[#This Row],[resolution_hrs]]&lt;=24,"Normal",IF(Ticket_Table[[#This Row],[resolution_hrs]]&lt;=48,"Slow","Very Slow")))</f>
        <v>Normal</v>
      </c>
      <c r="Q3356" s="3">
        <f>YEAR(Ticket_Table[[#This Row],[raised_date]])</f>
        <v>2023</v>
      </c>
    </row>
    <row r="3357" spans="1:17">
      <c r="A3357" t="s">
        <v>3918</v>
      </c>
      <c r="B3357" t="s">
        <v>1337</v>
      </c>
      <c r="C3357" t="s">
        <v>82</v>
      </c>
      <c r="D3357" t="s">
        <v>43</v>
      </c>
      <c r="E3357" t="s">
        <v>30</v>
      </c>
      <c r="F3357" t="s">
        <v>22</v>
      </c>
      <c r="G3357" t="s">
        <v>23</v>
      </c>
      <c r="H3357" s="1">
        <v>44919</v>
      </c>
      <c r="I3357" s="2">
        <v>44919.8375</v>
      </c>
      <c r="J3357">
        <v>20.1</v>
      </c>
      <c r="K3357" t="s">
        <v>24</v>
      </c>
      <c r="L3357">
        <v>0</v>
      </c>
      <c r="M3357">
        <v>3</v>
      </c>
      <c r="N3357" t="s">
        <v>148</v>
      </c>
      <c r="O3357" s="3" t="str">
        <f>TEXT(Ticket_Table[[#This Row],[raised_date]],"YYYY-MM")</f>
        <v>2022-12</v>
      </c>
      <c r="P3357" s="3" t="str">
        <f>IF(Ticket_Table[[#This Row],[resolution_hrs]]&lt;=4,"Fast",IF(Ticket_Table[[#This Row],[resolution_hrs]]&lt;=24,"Normal",IF(Ticket_Table[[#This Row],[resolution_hrs]]&lt;=48,"Slow","Very Slow")))</f>
        <v>Normal</v>
      </c>
      <c r="Q3357" s="3">
        <f>YEAR(Ticket_Table[[#This Row],[raised_date]])</f>
        <v>2022</v>
      </c>
    </row>
    <row r="3358" spans="1:17">
      <c r="A3358" t="s">
        <v>3919</v>
      </c>
      <c r="B3358" t="s">
        <v>305</v>
      </c>
      <c r="C3358" t="s">
        <v>133</v>
      </c>
      <c r="D3358" t="s">
        <v>90</v>
      </c>
      <c r="E3358" t="s">
        <v>30</v>
      </c>
      <c r="F3358" t="s">
        <v>45</v>
      </c>
      <c r="G3358" t="s">
        <v>46</v>
      </c>
      <c r="H3358" s="1">
        <v>44903</v>
      </c>
      <c r="I3358" s="2">
        <v>44903.1541666667</v>
      </c>
      <c r="J3358">
        <v>3.7</v>
      </c>
      <c r="K3358" t="s">
        <v>24</v>
      </c>
      <c r="L3358">
        <v>0</v>
      </c>
      <c r="M3358">
        <v>4</v>
      </c>
      <c r="N3358" t="s">
        <v>207</v>
      </c>
      <c r="O3358" s="3" t="str">
        <f>TEXT(Ticket_Table[[#This Row],[raised_date]],"YYYY-MM")</f>
        <v>2022-12</v>
      </c>
      <c r="P3358" s="3" t="str">
        <f>IF(Ticket_Table[[#This Row],[resolution_hrs]]&lt;=4,"Fast",IF(Ticket_Table[[#This Row],[resolution_hrs]]&lt;=24,"Normal",IF(Ticket_Table[[#This Row],[resolution_hrs]]&lt;=48,"Slow","Very Slow")))</f>
        <v>Fast</v>
      </c>
      <c r="Q3358" s="3">
        <f>YEAR(Ticket_Table[[#This Row],[raised_date]])</f>
        <v>2022</v>
      </c>
    </row>
    <row r="3359" spans="1:17">
      <c r="A3359" t="s">
        <v>3920</v>
      </c>
      <c r="B3359" t="s">
        <v>512</v>
      </c>
      <c r="C3359" t="s">
        <v>95</v>
      </c>
      <c r="D3359" t="s">
        <v>29</v>
      </c>
      <c r="E3359" t="s">
        <v>106</v>
      </c>
      <c r="F3359" t="s">
        <v>38</v>
      </c>
      <c r="G3359" t="s">
        <v>31</v>
      </c>
      <c r="H3359" s="1">
        <v>45194</v>
      </c>
      <c r="I3359" s="2">
        <v>45194.9166666667</v>
      </c>
      <c r="J3359">
        <v>22</v>
      </c>
      <c r="K3359" t="s">
        <v>24</v>
      </c>
      <c r="L3359">
        <v>0</v>
      </c>
      <c r="M3359">
        <v>4</v>
      </c>
      <c r="N3359" t="s">
        <v>383</v>
      </c>
      <c r="O3359" s="3" t="str">
        <f>TEXT(Ticket_Table[[#This Row],[raised_date]],"YYYY-MM")</f>
        <v>2023-09</v>
      </c>
      <c r="P3359" s="3" t="str">
        <f>IF(Ticket_Table[[#This Row],[resolution_hrs]]&lt;=4,"Fast",IF(Ticket_Table[[#This Row],[resolution_hrs]]&lt;=24,"Normal",IF(Ticket_Table[[#This Row],[resolution_hrs]]&lt;=48,"Slow","Very Slow")))</f>
        <v>Normal</v>
      </c>
      <c r="Q3359" s="3">
        <f>YEAR(Ticket_Table[[#This Row],[raised_date]])</f>
        <v>2023</v>
      </c>
    </row>
    <row r="3360" spans="1:17">
      <c r="A3360" t="s">
        <v>3921</v>
      </c>
      <c r="B3360" t="s">
        <v>47</v>
      </c>
      <c r="C3360" t="s">
        <v>140</v>
      </c>
      <c r="D3360" t="s">
        <v>90</v>
      </c>
      <c r="E3360" t="s">
        <v>69</v>
      </c>
      <c r="F3360" t="s">
        <v>22</v>
      </c>
      <c r="G3360" t="s">
        <v>31</v>
      </c>
      <c r="H3360" s="1">
        <v>45184</v>
      </c>
      <c r="I3360" s="2">
        <v>45187.0708333333</v>
      </c>
      <c r="J3360">
        <v>73.7</v>
      </c>
      <c r="K3360" t="s">
        <v>32</v>
      </c>
      <c r="L3360">
        <v>0</v>
      </c>
      <c r="M3360">
        <v>3</v>
      </c>
      <c r="N3360" t="s">
        <v>886</v>
      </c>
      <c r="O3360" s="3" t="str">
        <f>TEXT(Ticket_Table[[#This Row],[raised_date]],"YYYY-MM")</f>
        <v>2023-09</v>
      </c>
      <c r="P3360" s="3" t="str">
        <f>IF(Ticket_Table[[#This Row],[resolution_hrs]]&lt;=4,"Fast",IF(Ticket_Table[[#This Row],[resolution_hrs]]&lt;=24,"Normal",IF(Ticket_Table[[#This Row],[resolution_hrs]]&lt;=48,"Slow","Very Slow")))</f>
        <v>Very Slow</v>
      </c>
      <c r="Q3360" s="3">
        <f>YEAR(Ticket_Table[[#This Row],[raised_date]])</f>
        <v>2023</v>
      </c>
    </row>
    <row r="3361" spans="1:17">
      <c r="A3361" t="s">
        <v>3922</v>
      </c>
      <c r="B3361" t="s">
        <v>293</v>
      </c>
      <c r="C3361" t="s">
        <v>201</v>
      </c>
      <c r="D3361" t="s">
        <v>43</v>
      </c>
      <c r="E3361" t="s">
        <v>37</v>
      </c>
      <c r="F3361" t="s">
        <v>38</v>
      </c>
      <c r="G3361" t="s">
        <v>46</v>
      </c>
      <c r="H3361" s="1">
        <v>44210</v>
      </c>
      <c r="I3361" s="2">
        <v>44210.2625</v>
      </c>
      <c r="J3361">
        <v>6.3</v>
      </c>
      <c r="K3361" t="s">
        <v>24</v>
      </c>
      <c r="L3361">
        <v>0</v>
      </c>
      <c r="M3361">
        <v>2</v>
      </c>
      <c r="N3361" t="s">
        <v>206</v>
      </c>
      <c r="O3361" s="3" t="str">
        <f>TEXT(Ticket_Table[[#This Row],[raised_date]],"YYYY-MM")</f>
        <v>2021-01</v>
      </c>
      <c r="P3361" s="3" t="str">
        <f>IF(Ticket_Table[[#This Row],[resolution_hrs]]&lt;=4,"Fast",IF(Ticket_Table[[#This Row],[resolution_hrs]]&lt;=24,"Normal",IF(Ticket_Table[[#This Row],[resolution_hrs]]&lt;=48,"Slow","Very Slow")))</f>
        <v>Normal</v>
      </c>
      <c r="Q3361" s="3">
        <f>YEAR(Ticket_Table[[#This Row],[raised_date]])</f>
        <v>2021</v>
      </c>
    </row>
    <row r="3362" spans="1:17">
      <c r="A3362" t="s">
        <v>3923</v>
      </c>
      <c r="B3362" t="s">
        <v>232</v>
      </c>
      <c r="C3362" t="s">
        <v>50</v>
      </c>
      <c r="D3362" t="s">
        <v>29</v>
      </c>
      <c r="E3362" t="s">
        <v>69</v>
      </c>
      <c r="F3362" t="s">
        <v>22</v>
      </c>
      <c r="G3362" t="s">
        <v>31</v>
      </c>
      <c r="H3362" s="1">
        <v>45224</v>
      </c>
      <c r="I3362" s="2">
        <v>45227.0166666667</v>
      </c>
      <c r="J3362">
        <v>72.4</v>
      </c>
      <c r="K3362" t="s">
        <v>32</v>
      </c>
      <c r="L3362">
        <v>0</v>
      </c>
      <c r="M3362">
        <v>4</v>
      </c>
      <c r="N3362" t="s">
        <v>171</v>
      </c>
      <c r="O3362" s="3" t="str">
        <f>TEXT(Ticket_Table[[#This Row],[raised_date]],"YYYY-MM")</f>
        <v>2023-10</v>
      </c>
      <c r="P3362" s="3" t="str">
        <f>IF(Ticket_Table[[#This Row],[resolution_hrs]]&lt;=4,"Fast",IF(Ticket_Table[[#This Row],[resolution_hrs]]&lt;=24,"Normal",IF(Ticket_Table[[#This Row],[resolution_hrs]]&lt;=48,"Slow","Very Slow")))</f>
        <v>Very Slow</v>
      </c>
      <c r="Q3362" s="3">
        <f>YEAR(Ticket_Table[[#This Row],[raised_date]])</f>
        <v>2023</v>
      </c>
    </row>
    <row r="3363" spans="1:17">
      <c r="A3363" t="s">
        <v>3924</v>
      </c>
      <c r="B3363" t="s">
        <v>1067</v>
      </c>
      <c r="C3363" t="s">
        <v>102</v>
      </c>
      <c r="D3363" t="s">
        <v>36</v>
      </c>
      <c r="E3363" t="s">
        <v>30</v>
      </c>
      <c r="F3363" t="s">
        <v>45</v>
      </c>
      <c r="G3363" t="s">
        <v>74</v>
      </c>
      <c r="H3363" s="1">
        <v>44481</v>
      </c>
      <c r="I3363" s="2">
        <v>44481.1041666667</v>
      </c>
      <c r="J3363">
        <v>2.5</v>
      </c>
      <c r="K3363" t="s">
        <v>24</v>
      </c>
      <c r="L3363">
        <v>0</v>
      </c>
      <c r="M3363">
        <v>3</v>
      </c>
      <c r="N3363" t="s">
        <v>329</v>
      </c>
      <c r="O3363" s="3" t="str">
        <f>TEXT(Ticket_Table[[#This Row],[raised_date]],"YYYY-MM")</f>
        <v>2021-10</v>
      </c>
      <c r="P3363" s="3" t="str">
        <f>IF(Ticket_Table[[#This Row],[resolution_hrs]]&lt;=4,"Fast",IF(Ticket_Table[[#This Row],[resolution_hrs]]&lt;=24,"Normal",IF(Ticket_Table[[#This Row],[resolution_hrs]]&lt;=48,"Slow","Very Slow")))</f>
        <v>Fast</v>
      </c>
      <c r="Q3363" s="3">
        <f>YEAR(Ticket_Table[[#This Row],[raised_date]])</f>
        <v>2021</v>
      </c>
    </row>
    <row r="3364" spans="1:17">
      <c r="A3364" t="s">
        <v>3925</v>
      </c>
      <c r="B3364" t="s">
        <v>59</v>
      </c>
      <c r="C3364" t="s">
        <v>102</v>
      </c>
      <c r="D3364" t="s">
        <v>43</v>
      </c>
      <c r="E3364" t="s">
        <v>44</v>
      </c>
      <c r="F3364" t="s">
        <v>70</v>
      </c>
      <c r="G3364" t="s">
        <v>23</v>
      </c>
      <c r="H3364" s="1">
        <v>45097</v>
      </c>
      <c r="I3364" s="2">
        <v>45099.4583333333</v>
      </c>
      <c r="J3364">
        <v>59</v>
      </c>
      <c r="K3364" t="s">
        <v>32</v>
      </c>
      <c r="L3364">
        <v>0</v>
      </c>
      <c r="M3364">
        <v>3</v>
      </c>
      <c r="N3364" t="s">
        <v>1301</v>
      </c>
      <c r="O3364" s="3" t="str">
        <f>TEXT(Ticket_Table[[#This Row],[raised_date]],"YYYY-MM")</f>
        <v>2023-06</v>
      </c>
      <c r="P3364" s="3" t="str">
        <f>IF(Ticket_Table[[#This Row],[resolution_hrs]]&lt;=4,"Fast",IF(Ticket_Table[[#This Row],[resolution_hrs]]&lt;=24,"Normal",IF(Ticket_Table[[#This Row],[resolution_hrs]]&lt;=48,"Slow","Very Slow")))</f>
        <v>Very Slow</v>
      </c>
      <c r="Q3364" s="3">
        <f>YEAR(Ticket_Table[[#This Row],[raised_date]])</f>
        <v>2023</v>
      </c>
    </row>
    <row r="3365" spans="1:17">
      <c r="A3365" t="s">
        <v>3926</v>
      </c>
      <c r="B3365" t="s">
        <v>130</v>
      </c>
      <c r="C3365" t="s">
        <v>28</v>
      </c>
      <c r="D3365" t="s">
        <v>43</v>
      </c>
      <c r="E3365" t="s">
        <v>21</v>
      </c>
      <c r="F3365" t="s">
        <v>70</v>
      </c>
      <c r="G3365" t="s">
        <v>46</v>
      </c>
      <c r="H3365" s="1">
        <v>44536</v>
      </c>
      <c r="I3365" s="2">
        <v>44537.0708333333</v>
      </c>
      <c r="J3365">
        <v>25.7</v>
      </c>
      <c r="K3365" t="s">
        <v>24</v>
      </c>
      <c r="L3365">
        <v>1</v>
      </c>
      <c r="M3365">
        <v>4</v>
      </c>
      <c r="N3365" t="s">
        <v>876</v>
      </c>
      <c r="O3365" s="3" t="str">
        <f>TEXT(Ticket_Table[[#This Row],[raised_date]],"YYYY-MM")</f>
        <v>2021-12</v>
      </c>
      <c r="P3365" s="3" t="str">
        <f>IF(Ticket_Table[[#This Row],[resolution_hrs]]&lt;=4,"Fast",IF(Ticket_Table[[#This Row],[resolution_hrs]]&lt;=24,"Normal",IF(Ticket_Table[[#This Row],[resolution_hrs]]&lt;=48,"Slow","Very Slow")))</f>
        <v>Slow</v>
      </c>
      <c r="Q3365" s="3">
        <f>YEAR(Ticket_Table[[#This Row],[raised_date]])</f>
        <v>2021</v>
      </c>
    </row>
    <row r="3366" spans="1:17">
      <c r="A3366" t="s">
        <v>3927</v>
      </c>
      <c r="B3366" t="s">
        <v>966</v>
      </c>
      <c r="C3366" t="s">
        <v>68</v>
      </c>
      <c r="D3366" t="s">
        <v>43</v>
      </c>
      <c r="E3366" t="s">
        <v>106</v>
      </c>
      <c r="F3366" t="s">
        <v>70</v>
      </c>
      <c r="G3366" t="s">
        <v>46</v>
      </c>
      <c r="H3366" s="1">
        <v>44668</v>
      </c>
      <c r="I3366" s="2">
        <v>44668.35</v>
      </c>
      <c r="J3366">
        <v>8.4</v>
      </c>
      <c r="K3366" t="s">
        <v>24</v>
      </c>
      <c r="L3366">
        <v>0</v>
      </c>
      <c r="M3366">
        <v>4</v>
      </c>
      <c r="N3366" t="s">
        <v>835</v>
      </c>
      <c r="O3366" s="3" t="str">
        <f>TEXT(Ticket_Table[[#This Row],[raised_date]],"YYYY-MM")</f>
        <v>2022-04</v>
      </c>
      <c r="P3366" s="3" t="str">
        <f>IF(Ticket_Table[[#This Row],[resolution_hrs]]&lt;=4,"Fast",IF(Ticket_Table[[#This Row],[resolution_hrs]]&lt;=24,"Normal",IF(Ticket_Table[[#This Row],[resolution_hrs]]&lt;=48,"Slow","Very Slow")))</f>
        <v>Normal</v>
      </c>
      <c r="Q3366" s="3">
        <f>YEAR(Ticket_Table[[#This Row],[raised_date]])</f>
        <v>2022</v>
      </c>
    </row>
    <row r="3367" spans="1:17">
      <c r="A3367" t="s">
        <v>3928</v>
      </c>
      <c r="B3367" t="s">
        <v>1022</v>
      </c>
      <c r="C3367" t="s">
        <v>42</v>
      </c>
      <c r="D3367" t="s">
        <v>29</v>
      </c>
      <c r="E3367" t="s">
        <v>69</v>
      </c>
      <c r="F3367" t="s">
        <v>22</v>
      </c>
      <c r="G3367" t="s">
        <v>74</v>
      </c>
      <c r="H3367" s="1">
        <v>44354</v>
      </c>
      <c r="I3367" s="2">
        <v>44358.125</v>
      </c>
      <c r="J3367">
        <v>99</v>
      </c>
      <c r="K3367" t="s">
        <v>32</v>
      </c>
      <c r="L3367">
        <v>0</v>
      </c>
      <c r="M3367">
        <v>3</v>
      </c>
      <c r="N3367" t="s">
        <v>403</v>
      </c>
      <c r="O3367" s="3" t="str">
        <f>TEXT(Ticket_Table[[#This Row],[raised_date]],"YYYY-MM")</f>
        <v>2021-06</v>
      </c>
      <c r="P3367" s="3" t="str">
        <f>IF(Ticket_Table[[#This Row],[resolution_hrs]]&lt;=4,"Fast",IF(Ticket_Table[[#This Row],[resolution_hrs]]&lt;=24,"Normal",IF(Ticket_Table[[#This Row],[resolution_hrs]]&lt;=48,"Slow","Very Slow")))</f>
        <v>Very Slow</v>
      </c>
      <c r="Q3367" s="3">
        <f>YEAR(Ticket_Table[[#This Row],[raised_date]])</f>
        <v>2021</v>
      </c>
    </row>
    <row r="3368" spans="1:17">
      <c r="A3368" t="s">
        <v>3929</v>
      </c>
      <c r="B3368" t="s">
        <v>137</v>
      </c>
      <c r="C3368" t="s">
        <v>60</v>
      </c>
      <c r="D3368" t="s">
        <v>20</v>
      </c>
      <c r="E3368" t="s">
        <v>51</v>
      </c>
      <c r="F3368" t="s">
        <v>45</v>
      </c>
      <c r="G3368" t="s">
        <v>31</v>
      </c>
      <c r="H3368" s="1">
        <v>45250</v>
      </c>
      <c r="I3368" s="2">
        <v>45250.1791666667</v>
      </c>
      <c r="J3368">
        <v>4.3</v>
      </c>
      <c r="K3368" t="s">
        <v>32</v>
      </c>
      <c r="L3368">
        <v>0</v>
      </c>
      <c r="M3368">
        <v>4</v>
      </c>
      <c r="N3368" t="s">
        <v>327</v>
      </c>
      <c r="O3368" s="3" t="str">
        <f>TEXT(Ticket_Table[[#This Row],[raised_date]],"YYYY-MM")</f>
        <v>2023-11</v>
      </c>
      <c r="P3368" s="3" t="str">
        <f>IF(Ticket_Table[[#This Row],[resolution_hrs]]&lt;=4,"Fast",IF(Ticket_Table[[#This Row],[resolution_hrs]]&lt;=24,"Normal",IF(Ticket_Table[[#This Row],[resolution_hrs]]&lt;=48,"Slow","Very Slow")))</f>
        <v>Normal</v>
      </c>
      <c r="Q3368" s="3">
        <f>YEAR(Ticket_Table[[#This Row],[raised_date]])</f>
        <v>2023</v>
      </c>
    </row>
    <row r="3369" spans="1:17">
      <c r="A3369" t="s">
        <v>3930</v>
      </c>
      <c r="B3369" t="s">
        <v>65</v>
      </c>
      <c r="C3369" t="s">
        <v>140</v>
      </c>
      <c r="D3369" t="s">
        <v>36</v>
      </c>
      <c r="E3369" t="s">
        <v>83</v>
      </c>
      <c r="F3369" t="s">
        <v>22</v>
      </c>
      <c r="G3369" t="s">
        <v>31</v>
      </c>
      <c r="H3369" s="1">
        <v>44772</v>
      </c>
      <c r="I3369" s="2">
        <v>44776.2</v>
      </c>
      <c r="J3369">
        <v>100.8</v>
      </c>
      <c r="K3369" t="s">
        <v>32</v>
      </c>
      <c r="L3369">
        <v>2</v>
      </c>
      <c r="M3369">
        <v>4</v>
      </c>
      <c r="N3369" t="s">
        <v>576</v>
      </c>
      <c r="O3369" s="3" t="str">
        <f>TEXT(Ticket_Table[[#This Row],[raised_date]],"YYYY-MM")</f>
        <v>2022-07</v>
      </c>
      <c r="P3369" s="3" t="str">
        <f>IF(Ticket_Table[[#This Row],[resolution_hrs]]&lt;=4,"Fast",IF(Ticket_Table[[#This Row],[resolution_hrs]]&lt;=24,"Normal",IF(Ticket_Table[[#This Row],[resolution_hrs]]&lt;=48,"Slow","Very Slow")))</f>
        <v>Very Slow</v>
      </c>
      <c r="Q3369" s="3">
        <f>YEAR(Ticket_Table[[#This Row],[raised_date]])</f>
        <v>2022</v>
      </c>
    </row>
    <row r="3370" spans="1:17">
      <c r="A3370" t="s">
        <v>3931</v>
      </c>
      <c r="B3370" t="s">
        <v>84</v>
      </c>
      <c r="C3370" t="s">
        <v>50</v>
      </c>
      <c r="D3370" t="s">
        <v>36</v>
      </c>
      <c r="E3370" t="s">
        <v>83</v>
      </c>
      <c r="F3370" t="s">
        <v>38</v>
      </c>
      <c r="G3370" t="s">
        <v>74</v>
      </c>
      <c r="H3370" s="1">
        <v>44630</v>
      </c>
      <c r="I3370" s="2">
        <v>44631.225</v>
      </c>
      <c r="J3370">
        <v>29.4</v>
      </c>
      <c r="K3370" t="s">
        <v>32</v>
      </c>
      <c r="L3370">
        <v>0</v>
      </c>
      <c r="M3370">
        <v>2</v>
      </c>
      <c r="N3370" t="s">
        <v>154</v>
      </c>
      <c r="O3370" s="3" t="str">
        <f>TEXT(Ticket_Table[[#This Row],[raised_date]],"YYYY-MM")</f>
        <v>2022-03</v>
      </c>
      <c r="P3370" s="3" t="str">
        <f>IF(Ticket_Table[[#This Row],[resolution_hrs]]&lt;=4,"Fast",IF(Ticket_Table[[#This Row],[resolution_hrs]]&lt;=24,"Normal",IF(Ticket_Table[[#This Row],[resolution_hrs]]&lt;=48,"Slow","Very Slow")))</f>
        <v>Slow</v>
      </c>
      <c r="Q3370" s="3">
        <f>YEAR(Ticket_Table[[#This Row],[raised_date]])</f>
        <v>2022</v>
      </c>
    </row>
    <row r="3371" spans="1:17">
      <c r="A3371" t="s">
        <v>3932</v>
      </c>
      <c r="B3371" t="s">
        <v>61</v>
      </c>
      <c r="C3371" t="s">
        <v>213</v>
      </c>
      <c r="D3371" t="s">
        <v>90</v>
      </c>
      <c r="E3371" t="s">
        <v>37</v>
      </c>
      <c r="F3371" t="s">
        <v>70</v>
      </c>
      <c r="G3371" t="s">
        <v>23</v>
      </c>
      <c r="H3371" s="1">
        <v>44504</v>
      </c>
      <c r="I3371" s="2">
        <v>44506.1458333333</v>
      </c>
      <c r="J3371">
        <v>51.5</v>
      </c>
      <c r="K3371" t="s">
        <v>32</v>
      </c>
      <c r="L3371">
        <v>0</v>
      </c>
      <c r="M3371">
        <v>4</v>
      </c>
      <c r="N3371" t="s">
        <v>476</v>
      </c>
      <c r="O3371" s="3" t="str">
        <f>TEXT(Ticket_Table[[#This Row],[raised_date]],"YYYY-MM")</f>
        <v>2021-11</v>
      </c>
      <c r="P3371" s="3" t="str">
        <f>IF(Ticket_Table[[#This Row],[resolution_hrs]]&lt;=4,"Fast",IF(Ticket_Table[[#This Row],[resolution_hrs]]&lt;=24,"Normal",IF(Ticket_Table[[#This Row],[resolution_hrs]]&lt;=48,"Slow","Very Slow")))</f>
        <v>Very Slow</v>
      </c>
      <c r="Q3371" s="3">
        <f>YEAR(Ticket_Table[[#This Row],[raised_date]])</f>
        <v>2021</v>
      </c>
    </row>
    <row r="3372" spans="1:17">
      <c r="A3372" t="s">
        <v>3933</v>
      </c>
      <c r="B3372" t="s">
        <v>1019</v>
      </c>
      <c r="C3372" t="s">
        <v>117</v>
      </c>
      <c r="D3372" t="s">
        <v>29</v>
      </c>
      <c r="E3372" t="s">
        <v>51</v>
      </c>
      <c r="F3372" t="s">
        <v>45</v>
      </c>
      <c r="G3372" t="s">
        <v>46</v>
      </c>
      <c r="H3372" s="1">
        <v>44579</v>
      </c>
      <c r="I3372" s="2">
        <v>44579.0583333333</v>
      </c>
      <c r="J3372">
        <v>1.4</v>
      </c>
      <c r="K3372" t="s">
        <v>24</v>
      </c>
      <c r="L3372">
        <v>0</v>
      </c>
      <c r="M3372">
        <v>4</v>
      </c>
      <c r="N3372" t="s">
        <v>588</v>
      </c>
      <c r="O3372" s="3" t="str">
        <f>TEXT(Ticket_Table[[#This Row],[raised_date]],"YYYY-MM")</f>
        <v>2022-01</v>
      </c>
      <c r="P3372" s="3" t="str">
        <f>IF(Ticket_Table[[#This Row],[resolution_hrs]]&lt;=4,"Fast",IF(Ticket_Table[[#This Row],[resolution_hrs]]&lt;=24,"Normal",IF(Ticket_Table[[#This Row],[resolution_hrs]]&lt;=48,"Slow","Very Slow")))</f>
        <v>Fast</v>
      </c>
      <c r="Q3372" s="3">
        <f>YEAR(Ticket_Table[[#This Row],[raised_date]])</f>
        <v>2022</v>
      </c>
    </row>
    <row r="3373" spans="1:17">
      <c r="A3373" t="s">
        <v>3934</v>
      </c>
      <c r="B3373" t="s">
        <v>389</v>
      </c>
      <c r="C3373" t="s">
        <v>117</v>
      </c>
      <c r="D3373" t="s">
        <v>43</v>
      </c>
      <c r="E3373" t="s">
        <v>69</v>
      </c>
      <c r="F3373" t="s">
        <v>22</v>
      </c>
      <c r="G3373" t="s">
        <v>23</v>
      </c>
      <c r="H3373" s="1">
        <v>44519</v>
      </c>
      <c r="I3373" s="2">
        <v>44519.05</v>
      </c>
      <c r="J3373">
        <v>1.2</v>
      </c>
      <c r="K3373" t="s">
        <v>24</v>
      </c>
      <c r="L3373">
        <v>0</v>
      </c>
      <c r="M3373">
        <v>3</v>
      </c>
      <c r="N3373" t="s">
        <v>1156</v>
      </c>
      <c r="O3373" s="3" t="str">
        <f>TEXT(Ticket_Table[[#This Row],[raised_date]],"YYYY-MM")</f>
        <v>2021-11</v>
      </c>
      <c r="P3373" s="3" t="str">
        <f>IF(Ticket_Table[[#This Row],[resolution_hrs]]&lt;=4,"Fast",IF(Ticket_Table[[#This Row],[resolution_hrs]]&lt;=24,"Normal",IF(Ticket_Table[[#This Row],[resolution_hrs]]&lt;=48,"Slow","Very Slow")))</f>
        <v>Fast</v>
      </c>
      <c r="Q3373" s="3">
        <f>YEAR(Ticket_Table[[#This Row],[raised_date]])</f>
        <v>2021</v>
      </c>
    </row>
    <row r="3374" spans="1:17">
      <c r="A3374" t="s">
        <v>3935</v>
      </c>
      <c r="B3374" t="s">
        <v>722</v>
      </c>
      <c r="C3374" t="s">
        <v>19</v>
      </c>
      <c r="D3374" t="s">
        <v>20</v>
      </c>
      <c r="E3374" t="s">
        <v>69</v>
      </c>
      <c r="F3374" t="s">
        <v>70</v>
      </c>
      <c r="G3374" t="s">
        <v>31</v>
      </c>
      <c r="H3374" s="1">
        <v>44938</v>
      </c>
      <c r="I3374" s="2">
        <v>44940.8</v>
      </c>
      <c r="J3374">
        <v>67.2</v>
      </c>
      <c r="K3374" t="s">
        <v>32</v>
      </c>
      <c r="L3374">
        <v>0</v>
      </c>
      <c r="M3374">
        <v>5</v>
      </c>
      <c r="N3374" t="s">
        <v>99</v>
      </c>
      <c r="O3374" s="3" t="str">
        <f>TEXT(Ticket_Table[[#This Row],[raised_date]],"YYYY-MM")</f>
        <v>2023-01</v>
      </c>
      <c r="P3374" s="3" t="str">
        <f>IF(Ticket_Table[[#This Row],[resolution_hrs]]&lt;=4,"Fast",IF(Ticket_Table[[#This Row],[resolution_hrs]]&lt;=24,"Normal",IF(Ticket_Table[[#This Row],[resolution_hrs]]&lt;=48,"Slow","Very Slow")))</f>
        <v>Very Slow</v>
      </c>
      <c r="Q3374" s="3">
        <f>YEAR(Ticket_Table[[#This Row],[raised_date]])</f>
        <v>2023</v>
      </c>
    </row>
    <row r="3375" spans="1:17">
      <c r="A3375" t="s">
        <v>3936</v>
      </c>
      <c r="B3375" t="s">
        <v>344</v>
      </c>
      <c r="C3375" t="s">
        <v>55</v>
      </c>
      <c r="D3375" t="s">
        <v>29</v>
      </c>
      <c r="E3375" t="s">
        <v>30</v>
      </c>
      <c r="F3375" t="s">
        <v>70</v>
      </c>
      <c r="G3375" t="s">
        <v>46</v>
      </c>
      <c r="H3375" s="1">
        <v>44439</v>
      </c>
      <c r="I3375" s="2">
        <v>44439.4833333333</v>
      </c>
      <c r="J3375">
        <v>11.6</v>
      </c>
      <c r="K3375" t="s">
        <v>24</v>
      </c>
      <c r="L3375">
        <v>0</v>
      </c>
      <c r="M3375">
        <v>4</v>
      </c>
      <c r="N3375" t="s">
        <v>284</v>
      </c>
      <c r="O3375" s="3" t="str">
        <f>TEXT(Ticket_Table[[#This Row],[raised_date]],"YYYY-MM")</f>
        <v>2021-08</v>
      </c>
      <c r="P3375" s="3" t="str">
        <f>IF(Ticket_Table[[#This Row],[resolution_hrs]]&lt;=4,"Fast",IF(Ticket_Table[[#This Row],[resolution_hrs]]&lt;=24,"Normal",IF(Ticket_Table[[#This Row],[resolution_hrs]]&lt;=48,"Slow","Very Slow")))</f>
        <v>Normal</v>
      </c>
      <c r="Q3375" s="3">
        <f>YEAR(Ticket_Table[[#This Row],[raised_date]])</f>
        <v>2021</v>
      </c>
    </row>
    <row r="3376" spans="1:17">
      <c r="A3376" t="s">
        <v>3937</v>
      </c>
      <c r="B3376" t="s">
        <v>394</v>
      </c>
      <c r="C3376" t="s">
        <v>64</v>
      </c>
      <c r="D3376" t="s">
        <v>29</v>
      </c>
      <c r="E3376" t="s">
        <v>69</v>
      </c>
      <c r="F3376" t="s">
        <v>38</v>
      </c>
      <c r="G3376" t="s">
        <v>23</v>
      </c>
      <c r="H3376" s="1">
        <v>44668</v>
      </c>
      <c r="I3376" s="2">
        <v>44669</v>
      </c>
      <c r="J3376">
        <v>24</v>
      </c>
      <c r="K3376" t="s">
        <v>24</v>
      </c>
      <c r="L3376">
        <v>1</v>
      </c>
      <c r="M3376">
        <v>2</v>
      </c>
      <c r="N3376" t="s">
        <v>452</v>
      </c>
      <c r="O3376" s="3" t="str">
        <f>TEXT(Ticket_Table[[#This Row],[raised_date]],"YYYY-MM")</f>
        <v>2022-04</v>
      </c>
      <c r="P3376" s="3" t="str">
        <f>IF(Ticket_Table[[#This Row],[resolution_hrs]]&lt;=4,"Fast",IF(Ticket_Table[[#This Row],[resolution_hrs]]&lt;=24,"Normal",IF(Ticket_Table[[#This Row],[resolution_hrs]]&lt;=48,"Slow","Very Slow")))</f>
        <v>Normal</v>
      </c>
      <c r="Q3376" s="3">
        <f>YEAR(Ticket_Table[[#This Row],[raised_date]])</f>
        <v>2022</v>
      </c>
    </row>
    <row r="3377" spans="1:17">
      <c r="A3377" t="s">
        <v>3938</v>
      </c>
      <c r="B3377" t="s">
        <v>284</v>
      </c>
      <c r="C3377" t="s">
        <v>213</v>
      </c>
      <c r="D3377" t="s">
        <v>20</v>
      </c>
      <c r="E3377" t="s">
        <v>51</v>
      </c>
      <c r="F3377" t="s">
        <v>22</v>
      </c>
      <c r="G3377" t="s">
        <v>23</v>
      </c>
      <c r="H3377" s="1">
        <v>45046</v>
      </c>
      <c r="I3377" s="2">
        <v>45047.4708333333</v>
      </c>
      <c r="J3377">
        <v>35.3</v>
      </c>
      <c r="K3377" t="s">
        <v>24</v>
      </c>
      <c r="L3377">
        <v>0</v>
      </c>
      <c r="M3377">
        <v>3</v>
      </c>
      <c r="N3377" t="s">
        <v>1019</v>
      </c>
      <c r="O3377" s="3" t="str">
        <f>TEXT(Ticket_Table[[#This Row],[raised_date]],"YYYY-MM")</f>
        <v>2023-04</v>
      </c>
      <c r="P3377" s="3" t="str">
        <f>IF(Ticket_Table[[#This Row],[resolution_hrs]]&lt;=4,"Fast",IF(Ticket_Table[[#This Row],[resolution_hrs]]&lt;=24,"Normal",IF(Ticket_Table[[#This Row],[resolution_hrs]]&lt;=48,"Slow","Very Slow")))</f>
        <v>Slow</v>
      </c>
      <c r="Q3377" s="3">
        <f>YEAR(Ticket_Table[[#This Row],[raised_date]])</f>
        <v>2023</v>
      </c>
    </row>
    <row r="3378" spans="1:17">
      <c r="A3378" t="s">
        <v>3939</v>
      </c>
      <c r="B3378" t="s">
        <v>397</v>
      </c>
      <c r="C3378" t="s">
        <v>133</v>
      </c>
      <c r="D3378" t="s">
        <v>43</v>
      </c>
      <c r="E3378" t="s">
        <v>83</v>
      </c>
      <c r="F3378" t="s">
        <v>22</v>
      </c>
      <c r="G3378" t="s">
        <v>46</v>
      </c>
      <c r="H3378" s="1">
        <v>44873</v>
      </c>
      <c r="I3378" s="2">
        <v>44874.7833333333</v>
      </c>
      <c r="J3378">
        <v>42.8</v>
      </c>
      <c r="K3378" t="s">
        <v>24</v>
      </c>
      <c r="L3378">
        <v>1</v>
      </c>
      <c r="M3378">
        <v>4</v>
      </c>
      <c r="N3378" t="s">
        <v>280</v>
      </c>
      <c r="O3378" s="3" t="str">
        <f>TEXT(Ticket_Table[[#This Row],[raised_date]],"YYYY-MM")</f>
        <v>2022-11</v>
      </c>
      <c r="P3378" s="3" t="str">
        <f>IF(Ticket_Table[[#This Row],[resolution_hrs]]&lt;=4,"Fast",IF(Ticket_Table[[#This Row],[resolution_hrs]]&lt;=24,"Normal",IF(Ticket_Table[[#This Row],[resolution_hrs]]&lt;=48,"Slow","Very Slow")))</f>
        <v>Slow</v>
      </c>
      <c r="Q3378" s="3">
        <f>YEAR(Ticket_Table[[#This Row],[raised_date]])</f>
        <v>2022</v>
      </c>
    </row>
    <row r="3379" spans="1:17">
      <c r="A3379" t="s">
        <v>3940</v>
      </c>
      <c r="B3379" t="s">
        <v>157</v>
      </c>
      <c r="C3379" t="s">
        <v>95</v>
      </c>
      <c r="D3379" t="s">
        <v>29</v>
      </c>
      <c r="E3379" t="s">
        <v>30</v>
      </c>
      <c r="F3379" t="s">
        <v>22</v>
      </c>
      <c r="G3379" t="s">
        <v>23</v>
      </c>
      <c r="H3379" s="1">
        <v>44429</v>
      </c>
      <c r="I3379" s="2">
        <v>44432.2583333333</v>
      </c>
      <c r="J3379">
        <v>78.2</v>
      </c>
      <c r="K3379" t="s">
        <v>32</v>
      </c>
      <c r="L3379">
        <v>0</v>
      </c>
      <c r="M3379">
        <v>1</v>
      </c>
      <c r="N3379" t="s">
        <v>445</v>
      </c>
      <c r="O3379" s="3" t="str">
        <f>TEXT(Ticket_Table[[#This Row],[raised_date]],"YYYY-MM")</f>
        <v>2021-08</v>
      </c>
      <c r="P3379" s="3" t="str">
        <f>IF(Ticket_Table[[#This Row],[resolution_hrs]]&lt;=4,"Fast",IF(Ticket_Table[[#This Row],[resolution_hrs]]&lt;=24,"Normal",IF(Ticket_Table[[#This Row],[resolution_hrs]]&lt;=48,"Slow","Very Slow")))</f>
        <v>Very Slow</v>
      </c>
      <c r="Q3379" s="3">
        <f>YEAR(Ticket_Table[[#This Row],[raised_date]])</f>
        <v>2021</v>
      </c>
    </row>
    <row r="3380" spans="1:17">
      <c r="A3380" t="s">
        <v>3941</v>
      </c>
      <c r="B3380" t="s">
        <v>137</v>
      </c>
      <c r="C3380" t="s">
        <v>28</v>
      </c>
      <c r="D3380" t="s">
        <v>36</v>
      </c>
      <c r="E3380" t="s">
        <v>166</v>
      </c>
      <c r="F3380" t="s">
        <v>38</v>
      </c>
      <c r="G3380" t="s">
        <v>31</v>
      </c>
      <c r="H3380" s="1">
        <v>45183</v>
      </c>
      <c r="I3380" s="2">
        <v>45184.1875</v>
      </c>
      <c r="J3380">
        <v>28.5</v>
      </c>
      <c r="K3380" t="s">
        <v>32</v>
      </c>
      <c r="L3380">
        <v>0</v>
      </c>
      <c r="M3380">
        <v>1</v>
      </c>
      <c r="N3380" t="s">
        <v>646</v>
      </c>
      <c r="O3380" s="3" t="str">
        <f>TEXT(Ticket_Table[[#This Row],[raised_date]],"YYYY-MM")</f>
        <v>2023-09</v>
      </c>
      <c r="P3380" s="3" t="str">
        <f>IF(Ticket_Table[[#This Row],[resolution_hrs]]&lt;=4,"Fast",IF(Ticket_Table[[#This Row],[resolution_hrs]]&lt;=24,"Normal",IF(Ticket_Table[[#This Row],[resolution_hrs]]&lt;=48,"Slow","Very Slow")))</f>
        <v>Slow</v>
      </c>
      <c r="Q3380" s="3">
        <f>YEAR(Ticket_Table[[#This Row],[raised_date]])</f>
        <v>2023</v>
      </c>
    </row>
    <row r="3381" spans="1:17">
      <c r="A3381" t="s">
        <v>3942</v>
      </c>
      <c r="B3381" t="s">
        <v>325</v>
      </c>
      <c r="C3381" t="s">
        <v>117</v>
      </c>
      <c r="D3381" t="s">
        <v>36</v>
      </c>
      <c r="E3381" t="s">
        <v>51</v>
      </c>
      <c r="F3381" t="s">
        <v>22</v>
      </c>
      <c r="G3381" t="s">
        <v>31</v>
      </c>
      <c r="H3381" s="1">
        <v>45177</v>
      </c>
      <c r="I3381" s="2">
        <v>45179.175</v>
      </c>
      <c r="J3381">
        <v>52.2</v>
      </c>
      <c r="K3381" t="s">
        <v>24</v>
      </c>
      <c r="L3381">
        <v>0</v>
      </c>
      <c r="M3381">
        <v>2</v>
      </c>
      <c r="N3381" t="s">
        <v>794</v>
      </c>
      <c r="O3381" s="3" t="str">
        <f>TEXT(Ticket_Table[[#This Row],[raised_date]],"YYYY-MM")</f>
        <v>2023-09</v>
      </c>
      <c r="P3381" s="3" t="str">
        <f>IF(Ticket_Table[[#This Row],[resolution_hrs]]&lt;=4,"Fast",IF(Ticket_Table[[#This Row],[resolution_hrs]]&lt;=24,"Normal",IF(Ticket_Table[[#This Row],[resolution_hrs]]&lt;=48,"Slow","Very Slow")))</f>
        <v>Very Slow</v>
      </c>
      <c r="Q3381" s="3">
        <f>YEAR(Ticket_Table[[#This Row],[raised_date]])</f>
        <v>2023</v>
      </c>
    </row>
    <row r="3382" spans="1:17">
      <c r="A3382" t="s">
        <v>3943</v>
      </c>
      <c r="B3382" t="s">
        <v>592</v>
      </c>
      <c r="C3382" t="s">
        <v>213</v>
      </c>
      <c r="D3382" t="s">
        <v>20</v>
      </c>
      <c r="E3382" t="s">
        <v>44</v>
      </c>
      <c r="F3382" t="s">
        <v>70</v>
      </c>
      <c r="G3382" t="s">
        <v>46</v>
      </c>
      <c r="H3382" s="1">
        <v>45178</v>
      </c>
      <c r="I3382" s="2">
        <v>45178.2416666667</v>
      </c>
      <c r="J3382">
        <v>5.8</v>
      </c>
      <c r="K3382" t="s">
        <v>24</v>
      </c>
      <c r="L3382">
        <v>0</v>
      </c>
      <c r="M3382">
        <v>4</v>
      </c>
      <c r="N3382" t="s">
        <v>432</v>
      </c>
      <c r="O3382" s="3" t="str">
        <f>TEXT(Ticket_Table[[#This Row],[raised_date]],"YYYY-MM")</f>
        <v>2023-09</v>
      </c>
      <c r="P3382" s="3" t="str">
        <f>IF(Ticket_Table[[#This Row],[resolution_hrs]]&lt;=4,"Fast",IF(Ticket_Table[[#This Row],[resolution_hrs]]&lt;=24,"Normal",IF(Ticket_Table[[#This Row],[resolution_hrs]]&lt;=48,"Slow","Very Slow")))</f>
        <v>Normal</v>
      </c>
      <c r="Q3382" s="3">
        <f>YEAR(Ticket_Table[[#This Row],[raised_date]])</f>
        <v>2023</v>
      </c>
    </row>
    <row r="3383" spans="1:17">
      <c r="A3383" t="s">
        <v>3944</v>
      </c>
      <c r="B3383" t="s">
        <v>698</v>
      </c>
      <c r="C3383" t="s">
        <v>68</v>
      </c>
      <c r="D3383" t="s">
        <v>43</v>
      </c>
      <c r="E3383" t="s">
        <v>69</v>
      </c>
      <c r="F3383" t="s">
        <v>22</v>
      </c>
      <c r="G3383" t="s">
        <v>31</v>
      </c>
      <c r="H3383" s="1">
        <v>44628</v>
      </c>
      <c r="I3383" s="2">
        <v>44630.6166666667</v>
      </c>
      <c r="J3383">
        <v>62.8</v>
      </c>
      <c r="K3383" t="s">
        <v>24</v>
      </c>
      <c r="L3383">
        <v>0</v>
      </c>
      <c r="M3383">
        <v>3</v>
      </c>
      <c r="N3383" t="s">
        <v>424</v>
      </c>
      <c r="O3383" s="3" t="str">
        <f>TEXT(Ticket_Table[[#This Row],[raised_date]],"YYYY-MM")</f>
        <v>2022-03</v>
      </c>
      <c r="P3383" s="3" t="str">
        <f>IF(Ticket_Table[[#This Row],[resolution_hrs]]&lt;=4,"Fast",IF(Ticket_Table[[#This Row],[resolution_hrs]]&lt;=24,"Normal",IF(Ticket_Table[[#This Row],[resolution_hrs]]&lt;=48,"Slow","Very Slow")))</f>
        <v>Very Slow</v>
      </c>
      <c r="Q3383" s="3">
        <f>YEAR(Ticket_Table[[#This Row],[raised_date]])</f>
        <v>2022</v>
      </c>
    </row>
    <row r="3384" spans="1:17">
      <c r="A3384" t="s">
        <v>3945</v>
      </c>
      <c r="B3384" t="s">
        <v>650</v>
      </c>
      <c r="C3384" t="s">
        <v>287</v>
      </c>
      <c r="D3384" t="s">
        <v>20</v>
      </c>
      <c r="E3384" t="s">
        <v>83</v>
      </c>
      <c r="F3384" t="s">
        <v>38</v>
      </c>
      <c r="G3384" t="s">
        <v>31</v>
      </c>
      <c r="H3384" s="1">
        <v>44527</v>
      </c>
      <c r="I3384" s="2">
        <v>44528.4416666667</v>
      </c>
      <c r="J3384">
        <v>34.6</v>
      </c>
      <c r="K3384" t="s">
        <v>32</v>
      </c>
      <c r="L3384">
        <v>1</v>
      </c>
      <c r="M3384">
        <v>5</v>
      </c>
      <c r="N3384" t="s">
        <v>442</v>
      </c>
      <c r="O3384" s="3" t="str">
        <f>TEXT(Ticket_Table[[#This Row],[raised_date]],"YYYY-MM")</f>
        <v>2021-11</v>
      </c>
      <c r="P3384" s="3" t="str">
        <f>IF(Ticket_Table[[#This Row],[resolution_hrs]]&lt;=4,"Fast",IF(Ticket_Table[[#This Row],[resolution_hrs]]&lt;=24,"Normal",IF(Ticket_Table[[#This Row],[resolution_hrs]]&lt;=48,"Slow","Very Slow")))</f>
        <v>Slow</v>
      </c>
      <c r="Q3384" s="3">
        <f>YEAR(Ticket_Table[[#This Row],[raised_date]])</f>
        <v>2021</v>
      </c>
    </row>
    <row r="3385" spans="1:17">
      <c r="A3385" t="s">
        <v>3946</v>
      </c>
      <c r="B3385" t="s">
        <v>1156</v>
      </c>
      <c r="C3385" t="s">
        <v>117</v>
      </c>
      <c r="D3385" t="s">
        <v>29</v>
      </c>
      <c r="E3385" t="s">
        <v>21</v>
      </c>
      <c r="F3385" t="s">
        <v>45</v>
      </c>
      <c r="G3385" t="s">
        <v>23</v>
      </c>
      <c r="H3385" s="1">
        <v>45038</v>
      </c>
      <c r="I3385" s="2">
        <v>45038.1</v>
      </c>
      <c r="J3385">
        <v>2.4</v>
      </c>
      <c r="K3385" t="s">
        <v>24</v>
      </c>
      <c r="L3385">
        <v>1</v>
      </c>
      <c r="M3385">
        <v>4</v>
      </c>
      <c r="N3385" t="s">
        <v>886</v>
      </c>
      <c r="O3385" s="3" t="str">
        <f>TEXT(Ticket_Table[[#This Row],[raised_date]],"YYYY-MM")</f>
        <v>2023-04</v>
      </c>
      <c r="P3385" s="3" t="str">
        <f>IF(Ticket_Table[[#This Row],[resolution_hrs]]&lt;=4,"Fast",IF(Ticket_Table[[#This Row],[resolution_hrs]]&lt;=24,"Normal",IF(Ticket_Table[[#This Row],[resolution_hrs]]&lt;=48,"Slow","Very Slow")))</f>
        <v>Fast</v>
      </c>
      <c r="Q3385" s="3">
        <f>YEAR(Ticket_Table[[#This Row],[raised_date]])</f>
        <v>2023</v>
      </c>
    </row>
    <row r="3386" spans="1:17">
      <c r="A3386" t="s">
        <v>3947</v>
      </c>
      <c r="B3386" t="s">
        <v>826</v>
      </c>
      <c r="C3386" t="s">
        <v>95</v>
      </c>
      <c r="D3386" t="s">
        <v>36</v>
      </c>
      <c r="E3386" t="s">
        <v>69</v>
      </c>
      <c r="F3386" t="s">
        <v>70</v>
      </c>
      <c r="G3386" t="s">
        <v>23</v>
      </c>
      <c r="H3386" s="1">
        <v>44242</v>
      </c>
      <c r="I3386" s="2">
        <v>44242.3083333333</v>
      </c>
      <c r="J3386">
        <v>7.4</v>
      </c>
      <c r="K3386" t="s">
        <v>24</v>
      </c>
      <c r="L3386">
        <v>1</v>
      </c>
      <c r="M3386">
        <v>4</v>
      </c>
      <c r="N3386" t="s">
        <v>1202</v>
      </c>
      <c r="O3386" s="3" t="str">
        <f>TEXT(Ticket_Table[[#This Row],[raised_date]],"YYYY-MM")</f>
        <v>2021-02</v>
      </c>
      <c r="P3386" s="3" t="str">
        <f>IF(Ticket_Table[[#This Row],[resolution_hrs]]&lt;=4,"Fast",IF(Ticket_Table[[#This Row],[resolution_hrs]]&lt;=24,"Normal",IF(Ticket_Table[[#This Row],[resolution_hrs]]&lt;=48,"Slow","Very Slow")))</f>
        <v>Normal</v>
      </c>
      <c r="Q3386" s="3">
        <f>YEAR(Ticket_Table[[#This Row],[raised_date]])</f>
        <v>2021</v>
      </c>
    </row>
    <row r="3387" spans="1:17">
      <c r="A3387" t="s">
        <v>3948</v>
      </c>
      <c r="B3387" t="s">
        <v>860</v>
      </c>
      <c r="C3387" t="s">
        <v>117</v>
      </c>
      <c r="D3387" t="s">
        <v>90</v>
      </c>
      <c r="E3387" t="s">
        <v>44</v>
      </c>
      <c r="F3387" t="s">
        <v>70</v>
      </c>
      <c r="G3387" t="s">
        <v>46</v>
      </c>
      <c r="H3387" s="1">
        <v>44696</v>
      </c>
      <c r="I3387" s="2">
        <v>44698.9833333333</v>
      </c>
      <c r="J3387">
        <v>71.6</v>
      </c>
      <c r="K3387" t="s">
        <v>32</v>
      </c>
      <c r="L3387">
        <v>0</v>
      </c>
      <c r="M3387">
        <v>4</v>
      </c>
      <c r="N3387" t="s">
        <v>221</v>
      </c>
      <c r="O3387" s="3" t="str">
        <f>TEXT(Ticket_Table[[#This Row],[raised_date]],"YYYY-MM")</f>
        <v>2022-05</v>
      </c>
      <c r="P3387" s="3" t="str">
        <f>IF(Ticket_Table[[#This Row],[resolution_hrs]]&lt;=4,"Fast",IF(Ticket_Table[[#This Row],[resolution_hrs]]&lt;=24,"Normal",IF(Ticket_Table[[#This Row],[resolution_hrs]]&lt;=48,"Slow","Very Slow")))</f>
        <v>Very Slow</v>
      </c>
      <c r="Q3387" s="3">
        <f>YEAR(Ticket_Table[[#This Row],[raised_date]])</f>
        <v>2022</v>
      </c>
    </row>
    <row r="3388" spans="1:17">
      <c r="A3388" t="s">
        <v>3949</v>
      </c>
      <c r="B3388" t="s">
        <v>782</v>
      </c>
      <c r="C3388" t="s">
        <v>133</v>
      </c>
      <c r="D3388" t="s">
        <v>20</v>
      </c>
      <c r="E3388" t="s">
        <v>83</v>
      </c>
      <c r="F3388" t="s">
        <v>22</v>
      </c>
      <c r="G3388" t="s">
        <v>23</v>
      </c>
      <c r="H3388" s="1">
        <v>44285</v>
      </c>
      <c r="I3388" s="2">
        <v>44285.8541666667</v>
      </c>
      <c r="J3388">
        <v>20.5</v>
      </c>
      <c r="K3388" t="s">
        <v>24</v>
      </c>
      <c r="L3388">
        <v>0</v>
      </c>
      <c r="M3388">
        <v>4</v>
      </c>
      <c r="N3388" t="s">
        <v>198</v>
      </c>
      <c r="O3388" s="3" t="str">
        <f>TEXT(Ticket_Table[[#This Row],[raised_date]],"YYYY-MM")</f>
        <v>2021-03</v>
      </c>
      <c r="P3388" s="3" t="str">
        <f>IF(Ticket_Table[[#This Row],[resolution_hrs]]&lt;=4,"Fast",IF(Ticket_Table[[#This Row],[resolution_hrs]]&lt;=24,"Normal",IF(Ticket_Table[[#This Row],[resolution_hrs]]&lt;=48,"Slow","Very Slow")))</f>
        <v>Normal</v>
      </c>
      <c r="Q3388" s="3">
        <f>YEAR(Ticket_Table[[#This Row],[raised_date]])</f>
        <v>2021</v>
      </c>
    </row>
    <row r="3389" spans="1:17">
      <c r="A3389" t="s">
        <v>3950</v>
      </c>
      <c r="B3389" t="s">
        <v>722</v>
      </c>
      <c r="C3389" t="s">
        <v>68</v>
      </c>
      <c r="D3389" t="s">
        <v>90</v>
      </c>
      <c r="E3389" t="s">
        <v>37</v>
      </c>
      <c r="F3389" t="s">
        <v>22</v>
      </c>
      <c r="G3389" t="s">
        <v>31</v>
      </c>
      <c r="H3389" s="1">
        <v>44458</v>
      </c>
      <c r="I3389" s="2">
        <v>44459.7583333333</v>
      </c>
      <c r="J3389">
        <v>42.2</v>
      </c>
      <c r="K3389" t="s">
        <v>24</v>
      </c>
      <c r="L3389">
        <v>1</v>
      </c>
      <c r="M3389">
        <v>4</v>
      </c>
      <c r="N3389" t="s">
        <v>612</v>
      </c>
      <c r="O3389" s="3" t="str">
        <f>TEXT(Ticket_Table[[#This Row],[raised_date]],"YYYY-MM")</f>
        <v>2021-09</v>
      </c>
      <c r="P3389" s="3" t="str">
        <f>IF(Ticket_Table[[#This Row],[resolution_hrs]]&lt;=4,"Fast",IF(Ticket_Table[[#This Row],[resolution_hrs]]&lt;=24,"Normal",IF(Ticket_Table[[#This Row],[resolution_hrs]]&lt;=48,"Slow","Very Slow")))</f>
        <v>Slow</v>
      </c>
      <c r="Q3389" s="3">
        <f>YEAR(Ticket_Table[[#This Row],[raised_date]])</f>
        <v>2021</v>
      </c>
    </row>
    <row r="3390" spans="1:17">
      <c r="A3390" t="s">
        <v>3951</v>
      </c>
      <c r="B3390" t="s">
        <v>1022</v>
      </c>
      <c r="C3390" t="s">
        <v>213</v>
      </c>
      <c r="D3390" t="s">
        <v>90</v>
      </c>
      <c r="E3390" t="s">
        <v>69</v>
      </c>
      <c r="F3390" t="s">
        <v>22</v>
      </c>
      <c r="G3390" t="s">
        <v>23</v>
      </c>
      <c r="H3390" s="1">
        <v>44526</v>
      </c>
      <c r="I3390" s="2">
        <v>44527.4666666667</v>
      </c>
      <c r="J3390">
        <v>35.2</v>
      </c>
      <c r="K3390" t="s">
        <v>24</v>
      </c>
      <c r="L3390">
        <v>0</v>
      </c>
      <c r="M3390">
        <v>4</v>
      </c>
      <c r="N3390" t="s">
        <v>509</v>
      </c>
      <c r="O3390" s="3" t="str">
        <f>TEXT(Ticket_Table[[#This Row],[raised_date]],"YYYY-MM")</f>
        <v>2021-11</v>
      </c>
      <c r="P3390" s="3" t="str">
        <f>IF(Ticket_Table[[#This Row],[resolution_hrs]]&lt;=4,"Fast",IF(Ticket_Table[[#This Row],[resolution_hrs]]&lt;=24,"Normal",IF(Ticket_Table[[#This Row],[resolution_hrs]]&lt;=48,"Slow","Very Slow")))</f>
        <v>Slow</v>
      </c>
      <c r="Q3390" s="3">
        <f>YEAR(Ticket_Table[[#This Row],[raised_date]])</f>
        <v>2021</v>
      </c>
    </row>
    <row r="3391" spans="1:17">
      <c r="A3391" t="s">
        <v>3952</v>
      </c>
      <c r="B3391" t="s">
        <v>387</v>
      </c>
      <c r="C3391" t="s">
        <v>60</v>
      </c>
      <c r="D3391" t="s">
        <v>36</v>
      </c>
      <c r="E3391" t="s">
        <v>30</v>
      </c>
      <c r="F3391" t="s">
        <v>38</v>
      </c>
      <c r="G3391" t="s">
        <v>74</v>
      </c>
      <c r="H3391" s="1">
        <v>44472</v>
      </c>
      <c r="I3391" s="2">
        <v>44472.6583333333</v>
      </c>
      <c r="J3391">
        <v>15.8</v>
      </c>
      <c r="K3391" t="s">
        <v>24</v>
      </c>
      <c r="L3391">
        <v>1</v>
      </c>
      <c r="M3391">
        <v>3</v>
      </c>
      <c r="N3391" t="s">
        <v>157</v>
      </c>
      <c r="O3391" s="3" t="str">
        <f>TEXT(Ticket_Table[[#This Row],[raised_date]],"YYYY-MM")</f>
        <v>2021-10</v>
      </c>
      <c r="P3391" s="3" t="str">
        <f>IF(Ticket_Table[[#This Row],[resolution_hrs]]&lt;=4,"Fast",IF(Ticket_Table[[#This Row],[resolution_hrs]]&lt;=24,"Normal",IF(Ticket_Table[[#This Row],[resolution_hrs]]&lt;=48,"Slow","Very Slow")))</f>
        <v>Normal</v>
      </c>
      <c r="Q3391" s="3">
        <f>YEAR(Ticket_Table[[#This Row],[raised_date]])</f>
        <v>2021</v>
      </c>
    </row>
    <row r="3392" spans="1:17">
      <c r="A3392" t="s">
        <v>3953</v>
      </c>
      <c r="B3392" t="s">
        <v>493</v>
      </c>
      <c r="C3392" t="s">
        <v>28</v>
      </c>
      <c r="D3392" t="s">
        <v>20</v>
      </c>
      <c r="E3392" t="s">
        <v>106</v>
      </c>
      <c r="F3392" t="s">
        <v>70</v>
      </c>
      <c r="G3392" t="s">
        <v>23</v>
      </c>
      <c r="H3392" s="1">
        <v>45246</v>
      </c>
      <c r="I3392" s="2">
        <v>45248.0916666667</v>
      </c>
      <c r="J3392">
        <v>50.2</v>
      </c>
      <c r="K3392" t="s">
        <v>32</v>
      </c>
      <c r="L3392">
        <v>1</v>
      </c>
      <c r="M3392">
        <v>4</v>
      </c>
      <c r="N3392" t="s">
        <v>1291</v>
      </c>
      <c r="O3392" s="3" t="str">
        <f>TEXT(Ticket_Table[[#This Row],[raised_date]],"YYYY-MM")</f>
        <v>2023-11</v>
      </c>
      <c r="P3392" s="3" t="str">
        <f>IF(Ticket_Table[[#This Row],[resolution_hrs]]&lt;=4,"Fast",IF(Ticket_Table[[#This Row],[resolution_hrs]]&lt;=24,"Normal",IF(Ticket_Table[[#This Row],[resolution_hrs]]&lt;=48,"Slow","Very Slow")))</f>
        <v>Very Slow</v>
      </c>
      <c r="Q3392" s="3">
        <f>YEAR(Ticket_Table[[#This Row],[raised_date]])</f>
        <v>2023</v>
      </c>
    </row>
    <row r="3393" spans="1:17">
      <c r="A3393" t="s">
        <v>3954</v>
      </c>
      <c r="B3393" t="s">
        <v>92</v>
      </c>
      <c r="C3393" t="s">
        <v>175</v>
      </c>
      <c r="D3393" t="s">
        <v>90</v>
      </c>
      <c r="E3393" t="s">
        <v>51</v>
      </c>
      <c r="F3393" t="s">
        <v>45</v>
      </c>
      <c r="G3393" t="s">
        <v>23</v>
      </c>
      <c r="H3393" s="1">
        <v>44277</v>
      </c>
      <c r="I3393" s="2">
        <v>44277.1291666667</v>
      </c>
      <c r="J3393">
        <v>3.1</v>
      </c>
      <c r="K3393" t="s">
        <v>24</v>
      </c>
      <c r="L3393">
        <v>1</v>
      </c>
      <c r="M3393">
        <v>5</v>
      </c>
      <c r="N3393" t="s">
        <v>924</v>
      </c>
      <c r="O3393" s="3" t="str">
        <f>TEXT(Ticket_Table[[#This Row],[raised_date]],"YYYY-MM")</f>
        <v>2021-03</v>
      </c>
      <c r="P3393" s="3" t="str">
        <f>IF(Ticket_Table[[#This Row],[resolution_hrs]]&lt;=4,"Fast",IF(Ticket_Table[[#This Row],[resolution_hrs]]&lt;=24,"Normal",IF(Ticket_Table[[#This Row],[resolution_hrs]]&lt;=48,"Slow","Very Slow")))</f>
        <v>Fast</v>
      </c>
      <c r="Q3393" s="3">
        <f>YEAR(Ticket_Table[[#This Row],[raised_date]])</f>
        <v>2021</v>
      </c>
    </row>
    <row r="3394" spans="1:17">
      <c r="A3394" t="s">
        <v>3955</v>
      </c>
      <c r="B3394" t="s">
        <v>401</v>
      </c>
      <c r="C3394" t="s">
        <v>42</v>
      </c>
      <c r="D3394" t="s">
        <v>29</v>
      </c>
      <c r="E3394" t="s">
        <v>44</v>
      </c>
      <c r="F3394" t="s">
        <v>70</v>
      </c>
      <c r="G3394" t="s">
        <v>23</v>
      </c>
      <c r="H3394" s="1">
        <v>44497</v>
      </c>
      <c r="I3394" s="2">
        <v>44499.3875</v>
      </c>
      <c r="J3394">
        <v>57.3</v>
      </c>
      <c r="K3394" t="s">
        <v>32</v>
      </c>
      <c r="L3394">
        <v>0</v>
      </c>
      <c r="M3394">
        <v>4</v>
      </c>
      <c r="N3394" t="s">
        <v>849</v>
      </c>
      <c r="O3394" s="3" t="str">
        <f>TEXT(Ticket_Table[[#This Row],[raised_date]],"YYYY-MM")</f>
        <v>2021-10</v>
      </c>
      <c r="P3394" s="3" t="str">
        <f>IF(Ticket_Table[[#This Row],[resolution_hrs]]&lt;=4,"Fast",IF(Ticket_Table[[#This Row],[resolution_hrs]]&lt;=24,"Normal",IF(Ticket_Table[[#This Row],[resolution_hrs]]&lt;=48,"Slow","Very Slow")))</f>
        <v>Very Slow</v>
      </c>
      <c r="Q3394" s="3">
        <f>YEAR(Ticket_Table[[#This Row],[raised_date]])</f>
        <v>2021</v>
      </c>
    </row>
    <row r="3395" spans="1:17">
      <c r="A3395" t="s">
        <v>3956</v>
      </c>
      <c r="B3395" t="s">
        <v>670</v>
      </c>
      <c r="C3395" t="s">
        <v>82</v>
      </c>
      <c r="D3395" t="s">
        <v>43</v>
      </c>
      <c r="E3395" t="s">
        <v>69</v>
      </c>
      <c r="F3395" t="s">
        <v>38</v>
      </c>
      <c r="G3395" t="s">
        <v>31</v>
      </c>
      <c r="H3395" s="1">
        <v>44311</v>
      </c>
      <c r="I3395" s="2">
        <v>44311.5291666667</v>
      </c>
      <c r="J3395">
        <v>12.7</v>
      </c>
      <c r="K3395" t="s">
        <v>24</v>
      </c>
      <c r="L3395">
        <v>2</v>
      </c>
      <c r="M3395">
        <v>3</v>
      </c>
      <c r="N3395" t="s">
        <v>776</v>
      </c>
      <c r="O3395" s="3" t="str">
        <f>TEXT(Ticket_Table[[#This Row],[raised_date]],"YYYY-MM")</f>
        <v>2021-04</v>
      </c>
      <c r="P3395" s="3" t="str">
        <f>IF(Ticket_Table[[#This Row],[resolution_hrs]]&lt;=4,"Fast",IF(Ticket_Table[[#This Row],[resolution_hrs]]&lt;=24,"Normal",IF(Ticket_Table[[#This Row],[resolution_hrs]]&lt;=48,"Slow","Very Slow")))</f>
        <v>Normal</v>
      </c>
      <c r="Q3395" s="3">
        <f>YEAR(Ticket_Table[[#This Row],[raised_date]])</f>
        <v>2021</v>
      </c>
    </row>
    <row r="3396" spans="1:17">
      <c r="A3396" t="s">
        <v>3957</v>
      </c>
      <c r="B3396" t="s">
        <v>266</v>
      </c>
      <c r="C3396" t="s">
        <v>28</v>
      </c>
      <c r="D3396" t="s">
        <v>43</v>
      </c>
      <c r="E3396" t="s">
        <v>166</v>
      </c>
      <c r="F3396" t="s">
        <v>70</v>
      </c>
      <c r="G3396" t="s">
        <v>74</v>
      </c>
      <c r="H3396" s="1">
        <v>44537</v>
      </c>
      <c r="I3396" s="2">
        <v>44539.4166666667</v>
      </c>
      <c r="J3396">
        <v>58</v>
      </c>
      <c r="K3396" t="s">
        <v>32</v>
      </c>
      <c r="L3396">
        <v>0</v>
      </c>
      <c r="M3396">
        <v>3</v>
      </c>
      <c r="N3396" t="s">
        <v>538</v>
      </c>
      <c r="O3396" s="3" t="str">
        <f>TEXT(Ticket_Table[[#This Row],[raised_date]],"YYYY-MM")</f>
        <v>2021-12</v>
      </c>
      <c r="P3396" s="3" t="str">
        <f>IF(Ticket_Table[[#This Row],[resolution_hrs]]&lt;=4,"Fast",IF(Ticket_Table[[#This Row],[resolution_hrs]]&lt;=24,"Normal",IF(Ticket_Table[[#This Row],[resolution_hrs]]&lt;=48,"Slow","Very Slow")))</f>
        <v>Very Slow</v>
      </c>
      <c r="Q3396" s="3">
        <f>YEAR(Ticket_Table[[#This Row],[raised_date]])</f>
        <v>2021</v>
      </c>
    </row>
    <row r="3397" spans="1:17">
      <c r="A3397" t="s">
        <v>3958</v>
      </c>
      <c r="B3397" t="s">
        <v>658</v>
      </c>
      <c r="C3397" t="s">
        <v>102</v>
      </c>
      <c r="D3397" t="s">
        <v>36</v>
      </c>
      <c r="E3397" t="s">
        <v>21</v>
      </c>
      <c r="F3397" t="s">
        <v>70</v>
      </c>
      <c r="G3397" t="s">
        <v>23</v>
      </c>
      <c r="H3397" s="1">
        <v>44725</v>
      </c>
      <c r="I3397" s="2">
        <v>44726.975</v>
      </c>
      <c r="J3397">
        <v>47.4</v>
      </c>
      <c r="K3397" t="s">
        <v>24</v>
      </c>
      <c r="L3397">
        <v>0</v>
      </c>
      <c r="M3397">
        <v>4</v>
      </c>
      <c r="N3397" t="s">
        <v>675</v>
      </c>
      <c r="O3397" s="3" t="str">
        <f>TEXT(Ticket_Table[[#This Row],[raised_date]],"YYYY-MM")</f>
        <v>2022-06</v>
      </c>
      <c r="P3397" s="3" t="str">
        <f>IF(Ticket_Table[[#This Row],[resolution_hrs]]&lt;=4,"Fast",IF(Ticket_Table[[#This Row],[resolution_hrs]]&lt;=24,"Normal",IF(Ticket_Table[[#This Row],[resolution_hrs]]&lt;=48,"Slow","Very Slow")))</f>
        <v>Slow</v>
      </c>
      <c r="Q3397" s="3">
        <f>YEAR(Ticket_Table[[#This Row],[raised_date]])</f>
        <v>2022</v>
      </c>
    </row>
    <row r="3398" spans="1:17">
      <c r="A3398" t="s">
        <v>3959</v>
      </c>
      <c r="B3398" t="s">
        <v>286</v>
      </c>
      <c r="C3398" t="s">
        <v>78</v>
      </c>
      <c r="D3398" t="s">
        <v>20</v>
      </c>
      <c r="E3398" t="s">
        <v>83</v>
      </c>
      <c r="F3398" t="s">
        <v>22</v>
      </c>
      <c r="G3398" t="s">
        <v>23</v>
      </c>
      <c r="H3398" s="1">
        <v>44565</v>
      </c>
      <c r="I3398" s="2">
        <v>44566.1375</v>
      </c>
      <c r="J3398">
        <v>27.3</v>
      </c>
      <c r="K3398" t="s">
        <v>24</v>
      </c>
      <c r="L3398">
        <v>0</v>
      </c>
      <c r="M3398">
        <v>3</v>
      </c>
      <c r="N3398" t="s">
        <v>25</v>
      </c>
      <c r="O3398" s="3" t="str">
        <f>TEXT(Ticket_Table[[#This Row],[raised_date]],"YYYY-MM")</f>
        <v>2022-01</v>
      </c>
      <c r="P3398" s="3" t="str">
        <f>IF(Ticket_Table[[#This Row],[resolution_hrs]]&lt;=4,"Fast",IF(Ticket_Table[[#This Row],[resolution_hrs]]&lt;=24,"Normal",IF(Ticket_Table[[#This Row],[resolution_hrs]]&lt;=48,"Slow","Very Slow")))</f>
        <v>Slow</v>
      </c>
      <c r="Q3398" s="3">
        <f>YEAR(Ticket_Table[[#This Row],[raised_date]])</f>
        <v>2022</v>
      </c>
    </row>
    <row r="3399" spans="1:17">
      <c r="A3399" t="s">
        <v>3960</v>
      </c>
      <c r="B3399" t="s">
        <v>833</v>
      </c>
      <c r="C3399" t="s">
        <v>28</v>
      </c>
      <c r="D3399" t="s">
        <v>20</v>
      </c>
      <c r="E3399" t="s">
        <v>44</v>
      </c>
      <c r="F3399" t="s">
        <v>70</v>
      </c>
      <c r="G3399" t="s">
        <v>31</v>
      </c>
      <c r="H3399" s="1">
        <v>45255</v>
      </c>
      <c r="I3399" s="2">
        <v>45256.2791666667</v>
      </c>
      <c r="J3399">
        <v>30.7</v>
      </c>
      <c r="K3399" t="s">
        <v>24</v>
      </c>
      <c r="L3399">
        <v>0</v>
      </c>
      <c r="M3399">
        <v>5</v>
      </c>
      <c r="N3399" t="s">
        <v>588</v>
      </c>
      <c r="O3399" s="3" t="str">
        <f>TEXT(Ticket_Table[[#This Row],[raised_date]],"YYYY-MM")</f>
        <v>2023-11</v>
      </c>
      <c r="P3399" s="3" t="str">
        <f>IF(Ticket_Table[[#This Row],[resolution_hrs]]&lt;=4,"Fast",IF(Ticket_Table[[#This Row],[resolution_hrs]]&lt;=24,"Normal",IF(Ticket_Table[[#This Row],[resolution_hrs]]&lt;=48,"Slow","Very Slow")))</f>
        <v>Slow</v>
      </c>
      <c r="Q3399" s="3">
        <f>YEAR(Ticket_Table[[#This Row],[raised_date]])</f>
        <v>2023</v>
      </c>
    </row>
    <row r="3400" spans="1:17">
      <c r="A3400" t="s">
        <v>3961</v>
      </c>
      <c r="B3400" t="s">
        <v>167</v>
      </c>
      <c r="C3400" t="s">
        <v>68</v>
      </c>
      <c r="D3400" t="s">
        <v>43</v>
      </c>
      <c r="E3400" t="s">
        <v>51</v>
      </c>
      <c r="F3400" t="s">
        <v>70</v>
      </c>
      <c r="G3400" t="s">
        <v>23</v>
      </c>
      <c r="H3400" s="1">
        <v>45027</v>
      </c>
      <c r="I3400" s="2">
        <v>45028.5125</v>
      </c>
      <c r="J3400">
        <v>36.3</v>
      </c>
      <c r="K3400" t="s">
        <v>24</v>
      </c>
      <c r="L3400">
        <v>0</v>
      </c>
      <c r="M3400">
        <v>4</v>
      </c>
      <c r="N3400" t="s">
        <v>182</v>
      </c>
      <c r="O3400" s="3" t="str">
        <f>TEXT(Ticket_Table[[#This Row],[raised_date]],"YYYY-MM")</f>
        <v>2023-04</v>
      </c>
      <c r="P3400" s="3" t="str">
        <f>IF(Ticket_Table[[#This Row],[resolution_hrs]]&lt;=4,"Fast",IF(Ticket_Table[[#This Row],[resolution_hrs]]&lt;=24,"Normal",IF(Ticket_Table[[#This Row],[resolution_hrs]]&lt;=48,"Slow","Very Slow")))</f>
        <v>Slow</v>
      </c>
      <c r="Q3400" s="3">
        <f>YEAR(Ticket_Table[[#This Row],[raised_date]])</f>
        <v>2023</v>
      </c>
    </row>
    <row r="3401" spans="1:17">
      <c r="A3401" t="s">
        <v>3962</v>
      </c>
      <c r="B3401" t="s">
        <v>148</v>
      </c>
      <c r="C3401" t="s">
        <v>117</v>
      </c>
      <c r="D3401" t="s">
        <v>29</v>
      </c>
      <c r="E3401" t="s">
        <v>69</v>
      </c>
      <c r="F3401" t="s">
        <v>38</v>
      </c>
      <c r="G3401" t="s">
        <v>46</v>
      </c>
      <c r="H3401" s="1">
        <v>44235</v>
      </c>
      <c r="I3401" s="2">
        <v>44235.8208333333</v>
      </c>
      <c r="J3401">
        <v>19.7</v>
      </c>
      <c r="K3401" t="s">
        <v>24</v>
      </c>
      <c r="L3401">
        <v>1</v>
      </c>
      <c r="M3401">
        <v>1</v>
      </c>
      <c r="N3401" t="s">
        <v>121</v>
      </c>
      <c r="O3401" s="3" t="str">
        <f>TEXT(Ticket_Table[[#This Row],[raised_date]],"YYYY-MM")</f>
        <v>2021-02</v>
      </c>
      <c r="P3401" s="3" t="str">
        <f>IF(Ticket_Table[[#This Row],[resolution_hrs]]&lt;=4,"Fast",IF(Ticket_Table[[#This Row],[resolution_hrs]]&lt;=24,"Normal",IF(Ticket_Table[[#This Row],[resolution_hrs]]&lt;=48,"Slow","Very Slow")))</f>
        <v>Normal</v>
      </c>
      <c r="Q3401" s="3">
        <f>YEAR(Ticket_Table[[#This Row],[raised_date]])</f>
        <v>2021</v>
      </c>
    </row>
    <row r="3402" spans="1:17">
      <c r="A3402" t="s">
        <v>3963</v>
      </c>
      <c r="B3402" t="s">
        <v>178</v>
      </c>
      <c r="C3402" t="s">
        <v>261</v>
      </c>
      <c r="D3402" t="s">
        <v>43</v>
      </c>
      <c r="E3402" t="s">
        <v>166</v>
      </c>
      <c r="F3402" t="s">
        <v>45</v>
      </c>
      <c r="G3402" t="s">
        <v>74</v>
      </c>
      <c r="H3402" s="1">
        <v>44777</v>
      </c>
      <c r="I3402" s="2">
        <v>44777.1541666667</v>
      </c>
      <c r="J3402">
        <v>3.7</v>
      </c>
      <c r="K3402" t="s">
        <v>24</v>
      </c>
      <c r="L3402">
        <v>0</v>
      </c>
      <c r="M3402">
        <v>2</v>
      </c>
      <c r="N3402" t="s">
        <v>1382</v>
      </c>
      <c r="O3402" s="3" t="str">
        <f>TEXT(Ticket_Table[[#This Row],[raised_date]],"YYYY-MM")</f>
        <v>2022-08</v>
      </c>
      <c r="P3402" s="3" t="str">
        <f>IF(Ticket_Table[[#This Row],[resolution_hrs]]&lt;=4,"Fast",IF(Ticket_Table[[#This Row],[resolution_hrs]]&lt;=24,"Normal",IF(Ticket_Table[[#This Row],[resolution_hrs]]&lt;=48,"Slow","Very Slow")))</f>
        <v>Fast</v>
      </c>
      <c r="Q3402" s="3">
        <f>YEAR(Ticket_Table[[#This Row],[raised_date]])</f>
        <v>2022</v>
      </c>
    </row>
    <row r="3403" spans="1:17">
      <c r="A3403" t="s">
        <v>3964</v>
      </c>
      <c r="B3403" t="s">
        <v>594</v>
      </c>
      <c r="C3403" t="s">
        <v>175</v>
      </c>
      <c r="D3403" t="s">
        <v>43</v>
      </c>
      <c r="E3403" t="s">
        <v>83</v>
      </c>
      <c r="F3403" t="s">
        <v>70</v>
      </c>
      <c r="G3403" t="s">
        <v>23</v>
      </c>
      <c r="H3403" s="1">
        <v>44372</v>
      </c>
      <c r="I3403" s="2">
        <v>44374.4708333333</v>
      </c>
      <c r="J3403">
        <v>59.3</v>
      </c>
      <c r="K3403" t="s">
        <v>32</v>
      </c>
      <c r="L3403">
        <v>0</v>
      </c>
      <c r="M3403">
        <v>3</v>
      </c>
      <c r="N3403" t="s">
        <v>216</v>
      </c>
      <c r="O3403" s="3" t="str">
        <f>TEXT(Ticket_Table[[#This Row],[raised_date]],"YYYY-MM")</f>
        <v>2021-06</v>
      </c>
      <c r="P3403" s="3" t="str">
        <f>IF(Ticket_Table[[#This Row],[resolution_hrs]]&lt;=4,"Fast",IF(Ticket_Table[[#This Row],[resolution_hrs]]&lt;=24,"Normal",IF(Ticket_Table[[#This Row],[resolution_hrs]]&lt;=48,"Slow","Very Slow")))</f>
        <v>Very Slow</v>
      </c>
      <c r="Q3403" s="3">
        <f>YEAR(Ticket_Table[[#This Row],[raised_date]])</f>
        <v>2021</v>
      </c>
    </row>
    <row r="3404" spans="1:17">
      <c r="A3404" t="s">
        <v>3965</v>
      </c>
      <c r="B3404" t="s">
        <v>126</v>
      </c>
      <c r="C3404" t="s">
        <v>213</v>
      </c>
      <c r="D3404" t="s">
        <v>20</v>
      </c>
      <c r="E3404" t="s">
        <v>51</v>
      </c>
      <c r="F3404" t="s">
        <v>22</v>
      </c>
      <c r="G3404" t="s">
        <v>46</v>
      </c>
      <c r="H3404" s="1">
        <v>44640</v>
      </c>
      <c r="I3404" s="2">
        <v>44641.7583333333</v>
      </c>
      <c r="J3404">
        <v>42.2</v>
      </c>
      <c r="K3404" t="s">
        <v>24</v>
      </c>
      <c r="L3404">
        <v>0</v>
      </c>
      <c r="M3404">
        <v>2</v>
      </c>
      <c r="N3404" t="s">
        <v>1064</v>
      </c>
      <c r="O3404" s="3" t="str">
        <f>TEXT(Ticket_Table[[#This Row],[raised_date]],"YYYY-MM")</f>
        <v>2022-03</v>
      </c>
      <c r="P3404" s="3" t="str">
        <f>IF(Ticket_Table[[#This Row],[resolution_hrs]]&lt;=4,"Fast",IF(Ticket_Table[[#This Row],[resolution_hrs]]&lt;=24,"Normal",IF(Ticket_Table[[#This Row],[resolution_hrs]]&lt;=48,"Slow","Very Slow")))</f>
        <v>Slow</v>
      </c>
      <c r="Q3404" s="3">
        <f>YEAR(Ticket_Table[[#This Row],[raised_date]])</f>
        <v>2022</v>
      </c>
    </row>
    <row r="3405" spans="1:17">
      <c r="A3405" t="s">
        <v>3966</v>
      </c>
      <c r="B3405" t="s">
        <v>675</v>
      </c>
      <c r="C3405" t="s">
        <v>28</v>
      </c>
      <c r="D3405" t="s">
        <v>90</v>
      </c>
      <c r="E3405" t="s">
        <v>83</v>
      </c>
      <c r="F3405" t="s">
        <v>70</v>
      </c>
      <c r="G3405" t="s">
        <v>23</v>
      </c>
      <c r="H3405" s="1">
        <v>45116</v>
      </c>
      <c r="I3405" s="2">
        <v>45117.7583333333</v>
      </c>
      <c r="J3405">
        <v>42.2</v>
      </c>
      <c r="K3405" t="s">
        <v>24</v>
      </c>
      <c r="L3405">
        <v>0</v>
      </c>
      <c r="M3405">
        <v>5</v>
      </c>
      <c r="N3405" t="s">
        <v>676</v>
      </c>
      <c r="O3405" s="3" t="str">
        <f>TEXT(Ticket_Table[[#This Row],[raised_date]],"YYYY-MM")</f>
        <v>2023-07</v>
      </c>
      <c r="P3405" s="3" t="str">
        <f>IF(Ticket_Table[[#This Row],[resolution_hrs]]&lt;=4,"Fast",IF(Ticket_Table[[#This Row],[resolution_hrs]]&lt;=24,"Normal",IF(Ticket_Table[[#This Row],[resolution_hrs]]&lt;=48,"Slow","Very Slow")))</f>
        <v>Slow</v>
      </c>
      <c r="Q3405" s="3">
        <f>YEAR(Ticket_Table[[#This Row],[raised_date]])</f>
        <v>2023</v>
      </c>
    </row>
    <row r="3406" spans="1:17">
      <c r="A3406" t="s">
        <v>3967</v>
      </c>
      <c r="B3406" t="s">
        <v>811</v>
      </c>
      <c r="C3406" t="s">
        <v>117</v>
      </c>
      <c r="D3406" t="s">
        <v>29</v>
      </c>
      <c r="E3406" t="s">
        <v>51</v>
      </c>
      <c r="F3406" t="s">
        <v>70</v>
      </c>
      <c r="G3406" t="s">
        <v>31</v>
      </c>
      <c r="H3406" s="1">
        <v>45162</v>
      </c>
      <c r="I3406" s="2">
        <v>45163.2916666667</v>
      </c>
      <c r="J3406">
        <v>31</v>
      </c>
      <c r="K3406" t="s">
        <v>24</v>
      </c>
      <c r="L3406">
        <v>0</v>
      </c>
      <c r="M3406">
        <v>5</v>
      </c>
      <c r="N3406" t="s">
        <v>331</v>
      </c>
      <c r="O3406" s="3" t="str">
        <f>TEXT(Ticket_Table[[#This Row],[raised_date]],"YYYY-MM")</f>
        <v>2023-08</v>
      </c>
      <c r="P3406" s="3" t="str">
        <f>IF(Ticket_Table[[#This Row],[resolution_hrs]]&lt;=4,"Fast",IF(Ticket_Table[[#This Row],[resolution_hrs]]&lt;=24,"Normal",IF(Ticket_Table[[#This Row],[resolution_hrs]]&lt;=48,"Slow","Very Slow")))</f>
        <v>Slow</v>
      </c>
      <c r="Q3406" s="3">
        <f>YEAR(Ticket_Table[[#This Row],[raised_date]])</f>
        <v>2023</v>
      </c>
    </row>
    <row r="3407" spans="1:17">
      <c r="A3407" t="s">
        <v>3968</v>
      </c>
      <c r="B3407" t="s">
        <v>329</v>
      </c>
      <c r="C3407" t="s">
        <v>175</v>
      </c>
      <c r="D3407" t="s">
        <v>20</v>
      </c>
      <c r="E3407" t="s">
        <v>69</v>
      </c>
      <c r="F3407" t="s">
        <v>22</v>
      </c>
      <c r="G3407" t="s">
        <v>23</v>
      </c>
      <c r="H3407" s="1">
        <v>45183</v>
      </c>
      <c r="I3407" s="2">
        <v>45185.6166666667</v>
      </c>
      <c r="J3407">
        <v>62.8</v>
      </c>
      <c r="K3407" t="s">
        <v>24</v>
      </c>
      <c r="L3407">
        <v>3</v>
      </c>
      <c r="M3407">
        <v>5</v>
      </c>
      <c r="N3407" t="s">
        <v>504</v>
      </c>
      <c r="O3407" s="3" t="str">
        <f>TEXT(Ticket_Table[[#This Row],[raised_date]],"YYYY-MM")</f>
        <v>2023-09</v>
      </c>
      <c r="P3407" s="3" t="str">
        <f>IF(Ticket_Table[[#This Row],[resolution_hrs]]&lt;=4,"Fast",IF(Ticket_Table[[#This Row],[resolution_hrs]]&lt;=24,"Normal",IF(Ticket_Table[[#This Row],[resolution_hrs]]&lt;=48,"Slow","Very Slow")))</f>
        <v>Very Slow</v>
      </c>
      <c r="Q3407" s="3">
        <f>YEAR(Ticket_Table[[#This Row],[raised_date]])</f>
        <v>2023</v>
      </c>
    </row>
    <row r="3408" spans="1:17">
      <c r="A3408" t="s">
        <v>3969</v>
      </c>
      <c r="B3408" t="s">
        <v>1164</v>
      </c>
      <c r="C3408" t="s">
        <v>213</v>
      </c>
      <c r="D3408" t="s">
        <v>43</v>
      </c>
      <c r="E3408" t="s">
        <v>106</v>
      </c>
      <c r="F3408" t="s">
        <v>38</v>
      </c>
      <c r="G3408" t="s">
        <v>23</v>
      </c>
      <c r="H3408" s="1">
        <v>44546</v>
      </c>
      <c r="I3408" s="2">
        <v>44547.0541666667</v>
      </c>
      <c r="J3408">
        <v>25.3</v>
      </c>
      <c r="K3408" t="s">
        <v>32</v>
      </c>
      <c r="L3408">
        <v>0</v>
      </c>
      <c r="M3408">
        <v>4</v>
      </c>
      <c r="N3408" t="s">
        <v>121</v>
      </c>
      <c r="O3408" s="3" t="str">
        <f>TEXT(Ticket_Table[[#This Row],[raised_date]],"YYYY-MM")</f>
        <v>2021-12</v>
      </c>
      <c r="P3408" s="3" t="str">
        <f>IF(Ticket_Table[[#This Row],[resolution_hrs]]&lt;=4,"Fast",IF(Ticket_Table[[#This Row],[resolution_hrs]]&lt;=24,"Normal",IF(Ticket_Table[[#This Row],[resolution_hrs]]&lt;=48,"Slow","Very Slow")))</f>
        <v>Slow</v>
      </c>
      <c r="Q3408" s="3">
        <f>YEAR(Ticket_Table[[#This Row],[raised_date]])</f>
        <v>2021</v>
      </c>
    </row>
    <row r="3409" spans="1:17">
      <c r="A3409" t="s">
        <v>3970</v>
      </c>
      <c r="B3409" t="s">
        <v>1291</v>
      </c>
      <c r="C3409" t="s">
        <v>78</v>
      </c>
      <c r="D3409" t="s">
        <v>90</v>
      </c>
      <c r="E3409" t="s">
        <v>56</v>
      </c>
      <c r="F3409" t="s">
        <v>45</v>
      </c>
      <c r="G3409" t="s">
        <v>31</v>
      </c>
      <c r="H3409" s="1">
        <v>44646</v>
      </c>
      <c r="I3409" s="2">
        <v>44646.1958333333</v>
      </c>
      <c r="J3409">
        <v>4.7</v>
      </c>
      <c r="K3409" t="s">
        <v>32</v>
      </c>
      <c r="L3409">
        <v>1</v>
      </c>
      <c r="M3409">
        <v>4</v>
      </c>
      <c r="N3409" t="s">
        <v>256</v>
      </c>
      <c r="O3409" s="3" t="str">
        <f>TEXT(Ticket_Table[[#This Row],[raised_date]],"YYYY-MM")</f>
        <v>2022-03</v>
      </c>
      <c r="P3409" s="3" t="str">
        <f>IF(Ticket_Table[[#This Row],[resolution_hrs]]&lt;=4,"Fast",IF(Ticket_Table[[#This Row],[resolution_hrs]]&lt;=24,"Normal",IF(Ticket_Table[[#This Row],[resolution_hrs]]&lt;=48,"Slow","Very Slow")))</f>
        <v>Normal</v>
      </c>
      <c r="Q3409" s="3">
        <f>YEAR(Ticket_Table[[#This Row],[raised_date]])</f>
        <v>2022</v>
      </c>
    </row>
    <row r="3410" spans="1:17">
      <c r="A3410" t="s">
        <v>3971</v>
      </c>
      <c r="B3410" t="s">
        <v>18</v>
      </c>
      <c r="C3410" t="s">
        <v>55</v>
      </c>
      <c r="D3410" t="s">
        <v>29</v>
      </c>
      <c r="E3410" t="s">
        <v>30</v>
      </c>
      <c r="F3410" t="s">
        <v>45</v>
      </c>
      <c r="G3410" t="s">
        <v>23</v>
      </c>
      <c r="H3410" s="1">
        <v>45038</v>
      </c>
      <c r="I3410" s="2">
        <v>45038.1875</v>
      </c>
      <c r="J3410">
        <v>4.5</v>
      </c>
      <c r="K3410" t="s">
        <v>32</v>
      </c>
      <c r="L3410">
        <v>1</v>
      </c>
      <c r="M3410">
        <v>5</v>
      </c>
      <c r="N3410" t="s">
        <v>542</v>
      </c>
      <c r="O3410" s="3" t="str">
        <f>TEXT(Ticket_Table[[#This Row],[raised_date]],"YYYY-MM")</f>
        <v>2023-04</v>
      </c>
      <c r="P3410" s="3" t="str">
        <f>IF(Ticket_Table[[#This Row],[resolution_hrs]]&lt;=4,"Fast",IF(Ticket_Table[[#This Row],[resolution_hrs]]&lt;=24,"Normal",IF(Ticket_Table[[#This Row],[resolution_hrs]]&lt;=48,"Slow","Very Slow")))</f>
        <v>Normal</v>
      </c>
      <c r="Q3410" s="3">
        <f>YEAR(Ticket_Table[[#This Row],[raised_date]])</f>
        <v>2023</v>
      </c>
    </row>
    <row r="3411" spans="1:17">
      <c r="A3411" t="s">
        <v>3972</v>
      </c>
      <c r="B3411" t="s">
        <v>532</v>
      </c>
      <c r="C3411" t="s">
        <v>287</v>
      </c>
      <c r="D3411" t="s">
        <v>36</v>
      </c>
      <c r="E3411" t="s">
        <v>106</v>
      </c>
      <c r="F3411" t="s">
        <v>22</v>
      </c>
      <c r="G3411" t="s">
        <v>74</v>
      </c>
      <c r="H3411" s="1">
        <v>44489</v>
      </c>
      <c r="I3411" s="2">
        <v>44490.0916666667</v>
      </c>
      <c r="J3411">
        <v>26.2</v>
      </c>
      <c r="K3411" t="s">
        <v>24</v>
      </c>
      <c r="L3411">
        <v>0</v>
      </c>
      <c r="M3411">
        <v>5</v>
      </c>
      <c r="N3411" t="s">
        <v>1006</v>
      </c>
      <c r="O3411" s="3" t="str">
        <f>TEXT(Ticket_Table[[#This Row],[raised_date]],"YYYY-MM")</f>
        <v>2021-10</v>
      </c>
      <c r="P3411" s="3" t="str">
        <f>IF(Ticket_Table[[#This Row],[resolution_hrs]]&lt;=4,"Fast",IF(Ticket_Table[[#This Row],[resolution_hrs]]&lt;=24,"Normal",IF(Ticket_Table[[#This Row],[resolution_hrs]]&lt;=48,"Slow","Very Slow")))</f>
        <v>Slow</v>
      </c>
      <c r="Q3411" s="3">
        <f>YEAR(Ticket_Table[[#This Row],[raised_date]])</f>
        <v>2021</v>
      </c>
    </row>
    <row r="3412" spans="1:17">
      <c r="A3412" t="s">
        <v>3973</v>
      </c>
      <c r="B3412" t="s">
        <v>610</v>
      </c>
      <c r="C3412" t="s">
        <v>50</v>
      </c>
      <c r="D3412" t="s">
        <v>29</v>
      </c>
      <c r="E3412" t="s">
        <v>56</v>
      </c>
      <c r="F3412" t="s">
        <v>38</v>
      </c>
      <c r="G3412" t="s">
        <v>46</v>
      </c>
      <c r="H3412" s="1">
        <v>44569</v>
      </c>
      <c r="I3412" s="2">
        <v>44569.0458333333</v>
      </c>
      <c r="J3412">
        <v>1.1</v>
      </c>
      <c r="K3412" t="s">
        <v>24</v>
      </c>
      <c r="L3412">
        <v>0</v>
      </c>
      <c r="M3412">
        <v>5</v>
      </c>
      <c r="N3412" t="s">
        <v>880</v>
      </c>
      <c r="O3412" s="3" t="str">
        <f>TEXT(Ticket_Table[[#This Row],[raised_date]],"YYYY-MM")</f>
        <v>2022-01</v>
      </c>
      <c r="P3412" s="3" t="str">
        <f>IF(Ticket_Table[[#This Row],[resolution_hrs]]&lt;=4,"Fast",IF(Ticket_Table[[#This Row],[resolution_hrs]]&lt;=24,"Normal",IF(Ticket_Table[[#This Row],[resolution_hrs]]&lt;=48,"Slow","Very Slow")))</f>
        <v>Fast</v>
      </c>
      <c r="Q3412" s="3">
        <f>YEAR(Ticket_Table[[#This Row],[raised_date]])</f>
        <v>2022</v>
      </c>
    </row>
    <row r="3413" spans="1:17">
      <c r="A3413" t="s">
        <v>3974</v>
      </c>
      <c r="B3413" t="s">
        <v>105</v>
      </c>
      <c r="C3413" t="s">
        <v>102</v>
      </c>
      <c r="D3413" t="s">
        <v>29</v>
      </c>
      <c r="E3413" t="s">
        <v>69</v>
      </c>
      <c r="F3413" t="s">
        <v>38</v>
      </c>
      <c r="G3413" t="s">
        <v>31</v>
      </c>
      <c r="H3413" s="1">
        <v>45243</v>
      </c>
      <c r="I3413" s="2">
        <v>45244.4916666667</v>
      </c>
      <c r="J3413">
        <v>35.8</v>
      </c>
      <c r="K3413" t="s">
        <v>32</v>
      </c>
      <c r="L3413">
        <v>0</v>
      </c>
      <c r="M3413">
        <v>5</v>
      </c>
      <c r="N3413" t="s">
        <v>340</v>
      </c>
      <c r="O3413" s="3" t="str">
        <f>TEXT(Ticket_Table[[#This Row],[raised_date]],"YYYY-MM")</f>
        <v>2023-11</v>
      </c>
      <c r="P3413" s="3" t="str">
        <f>IF(Ticket_Table[[#This Row],[resolution_hrs]]&lt;=4,"Fast",IF(Ticket_Table[[#This Row],[resolution_hrs]]&lt;=24,"Normal",IF(Ticket_Table[[#This Row],[resolution_hrs]]&lt;=48,"Slow","Very Slow")))</f>
        <v>Slow</v>
      </c>
      <c r="Q3413" s="3">
        <f>YEAR(Ticket_Table[[#This Row],[raised_date]])</f>
        <v>2023</v>
      </c>
    </row>
    <row r="3414" spans="1:17">
      <c r="A3414" t="s">
        <v>3975</v>
      </c>
      <c r="B3414" t="s">
        <v>737</v>
      </c>
      <c r="C3414" t="s">
        <v>287</v>
      </c>
      <c r="D3414" t="s">
        <v>43</v>
      </c>
      <c r="E3414" t="s">
        <v>69</v>
      </c>
      <c r="F3414" t="s">
        <v>70</v>
      </c>
      <c r="G3414" t="s">
        <v>31</v>
      </c>
      <c r="H3414" s="1">
        <v>44738</v>
      </c>
      <c r="I3414" s="2">
        <v>44738.0916666667</v>
      </c>
      <c r="J3414">
        <v>2.2</v>
      </c>
      <c r="K3414" t="s">
        <v>24</v>
      </c>
      <c r="L3414">
        <v>2</v>
      </c>
      <c r="M3414">
        <v>4</v>
      </c>
      <c r="N3414" t="s">
        <v>378</v>
      </c>
      <c r="O3414" s="3" t="str">
        <f>TEXT(Ticket_Table[[#This Row],[raised_date]],"YYYY-MM")</f>
        <v>2022-06</v>
      </c>
      <c r="P3414" s="3" t="str">
        <f>IF(Ticket_Table[[#This Row],[resolution_hrs]]&lt;=4,"Fast",IF(Ticket_Table[[#This Row],[resolution_hrs]]&lt;=24,"Normal",IF(Ticket_Table[[#This Row],[resolution_hrs]]&lt;=48,"Slow","Very Slow")))</f>
        <v>Fast</v>
      </c>
      <c r="Q3414" s="3">
        <f>YEAR(Ticket_Table[[#This Row],[raised_date]])</f>
        <v>2022</v>
      </c>
    </row>
    <row r="3415" spans="1:17">
      <c r="A3415" t="s">
        <v>3976</v>
      </c>
      <c r="B3415" t="s">
        <v>656</v>
      </c>
      <c r="C3415" t="s">
        <v>287</v>
      </c>
      <c r="D3415" t="s">
        <v>43</v>
      </c>
      <c r="E3415" t="s">
        <v>69</v>
      </c>
      <c r="F3415" t="s">
        <v>70</v>
      </c>
      <c r="G3415" t="s">
        <v>74</v>
      </c>
      <c r="H3415" s="1">
        <v>44540</v>
      </c>
      <c r="I3415" s="2">
        <v>44541.6916666667</v>
      </c>
      <c r="J3415">
        <v>40.6</v>
      </c>
      <c r="K3415" t="s">
        <v>24</v>
      </c>
      <c r="L3415">
        <v>0</v>
      </c>
      <c r="M3415">
        <v>1</v>
      </c>
      <c r="N3415" t="s">
        <v>1533</v>
      </c>
      <c r="O3415" s="3" t="str">
        <f>TEXT(Ticket_Table[[#This Row],[raised_date]],"YYYY-MM")</f>
        <v>2021-12</v>
      </c>
      <c r="P3415" s="3" t="str">
        <f>IF(Ticket_Table[[#This Row],[resolution_hrs]]&lt;=4,"Fast",IF(Ticket_Table[[#This Row],[resolution_hrs]]&lt;=24,"Normal",IF(Ticket_Table[[#This Row],[resolution_hrs]]&lt;=48,"Slow","Very Slow")))</f>
        <v>Slow</v>
      </c>
      <c r="Q3415" s="3">
        <f>YEAR(Ticket_Table[[#This Row],[raised_date]])</f>
        <v>2021</v>
      </c>
    </row>
    <row r="3416" spans="1:17">
      <c r="A3416" t="s">
        <v>3977</v>
      </c>
      <c r="B3416" t="s">
        <v>110</v>
      </c>
      <c r="C3416" t="s">
        <v>55</v>
      </c>
      <c r="D3416" t="s">
        <v>36</v>
      </c>
      <c r="E3416" t="s">
        <v>56</v>
      </c>
      <c r="F3416" t="s">
        <v>38</v>
      </c>
      <c r="G3416" t="s">
        <v>46</v>
      </c>
      <c r="H3416" s="1">
        <v>44898</v>
      </c>
      <c r="I3416" s="2">
        <v>44899.4375</v>
      </c>
      <c r="J3416">
        <v>34.5</v>
      </c>
      <c r="K3416" t="s">
        <v>32</v>
      </c>
      <c r="L3416">
        <v>0</v>
      </c>
      <c r="M3416">
        <v>4</v>
      </c>
      <c r="N3416" t="s">
        <v>471</v>
      </c>
      <c r="O3416" s="3" t="str">
        <f>TEXT(Ticket_Table[[#This Row],[raised_date]],"YYYY-MM")</f>
        <v>2022-12</v>
      </c>
      <c r="P3416" s="3" t="str">
        <f>IF(Ticket_Table[[#This Row],[resolution_hrs]]&lt;=4,"Fast",IF(Ticket_Table[[#This Row],[resolution_hrs]]&lt;=24,"Normal",IF(Ticket_Table[[#This Row],[resolution_hrs]]&lt;=48,"Slow","Very Slow")))</f>
        <v>Slow</v>
      </c>
      <c r="Q3416" s="3">
        <f>YEAR(Ticket_Table[[#This Row],[raised_date]])</f>
        <v>2022</v>
      </c>
    </row>
    <row r="3417" spans="1:17">
      <c r="A3417" t="s">
        <v>3978</v>
      </c>
      <c r="B3417" t="s">
        <v>479</v>
      </c>
      <c r="C3417" t="s">
        <v>28</v>
      </c>
      <c r="D3417" t="s">
        <v>36</v>
      </c>
      <c r="E3417" t="s">
        <v>166</v>
      </c>
      <c r="F3417" t="s">
        <v>70</v>
      </c>
      <c r="G3417" t="s">
        <v>31</v>
      </c>
      <c r="H3417" s="1">
        <v>45125</v>
      </c>
      <c r="I3417" s="2">
        <v>45127.7666666667</v>
      </c>
      <c r="J3417">
        <v>66.4</v>
      </c>
      <c r="K3417" t="s">
        <v>32</v>
      </c>
      <c r="L3417">
        <v>2</v>
      </c>
      <c r="M3417">
        <v>4</v>
      </c>
      <c r="N3417" t="s">
        <v>701</v>
      </c>
      <c r="O3417" s="3" t="str">
        <f>TEXT(Ticket_Table[[#This Row],[raised_date]],"YYYY-MM")</f>
        <v>2023-07</v>
      </c>
      <c r="P3417" s="3" t="str">
        <f>IF(Ticket_Table[[#This Row],[resolution_hrs]]&lt;=4,"Fast",IF(Ticket_Table[[#This Row],[resolution_hrs]]&lt;=24,"Normal",IF(Ticket_Table[[#This Row],[resolution_hrs]]&lt;=48,"Slow","Very Slow")))</f>
        <v>Very Slow</v>
      </c>
      <c r="Q3417" s="3">
        <f>YEAR(Ticket_Table[[#This Row],[raised_date]])</f>
        <v>2023</v>
      </c>
    </row>
    <row r="3418" spans="1:17">
      <c r="A3418" t="s">
        <v>3979</v>
      </c>
      <c r="B3418" t="s">
        <v>726</v>
      </c>
      <c r="C3418" t="s">
        <v>95</v>
      </c>
      <c r="D3418" t="s">
        <v>36</v>
      </c>
      <c r="E3418" t="s">
        <v>44</v>
      </c>
      <c r="F3418" t="s">
        <v>70</v>
      </c>
      <c r="G3418" t="s">
        <v>23</v>
      </c>
      <c r="H3418" s="1">
        <v>44337</v>
      </c>
      <c r="I3418" s="2">
        <v>44337.2166666667</v>
      </c>
      <c r="J3418">
        <v>5.2</v>
      </c>
      <c r="K3418" t="s">
        <v>24</v>
      </c>
      <c r="L3418">
        <v>1</v>
      </c>
      <c r="M3418">
        <v>4</v>
      </c>
      <c r="N3418" t="s">
        <v>376</v>
      </c>
      <c r="O3418" s="3" t="str">
        <f>TEXT(Ticket_Table[[#This Row],[raised_date]],"YYYY-MM")</f>
        <v>2021-05</v>
      </c>
      <c r="P3418" s="3" t="str">
        <f>IF(Ticket_Table[[#This Row],[resolution_hrs]]&lt;=4,"Fast",IF(Ticket_Table[[#This Row],[resolution_hrs]]&lt;=24,"Normal",IF(Ticket_Table[[#This Row],[resolution_hrs]]&lt;=48,"Slow","Very Slow")))</f>
        <v>Normal</v>
      </c>
      <c r="Q3418" s="3">
        <f>YEAR(Ticket_Table[[#This Row],[raised_date]])</f>
        <v>2021</v>
      </c>
    </row>
    <row r="3419" spans="1:17">
      <c r="A3419" t="s">
        <v>3980</v>
      </c>
      <c r="B3419" t="s">
        <v>320</v>
      </c>
      <c r="C3419" t="s">
        <v>55</v>
      </c>
      <c r="D3419" t="s">
        <v>20</v>
      </c>
      <c r="E3419" t="s">
        <v>56</v>
      </c>
      <c r="F3419" t="s">
        <v>70</v>
      </c>
      <c r="G3419" t="s">
        <v>31</v>
      </c>
      <c r="H3419" s="1">
        <v>44667</v>
      </c>
      <c r="I3419" s="2">
        <v>44668.075</v>
      </c>
      <c r="J3419">
        <v>25.8</v>
      </c>
      <c r="K3419" t="s">
        <v>24</v>
      </c>
      <c r="L3419">
        <v>0</v>
      </c>
      <c r="M3419">
        <v>5</v>
      </c>
      <c r="N3419" t="s">
        <v>1337</v>
      </c>
      <c r="O3419" s="3" t="str">
        <f>TEXT(Ticket_Table[[#This Row],[raised_date]],"YYYY-MM")</f>
        <v>2022-04</v>
      </c>
      <c r="P3419" s="3" t="str">
        <f>IF(Ticket_Table[[#This Row],[resolution_hrs]]&lt;=4,"Fast",IF(Ticket_Table[[#This Row],[resolution_hrs]]&lt;=24,"Normal",IF(Ticket_Table[[#This Row],[resolution_hrs]]&lt;=48,"Slow","Very Slow")))</f>
        <v>Slow</v>
      </c>
      <c r="Q3419" s="3">
        <f>YEAR(Ticket_Table[[#This Row],[raised_date]])</f>
        <v>2022</v>
      </c>
    </row>
    <row r="3420" spans="1:17">
      <c r="A3420" t="s">
        <v>3981</v>
      </c>
      <c r="B3420" t="s">
        <v>376</v>
      </c>
      <c r="C3420" t="s">
        <v>64</v>
      </c>
      <c r="D3420" t="s">
        <v>20</v>
      </c>
      <c r="E3420" t="s">
        <v>21</v>
      </c>
      <c r="F3420" t="s">
        <v>70</v>
      </c>
      <c r="G3420" t="s">
        <v>46</v>
      </c>
      <c r="H3420" s="1">
        <v>44971</v>
      </c>
      <c r="I3420" s="2">
        <v>44973.5541666667</v>
      </c>
      <c r="J3420">
        <v>61.3</v>
      </c>
      <c r="K3420" t="s">
        <v>32</v>
      </c>
      <c r="L3420">
        <v>3</v>
      </c>
      <c r="M3420">
        <v>5</v>
      </c>
      <c r="N3420" t="s">
        <v>833</v>
      </c>
      <c r="O3420" s="3" t="str">
        <f>TEXT(Ticket_Table[[#This Row],[raised_date]],"YYYY-MM")</f>
        <v>2023-02</v>
      </c>
      <c r="P3420" s="3" t="str">
        <f>IF(Ticket_Table[[#This Row],[resolution_hrs]]&lt;=4,"Fast",IF(Ticket_Table[[#This Row],[resolution_hrs]]&lt;=24,"Normal",IF(Ticket_Table[[#This Row],[resolution_hrs]]&lt;=48,"Slow","Very Slow")))</f>
        <v>Very Slow</v>
      </c>
      <c r="Q3420" s="3">
        <f>YEAR(Ticket_Table[[#This Row],[raised_date]])</f>
        <v>2023</v>
      </c>
    </row>
    <row r="3421" spans="1:17">
      <c r="A3421" t="s">
        <v>3982</v>
      </c>
      <c r="B3421" t="s">
        <v>206</v>
      </c>
      <c r="C3421" t="s">
        <v>261</v>
      </c>
      <c r="D3421" t="s">
        <v>43</v>
      </c>
      <c r="E3421" t="s">
        <v>44</v>
      </c>
      <c r="F3421" t="s">
        <v>22</v>
      </c>
      <c r="G3421" t="s">
        <v>91</v>
      </c>
      <c r="H3421" s="1">
        <v>44986</v>
      </c>
      <c r="I3421" s="2">
        <v>44989.9041666667</v>
      </c>
      <c r="J3421">
        <v>93.7</v>
      </c>
      <c r="K3421" t="s">
        <v>32</v>
      </c>
      <c r="L3421">
        <v>0</v>
      </c>
      <c r="M3421">
        <v>4</v>
      </c>
      <c r="N3421" t="s">
        <v>61</v>
      </c>
      <c r="O3421" s="3" t="str">
        <f>TEXT(Ticket_Table[[#This Row],[raised_date]],"YYYY-MM")</f>
        <v>2023-03</v>
      </c>
      <c r="P3421" s="3" t="str">
        <f>IF(Ticket_Table[[#This Row],[resolution_hrs]]&lt;=4,"Fast",IF(Ticket_Table[[#This Row],[resolution_hrs]]&lt;=24,"Normal",IF(Ticket_Table[[#This Row],[resolution_hrs]]&lt;=48,"Slow","Very Slow")))</f>
        <v>Very Slow</v>
      </c>
      <c r="Q3421" s="3">
        <f>YEAR(Ticket_Table[[#This Row],[raised_date]])</f>
        <v>2023</v>
      </c>
    </row>
    <row r="3422" spans="1:17">
      <c r="A3422" t="s">
        <v>3983</v>
      </c>
      <c r="B3422" t="s">
        <v>464</v>
      </c>
      <c r="C3422" t="s">
        <v>64</v>
      </c>
      <c r="D3422" t="s">
        <v>43</v>
      </c>
      <c r="E3422" t="s">
        <v>21</v>
      </c>
      <c r="F3422" t="s">
        <v>45</v>
      </c>
      <c r="G3422" t="s">
        <v>31</v>
      </c>
      <c r="H3422" s="1">
        <v>44467</v>
      </c>
      <c r="I3422" s="2">
        <v>44467.2125</v>
      </c>
      <c r="J3422">
        <v>5.1</v>
      </c>
      <c r="K3422" t="s">
        <v>32</v>
      </c>
      <c r="L3422">
        <v>1</v>
      </c>
      <c r="M3422">
        <v>1</v>
      </c>
      <c r="N3422" t="s">
        <v>365</v>
      </c>
      <c r="O3422" s="3" t="str">
        <f>TEXT(Ticket_Table[[#This Row],[raised_date]],"YYYY-MM")</f>
        <v>2021-09</v>
      </c>
      <c r="P3422" s="3" t="str">
        <f>IF(Ticket_Table[[#This Row],[resolution_hrs]]&lt;=4,"Fast",IF(Ticket_Table[[#This Row],[resolution_hrs]]&lt;=24,"Normal",IF(Ticket_Table[[#This Row],[resolution_hrs]]&lt;=48,"Slow","Very Slow")))</f>
        <v>Normal</v>
      </c>
      <c r="Q3422" s="3">
        <f>YEAR(Ticket_Table[[#This Row],[raised_date]])</f>
        <v>2021</v>
      </c>
    </row>
    <row r="3423" spans="1:17">
      <c r="A3423" t="s">
        <v>3984</v>
      </c>
      <c r="B3423" t="s">
        <v>886</v>
      </c>
      <c r="C3423" t="s">
        <v>287</v>
      </c>
      <c r="D3423" t="s">
        <v>36</v>
      </c>
      <c r="E3423" t="s">
        <v>51</v>
      </c>
      <c r="F3423" t="s">
        <v>38</v>
      </c>
      <c r="G3423" t="s">
        <v>46</v>
      </c>
      <c r="H3423" s="1">
        <v>44419</v>
      </c>
      <c r="I3423" s="2">
        <v>44419.4708333333</v>
      </c>
      <c r="J3423">
        <v>11.3</v>
      </c>
      <c r="K3423" t="s">
        <v>24</v>
      </c>
      <c r="L3423">
        <v>0</v>
      </c>
      <c r="M3423">
        <v>3</v>
      </c>
      <c r="N3423" t="s">
        <v>650</v>
      </c>
      <c r="O3423" s="3" t="str">
        <f>TEXT(Ticket_Table[[#This Row],[raised_date]],"YYYY-MM")</f>
        <v>2021-08</v>
      </c>
      <c r="P3423" s="3" t="str">
        <f>IF(Ticket_Table[[#This Row],[resolution_hrs]]&lt;=4,"Fast",IF(Ticket_Table[[#This Row],[resolution_hrs]]&lt;=24,"Normal",IF(Ticket_Table[[#This Row],[resolution_hrs]]&lt;=48,"Slow","Very Slow")))</f>
        <v>Normal</v>
      </c>
      <c r="Q3423" s="3">
        <f>YEAR(Ticket_Table[[#This Row],[raised_date]])</f>
        <v>2021</v>
      </c>
    </row>
    <row r="3424" spans="1:17">
      <c r="A3424" t="s">
        <v>3985</v>
      </c>
      <c r="B3424" t="s">
        <v>1582</v>
      </c>
      <c r="C3424" t="s">
        <v>102</v>
      </c>
      <c r="D3424" t="s">
        <v>20</v>
      </c>
      <c r="E3424" t="s">
        <v>30</v>
      </c>
      <c r="F3424" t="s">
        <v>70</v>
      </c>
      <c r="G3424" t="s">
        <v>23</v>
      </c>
      <c r="H3424" s="1">
        <v>44230</v>
      </c>
      <c r="I3424" s="2">
        <v>44230.4666666667</v>
      </c>
      <c r="J3424">
        <v>11.2</v>
      </c>
      <c r="K3424" t="s">
        <v>24</v>
      </c>
      <c r="L3424">
        <v>0</v>
      </c>
      <c r="M3424">
        <v>3</v>
      </c>
      <c r="N3424" t="s">
        <v>767</v>
      </c>
      <c r="O3424" s="3" t="str">
        <f>TEXT(Ticket_Table[[#This Row],[raised_date]],"YYYY-MM")</f>
        <v>2021-02</v>
      </c>
      <c r="P3424" s="3" t="str">
        <f>IF(Ticket_Table[[#This Row],[resolution_hrs]]&lt;=4,"Fast",IF(Ticket_Table[[#This Row],[resolution_hrs]]&lt;=24,"Normal",IF(Ticket_Table[[#This Row],[resolution_hrs]]&lt;=48,"Slow","Very Slow")))</f>
        <v>Normal</v>
      </c>
      <c r="Q3424" s="3">
        <f>YEAR(Ticket_Table[[#This Row],[raised_date]])</f>
        <v>2021</v>
      </c>
    </row>
    <row r="3425" spans="1:17">
      <c r="A3425" t="s">
        <v>3986</v>
      </c>
      <c r="B3425" t="s">
        <v>903</v>
      </c>
      <c r="C3425" t="s">
        <v>55</v>
      </c>
      <c r="D3425" t="s">
        <v>90</v>
      </c>
      <c r="E3425" t="s">
        <v>30</v>
      </c>
      <c r="F3425" t="s">
        <v>22</v>
      </c>
      <c r="G3425" t="s">
        <v>46</v>
      </c>
      <c r="H3425" s="1">
        <v>44611</v>
      </c>
      <c r="I3425" s="2">
        <v>44614.8458333333</v>
      </c>
      <c r="J3425">
        <v>92.3</v>
      </c>
      <c r="K3425" t="s">
        <v>32</v>
      </c>
      <c r="L3425">
        <v>0</v>
      </c>
      <c r="M3425">
        <v>3</v>
      </c>
      <c r="N3425" t="s">
        <v>499</v>
      </c>
      <c r="O3425" s="3" t="str">
        <f>TEXT(Ticket_Table[[#This Row],[raised_date]],"YYYY-MM")</f>
        <v>2022-02</v>
      </c>
      <c r="P3425" s="3" t="str">
        <f>IF(Ticket_Table[[#This Row],[resolution_hrs]]&lt;=4,"Fast",IF(Ticket_Table[[#This Row],[resolution_hrs]]&lt;=24,"Normal",IF(Ticket_Table[[#This Row],[resolution_hrs]]&lt;=48,"Slow","Very Slow")))</f>
        <v>Very Slow</v>
      </c>
      <c r="Q3425" s="3">
        <f>YEAR(Ticket_Table[[#This Row],[raised_date]])</f>
        <v>2022</v>
      </c>
    </row>
    <row r="3426" spans="1:17">
      <c r="A3426" t="s">
        <v>3987</v>
      </c>
      <c r="B3426" t="s">
        <v>664</v>
      </c>
      <c r="C3426" t="s">
        <v>78</v>
      </c>
      <c r="D3426" t="s">
        <v>20</v>
      </c>
      <c r="E3426" t="s">
        <v>30</v>
      </c>
      <c r="F3426" t="s">
        <v>70</v>
      </c>
      <c r="G3426" t="s">
        <v>23</v>
      </c>
      <c r="H3426" s="1">
        <v>45267</v>
      </c>
      <c r="I3426" s="2">
        <v>45269.9166666667</v>
      </c>
      <c r="J3426">
        <v>70</v>
      </c>
      <c r="K3426" t="s">
        <v>32</v>
      </c>
      <c r="L3426">
        <v>0</v>
      </c>
      <c r="M3426">
        <v>4</v>
      </c>
      <c r="N3426" t="s">
        <v>1502</v>
      </c>
      <c r="O3426" s="3" t="str">
        <f>TEXT(Ticket_Table[[#This Row],[raised_date]],"YYYY-MM")</f>
        <v>2023-12</v>
      </c>
      <c r="P3426" s="3" t="str">
        <f>IF(Ticket_Table[[#This Row],[resolution_hrs]]&lt;=4,"Fast",IF(Ticket_Table[[#This Row],[resolution_hrs]]&lt;=24,"Normal",IF(Ticket_Table[[#This Row],[resolution_hrs]]&lt;=48,"Slow","Very Slow")))</f>
        <v>Very Slow</v>
      </c>
      <c r="Q3426" s="3">
        <f>YEAR(Ticket_Table[[#This Row],[raised_date]])</f>
        <v>2023</v>
      </c>
    </row>
    <row r="3427" spans="1:17">
      <c r="A3427" t="s">
        <v>3988</v>
      </c>
      <c r="B3427" t="s">
        <v>347</v>
      </c>
      <c r="C3427" t="s">
        <v>213</v>
      </c>
      <c r="D3427" t="s">
        <v>43</v>
      </c>
      <c r="E3427" t="s">
        <v>37</v>
      </c>
      <c r="F3427" t="s">
        <v>22</v>
      </c>
      <c r="G3427" t="s">
        <v>31</v>
      </c>
      <c r="H3427" s="1">
        <v>45229</v>
      </c>
      <c r="I3427" s="2">
        <v>45233.1125</v>
      </c>
      <c r="J3427">
        <v>98.7</v>
      </c>
      <c r="K3427" t="s">
        <v>32</v>
      </c>
      <c r="L3427">
        <v>0</v>
      </c>
      <c r="M3427">
        <v>2</v>
      </c>
      <c r="N3427" t="s">
        <v>929</v>
      </c>
      <c r="O3427" s="3" t="str">
        <f>TEXT(Ticket_Table[[#This Row],[raised_date]],"YYYY-MM")</f>
        <v>2023-10</v>
      </c>
      <c r="P3427" s="3" t="str">
        <f>IF(Ticket_Table[[#This Row],[resolution_hrs]]&lt;=4,"Fast",IF(Ticket_Table[[#This Row],[resolution_hrs]]&lt;=24,"Normal",IF(Ticket_Table[[#This Row],[resolution_hrs]]&lt;=48,"Slow","Very Slow")))</f>
        <v>Very Slow</v>
      </c>
      <c r="Q3427" s="3">
        <f>YEAR(Ticket_Table[[#This Row],[raised_date]])</f>
        <v>2023</v>
      </c>
    </row>
    <row r="3428" spans="1:17">
      <c r="A3428" t="s">
        <v>3989</v>
      </c>
      <c r="B3428" t="s">
        <v>720</v>
      </c>
      <c r="C3428" t="s">
        <v>55</v>
      </c>
      <c r="D3428" t="s">
        <v>20</v>
      </c>
      <c r="E3428" t="s">
        <v>56</v>
      </c>
      <c r="F3428" t="s">
        <v>22</v>
      </c>
      <c r="G3428" t="s">
        <v>23</v>
      </c>
      <c r="H3428" s="1">
        <v>45056</v>
      </c>
      <c r="I3428" s="2">
        <v>45057.1208333333</v>
      </c>
      <c r="J3428">
        <v>26.9</v>
      </c>
      <c r="K3428" t="s">
        <v>24</v>
      </c>
      <c r="L3428">
        <v>0</v>
      </c>
      <c r="M3428">
        <v>1</v>
      </c>
      <c r="N3428" t="s">
        <v>191</v>
      </c>
      <c r="O3428" s="3" t="str">
        <f>TEXT(Ticket_Table[[#This Row],[raised_date]],"YYYY-MM")</f>
        <v>2023-05</v>
      </c>
      <c r="P3428" s="3" t="str">
        <f>IF(Ticket_Table[[#This Row],[resolution_hrs]]&lt;=4,"Fast",IF(Ticket_Table[[#This Row],[resolution_hrs]]&lt;=24,"Normal",IF(Ticket_Table[[#This Row],[resolution_hrs]]&lt;=48,"Slow","Very Slow")))</f>
        <v>Slow</v>
      </c>
      <c r="Q3428" s="3">
        <f>YEAR(Ticket_Table[[#This Row],[raised_date]])</f>
        <v>2023</v>
      </c>
    </row>
    <row r="3429" spans="1:17">
      <c r="A3429" t="s">
        <v>3990</v>
      </c>
      <c r="B3429" t="s">
        <v>245</v>
      </c>
      <c r="C3429" t="s">
        <v>55</v>
      </c>
      <c r="D3429" t="s">
        <v>43</v>
      </c>
      <c r="E3429" t="s">
        <v>166</v>
      </c>
      <c r="F3429" t="s">
        <v>70</v>
      </c>
      <c r="G3429" t="s">
        <v>31</v>
      </c>
      <c r="H3429" s="1">
        <v>44503</v>
      </c>
      <c r="I3429" s="2">
        <v>44505.4916666667</v>
      </c>
      <c r="J3429">
        <v>59.8</v>
      </c>
      <c r="K3429" t="s">
        <v>32</v>
      </c>
      <c r="L3429">
        <v>0</v>
      </c>
      <c r="M3429">
        <v>4</v>
      </c>
      <c r="N3429" t="s">
        <v>337</v>
      </c>
      <c r="O3429" s="3" t="str">
        <f>TEXT(Ticket_Table[[#This Row],[raised_date]],"YYYY-MM")</f>
        <v>2021-11</v>
      </c>
      <c r="P3429" s="3" t="str">
        <f>IF(Ticket_Table[[#This Row],[resolution_hrs]]&lt;=4,"Fast",IF(Ticket_Table[[#This Row],[resolution_hrs]]&lt;=24,"Normal",IF(Ticket_Table[[#This Row],[resolution_hrs]]&lt;=48,"Slow","Very Slow")))</f>
        <v>Very Slow</v>
      </c>
      <c r="Q3429" s="3">
        <f>YEAR(Ticket_Table[[#This Row],[raised_date]])</f>
        <v>2021</v>
      </c>
    </row>
    <row r="3430" spans="1:17">
      <c r="A3430" t="s">
        <v>3991</v>
      </c>
      <c r="B3430" t="s">
        <v>618</v>
      </c>
      <c r="C3430" t="s">
        <v>50</v>
      </c>
      <c r="D3430" t="s">
        <v>36</v>
      </c>
      <c r="E3430" t="s">
        <v>51</v>
      </c>
      <c r="F3430" t="s">
        <v>70</v>
      </c>
      <c r="G3430" t="s">
        <v>46</v>
      </c>
      <c r="H3430" s="1">
        <v>44394</v>
      </c>
      <c r="I3430" s="2">
        <v>44394.2083333333</v>
      </c>
      <c r="J3430">
        <v>5</v>
      </c>
      <c r="K3430" t="s">
        <v>24</v>
      </c>
      <c r="L3430">
        <v>0</v>
      </c>
      <c r="M3430">
        <v>4</v>
      </c>
      <c r="N3430" t="s">
        <v>503</v>
      </c>
      <c r="O3430" s="3" t="str">
        <f>TEXT(Ticket_Table[[#This Row],[raised_date]],"YYYY-MM")</f>
        <v>2021-07</v>
      </c>
      <c r="P3430" s="3" t="str">
        <f>IF(Ticket_Table[[#This Row],[resolution_hrs]]&lt;=4,"Fast",IF(Ticket_Table[[#This Row],[resolution_hrs]]&lt;=24,"Normal",IF(Ticket_Table[[#This Row],[resolution_hrs]]&lt;=48,"Slow","Very Slow")))</f>
        <v>Normal</v>
      </c>
      <c r="Q3430" s="3">
        <f>YEAR(Ticket_Table[[#This Row],[raised_date]])</f>
        <v>2021</v>
      </c>
    </row>
    <row r="3431" spans="1:17">
      <c r="A3431" t="s">
        <v>3992</v>
      </c>
      <c r="B3431" t="s">
        <v>138</v>
      </c>
      <c r="C3431" t="s">
        <v>50</v>
      </c>
      <c r="D3431" t="s">
        <v>36</v>
      </c>
      <c r="E3431" t="s">
        <v>69</v>
      </c>
      <c r="F3431" t="s">
        <v>70</v>
      </c>
      <c r="G3431" t="s">
        <v>31</v>
      </c>
      <c r="H3431" s="1">
        <v>44560</v>
      </c>
      <c r="I3431" s="2">
        <v>44560.45</v>
      </c>
      <c r="J3431">
        <v>10.8</v>
      </c>
      <c r="K3431" t="s">
        <v>24</v>
      </c>
      <c r="L3431">
        <v>1</v>
      </c>
      <c r="M3431">
        <v>1</v>
      </c>
      <c r="N3431" t="s">
        <v>116</v>
      </c>
      <c r="O3431" s="3" t="str">
        <f>TEXT(Ticket_Table[[#This Row],[raised_date]],"YYYY-MM")</f>
        <v>2021-12</v>
      </c>
      <c r="P3431" s="3" t="str">
        <f>IF(Ticket_Table[[#This Row],[resolution_hrs]]&lt;=4,"Fast",IF(Ticket_Table[[#This Row],[resolution_hrs]]&lt;=24,"Normal",IF(Ticket_Table[[#This Row],[resolution_hrs]]&lt;=48,"Slow","Very Slow")))</f>
        <v>Normal</v>
      </c>
      <c r="Q3431" s="3">
        <f>YEAR(Ticket_Table[[#This Row],[raised_date]])</f>
        <v>2021</v>
      </c>
    </row>
    <row r="3432" spans="1:17">
      <c r="A3432" t="s">
        <v>3993</v>
      </c>
      <c r="B3432" t="s">
        <v>92</v>
      </c>
      <c r="C3432" t="s">
        <v>55</v>
      </c>
      <c r="D3432" t="s">
        <v>36</v>
      </c>
      <c r="E3432" t="s">
        <v>56</v>
      </c>
      <c r="F3432" t="s">
        <v>22</v>
      </c>
      <c r="G3432" t="s">
        <v>23</v>
      </c>
      <c r="H3432" s="1">
        <v>45171</v>
      </c>
      <c r="I3432" s="2">
        <v>45175.3291666667</v>
      </c>
      <c r="J3432">
        <v>103.9</v>
      </c>
      <c r="K3432" t="s">
        <v>32</v>
      </c>
      <c r="L3432">
        <v>0</v>
      </c>
      <c r="M3432">
        <v>5</v>
      </c>
      <c r="N3432" t="s">
        <v>361</v>
      </c>
      <c r="O3432" s="3" t="str">
        <f>TEXT(Ticket_Table[[#This Row],[raised_date]],"YYYY-MM")</f>
        <v>2023-09</v>
      </c>
      <c r="P3432" s="3" t="str">
        <f>IF(Ticket_Table[[#This Row],[resolution_hrs]]&lt;=4,"Fast",IF(Ticket_Table[[#This Row],[resolution_hrs]]&lt;=24,"Normal",IF(Ticket_Table[[#This Row],[resolution_hrs]]&lt;=48,"Slow","Very Slow")))</f>
        <v>Very Slow</v>
      </c>
      <c r="Q3432" s="3">
        <f>YEAR(Ticket_Table[[#This Row],[raised_date]])</f>
        <v>2023</v>
      </c>
    </row>
    <row r="3433" spans="1:17">
      <c r="A3433" t="s">
        <v>3994</v>
      </c>
      <c r="B3433" t="s">
        <v>683</v>
      </c>
      <c r="C3433" t="s">
        <v>287</v>
      </c>
      <c r="D3433" t="s">
        <v>90</v>
      </c>
      <c r="E3433" t="s">
        <v>21</v>
      </c>
      <c r="F3433" t="s">
        <v>70</v>
      </c>
      <c r="G3433" t="s">
        <v>31</v>
      </c>
      <c r="H3433" s="1">
        <v>44276</v>
      </c>
      <c r="I3433" s="2">
        <v>44278.125</v>
      </c>
      <c r="J3433">
        <v>51</v>
      </c>
      <c r="K3433" t="s">
        <v>32</v>
      </c>
      <c r="L3433">
        <v>0</v>
      </c>
      <c r="M3433">
        <v>3</v>
      </c>
      <c r="N3433" t="s">
        <v>510</v>
      </c>
      <c r="O3433" s="3" t="str">
        <f>TEXT(Ticket_Table[[#This Row],[raised_date]],"YYYY-MM")</f>
        <v>2021-03</v>
      </c>
      <c r="P3433" s="3" t="str">
        <f>IF(Ticket_Table[[#This Row],[resolution_hrs]]&lt;=4,"Fast",IF(Ticket_Table[[#This Row],[resolution_hrs]]&lt;=24,"Normal",IF(Ticket_Table[[#This Row],[resolution_hrs]]&lt;=48,"Slow","Very Slow")))</f>
        <v>Very Slow</v>
      </c>
      <c r="Q3433" s="3">
        <f>YEAR(Ticket_Table[[#This Row],[raised_date]])</f>
        <v>2021</v>
      </c>
    </row>
    <row r="3434" spans="1:17">
      <c r="A3434" t="s">
        <v>3995</v>
      </c>
      <c r="B3434" t="s">
        <v>1833</v>
      </c>
      <c r="C3434" t="s">
        <v>95</v>
      </c>
      <c r="D3434" t="s">
        <v>90</v>
      </c>
      <c r="E3434" t="s">
        <v>21</v>
      </c>
      <c r="F3434" t="s">
        <v>22</v>
      </c>
      <c r="G3434" t="s">
        <v>46</v>
      </c>
      <c r="H3434" s="1">
        <v>45285</v>
      </c>
      <c r="I3434" s="2">
        <v>45286.725</v>
      </c>
      <c r="J3434">
        <v>41.4</v>
      </c>
      <c r="K3434" t="s">
        <v>24</v>
      </c>
      <c r="L3434">
        <v>1</v>
      </c>
      <c r="M3434">
        <v>2</v>
      </c>
      <c r="N3434" t="s">
        <v>337</v>
      </c>
      <c r="O3434" s="3" t="str">
        <f>TEXT(Ticket_Table[[#This Row],[raised_date]],"YYYY-MM")</f>
        <v>2023-12</v>
      </c>
      <c r="P3434" s="3" t="str">
        <f>IF(Ticket_Table[[#This Row],[resolution_hrs]]&lt;=4,"Fast",IF(Ticket_Table[[#This Row],[resolution_hrs]]&lt;=24,"Normal",IF(Ticket_Table[[#This Row],[resolution_hrs]]&lt;=48,"Slow","Very Slow")))</f>
        <v>Slow</v>
      </c>
      <c r="Q3434" s="3">
        <f>YEAR(Ticket_Table[[#This Row],[raised_date]])</f>
        <v>2023</v>
      </c>
    </row>
    <row r="3435" spans="1:17">
      <c r="A3435" t="s">
        <v>3996</v>
      </c>
      <c r="B3435" t="s">
        <v>304</v>
      </c>
      <c r="C3435" t="s">
        <v>102</v>
      </c>
      <c r="D3435" t="s">
        <v>43</v>
      </c>
      <c r="E3435" t="s">
        <v>44</v>
      </c>
      <c r="F3435" t="s">
        <v>45</v>
      </c>
      <c r="G3435" t="s">
        <v>23</v>
      </c>
      <c r="H3435" s="1">
        <v>45227</v>
      </c>
      <c r="I3435" s="2">
        <v>45227.0458333333</v>
      </c>
      <c r="J3435">
        <v>1.1</v>
      </c>
      <c r="K3435" t="s">
        <v>24</v>
      </c>
      <c r="L3435">
        <v>0</v>
      </c>
      <c r="M3435">
        <v>4</v>
      </c>
      <c r="N3435" t="s">
        <v>722</v>
      </c>
      <c r="O3435" s="3" t="str">
        <f>TEXT(Ticket_Table[[#This Row],[raised_date]],"YYYY-MM")</f>
        <v>2023-10</v>
      </c>
      <c r="P3435" s="3" t="str">
        <f>IF(Ticket_Table[[#This Row],[resolution_hrs]]&lt;=4,"Fast",IF(Ticket_Table[[#This Row],[resolution_hrs]]&lt;=24,"Normal",IF(Ticket_Table[[#This Row],[resolution_hrs]]&lt;=48,"Slow","Very Slow")))</f>
        <v>Fast</v>
      </c>
      <c r="Q3435" s="3">
        <f>YEAR(Ticket_Table[[#This Row],[raised_date]])</f>
        <v>2023</v>
      </c>
    </row>
    <row r="3436" spans="1:17">
      <c r="A3436" t="s">
        <v>3997</v>
      </c>
      <c r="B3436" t="s">
        <v>110</v>
      </c>
      <c r="C3436" t="s">
        <v>55</v>
      </c>
      <c r="D3436" t="s">
        <v>29</v>
      </c>
      <c r="E3436" t="s">
        <v>69</v>
      </c>
      <c r="F3436" t="s">
        <v>70</v>
      </c>
      <c r="G3436" t="s">
        <v>23</v>
      </c>
      <c r="H3436" s="1">
        <v>44437</v>
      </c>
      <c r="I3436" s="2">
        <v>44439.8958333333</v>
      </c>
      <c r="J3436">
        <v>69.5</v>
      </c>
      <c r="K3436" t="s">
        <v>32</v>
      </c>
      <c r="L3436">
        <v>2</v>
      </c>
      <c r="M3436">
        <v>5</v>
      </c>
      <c r="N3436" t="s">
        <v>308</v>
      </c>
      <c r="O3436" s="3" t="str">
        <f>TEXT(Ticket_Table[[#This Row],[raised_date]],"YYYY-MM")</f>
        <v>2021-08</v>
      </c>
      <c r="P3436" s="3" t="str">
        <f>IF(Ticket_Table[[#This Row],[resolution_hrs]]&lt;=4,"Fast",IF(Ticket_Table[[#This Row],[resolution_hrs]]&lt;=24,"Normal",IF(Ticket_Table[[#This Row],[resolution_hrs]]&lt;=48,"Slow","Very Slow")))</f>
        <v>Very Slow</v>
      </c>
      <c r="Q3436" s="3">
        <f>YEAR(Ticket_Table[[#This Row],[raised_date]])</f>
        <v>2021</v>
      </c>
    </row>
    <row r="3437" spans="1:17">
      <c r="A3437" t="s">
        <v>3998</v>
      </c>
      <c r="B3437" t="s">
        <v>527</v>
      </c>
      <c r="C3437" t="s">
        <v>78</v>
      </c>
      <c r="D3437" t="s">
        <v>90</v>
      </c>
      <c r="E3437" t="s">
        <v>37</v>
      </c>
      <c r="F3437" t="s">
        <v>38</v>
      </c>
      <c r="G3437" t="s">
        <v>23</v>
      </c>
      <c r="H3437" s="1">
        <v>44387</v>
      </c>
      <c r="I3437" s="2">
        <v>44387.5833333333</v>
      </c>
      <c r="J3437">
        <v>14</v>
      </c>
      <c r="K3437" t="s">
        <v>24</v>
      </c>
      <c r="L3437">
        <v>1</v>
      </c>
      <c r="M3437">
        <v>4</v>
      </c>
      <c r="N3437" t="s">
        <v>143</v>
      </c>
      <c r="O3437" s="3" t="str">
        <f>TEXT(Ticket_Table[[#This Row],[raised_date]],"YYYY-MM")</f>
        <v>2021-07</v>
      </c>
      <c r="P3437" s="3" t="str">
        <f>IF(Ticket_Table[[#This Row],[resolution_hrs]]&lt;=4,"Fast",IF(Ticket_Table[[#This Row],[resolution_hrs]]&lt;=24,"Normal",IF(Ticket_Table[[#This Row],[resolution_hrs]]&lt;=48,"Slow","Very Slow")))</f>
        <v>Normal</v>
      </c>
      <c r="Q3437" s="3">
        <f>YEAR(Ticket_Table[[#This Row],[raised_date]])</f>
        <v>2021</v>
      </c>
    </row>
    <row r="3438" spans="1:17">
      <c r="A3438" t="s">
        <v>3999</v>
      </c>
      <c r="B3438" t="s">
        <v>194</v>
      </c>
      <c r="C3438" t="s">
        <v>102</v>
      </c>
      <c r="D3438" t="s">
        <v>43</v>
      </c>
      <c r="E3438" t="s">
        <v>21</v>
      </c>
      <c r="F3438" t="s">
        <v>70</v>
      </c>
      <c r="G3438" t="s">
        <v>23</v>
      </c>
      <c r="H3438" s="1">
        <v>45184</v>
      </c>
      <c r="I3438" s="2">
        <v>45186.1166666667</v>
      </c>
      <c r="J3438">
        <v>50.8</v>
      </c>
      <c r="K3438" t="s">
        <v>32</v>
      </c>
      <c r="L3438">
        <v>0</v>
      </c>
      <c r="M3438">
        <v>4</v>
      </c>
      <c r="N3438" t="s">
        <v>1382</v>
      </c>
      <c r="O3438" s="3" t="str">
        <f>TEXT(Ticket_Table[[#This Row],[raised_date]],"YYYY-MM")</f>
        <v>2023-09</v>
      </c>
      <c r="P3438" s="3" t="str">
        <f>IF(Ticket_Table[[#This Row],[resolution_hrs]]&lt;=4,"Fast",IF(Ticket_Table[[#This Row],[resolution_hrs]]&lt;=24,"Normal",IF(Ticket_Table[[#This Row],[resolution_hrs]]&lt;=48,"Slow","Very Slow")))</f>
        <v>Very Slow</v>
      </c>
      <c r="Q3438" s="3">
        <f>YEAR(Ticket_Table[[#This Row],[raised_date]])</f>
        <v>2023</v>
      </c>
    </row>
    <row r="3439" spans="1:17">
      <c r="A3439" t="s">
        <v>4000</v>
      </c>
      <c r="B3439" t="s">
        <v>1064</v>
      </c>
      <c r="C3439" t="s">
        <v>64</v>
      </c>
      <c r="D3439" t="s">
        <v>20</v>
      </c>
      <c r="E3439" t="s">
        <v>30</v>
      </c>
      <c r="F3439" t="s">
        <v>22</v>
      </c>
      <c r="G3439" t="s">
        <v>23</v>
      </c>
      <c r="H3439" s="1">
        <v>44463</v>
      </c>
      <c r="I3439" s="2">
        <v>44465.9958333333</v>
      </c>
      <c r="J3439">
        <v>71.9</v>
      </c>
      <c r="K3439" t="s">
        <v>24</v>
      </c>
      <c r="L3439">
        <v>3</v>
      </c>
      <c r="M3439">
        <v>5</v>
      </c>
      <c r="N3439" t="s">
        <v>148</v>
      </c>
      <c r="O3439" s="3" t="str">
        <f>TEXT(Ticket_Table[[#This Row],[raised_date]],"YYYY-MM")</f>
        <v>2021-09</v>
      </c>
      <c r="P3439" s="3" t="str">
        <f>IF(Ticket_Table[[#This Row],[resolution_hrs]]&lt;=4,"Fast",IF(Ticket_Table[[#This Row],[resolution_hrs]]&lt;=24,"Normal",IF(Ticket_Table[[#This Row],[resolution_hrs]]&lt;=48,"Slow","Very Slow")))</f>
        <v>Very Slow</v>
      </c>
      <c r="Q3439" s="3">
        <f>YEAR(Ticket_Table[[#This Row],[raised_date]])</f>
        <v>2021</v>
      </c>
    </row>
    <row r="3440" spans="1:17">
      <c r="A3440" t="s">
        <v>4001</v>
      </c>
      <c r="B3440" t="s">
        <v>176</v>
      </c>
      <c r="C3440" t="s">
        <v>287</v>
      </c>
      <c r="D3440" t="s">
        <v>36</v>
      </c>
      <c r="E3440" t="s">
        <v>44</v>
      </c>
      <c r="F3440" t="s">
        <v>45</v>
      </c>
      <c r="G3440" t="s">
        <v>91</v>
      </c>
      <c r="H3440" s="1">
        <v>44199</v>
      </c>
      <c r="I3440" s="2">
        <v>44199.0583333333</v>
      </c>
      <c r="J3440">
        <v>1.4</v>
      </c>
      <c r="K3440" t="s">
        <v>24</v>
      </c>
      <c r="L3440">
        <v>0</v>
      </c>
      <c r="M3440">
        <v>4</v>
      </c>
      <c r="N3440" t="s">
        <v>457</v>
      </c>
      <c r="O3440" s="3" t="str">
        <f>TEXT(Ticket_Table[[#This Row],[raised_date]],"YYYY-MM")</f>
        <v>2021-01</v>
      </c>
      <c r="P3440" s="3" t="str">
        <f>IF(Ticket_Table[[#This Row],[resolution_hrs]]&lt;=4,"Fast",IF(Ticket_Table[[#This Row],[resolution_hrs]]&lt;=24,"Normal",IF(Ticket_Table[[#This Row],[resolution_hrs]]&lt;=48,"Slow","Very Slow")))</f>
        <v>Fast</v>
      </c>
      <c r="Q3440" s="3">
        <f>YEAR(Ticket_Table[[#This Row],[raised_date]])</f>
        <v>2021</v>
      </c>
    </row>
    <row r="3441" spans="1:17">
      <c r="A3441" t="s">
        <v>4002</v>
      </c>
      <c r="B3441" t="s">
        <v>956</v>
      </c>
      <c r="C3441" t="s">
        <v>19</v>
      </c>
      <c r="D3441" t="s">
        <v>36</v>
      </c>
      <c r="E3441" t="s">
        <v>106</v>
      </c>
      <c r="F3441" t="s">
        <v>22</v>
      </c>
      <c r="G3441" t="s">
        <v>46</v>
      </c>
      <c r="H3441" s="1">
        <v>45080</v>
      </c>
      <c r="I3441" s="2">
        <v>45083.775</v>
      </c>
      <c r="J3441">
        <v>90.6</v>
      </c>
      <c r="K3441" t="s">
        <v>32</v>
      </c>
      <c r="L3441">
        <v>0</v>
      </c>
      <c r="M3441">
        <v>2</v>
      </c>
      <c r="N3441" t="s">
        <v>538</v>
      </c>
      <c r="O3441" s="3" t="str">
        <f>TEXT(Ticket_Table[[#This Row],[raised_date]],"YYYY-MM")</f>
        <v>2023-06</v>
      </c>
      <c r="P3441" s="3" t="str">
        <f>IF(Ticket_Table[[#This Row],[resolution_hrs]]&lt;=4,"Fast",IF(Ticket_Table[[#This Row],[resolution_hrs]]&lt;=24,"Normal",IF(Ticket_Table[[#This Row],[resolution_hrs]]&lt;=48,"Slow","Very Slow")))</f>
        <v>Very Slow</v>
      </c>
      <c r="Q3441" s="3">
        <f>YEAR(Ticket_Table[[#This Row],[raised_date]])</f>
        <v>2023</v>
      </c>
    </row>
    <row r="3442" spans="1:17">
      <c r="A3442" t="s">
        <v>4003</v>
      </c>
      <c r="B3442" t="s">
        <v>146</v>
      </c>
      <c r="C3442" t="s">
        <v>82</v>
      </c>
      <c r="D3442" t="s">
        <v>36</v>
      </c>
      <c r="E3442" t="s">
        <v>83</v>
      </c>
      <c r="F3442" t="s">
        <v>70</v>
      </c>
      <c r="G3442" t="s">
        <v>31</v>
      </c>
      <c r="H3442" s="1">
        <v>45266</v>
      </c>
      <c r="I3442" s="2">
        <v>45268.6166666667</v>
      </c>
      <c r="J3442">
        <v>62.8</v>
      </c>
      <c r="K3442" t="s">
        <v>32</v>
      </c>
      <c r="L3442">
        <v>0</v>
      </c>
      <c r="M3442">
        <v>4</v>
      </c>
      <c r="N3442" t="s">
        <v>346</v>
      </c>
      <c r="O3442" s="3" t="str">
        <f>TEXT(Ticket_Table[[#This Row],[raised_date]],"YYYY-MM")</f>
        <v>2023-12</v>
      </c>
      <c r="P3442" s="3" t="str">
        <f>IF(Ticket_Table[[#This Row],[resolution_hrs]]&lt;=4,"Fast",IF(Ticket_Table[[#This Row],[resolution_hrs]]&lt;=24,"Normal",IF(Ticket_Table[[#This Row],[resolution_hrs]]&lt;=48,"Slow","Very Slow")))</f>
        <v>Very Slow</v>
      </c>
      <c r="Q3442" s="3">
        <f>YEAR(Ticket_Table[[#This Row],[raised_date]])</f>
        <v>2023</v>
      </c>
    </row>
    <row r="3443" spans="1:17">
      <c r="A3443" t="s">
        <v>4004</v>
      </c>
      <c r="B3443" t="s">
        <v>92</v>
      </c>
      <c r="C3443" t="s">
        <v>64</v>
      </c>
      <c r="D3443" t="s">
        <v>43</v>
      </c>
      <c r="E3443" t="s">
        <v>44</v>
      </c>
      <c r="F3443" t="s">
        <v>70</v>
      </c>
      <c r="G3443" t="s">
        <v>23</v>
      </c>
      <c r="H3443" s="1">
        <v>45058</v>
      </c>
      <c r="I3443" s="2">
        <v>45058.1291666667</v>
      </c>
      <c r="J3443">
        <v>3.1</v>
      </c>
      <c r="K3443" t="s">
        <v>24</v>
      </c>
      <c r="L3443">
        <v>0</v>
      </c>
      <c r="M3443">
        <v>5</v>
      </c>
      <c r="N3443" t="s">
        <v>552</v>
      </c>
      <c r="O3443" s="3" t="str">
        <f>TEXT(Ticket_Table[[#This Row],[raised_date]],"YYYY-MM")</f>
        <v>2023-05</v>
      </c>
      <c r="P3443" s="3" t="str">
        <f>IF(Ticket_Table[[#This Row],[resolution_hrs]]&lt;=4,"Fast",IF(Ticket_Table[[#This Row],[resolution_hrs]]&lt;=24,"Normal",IF(Ticket_Table[[#This Row],[resolution_hrs]]&lt;=48,"Slow","Very Slow")))</f>
        <v>Fast</v>
      </c>
      <c r="Q3443" s="3">
        <f>YEAR(Ticket_Table[[#This Row],[raised_date]])</f>
        <v>2023</v>
      </c>
    </row>
    <row r="3444" spans="1:17">
      <c r="A3444" t="s">
        <v>4005</v>
      </c>
      <c r="B3444" t="s">
        <v>652</v>
      </c>
      <c r="C3444" t="s">
        <v>140</v>
      </c>
      <c r="D3444" t="s">
        <v>36</v>
      </c>
      <c r="E3444" t="s">
        <v>44</v>
      </c>
      <c r="F3444" t="s">
        <v>22</v>
      </c>
      <c r="G3444" t="s">
        <v>23</v>
      </c>
      <c r="H3444" s="1">
        <v>44955</v>
      </c>
      <c r="I3444" s="2">
        <v>44956.6708333333</v>
      </c>
      <c r="J3444">
        <v>40.1</v>
      </c>
      <c r="K3444" t="s">
        <v>24</v>
      </c>
      <c r="L3444">
        <v>0</v>
      </c>
      <c r="M3444">
        <v>4</v>
      </c>
      <c r="N3444" t="s">
        <v>538</v>
      </c>
      <c r="O3444" s="3" t="str">
        <f>TEXT(Ticket_Table[[#This Row],[raised_date]],"YYYY-MM")</f>
        <v>2023-01</v>
      </c>
      <c r="P3444" s="3" t="str">
        <f>IF(Ticket_Table[[#This Row],[resolution_hrs]]&lt;=4,"Fast",IF(Ticket_Table[[#This Row],[resolution_hrs]]&lt;=24,"Normal",IF(Ticket_Table[[#This Row],[resolution_hrs]]&lt;=48,"Slow","Very Slow")))</f>
        <v>Slow</v>
      </c>
      <c r="Q3444" s="3">
        <f>YEAR(Ticket_Table[[#This Row],[raised_date]])</f>
        <v>2023</v>
      </c>
    </row>
    <row r="3445" spans="1:17">
      <c r="A3445" t="s">
        <v>4006</v>
      </c>
      <c r="B3445" t="s">
        <v>630</v>
      </c>
      <c r="C3445" t="s">
        <v>28</v>
      </c>
      <c r="D3445" t="s">
        <v>90</v>
      </c>
      <c r="E3445" t="s">
        <v>21</v>
      </c>
      <c r="F3445" t="s">
        <v>38</v>
      </c>
      <c r="G3445" t="s">
        <v>23</v>
      </c>
      <c r="H3445" s="1">
        <v>44285</v>
      </c>
      <c r="I3445" s="2">
        <v>44285.1583333333</v>
      </c>
      <c r="J3445">
        <v>3.8</v>
      </c>
      <c r="K3445" t="s">
        <v>24</v>
      </c>
      <c r="L3445">
        <v>1</v>
      </c>
      <c r="M3445">
        <v>5</v>
      </c>
      <c r="N3445" t="s">
        <v>550</v>
      </c>
      <c r="O3445" s="3" t="str">
        <f>TEXT(Ticket_Table[[#This Row],[raised_date]],"YYYY-MM")</f>
        <v>2021-03</v>
      </c>
      <c r="P3445" s="3" t="str">
        <f>IF(Ticket_Table[[#This Row],[resolution_hrs]]&lt;=4,"Fast",IF(Ticket_Table[[#This Row],[resolution_hrs]]&lt;=24,"Normal",IF(Ticket_Table[[#This Row],[resolution_hrs]]&lt;=48,"Slow","Very Slow")))</f>
        <v>Fast</v>
      </c>
      <c r="Q3445" s="3">
        <f>YEAR(Ticket_Table[[#This Row],[raised_date]])</f>
        <v>2021</v>
      </c>
    </row>
    <row r="3446" spans="1:17">
      <c r="A3446" t="s">
        <v>4007</v>
      </c>
      <c r="B3446" t="s">
        <v>41</v>
      </c>
      <c r="C3446" t="s">
        <v>78</v>
      </c>
      <c r="D3446" t="s">
        <v>20</v>
      </c>
      <c r="E3446" t="s">
        <v>56</v>
      </c>
      <c r="F3446" t="s">
        <v>70</v>
      </c>
      <c r="G3446" t="s">
        <v>31</v>
      </c>
      <c r="H3446" s="1">
        <v>45282</v>
      </c>
      <c r="I3446" s="2">
        <v>45282.2708333333</v>
      </c>
      <c r="J3446">
        <v>6.5</v>
      </c>
      <c r="K3446" t="s">
        <v>24</v>
      </c>
      <c r="L3446">
        <v>0</v>
      </c>
      <c r="M3446">
        <v>4</v>
      </c>
      <c r="N3446" t="s">
        <v>151</v>
      </c>
      <c r="O3446" s="3" t="str">
        <f>TEXT(Ticket_Table[[#This Row],[raised_date]],"YYYY-MM")</f>
        <v>2023-12</v>
      </c>
      <c r="P3446" s="3" t="str">
        <f>IF(Ticket_Table[[#This Row],[resolution_hrs]]&lt;=4,"Fast",IF(Ticket_Table[[#This Row],[resolution_hrs]]&lt;=24,"Normal",IF(Ticket_Table[[#This Row],[resolution_hrs]]&lt;=48,"Slow","Very Slow")))</f>
        <v>Normal</v>
      </c>
      <c r="Q3446" s="3">
        <f>YEAR(Ticket_Table[[#This Row],[raised_date]])</f>
        <v>2023</v>
      </c>
    </row>
    <row r="3447" spans="1:17">
      <c r="A3447" t="s">
        <v>4008</v>
      </c>
      <c r="B3447" t="s">
        <v>1265</v>
      </c>
      <c r="C3447" t="s">
        <v>28</v>
      </c>
      <c r="D3447" t="s">
        <v>36</v>
      </c>
      <c r="E3447" t="s">
        <v>69</v>
      </c>
      <c r="F3447" t="s">
        <v>22</v>
      </c>
      <c r="G3447" t="s">
        <v>23</v>
      </c>
      <c r="H3447" s="1">
        <v>45075</v>
      </c>
      <c r="I3447" s="2">
        <v>45077.5791666667</v>
      </c>
      <c r="J3447">
        <v>61.9</v>
      </c>
      <c r="K3447" t="s">
        <v>24</v>
      </c>
      <c r="L3447">
        <v>3</v>
      </c>
      <c r="M3447">
        <v>3</v>
      </c>
      <c r="N3447" t="s">
        <v>380</v>
      </c>
      <c r="O3447" s="3" t="str">
        <f>TEXT(Ticket_Table[[#This Row],[raised_date]],"YYYY-MM")</f>
        <v>2023-05</v>
      </c>
      <c r="P3447" s="3" t="str">
        <f>IF(Ticket_Table[[#This Row],[resolution_hrs]]&lt;=4,"Fast",IF(Ticket_Table[[#This Row],[resolution_hrs]]&lt;=24,"Normal",IF(Ticket_Table[[#This Row],[resolution_hrs]]&lt;=48,"Slow","Very Slow")))</f>
        <v>Very Slow</v>
      </c>
      <c r="Q3447" s="3">
        <f>YEAR(Ticket_Table[[#This Row],[raised_date]])</f>
        <v>2023</v>
      </c>
    </row>
    <row r="3448" spans="1:17">
      <c r="A3448" t="s">
        <v>4009</v>
      </c>
      <c r="B3448" t="s">
        <v>195</v>
      </c>
      <c r="C3448" t="s">
        <v>102</v>
      </c>
      <c r="D3448" t="s">
        <v>43</v>
      </c>
      <c r="E3448" t="s">
        <v>106</v>
      </c>
      <c r="F3448" t="s">
        <v>22</v>
      </c>
      <c r="G3448" t="s">
        <v>31</v>
      </c>
      <c r="H3448" s="1">
        <v>44666</v>
      </c>
      <c r="I3448" s="2">
        <v>44669.6708333333</v>
      </c>
      <c r="J3448">
        <v>88.1</v>
      </c>
      <c r="K3448" t="s">
        <v>32</v>
      </c>
      <c r="L3448">
        <v>1</v>
      </c>
      <c r="M3448">
        <v>4</v>
      </c>
      <c r="N3448" t="s">
        <v>455</v>
      </c>
      <c r="O3448" s="3" t="str">
        <f>TEXT(Ticket_Table[[#This Row],[raised_date]],"YYYY-MM")</f>
        <v>2022-04</v>
      </c>
      <c r="P3448" s="3" t="str">
        <f>IF(Ticket_Table[[#This Row],[resolution_hrs]]&lt;=4,"Fast",IF(Ticket_Table[[#This Row],[resolution_hrs]]&lt;=24,"Normal",IF(Ticket_Table[[#This Row],[resolution_hrs]]&lt;=48,"Slow","Very Slow")))</f>
        <v>Very Slow</v>
      </c>
      <c r="Q3448" s="3">
        <f>YEAR(Ticket_Table[[#This Row],[raised_date]])</f>
        <v>2022</v>
      </c>
    </row>
    <row r="3449" spans="1:17">
      <c r="A3449" t="s">
        <v>4010</v>
      </c>
      <c r="B3449" t="s">
        <v>460</v>
      </c>
      <c r="C3449" t="s">
        <v>60</v>
      </c>
      <c r="D3449" t="s">
        <v>20</v>
      </c>
      <c r="E3449" t="s">
        <v>30</v>
      </c>
      <c r="F3449" t="s">
        <v>22</v>
      </c>
      <c r="G3449" t="s">
        <v>74</v>
      </c>
      <c r="H3449" s="1">
        <v>45184</v>
      </c>
      <c r="I3449" s="2">
        <v>45184.7083333333</v>
      </c>
      <c r="J3449">
        <v>17</v>
      </c>
      <c r="K3449" t="s">
        <v>24</v>
      </c>
      <c r="L3449">
        <v>1</v>
      </c>
      <c r="M3449">
        <v>4</v>
      </c>
      <c r="N3449" t="s">
        <v>98</v>
      </c>
      <c r="O3449" s="3" t="str">
        <f>TEXT(Ticket_Table[[#This Row],[raised_date]],"YYYY-MM")</f>
        <v>2023-09</v>
      </c>
      <c r="P3449" s="3" t="str">
        <f>IF(Ticket_Table[[#This Row],[resolution_hrs]]&lt;=4,"Fast",IF(Ticket_Table[[#This Row],[resolution_hrs]]&lt;=24,"Normal",IF(Ticket_Table[[#This Row],[resolution_hrs]]&lt;=48,"Slow","Very Slow")))</f>
        <v>Normal</v>
      </c>
      <c r="Q3449" s="3">
        <f>YEAR(Ticket_Table[[#This Row],[raised_date]])</f>
        <v>2023</v>
      </c>
    </row>
    <row r="3450" spans="1:17">
      <c r="A3450" t="s">
        <v>4011</v>
      </c>
      <c r="B3450" t="s">
        <v>337</v>
      </c>
      <c r="C3450" t="s">
        <v>117</v>
      </c>
      <c r="D3450" t="s">
        <v>36</v>
      </c>
      <c r="E3450" t="s">
        <v>56</v>
      </c>
      <c r="F3450" t="s">
        <v>38</v>
      </c>
      <c r="G3450" t="s">
        <v>31</v>
      </c>
      <c r="H3450" s="1">
        <v>44977</v>
      </c>
      <c r="I3450" s="2">
        <v>44977.3083333333</v>
      </c>
      <c r="J3450">
        <v>7.4</v>
      </c>
      <c r="K3450" t="s">
        <v>24</v>
      </c>
      <c r="L3450">
        <v>0</v>
      </c>
      <c r="M3450">
        <v>5</v>
      </c>
      <c r="N3450" t="s">
        <v>149</v>
      </c>
      <c r="O3450" s="3" t="str">
        <f>TEXT(Ticket_Table[[#This Row],[raised_date]],"YYYY-MM")</f>
        <v>2023-02</v>
      </c>
      <c r="P3450" s="3" t="str">
        <f>IF(Ticket_Table[[#This Row],[resolution_hrs]]&lt;=4,"Fast",IF(Ticket_Table[[#This Row],[resolution_hrs]]&lt;=24,"Normal",IF(Ticket_Table[[#This Row],[resolution_hrs]]&lt;=48,"Slow","Very Slow")))</f>
        <v>Normal</v>
      </c>
      <c r="Q3450" s="3">
        <f>YEAR(Ticket_Table[[#This Row],[raised_date]])</f>
        <v>2023</v>
      </c>
    </row>
    <row r="3451" spans="1:17">
      <c r="A3451" t="s">
        <v>4012</v>
      </c>
      <c r="B3451" t="s">
        <v>496</v>
      </c>
      <c r="C3451" t="s">
        <v>28</v>
      </c>
      <c r="D3451" t="s">
        <v>29</v>
      </c>
      <c r="E3451" t="s">
        <v>51</v>
      </c>
      <c r="F3451" t="s">
        <v>38</v>
      </c>
      <c r="G3451" t="s">
        <v>23</v>
      </c>
      <c r="H3451" s="1">
        <v>44914</v>
      </c>
      <c r="I3451" s="2">
        <v>44915.125</v>
      </c>
      <c r="J3451">
        <v>27</v>
      </c>
      <c r="K3451" t="s">
        <v>32</v>
      </c>
      <c r="L3451">
        <v>0</v>
      </c>
      <c r="M3451">
        <v>5</v>
      </c>
      <c r="N3451" t="s">
        <v>238</v>
      </c>
      <c r="O3451" s="3" t="str">
        <f>TEXT(Ticket_Table[[#This Row],[raised_date]],"YYYY-MM")</f>
        <v>2022-12</v>
      </c>
      <c r="P3451" s="3" t="str">
        <f>IF(Ticket_Table[[#This Row],[resolution_hrs]]&lt;=4,"Fast",IF(Ticket_Table[[#This Row],[resolution_hrs]]&lt;=24,"Normal",IF(Ticket_Table[[#This Row],[resolution_hrs]]&lt;=48,"Slow","Very Slow")))</f>
        <v>Slow</v>
      </c>
      <c r="Q3451" s="3">
        <f>YEAR(Ticket_Table[[#This Row],[raised_date]])</f>
        <v>2022</v>
      </c>
    </row>
    <row r="3452" spans="1:17">
      <c r="A3452" t="s">
        <v>4013</v>
      </c>
      <c r="B3452" t="s">
        <v>929</v>
      </c>
      <c r="C3452" t="s">
        <v>261</v>
      </c>
      <c r="D3452" t="s">
        <v>36</v>
      </c>
      <c r="E3452" t="s">
        <v>21</v>
      </c>
      <c r="F3452" t="s">
        <v>22</v>
      </c>
      <c r="G3452" t="s">
        <v>23</v>
      </c>
      <c r="H3452" s="1">
        <v>44397</v>
      </c>
      <c r="I3452" s="2">
        <v>44400.375</v>
      </c>
      <c r="J3452">
        <v>81</v>
      </c>
      <c r="K3452" t="s">
        <v>32</v>
      </c>
      <c r="L3452">
        <v>1</v>
      </c>
      <c r="M3452">
        <v>5</v>
      </c>
      <c r="N3452" t="s">
        <v>653</v>
      </c>
      <c r="O3452" s="3" t="str">
        <f>TEXT(Ticket_Table[[#This Row],[raised_date]],"YYYY-MM")</f>
        <v>2021-07</v>
      </c>
      <c r="P3452" s="3" t="str">
        <f>IF(Ticket_Table[[#This Row],[resolution_hrs]]&lt;=4,"Fast",IF(Ticket_Table[[#This Row],[resolution_hrs]]&lt;=24,"Normal",IF(Ticket_Table[[#This Row],[resolution_hrs]]&lt;=48,"Slow","Very Slow")))</f>
        <v>Very Slow</v>
      </c>
      <c r="Q3452" s="3">
        <f>YEAR(Ticket_Table[[#This Row],[raised_date]])</f>
        <v>2021</v>
      </c>
    </row>
    <row r="3453" spans="1:17">
      <c r="A3453" t="s">
        <v>4014</v>
      </c>
      <c r="B3453" t="s">
        <v>169</v>
      </c>
      <c r="C3453" t="s">
        <v>50</v>
      </c>
      <c r="D3453" t="s">
        <v>90</v>
      </c>
      <c r="E3453" t="s">
        <v>69</v>
      </c>
      <c r="F3453" t="s">
        <v>22</v>
      </c>
      <c r="G3453" t="s">
        <v>23</v>
      </c>
      <c r="H3453" s="1">
        <v>45068</v>
      </c>
      <c r="I3453" s="2">
        <v>45071.1541666667</v>
      </c>
      <c r="J3453">
        <v>75.7</v>
      </c>
      <c r="K3453" t="s">
        <v>32</v>
      </c>
      <c r="L3453">
        <v>1</v>
      </c>
      <c r="M3453">
        <v>5</v>
      </c>
      <c r="N3453" t="s">
        <v>566</v>
      </c>
      <c r="O3453" s="3" t="str">
        <f>TEXT(Ticket_Table[[#This Row],[raised_date]],"YYYY-MM")</f>
        <v>2023-05</v>
      </c>
      <c r="P3453" s="3" t="str">
        <f>IF(Ticket_Table[[#This Row],[resolution_hrs]]&lt;=4,"Fast",IF(Ticket_Table[[#This Row],[resolution_hrs]]&lt;=24,"Normal",IF(Ticket_Table[[#This Row],[resolution_hrs]]&lt;=48,"Slow","Very Slow")))</f>
        <v>Very Slow</v>
      </c>
      <c r="Q3453" s="3">
        <f>YEAR(Ticket_Table[[#This Row],[raised_date]])</f>
        <v>2023</v>
      </c>
    </row>
    <row r="3454" spans="1:17">
      <c r="A3454" t="s">
        <v>4015</v>
      </c>
      <c r="B3454" t="s">
        <v>1857</v>
      </c>
      <c r="C3454" t="s">
        <v>19</v>
      </c>
      <c r="D3454" t="s">
        <v>20</v>
      </c>
      <c r="E3454" t="s">
        <v>166</v>
      </c>
      <c r="F3454" t="s">
        <v>38</v>
      </c>
      <c r="G3454" t="s">
        <v>23</v>
      </c>
      <c r="H3454" s="1">
        <v>44471</v>
      </c>
      <c r="I3454" s="2">
        <v>44471.4791666667</v>
      </c>
      <c r="J3454">
        <v>11.5</v>
      </c>
      <c r="K3454" t="s">
        <v>24</v>
      </c>
      <c r="L3454">
        <v>2</v>
      </c>
      <c r="M3454">
        <v>3</v>
      </c>
      <c r="N3454" t="s">
        <v>578</v>
      </c>
      <c r="O3454" s="3" t="str">
        <f>TEXT(Ticket_Table[[#This Row],[raised_date]],"YYYY-MM")</f>
        <v>2021-10</v>
      </c>
      <c r="P3454" s="3" t="str">
        <f>IF(Ticket_Table[[#This Row],[resolution_hrs]]&lt;=4,"Fast",IF(Ticket_Table[[#This Row],[resolution_hrs]]&lt;=24,"Normal",IF(Ticket_Table[[#This Row],[resolution_hrs]]&lt;=48,"Slow","Very Slow")))</f>
        <v>Normal</v>
      </c>
      <c r="Q3454" s="3">
        <f>YEAR(Ticket_Table[[#This Row],[raised_date]])</f>
        <v>2021</v>
      </c>
    </row>
    <row r="3455" spans="1:17">
      <c r="A3455" t="s">
        <v>4016</v>
      </c>
      <c r="B3455" t="s">
        <v>1226</v>
      </c>
      <c r="C3455" t="s">
        <v>28</v>
      </c>
      <c r="D3455" t="s">
        <v>90</v>
      </c>
      <c r="E3455" t="s">
        <v>30</v>
      </c>
      <c r="F3455" t="s">
        <v>70</v>
      </c>
      <c r="G3455" t="s">
        <v>23</v>
      </c>
      <c r="H3455" s="1">
        <v>44718</v>
      </c>
      <c r="I3455" s="2">
        <v>44719.2583333333</v>
      </c>
      <c r="J3455">
        <v>30.2</v>
      </c>
      <c r="K3455" t="s">
        <v>24</v>
      </c>
      <c r="L3455">
        <v>2</v>
      </c>
      <c r="M3455">
        <v>5</v>
      </c>
      <c r="N3455" t="s">
        <v>772</v>
      </c>
      <c r="O3455" s="3" t="str">
        <f>TEXT(Ticket_Table[[#This Row],[raised_date]],"YYYY-MM")</f>
        <v>2022-06</v>
      </c>
      <c r="P3455" s="3" t="str">
        <f>IF(Ticket_Table[[#This Row],[resolution_hrs]]&lt;=4,"Fast",IF(Ticket_Table[[#This Row],[resolution_hrs]]&lt;=24,"Normal",IF(Ticket_Table[[#This Row],[resolution_hrs]]&lt;=48,"Slow","Very Slow")))</f>
        <v>Slow</v>
      </c>
      <c r="Q3455" s="3">
        <f>YEAR(Ticket_Table[[#This Row],[raised_date]])</f>
        <v>2022</v>
      </c>
    </row>
    <row r="3456" spans="1:17">
      <c r="A3456" t="s">
        <v>4017</v>
      </c>
      <c r="B3456" t="s">
        <v>152</v>
      </c>
      <c r="C3456" t="s">
        <v>201</v>
      </c>
      <c r="D3456" t="s">
        <v>29</v>
      </c>
      <c r="E3456" t="s">
        <v>56</v>
      </c>
      <c r="F3456" t="s">
        <v>70</v>
      </c>
      <c r="G3456" t="s">
        <v>23</v>
      </c>
      <c r="H3456" s="1">
        <v>45174</v>
      </c>
      <c r="I3456" s="2">
        <v>45175.0416666667</v>
      </c>
      <c r="J3456">
        <v>25</v>
      </c>
      <c r="K3456" t="s">
        <v>24</v>
      </c>
      <c r="L3456">
        <v>0</v>
      </c>
      <c r="M3456">
        <v>3</v>
      </c>
      <c r="N3456" t="s">
        <v>594</v>
      </c>
      <c r="O3456" s="3" t="str">
        <f>TEXT(Ticket_Table[[#This Row],[raised_date]],"YYYY-MM")</f>
        <v>2023-09</v>
      </c>
      <c r="P3456" s="3" t="str">
        <f>IF(Ticket_Table[[#This Row],[resolution_hrs]]&lt;=4,"Fast",IF(Ticket_Table[[#This Row],[resolution_hrs]]&lt;=24,"Normal",IF(Ticket_Table[[#This Row],[resolution_hrs]]&lt;=48,"Slow","Very Slow")))</f>
        <v>Slow</v>
      </c>
      <c r="Q3456" s="3">
        <f>YEAR(Ticket_Table[[#This Row],[raised_date]])</f>
        <v>2023</v>
      </c>
    </row>
    <row r="3457" spans="1:17">
      <c r="A3457" t="s">
        <v>4018</v>
      </c>
      <c r="B3457" t="s">
        <v>536</v>
      </c>
      <c r="C3457" t="s">
        <v>68</v>
      </c>
      <c r="D3457" t="s">
        <v>29</v>
      </c>
      <c r="E3457" t="s">
        <v>30</v>
      </c>
      <c r="F3457" t="s">
        <v>70</v>
      </c>
      <c r="G3457" t="s">
        <v>23</v>
      </c>
      <c r="H3457" s="1">
        <v>44673</v>
      </c>
      <c r="I3457" s="2">
        <v>44675.3541666667</v>
      </c>
      <c r="J3457">
        <v>56.5</v>
      </c>
      <c r="K3457" t="s">
        <v>32</v>
      </c>
      <c r="L3457">
        <v>1</v>
      </c>
      <c r="M3457">
        <v>2</v>
      </c>
      <c r="N3457" t="s">
        <v>599</v>
      </c>
      <c r="O3457" s="3" t="str">
        <f>TEXT(Ticket_Table[[#This Row],[raised_date]],"YYYY-MM")</f>
        <v>2022-04</v>
      </c>
      <c r="P3457" s="3" t="str">
        <f>IF(Ticket_Table[[#This Row],[resolution_hrs]]&lt;=4,"Fast",IF(Ticket_Table[[#This Row],[resolution_hrs]]&lt;=24,"Normal",IF(Ticket_Table[[#This Row],[resolution_hrs]]&lt;=48,"Slow","Very Slow")))</f>
        <v>Very Slow</v>
      </c>
      <c r="Q3457" s="3">
        <f>YEAR(Ticket_Table[[#This Row],[raised_date]])</f>
        <v>2022</v>
      </c>
    </row>
    <row r="3458" spans="1:17">
      <c r="A3458" t="s">
        <v>4019</v>
      </c>
      <c r="B3458" t="s">
        <v>146</v>
      </c>
      <c r="C3458" t="s">
        <v>95</v>
      </c>
      <c r="D3458" t="s">
        <v>90</v>
      </c>
      <c r="E3458" t="s">
        <v>69</v>
      </c>
      <c r="F3458" t="s">
        <v>22</v>
      </c>
      <c r="G3458" t="s">
        <v>23</v>
      </c>
      <c r="H3458" s="1">
        <v>44368</v>
      </c>
      <c r="I3458" s="2">
        <v>44371.1416666667</v>
      </c>
      <c r="J3458">
        <v>75.4</v>
      </c>
      <c r="K3458" t="s">
        <v>32</v>
      </c>
      <c r="L3458">
        <v>0</v>
      </c>
      <c r="M3458">
        <v>4</v>
      </c>
      <c r="N3458" t="s">
        <v>556</v>
      </c>
      <c r="O3458" s="3" t="str">
        <f>TEXT(Ticket_Table[[#This Row],[raised_date]],"YYYY-MM")</f>
        <v>2021-06</v>
      </c>
      <c r="P3458" s="3" t="str">
        <f>IF(Ticket_Table[[#This Row],[resolution_hrs]]&lt;=4,"Fast",IF(Ticket_Table[[#This Row],[resolution_hrs]]&lt;=24,"Normal",IF(Ticket_Table[[#This Row],[resolution_hrs]]&lt;=48,"Slow","Very Slow")))</f>
        <v>Very Slow</v>
      </c>
      <c r="Q3458" s="3">
        <f>YEAR(Ticket_Table[[#This Row],[raised_date]])</f>
        <v>2021</v>
      </c>
    </row>
    <row r="3459" spans="1:17">
      <c r="A3459" t="s">
        <v>4020</v>
      </c>
      <c r="B3459" t="s">
        <v>529</v>
      </c>
      <c r="C3459" t="s">
        <v>64</v>
      </c>
      <c r="D3459" t="s">
        <v>20</v>
      </c>
      <c r="E3459" t="s">
        <v>51</v>
      </c>
      <c r="F3459" t="s">
        <v>38</v>
      </c>
      <c r="G3459" t="s">
        <v>23</v>
      </c>
      <c r="H3459" s="1">
        <v>44777</v>
      </c>
      <c r="I3459" s="2">
        <v>44777.4583333333</v>
      </c>
      <c r="J3459">
        <v>11</v>
      </c>
      <c r="K3459" t="s">
        <v>24</v>
      </c>
      <c r="L3459">
        <v>0</v>
      </c>
      <c r="M3459">
        <v>4</v>
      </c>
      <c r="N3459" t="s">
        <v>515</v>
      </c>
      <c r="O3459" s="3" t="str">
        <f>TEXT(Ticket_Table[[#This Row],[raised_date]],"YYYY-MM")</f>
        <v>2022-08</v>
      </c>
      <c r="P3459" s="3" t="str">
        <f>IF(Ticket_Table[[#This Row],[resolution_hrs]]&lt;=4,"Fast",IF(Ticket_Table[[#This Row],[resolution_hrs]]&lt;=24,"Normal",IF(Ticket_Table[[#This Row],[resolution_hrs]]&lt;=48,"Slow","Very Slow")))</f>
        <v>Normal</v>
      </c>
      <c r="Q3459" s="3">
        <f>YEAR(Ticket_Table[[#This Row],[raised_date]])</f>
        <v>2022</v>
      </c>
    </row>
    <row r="3460" spans="1:17">
      <c r="A3460" t="s">
        <v>4021</v>
      </c>
      <c r="B3460" t="s">
        <v>424</v>
      </c>
      <c r="C3460" t="s">
        <v>60</v>
      </c>
      <c r="D3460" t="s">
        <v>29</v>
      </c>
      <c r="E3460" t="s">
        <v>51</v>
      </c>
      <c r="F3460" t="s">
        <v>45</v>
      </c>
      <c r="G3460" t="s">
        <v>46</v>
      </c>
      <c r="H3460" s="1">
        <v>45033</v>
      </c>
      <c r="I3460" s="2">
        <v>45033.075</v>
      </c>
      <c r="J3460">
        <v>1.8</v>
      </c>
      <c r="K3460" t="s">
        <v>24</v>
      </c>
      <c r="L3460">
        <v>0</v>
      </c>
      <c r="M3460">
        <v>5</v>
      </c>
      <c r="N3460" t="s">
        <v>256</v>
      </c>
      <c r="O3460" s="3" t="str">
        <f>TEXT(Ticket_Table[[#This Row],[raised_date]],"YYYY-MM")</f>
        <v>2023-04</v>
      </c>
      <c r="P3460" s="3" t="str">
        <f>IF(Ticket_Table[[#This Row],[resolution_hrs]]&lt;=4,"Fast",IF(Ticket_Table[[#This Row],[resolution_hrs]]&lt;=24,"Normal",IF(Ticket_Table[[#This Row],[resolution_hrs]]&lt;=48,"Slow","Very Slow")))</f>
        <v>Fast</v>
      </c>
      <c r="Q3460" s="3">
        <f>YEAR(Ticket_Table[[#This Row],[raised_date]])</f>
        <v>2023</v>
      </c>
    </row>
    <row r="3461" spans="1:17">
      <c r="A3461" t="s">
        <v>4022</v>
      </c>
      <c r="B3461" t="s">
        <v>96</v>
      </c>
      <c r="C3461" t="s">
        <v>82</v>
      </c>
      <c r="D3461" t="s">
        <v>29</v>
      </c>
      <c r="E3461" t="s">
        <v>30</v>
      </c>
      <c r="F3461" t="s">
        <v>22</v>
      </c>
      <c r="G3461" t="s">
        <v>31</v>
      </c>
      <c r="H3461" s="1">
        <v>44724</v>
      </c>
      <c r="I3461" s="2">
        <v>44727.9708333333</v>
      </c>
      <c r="J3461">
        <v>95.3</v>
      </c>
      <c r="K3461" t="s">
        <v>32</v>
      </c>
      <c r="L3461">
        <v>1</v>
      </c>
      <c r="M3461">
        <v>4</v>
      </c>
      <c r="N3461" t="s">
        <v>223</v>
      </c>
      <c r="O3461" s="3" t="str">
        <f>TEXT(Ticket_Table[[#This Row],[raised_date]],"YYYY-MM")</f>
        <v>2022-06</v>
      </c>
      <c r="P3461" s="3" t="str">
        <f>IF(Ticket_Table[[#This Row],[resolution_hrs]]&lt;=4,"Fast",IF(Ticket_Table[[#This Row],[resolution_hrs]]&lt;=24,"Normal",IF(Ticket_Table[[#This Row],[resolution_hrs]]&lt;=48,"Slow","Very Slow")))</f>
        <v>Very Slow</v>
      </c>
      <c r="Q3461" s="3">
        <f>YEAR(Ticket_Table[[#This Row],[raised_date]])</f>
        <v>2022</v>
      </c>
    </row>
    <row r="3462" spans="1:17">
      <c r="A3462" t="s">
        <v>4023</v>
      </c>
      <c r="B3462" t="s">
        <v>787</v>
      </c>
      <c r="C3462" t="s">
        <v>55</v>
      </c>
      <c r="D3462" t="s">
        <v>36</v>
      </c>
      <c r="E3462" t="s">
        <v>51</v>
      </c>
      <c r="F3462" t="s">
        <v>70</v>
      </c>
      <c r="G3462" t="s">
        <v>31</v>
      </c>
      <c r="H3462" s="1">
        <v>44584</v>
      </c>
      <c r="I3462" s="2">
        <v>44584.1375</v>
      </c>
      <c r="J3462">
        <v>3.3</v>
      </c>
      <c r="K3462" t="s">
        <v>24</v>
      </c>
      <c r="L3462">
        <v>2</v>
      </c>
      <c r="M3462">
        <v>5</v>
      </c>
      <c r="N3462" t="s">
        <v>501</v>
      </c>
      <c r="O3462" s="3" t="str">
        <f>TEXT(Ticket_Table[[#This Row],[raised_date]],"YYYY-MM")</f>
        <v>2022-01</v>
      </c>
      <c r="P3462" s="3" t="str">
        <f>IF(Ticket_Table[[#This Row],[resolution_hrs]]&lt;=4,"Fast",IF(Ticket_Table[[#This Row],[resolution_hrs]]&lt;=24,"Normal",IF(Ticket_Table[[#This Row],[resolution_hrs]]&lt;=48,"Slow","Very Slow")))</f>
        <v>Fast</v>
      </c>
      <c r="Q3462" s="3">
        <f>YEAR(Ticket_Table[[#This Row],[raised_date]])</f>
        <v>2022</v>
      </c>
    </row>
    <row r="3463" spans="1:17">
      <c r="A3463" t="s">
        <v>4024</v>
      </c>
      <c r="B3463" t="s">
        <v>653</v>
      </c>
      <c r="C3463" t="s">
        <v>287</v>
      </c>
      <c r="D3463" t="s">
        <v>43</v>
      </c>
      <c r="E3463" t="s">
        <v>56</v>
      </c>
      <c r="F3463" t="s">
        <v>70</v>
      </c>
      <c r="G3463" t="s">
        <v>46</v>
      </c>
      <c r="H3463" s="1">
        <v>44208</v>
      </c>
      <c r="I3463" s="2">
        <v>44210.2625</v>
      </c>
      <c r="J3463">
        <v>54.3</v>
      </c>
      <c r="K3463" t="s">
        <v>32</v>
      </c>
      <c r="L3463">
        <v>0</v>
      </c>
      <c r="M3463">
        <v>2</v>
      </c>
      <c r="N3463" t="s">
        <v>323</v>
      </c>
      <c r="O3463" s="3" t="str">
        <f>TEXT(Ticket_Table[[#This Row],[raised_date]],"YYYY-MM")</f>
        <v>2021-01</v>
      </c>
      <c r="P3463" s="3" t="str">
        <f>IF(Ticket_Table[[#This Row],[resolution_hrs]]&lt;=4,"Fast",IF(Ticket_Table[[#This Row],[resolution_hrs]]&lt;=24,"Normal",IF(Ticket_Table[[#This Row],[resolution_hrs]]&lt;=48,"Slow","Very Slow")))</f>
        <v>Very Slow</v>
      </c>
      <c r="Q3463" s="3">
        <f>YEAR(Ticket_Table[[#This Row],[raised_date]])</f>
        <v>2021</v>
      </c>
    </row>
    <row r="3464" spans="1:17">
      <c r="A3464" t="s">
        <v>4025</v>
      </c>
      <c r="B3464" t="s">
        <v>248</v>
      </c>
      <c r="C3464" t="s">
        <v>60</v>
      </c>
      <c r="D3464" t="s">
        <v>29</v>
      </c>
      <c r="E3464" t="s">
        <v>30</v>
      </c>
      <c r="F3464" t="s">
        <v>70</v>
      </c>
      <c r="G3464" t="s">
        <v>23</v>
      </c>
      <c r="H3464" s="1">
        <v>44211</v>
      </c>
      <c r="I3464" s="2">
        <v>44212.5291666667</v>
      </c>
      <c r="J3464">
        <v>36.7</v>
      </c>
      <c r="K3464" t="s">
        <v>24</v>
      </c>
      <c r="L3464">
        <v>0</v>
      </c>
      <c r="M3464">
        <v>5</v>
      </c>
      <c r="N3464" t="s">
        <v>1112</v>
      </c>
      <c r="O3464" s="3" t="str">
        <f>TEXT(Ticket_Table[[#This Row],[raised_date]],"YYYY-MM")</f>
        <v>2021-01</v>
      </c>
      <c r="P3464" s="3" t="str">
        <f>IF(Ticket_Table[[#This Row],[resolution_hrs]]&lt;=4,"Fast",IF(Ticket_Table[[#This Row],[resolution_hrs]]&lt;=24,"Normal",IF(Ticket_Table[[#This Row],[resolution_hrs]]&lt;=48,"Slow","Very Slow")))</f>
        <v>Slow</v>
      </c>
      <c r="Q3464" s="3">
        <f>YEAR(Ticket_Table[[#This Row],[raised_date]])</f>
        <v>2021</v>
      </c>
    </row>
    <row r="3465" spans="1:17">
      <c r="A3465" t="s">
        <v>4026</v>
      </c>
      <c r="B3465" t="s">
        <v>1037</v>
      </c>
      <c r="C3465" t="s">
        <v>95</v>
      </c>
      <c r="D3465" t="s">
        <v>20</v>
      </c>
      <c r="E3465" t="s">
        <v>56</v>
      </c>
      <c r="F3465" t="s">
        <v>22</v>
      </c>
      <c r="G3465" t="s">
        <v>46</v>
      </c>
      <c r="H3465" s="1">
        <v>45267</v>
      </c>
      <c r="I3465" s="2">
        <v>45267.0916666667</v>
      </c>
      <c r="J3465">
        <v>2.2</v>
      </c>
      <c r="K3465" t="s">
        <v>24</v>
      </c>
      <c r="L3465">
        <v>3</v>
      </c>
      <c r="M3465">
        <v>4</v>
      </c>
      <c r="N3465" t="s">
        <v>817</v>
      </c>
      <c r="O3465" s="3" t="str">
        <f>TEXT(Ticket_Table[[#This Row],[raised_date]],"YYYY-MM")</f>
        <v>2023-12</v>
      </c>
      <c r="P3465" s="3" t="str">
        <f>IF(Ticket_Table[[#This Row],[resolution_hrs]]&lt;=4,"Fast",IF(Ticket_Table[[#This Row],[resolution_hrs]]&lt;=24,"Normal",IF(Ticket_Table[[#This Row],[resolution_hrs]]&lt;=48,"Slow","Very Slow")))</f>
        <v>Fast</v>
      </c>
      <c r="Q3465" s="3">
        <f>YEAR(Ticket_Table[[#This Row],[raised_date]])</f>
        <v>2023</v>
      </c>
    </row>
    <row r="3466" spans="1:17">
      <c r="A3466" t="s">
        <v>4027</v>
      </c>
      <c r="B3466" t="s">
        <v>726</v>
      </c>
      <c r="C3466" t="s">
        <v>55</v>
      </c>
      <c r="D3466" t="s">
        <v>20</v>
      </c>
      <c r="E3466" t="s">
        <v>51</v>
      </c>
      <c r="F3466" t="s">
        <v>38</v>
      </c>
      <c r="G3466" t="s">
        <v>31</v>
      </c>
      <c r="H3466" s="1">
        <v>44438</v>
      </c>
      <c r="I3466" s="2">
        <v>44439.2541666667</v>
      </c>
      <c r="J3466">
        <v>30.1</v>
      </c>
      <c r="K3466" t="s">
        <v>32</v>
      </c>
      <c r="L3466">
        <v>0</v>
      </c>
      <c r="M3466">
        <v>4</v>
      </c>
      <c r="N3466" t="s">
        <v>560</v>
      </c>
      <c r="O3466" s="3" t="str">
        <f>TEXT(Ticket_Table[[#This Row],[raised_date]],"YYYY-MM")</f>
        <v>2021-08</v>
      </c>
      <c r="P3466" s="3" t="str">
        <f>IF(Ticket_Table[[#This Row],[resolution_hrs]]&lt;=4,"Fast",IF(Ticket_Table[[#This Row],[resolution_hrs]]&lt;=24,"Normal",IF(Ticket_Table[[#This Row],[resolution_hrs]]&lt;=48,"Slow","Very Slow")))</f>
        <v>Slow</v>
      </c>
      <c r="Q3466" s="3">
        <f>YEAR(Ticket_Table[[#This Row],[raised_date]])</f>
        <v>2021</v>
      </c>
    </row>
    <row r="3467" spans="1:17">
      <c r="A3467" t="s">
        <v>4028</v>
      </c>
      <c r="B3467" t="s">
        <v>1291</v>
      </c>
      <c r="C3467" t="s">
        <v>213</v>
      </c>
      <c r="D3467" t="s">
        <v>36</v>
      </c>
      <c r="E3467" t="s">
        <v>37</v>
      </c>
      <c r="F3467" t="s">
        <v>70</v>
      </c>
      <c r="G3467" t="s">
        <v>31</v>
      </c>
      <c r="H3467" s="1">
        <v>45261</v>
      </c>
      <c r="I3467" s="2">
        <v>45263.0541666667</v>
      </c>
      <c r="J3467">
        <v>49.3</v>
      </c>
      <c r="K3467" t="s">
        <v>32</v>
      </c>
      <c r="L3467">
        <v>0</v>
      </c>
      <c r="M3467">
        <v>3</v>
      </c>
      <c r="N3467" t="s">
        <v>220</v>
      </c>
      <c r="O3467" s="3" t="str">
        <f>TEXT(Ticket_Table[[#This Row],[raised_date]],"YYYY-MM")</f>
        <v>2023-12</v>
      </c>
      <c r="P3467" s="3" t="str">
        <f>IF(Ticket_Table[[#This Row],[resolution_hrs]]&lt;=4,"Fast",IF(Ticket_Table[[#This Row],[resolution_hrs]]&lt;=24,"Normal",IF(Ticket_Table[[#This Row],[resolution_hrs]]&lt;=48,"Slow","Very Slow")))</f>
        <v>Very Slow</v>
      </c>
      <c r="Q3467" s="3">
        <f>YEAR(Ticket_Table[[#This Row],[raised_date]])</f>
        <v>2023</v>
      </c>
    </row>
    <row r="3468" spans="1:17">
      <c r="A3468" t="s">
        <v>4029</v>
      </c>
      <c r="B3468" t="s">
        <v>275</v>
      </c>
      <c r="C3468" t="s">
        <v>60</v>
      </c>
      <c r="D3468" t="s">
        <v>20</v>
      </c>
      <c r="E3468" t="s">
        <v>83</v>
      </c>
      <c r="F3468" t="s">
        <v>70</v>
      </c>
      <c r="G3468" t="s">
        <v>74</v>
      </c>
      <c r="H3468" s="1">
        <v>44211</v>
      </c>
      <c r="I3468" s="2">
        <v>44213.6333333333</v>
      </c>
      <c r="J3468">
        <v>63.2</v>
      </c>
      <c r="K3468" t="s">
        <v>32</v>
      </c>
      <c r="L3468">
        <v>0</v>
      </c>
      <c r="M3468">
        <v>4</v>
      </c>
      <c r="N3468" t="s">
        <v>129</v>
      </c>
      <c r="O3468" s="3" t="str">
        <f>TEXT(Ticket_Table[[#This Row],[raised_date]],"YYYY-MM")</f>
        <v>2021-01</v>
      </c>
      <c r="P3468" s="3" t="str">
        <f>IF(Ticket_Table[[#This Row],[resolution_hrs]]&lt;=4,"Fast",IF(Ticket_Table[[#This Row],[resolution_hrs]]&lt;=24,"Normal",IF(Ticket_Table[[#This Row],[resolution_hrs]]&lt;=48,"Slow","Very Slow")))</f>
        <v>Very Slow</v>
      </c>
      <c r="Q3468" s="3">
        <f>YEAR(Ticket_Table[[#This Row],[raised_date]])</f>
        <v>2021</v>
      </c>
    </row>
    <row r="3469" spans="1:17">
      <c r="A3469" t="s">
        <v>4030</v>
      </c>
      <c r="B3469" t="s">
        <v>280</v>
      </c>
      <c r="C3469" t="s">
        <v>68</v>
      </c>
      <c r="D3469" t="s">
        <v>36</v>
      </c>
      <c r="E3469" t="s">
        <v>166</v>
      </c>
      <c r="F3469" t="s">
        <v>70</v>
      </c>
      <c r="G3469" t="s">
        <v>31</v>
      </c>
      <c r="H3469" s="1">
        <v>44965</v>
      </c>
      <c r="I3469" s="2">
        <v>44966.6791666667</v>
      </c>
      <c r="J3469">
        <v>40.3</v>
      </c>
      <c r="K3469" t="s">
        <v>24</v>
      </c>
      <c r="L3469">
        <v>0</v>
      </c>
      <c r="M3469">
        <v>4</v>
      </c>
      <c r="N3469" t="s">
        <v>517</v>
      </c>
      <c r="O3469" s="3" t="str">
        <f>TEXT(Ticket_Table[[#This Row],[raised_date]],"YYYY-MM")</f>
        <v>2023-02</v>
      </c>
      <c r="P3469" s="3" t="str">
        <f>IF(Ticket_Table[[#This Row],[resolution_hrs]]&lt;=4,"Fast",IF(Ticket_Table[[#This Row],[resolution_hrs]]&lt;=24,"Normal",IF(Ticket_Table[[#This Row],[resolution_hrs]]&lt;=48,"Slow","Very Slow")))</f>
        <v>Slow</v>
      </c>
      <c r="Q3469" s="3">
        <f>YEAR(Ticket_Table[[#This Row],[raised_date]])</f>
        <v>2023</v>
      </c>
    </row>
    <row r="3470" spans="1:17">
      <c r="A3470" t="s">
        <v>4031</v>
      </c>
      <c r="B3470" t="s">
        <v>523</v>
      </c>
      <c r="C3470" t="s">
        <v>201</v>
      </c>
      <c r="D3470" t="s">
        <v>29</v>
      </c>
      <c r="E3470" t="s">
        <v>21</v>
      </c>
      <c r="F3470" t="s">
        <v>22</v>
      </c>
      <c r="G3470" t="s">
        <v>74</v>
      </c>
      <c r="H3470" s="1">
        <v>44617</v>
      </c>
      <c r="I3470" s="2">
        <v>44620.7416666667</v>
      </c>
      <c r="J3470">
        <v>89.8</v>
      </c>
      <c r="K3470" t="s">
        <v>32</v>
      </c>
      <c r="L3470">
        <v>2</v>
      </c>
      <c r="M3470">
        <v>4</v>
      </c>
      <c r="N3470" t="s">
        <v>1112</v>
      </c>
      <c r="O3470" s="3" t="str">
        <f>TEXT(Ticket_Table[[#This Row],[raised_date]],"YYYY-MM")</f>
        <v>2022-02</v>
      </c>
      <c r="P3470" s="3" t="str">
        <f>IF(Ticket_Table[[#This Row],[resolution_hrs]]&lt;=4,"Fast",IF(Ticket_Table[[#This Row],[resolution_hrs]]&lt;=24,"Normal",IF(Ticket_Table[[#This Row],[resolution_hrs]]&lt;=48,"Slow","Very Slow")))</f>
        <v>Very Slow</v>
      </c>
      <c r="Q3470" s="3">
        <f>YEAR(Ticket_Table[[#This Row],[raised_date]])</f>
        <v>2022</v>
      </c>
    </row>
    <row r="3471" spans="1:17">
      <c r="A3471" t="s">
        <v>4032</v>
      </c>
      <c r="B3471" t="s">
        <v>637</v>
      </c>
      <c r="C3471" t="s">
        <v>50</v>
      </c>
      <c r="D3471" t="s">
        <v>29</v>
      </c>
      <c r="E3471" t="s">
        <v>69</v>
      </c>
      <c r="F3471" t="s">
        <v>22</v>
      </c>
      <c r="G3471" t="s">
        <v>23</v>
      </c>
      <c r="H3471" s="1">
        <v>44843</v>
      </c>
      <c r="I3471" s="2">
        <v>44847.1375</v>
      </c>
      <c r="J3471">
        <v>99.3</v>
      </c>
      <c r="K3471" t="s">
        <v>32</v>
      </c>
      <c r="L3471">
        <v>0</v>
      </c>
      <c r="M3471">
        <v>4</v>
      </c>
      <c r="N3471" t="s">
        <v>866</v>
      </c>
      <c r="O3471" s="3" t="str">
        <f>TEXT(Ticket_Table[[#This Row],[raised_date]],"YYYY-MM")</f>
        <v>2022-10</v>
      </c>
      <c r="P3471" s="3" t="str">
        <f>IF(Ticket_Table[[#This Row],[resolution_hrs]]&lt;=4,"Fast",IF(Ticket_Table[[#This Row],[resolution_hrs]]&lt;=24,"Normal",IF(Ticket_Table[[#This Row],[resolution_hrs]]&lt;=48,"Slow","Very Slow")))</f>
        <v>Very Slow</v>
      </c>
      <c r="Q3471" s="3">
        <f>YEAR(Ticket_Table[[#This Row],[raised_date]])</f>
        <v>2022</v>
      </c>
    </row>
    <row r="3472" spans="1:17">
      <c r="A3472" t="s">
        <v>4033</v>
      </c>
      <c r="B3472" t="s">
        <v>18</v>
      </c>
      <c r="C3472" t="s">
        <v>82</v>
      </c>
      <c r="D3472" t="s">
        <v>29</v>
      </c>
      <c r="E3472" t="s">
        <v>166</v>
      </c>
      <c r="F3472" t="s">
        <v>38</v>
      </c>
      <c r="G3472" t="s">
        <v>31</v>
      </c>
      <c r="H3472" s="1">
        <v>45034</v>
      </c>
      <c r="I3472" s="2">
        <v>45034.775</v>
      </c>
      <c r="J3472">
        <v>18.6</v>
      </c>
      <c r="K3472" t="s">
        <v>24</v>
      </c>
      <c r="L3472">
        <v>0</v>
      </c>
      <c r="M3472">
        <v>3</v>
      </c>
      <c r="N3472" t="s">
        <v>1123</v>
      </c>
      <c r="O3472" s="3" t="str">
        <f>TEXT(Ticket_Table[[#This Row],[raised_date]],"YYYY-MM")</f>
        <v>2023-04</v>
      </c>
      <c r="P3472" s="3" t="str">
        <f>IF(Ticket_Table[[#This Row],[resolution_hrs]]&lt;=4,"Fast",IF(Ticket_Table[[#This Row],[resolution_hrs]]&lt;=24,"Normal",IF(Ticket_Table[[#This Row],[resolution_hrs]]&lt;=48,"Slow","Very Slow")))</f>
        <v>Normal</v>
      </c>
      <c r="Q3472" s="3">
        <f>YEAR(Ticket_Table[[#This Row],[raised_date]])</f>
        <v>2023</v>
      </c>
    </row>
    <row r="3473" spans="1:17">
      <c r="A3473" t="s">
        <v>4034</v>
      </c>
      <c r="B3473" t="s">
        <v>712</v>
      </c>
      <c r="C3473" t="s">
        <v>287</v>
      </c>
      <c r="D3473" t="s">
        <v>29</v>
      </c>
      <c r="E3473" t="s">
        <v>56</v>
      </c>
      <c r="F3473" t="s">
        <v>22</v>
      </c>
      <c r="G3473" t="s">
        <v>31</v>
      </c>
      <c r="H3473" s="1">
        <v>44938</v>
      </c>
      <c r="I3473" s="2">
        <v>44941.2041666667</v>
      </c>
      <c r="J3473">
        <v>76.9</v>
      </c>
      <c r="K3473" t="s">
        <v>32</v>
      </c>
      <c r="L3473">
        <v>0</v>
      </c>
      <c r="M3473">
        <v>2</v>
      </c>
      <c r="N3473" t="s">
        <v>620</v>
      </c>
      <c r="O3473" s="3" t="str">
        <f>TEXT(Ticket_Table[[#This Row],[raised_date]],"YYYY-MM")</f>
        <v>2023-01</v>
      </c>
      <c r="P3473" s="3" t="str">
        <f>IF(Ticket_Table[[#This Row],[resolution_hrs]]&lt;=4,"Fast",IF(Ticket_Table[[#This Row],[resolution_hrs]]&lt;=24,"Normal",IF(Ticket_Table[[#This Row],[resolution_hrs]]&lt;=48,"Slow","Very Slow")))</f>
        <v>Very Slow</v>
      </c>
      <c r="Q3473" s="3">
        <f>YEAR(Ticket_Table[[#This Row],[raised_date]])</f>
        <v>2023</v>
      </c>
    </row>
    <row r="3474" spans="1:17">
      <c r="A3474" t="s">
        <v>4035</v>
      </c>
      <c r="B3474" t="s">
        <v>956</v>
      </c>
      <c r="C3474" t="s">
        <v>19</v>
      </c>
      <c r="D3474" t="s">
        <v>43</v>
      </c>
      <c r="E3474" t="s">
        <v>83</v>
      </c>
      <c r="F3474" t="s">
        <v>38</v>
      </c>
      <c r="G3474" t="s">
        <v>31</v>
      </c>
      <c r="H3474" s="1">
        <v>44415</v>
      </c>
      <c r="I3474" s="2">
        <v>44415.6583333333</v>
      </c>
      <c r="J3474">
        <v>15.8</v>
      </c>
      <c r="K3474" t="s">
        <v>24</v>
      </c>
      <c r="L3474">
        <v>0</v>
      </c>
      <c r="M3474">
        <v>3</v>
      </c>
      <c r="N3474" t="s">
        <v>352</v>
      </c>
      <c r="O3474" s="3" t="str">
        <f>TEXT(Ticket_Table[[#This Row],[raised_date]],"YYYY-MM")</f>
        <v>2021-08</v>
      </c>
      <c r="P3474" s="3" t="str">
        <f>IF(Ticket_Table[[#This Row],[resolution_hrs]]&lt;=4,"Fast",IF(Ticket_Table[[#This Row],[resolution_hrs]]&lt;=24,"Normal",IF(Ticket_Table[[#This Row],[resolution_hrs]]&lt;=48,"Slow","Very Slow")))</f>
        <v>Normal</v>
      </c>
      <c r="Q3474" s="3">
        <f>YEAR(Ticket_Table[[#This Row],[raised_date]])</f>
        <v>2021</v>
      </c>
    </row>
    <row r="3475" spans="1:17">
      <c r="A3475" t="s">
        <v>4036</v>
      </c>
      <c r="B3475" t="s">
        <v>216</v>
      </c>
      <c r="C3475" t="s">
        <v>68</v>
      </c>
      <c r="D3475" t="s">
        <v>43</v>
      </c>
      <c r="E3475" t="s">
        <v>83</v>
      </c>
      <c r="F3475" t="s">
        <v>70</v>
      </c>
      <c r="G3475" t="s">
        <v>23</v>
      </c>
      <c r="H3475" s="1">
        <v>44513</v>
      </c>
      <c r="I3475" s="2">
        <v>44513.5041666667</v>
      </c>
      <c r="J3475">
        <v>12.1</v>
      </c>
      <c r="K3475" t="s">
        <v>24</v>
      </c>
      <c r="L3475">
        <v>0</v>
      </c>
      <c r="M3475">
        <v>5</v>
      </c>
      <c r="N3475" t="s">
        <v>454</v>
      </c>
      <c r="O3475" s="3" t="str">
        <f>TEXT(Ticket_Table[[#This Row],[raised_date]],"YYYY-MM")</f>
        <v>2021-11</v>
      </c>
      <c r="P3475" s="3" t="str">
        <f>IF(Ticket_Table[[#This Row],[resolution_hrs]]&lt;=4,"Fast",IF(Ticket_Table[[#This Row],[resolution_hrs]]&lt;=24,"Normal",IF(Ticket_Table[[#This Row],[resolution_hrs]]&lt;=48,"Slow","Very Slow")))</f>
        <v>Normal</v>
      </c>
      <c r="Q3475" s="3">
        <f>YEAR(Ticket_Table[[#This Row],[raised_date]])</f>
        <v>2021</v>
      </c>
    </row>
    <row r="3476" spans="1:17">
      <c r="A3476" t="s">
        <v>4037</v>
      </c>
      <c r="B3476" t="s">
        <v>778</v>
      </c>
      <c r="C3476" t="s">
        <v>117</v>
      </c>
      <c r="D3476" t="s">
        <v>29</v>
      </c>
      <c r="E3476" t="s">
        <v>37</v>
      </c>
      <c r="F3476" t="s">
        <v>70</v>
      </c>
      <c r="G3476" t="s">
        <v>23</v>
      </c>
      <c r="H3476" s="1">
        <v>45069</v>
      </c>
      <c r="I3476" s="2">
        <v>45071.9208333333</v>
      </c>
      <c r="J3476">
        <v>70.1</v>
      </c>
      <c r="K3476" t="s">
        <v>32</v>
      </c>
      <c r="L3476">
        <v>2</v>
      </c>
      <c r="M3476">
        <v>4</v>
      </c>
      <c r="N3476" t="s">
        <v>367</v>
      </c>
      <c r="O3476" s="3" t="str">
        <f>TEXT(Ticket_Table[[#This Row],[raised_date]],"YYYY-MM")</f>
        <v>2023-05</v>
      </c>
      <c r="P3476" s="3" t="str">
        <f>IF(Ticket_Table[[#This Row],[resolution_hrs]]&lt;=4,"Fast",IF(Ticket_Table[[#This Row],[resolution_hrs]]&lt;=24,"Normal",IF(Ticket_Table[[#This Row],[resolution_hrs]]&lt;=48,"Slow","Very Slow")))</f>
        <v>Very Slow</v>
      </c>
      <c r="Q3476" s="3">
        <f>YEAR(Ticket_Table[[#This Row],[raised_date]])</f>
        <v>2023</v>
      </c>
    </row>
    <row r="3477" spans="1:17">
      <c r="A3477" t="s">
        <v>4038</v>
      </c>
      <c r="B3477" t="s">
        <v>157</v>
      </c>
      <c r="C3477" t="s">
        <v>19</v>
      </c>
      <c r="D3477" t="s">
        <v>20</v>
      </c>
      <c r="E3477" t="s">
        <v>106</v>
      </c>
      <c r="F3477" t="s">
        <v>70</v>
      </c>
      <c r="G3477" t="s">
        <v>31</v>
      </c>
      <c r="H3477" s="1">
        <v>44716</v>
      </c>
      <c r="I3477" s="2">
        <v>44717.5833333333</v>
      </c>
      <c r="J3477">
        <v>38</v>
      </c>
      <c r="K3477" t="s">
        <v>24</v>
      </c>
      <c r="L3477">
        <v>1</v>
      </c>
      <c r="M3477">
        <v>5</v>
      </c>
      <c r="N3477" t="s">
        <v>506</v>
      </c>
      <c r="O3477" s="3" t="str">
        <f>TEXT(Ticket_Table[[#This Row],[raised_date]],"YYYY-MM")</f>
        <v>2022-06</v>
      </c>
      <c r="P3477" s="3" t="str">
        <f>IF(Ticket_Table[[#This Row],[resolution_hrs]]&lt;=4,"Fast",IF(Ticket_Table[[#This Row],[resolution_hrs]]&lt;=24,"Normal",IF(Ticket_Table[[#This Row],[resolution_hrs]]&lt;=48,"Slow","Very Slow")))</f>
        <v>Slow</v>
      </c>
      <c r="Q3477" s="3">
        <f>YEAR(Ticket_Table[[#This Row],[raised_date]])</f>
        <v>2022</v>
      </c>
    </row>
    <row r="3478" spans="1:17">
      <c r="A3478" t="s">
        <v>4039</v>
      </c>
      <c r="B3478" t="s">
        <v>146</v>
      </c>
      <c r="C3478" t="s">
        <v>287</v>
      </c>
      <c r="D3478" t="s">
        <v>36</v>
      </c>
      <c r="E3478" t="s">
        <v>106</v>
      </c>
      <c r="F3478" t="s">
        <v>70</v>
      </c>
      <c r="G3478" t="s">
        <v>31</v>
      </c>
      <c r="H3478" s="1">
        <v>44732</v>
      </c>
      <c r="I3478" s="2">
        <v>44734.9333333333</v>
      </c>
      <c r="J3478">
        <v>70.4</v>
      </c>
      <c r="K3478" t="s">
        <v>32</v>
      </c>
      <c r="L3478">
        <v>3</v>
      </c>
      <c r="M3478">
        <v>4</v>
      </c>
      <c r="N3478" t="s">
        <v>966</v>
      </c>
      <c r="O3478" s="3" t="str">
        <f>TEXT(Ticket_Table[[#This Row],[raised_date]],"YYYY-MM")</f>
        <v>2022-06</v>
      </c>
      <c r="P3478" s="3" t="str">
        <f>IF(Ticket_Table[[#This Row],[resolution_hrs]]&lt;=4,"Fast",IF(Ticket_Table[[#This Row],[resolution_hrs]]&lt;=24,"Normal",IF(Ticket_Table[[#This Row],[resolution_hrs]]&lt;=48,"Slow","Very Slow")))</f>
        <v>Very Slow</v>
      </c>
      <c r="Q3478" s="3">
        <f>YEAR(Ticket_Table[[#This Row],[raised_date]])</f>
        <v>2022</v>
      </c>
    </row>
    <row r="3479" spans="1:17">
      <c r="A3479" t="s">
        <v>4040</v>
      </c>
      <c r="B3479" t="s">
        <v>266</v>
      </c>
      <c r="C3479" t="s">
        <v>287</v>
      </c>
      <c r="D3479" t="s">
        <v>90</v>
      </c>
      <c r="E3479" t="s">
        <v>56</v>
      </c>
      <c r="F3479" t="s">
        <v>22</v>
      </c>
      <c r="G3479" t="s">
        <v>23</v>
      </c>
      <c r="H3479" s="1">
        <v>45064</v>
      </c>
      <c r="I3479" s="2">
        <v>45064.6</v>
      </c>
      <c r="J3479">
        <v>14.4</v>
      </c>
      <c r="K3479" t="s">
        <v>24</v>
      </c>
      <c r="L3479">
        <v>2</v>
      </c>
      <c r="M3479">
        <v>5</v>
      </c>
      <c r="N3479" t="s">
        <v>300</v>
      </c>
      <c r="O3479" s="3" t="str">
        <f>TEXT(Ticket_Table[[#This Row],[raised_date]],"YYYY-MM")</f>
        <v>2023-05</v>
      </c>
      <c r="P3479" s="3" t="str">
        <f>IF(Ticket_Table[[#This Row],[resolution_hrs]]&lt;=4,"Fast",IF(Ticket_Table[[#This Row],[resolution_hrs]]&lt;=24,"Normal",IF(Ticket_Table[[#This Row],[resolution_hrs]]&lt;=48,"Slow","Very Slow")))</f>
        <v>Normal</v>
      </c>
      <c r="Q3479" s="3">
        <f>YEAR(Ticket_Table[[#This Row],[raised_date]])</f>
        <v>2023</v>
      </c>
    </row>
    <row r="3480" spans="1:17">
      <c r="A3480" t="s">
        <v>4041</v>
      </c>
      <c r="B3480" t="s">
        <v>105</v>
      </c>
      <c r="C3480" t="s">
        <v>78</v>
      </c>
      <c r="D3480" t="s">
        <v>36</v>
      </c>
      <c r="E3480" t="s">
        <v>83</v>
      </c>
      <c r="F3480" t="s">
        <v>70</v>
      </c>
      <c r="G3480" t="s">
        <v>23</v>
      </c>
      <c r="H3480" s="1">
        <v>44945</v>
      </c>
      <c r="I3480" s="2">
        <v>44945.6666666667</v>
      </c>
      <c r="J3480">
        <v>16</v>
      </c>
      <c r="K3480" t="s">
        <v>24</v>
      </c>
      <c r="L3480">
        <v>0</v>
      </c>
      <c r="M3480">
        <v>3</v>
      </c>
      <c r="N3480" t="s">
        <v>974</v>
      </c>
      <c r="O3480" s="3" t="str">
        <f>TEXT(Ticket_Table[[#This Row],[raised_date]],"YYYY-MM")</f>
        <v>2023-01</v>
      </c>
      <c r="P3480" s="3" t="str">
        <f>IF(Ticket_Table[[#This Row],[resolution_hrs]]&lt;=4,"Fast",IF(Ticket_Table[[#This Row],[resolution_hrs]]&lt;=24,"Normal",IF(Ticket_Table[[#This Row],[resolution_hrs]]&lt;=48,"Slow","Very Slow")))</f>
        <v>Normal</v>
      </c>
      <c r="Q3480" s="3">
        <f>YEAR(Ticket_Table[[#This Row],[raised_date]])</f>
        <v>2023</v>
      </c>
    </row>
    <row r="3481" spans="1:17">
      <c r="A3481" t="s">
        <v>4042</v>
      </c>
      <c r="B3481" t="s">
        <v>118</v>
      </c>
      <c r="C3481" t="s">
        <v>60</v>
      </c>
      <c r="D3481" t="s">
        <v>90</v>
      </c>
      <c r="E3481" t="s">
        <v>37</v>
      </c>
      <c r="F3481" t="s">
        <v>38</v>
      </c>
      <c r="G3481" t="s">
        <v>31</v>
      </c>
      <c r="H3481" s="1">
        <v>44761</v>
      </c>
      <c r="I3481" s="2">
        <v>44761.9458333333</v>
      </c>
      <c r="J3481">
        <v>22.7</v>
      </c>
      <c r="K3481" t="s">
        <v>24</v>
      </c>
      <c r="L3481">
        <v>0</v>
      </c>
      <c r="M3481">
        <v>2</v>
      </c>
      <c r="N3481" t="s">
        <v>1833</v>
      </c>
      <c r="O3481" s="3" t="str">
        <f>TEXT(Ticket_Table[[#This Row],[raised_date]],"YYYY-MM")</f>
        <v>2022-07</v>
      </c>
      <c r="P3481" s="3" t="str">
        <f>IF(Ticket_Table[[#This Row],[resolution_hrs]]&lt;=4,"Fast",IF(Ticket_Table[[#This Row],[resolution_hrs]]&lt;=24,"Normal",IF(Ticket_Table[[#This Row],[resolution_hrs]]&lt;=48,"Slow","Very Slow")))</f>
        <v>Normal</v>
      </c>
      <c r="Q3481" s="3">
        <f>YEAR(Ticket_Table[[#This Row],[raised_date]])</f>
        <v>2022</v>
      </c>
    </row>
    <row r="3482" spans="1:17">
      <c r="A3482" t="s">
        <v>4043</v>
      </c>
      <c r="B3482" t="s">
        <v>970</v>
      </c>
      <c r="C3482" t="s">
        <v>50</v>
      </c>
      <c r="D3482" t="s">
        <v>90</v>
      </c>
      <c r="E3482" t="s">
        <v>21</v>
      </c>
      <c r="F3482" t="s">
        <v>38</v>
      </c>
      <c r="G3482" t="s">
        <v>31</v>
      </c>
      <c r="H3482" s="1">
        <v>45010</v>
      </c>
      <c r="I3482" s="2">
        <v>45010.3625</v>
      </c>
      <c r="J3482">
        <v>8.7</v>
      </c>
      <c r="K3482" t="s">
        <v>24</v>
      </c>
      <c r="L3482">
        <v>0</v>
      </c>
      <c r="M3482">
        <v>4</v>
      </c>
      <c r="N3482" t="s">
        <v>1223</v>
      </c>
      <c r="O3482" s="3" t="str">
        <f>TEXT(Ticket_Table[[#This Row],[raised_date]],"YYYY-MM")</f>
        <v>2023-03</v>
      </c>
      <c r="P3482" s="3" t="str">
        <f>IF(Ticket_Table[[#This Row],[resolution_hrs]]&lt;=4,"Fast",IF(Ticket_Table[[#This Row],[resolution_hrs]]&lt;=24,"Normal",IF(Ticket_Table[[#This Row],[resolution_hrs]]&lt;=48,"Slow","Very Slow")))</f>
        <v>Normal</v>
      </c>
      <c r="Q3482" s="3">
        <f>YEAR(Ticket_Table[[#This Row],[raised_date]])</f>
        <v>2023</v>
      </c>
    </row>
    <row r="3483" spans="1:17">
      <c r="A3483" t="s">
        <v>4044</v>
      </c>
      <c r="B3483" t="s">
        <v>1041</v>
      </c>
      <c r="C3483" t="s">
        <v>287</v>
      </c>
      <c r="D3483" t="s">
        <v>29</v>
      </c>
      <c r="E3483" t="s">
        <v>21</v>
      </c>
      <c r="F3483" t="s">
        <v>22</v>
      </c>
      <c r="G3483" t="s">
        <v>31</v>
      </c>
      <c r="H3483" s="1">
        <v>44614</v>
      </c>
      <c r="I3483" s="2">
        <v>44614.8625</v>
      </c>
      <c r="J3483">
        <v>20.7</v>
      </c>
      <c r="K3483" t="s">
        <v>24</v>
      </c>
      <c r="L3483">
        <v>0</v>
      </c>
      <c r="M3483">
        <v>4</v>
      </c>
      <c r="N3483" t="s">
        <v>564</v>
      </c>
      <c r="O3483" s="3" t="str">
        <f>TEXT(Ticket_Table[[#This Row],[raised_date]],"YYYY-MM")</f>
        <v>2022-02</v>
      </c>
      <c r="P3483" s="3" t="str">
        <f>IF(Ticket_Table[[#This Row],[resolution_hrs]]&lt;=4,"Fast",IF(Ticket_Table[[#This Row],[resolution_hrs]]&lt;=24,"Normal",IF(Ticket_Table[[#This Row],[resolution_hrs]]&lt;=48,"Slow","Very Slow")))</f>
        <v>Normal</v>
      </c>
      <c r="Q3483" s="3">
        <f>YEAR(Ticket_Table[[#This Row],[raised_date]])</f>
        <v>2022</v>
      </c>
    </row>
    <row r="3484" spans="1:17">
      <c r="A3484" t="s">
        <v>4045</v>
      </c>
      <c r="B3484" t="s">
        <v>329</v>
      </c>
      <c r="C3484" t="s">
        <v>68</v>
      </c>
      <c r="D3484" t="s">
        <v>90</v>
      </c>
      <c r="E3484" t="s">
        <v>166</v>
      </c>
      <c r="F3484" t="s">
        <v>70</v>
      </c>
      <c r="G3484" t="s">
        <v>31</v>
      </c>
      <c r="H3484" s="1">
        <v>45043</v>
      </c>
      <c r="I3484" s="2">
        <v>45045.25</v>
      </c>
      <c r="J3484">
        <v>54</v>
      </c>
      <c r="K3484" t="s">
        <v>32</v>
      </c>
      <c r="L3484">
        <v>0</v>
      </c>
      <c r="M3484">
        <v>4</v>
      </c>
      <c r="N3484" t="s">
        <v>643</v>
      </c>
      <c r="O3484" s="3" t="str">
        <f>TEXT(Ticket_Table[[#This Row],[raised_date]],"YYYY-MM")</f>
        <v>2023-04</v>
      </c>
      <c r="P3484" s="3" t="str">
        <f>IF(Ticket_Table[[#This Row],[resolution_hrs]]&lt;=4,"Fast",IF(Ticket_Table[[#This Row],[resolution_hrs]]&lt;=24,"Normal",IF(Ticket_Table[[#This Row],[resolution_hrs]]&lt;=48,"Slow","Very Slow")))</f>
        <v>Very Slow</v>
      </c>
      <c r="Q3484" s="3">
        <f>YEAR(Ticket_Table[[#This Row],[raised_date]])</f>
        <v>2023</v>
      </c>
    </row>
    <row r="3485" spans="1:17">
      <c r="A3485" t="s">
        <v>4046</v>
      </c>
      <c r="B3485" t="s">
        <v>110</v>
      </c>
      <c r="C3485" t="s">
        <v>117</v>
      </c>
      <c r="D3485" t="s">
        <v>29</v>
      </c>
      <c r="E3485" t="s">
        <v>30</v>
      </c>
      <c r="F3485" t="s">
        <v>22</v>
      </c>
      <c r="G3485" t="s">
        <v>74</v>
      </c>
      <c r="H3485" s="1">
        <v>45185</v>
      </c>
      <c r="I3485" s="2">
        <v>45187.5333333333</v>
      </c>
      <c r="J3485">
        <v>60.8</v>
      </c>
      <c r="K3485" t="s">
        <v>24</v>
      </c>
      <c r="L3485">
        <v>0</v>
      </c>
      <c r="M3485">
        <v>3</v>
      </c>
      <c r="N3485" t="s">
        <v>504</v>
      </c>
      <c r="O3485" s="3" t="str">
        <f>TEXT(Ticket_Table[[#This Row],[raised_date]],"YYYY-MM")</f>
        <v>2023-09</v>
      </c>
      <c r="P3485" s="3" t="str">
        <f>IF(Ticket_Table[[#This Row],[resolution_hrs]]&lt;=4,"Fast",IF(Ticket_Table[[#This Row],[resolution_hrs]]&lt;=24,"Normal",IF(Ticket_Table[[#This Row],[resolution_hrs]]&lt;=48,"Slow","Very Slow")))</f>
        <v>Very Slow</v>
      </c>
      <c r="Q3485" s="3">
        <f>YEAR(Ticket_Table[[#This Row],[raised_date]])</f>
        <v>2023</v>
      </c>
    </row>
    <row r="3486" spans="1:17">
      <c r="A3486" t="s">
        <v>4047</v>
      </c>
      <c r="B3486" t="s">
        <v>200</v>
      </c>
      <c r="C3486" t="s">
        <v>28</v>
      </c>
      <c r="D3486" t="s">
        <v>43</v>
      </c>
      <c r="E3486" t="s">
        <v>69</v>
      </c>
      <c r="F3486" t="s">
        <v>22</v>
      </c>
      <c r="G3486" t="s">
        <v>23</v>
      </c>
      <c r="H3486" s="1">
        <v>44563</v>
      </c>
      <c r="I3486" s="2">
        <v>44566.7958333333</v>
      </c>
      <c r="J3486">
        <v>91.1</v>
      </c>
      <c r="K3486" t="s">
        <v>32</v>
      </c>
      <c r="L3486">
        <v>0</v>
      </c>
      <c r="M3486">
        <v>3</v>
      </c>
      <c r="N3486" t="s">
        <v>656</v>
      </c>
      <c r="O3486" s="3" t="str">
        <f>TEXT(Ticket_Table[[#This Row],[raised_date]],"YYYY-MM")</f>
        <v>2022-01</v>
      </c>
      <c r="P3486" s="3" t="str">
        <f>IF(Ticket_Table[[#This Row],[resolution_hrs]]&lt;=4,"Fast",IF(Ticket_Table[[#This Row],[resolution_hrs]]&lt;=24,"Normal",IF(Ticket_Table[[#This Row],[resolution_hrs]]&lt;=48,"Slow","Very Slow")))</f>
        <v>Very Slow</v>
      </c>
      <c r="Q3486" s="3">
        <f>YEAR(Ticket_Table[[#This Row],[raised_date]])</f>
        <v>2022</v>
      </c>
    </row>
    <row r="3487" spans="1:17">
      <c r="A3487" t="s">
        <v>4048</v>
      </c>
      <c r="B3487" t="s">
        <v>105</v>
      </c>
      <c r="C3487" t="s">
        <v>133</v>
      </c>
      <c r="D3487" t="s">
        <v>20</v>
      </c>
      <c r="E3487" t="s">
        <v>37</v>
      </c>
      <c r="F3487" t="s">
        <v>22</v>
      </c>
      <c r="G3487" t="s">
        <v>31</v>
      </c>
      <c r="H3487" s="1">
        <v>44955</v>
      </c>
      <c r="I3487" s="2">
        <v>44958.6833333333</v>
      </c>
      <c r="J3487">
        <v>88.4</v>
      </c>
      <c r="K3487" t="s">
        <v>32</v>
      </c>
      <c r="L3487">
        <v>0</v>
      </c>
      <c r="M3487">
        <v>4</v>
      </c>
      <c r="N3487" t="s">
        <v>241</v>
      </c>
      <c r="O3487" s="3" t="str">
        <f>TEXT(Ticket_Table[[#This Row],[raised_date]],"YYYY-MM")</f>
        <v>2023-01</v>
      </c>
      <c r="P3487" s="3" t="str">
        <f>IF(Ticket_Table[[#This Row],[resolution_hrs]]&lt;=4,"Fast",IF(Ticket_Table[[#This Row],[resolution_hrs]]&lt;=24,"Normal",IF(Ticket_Table[[#This Row],[resolution_hrs]]&lt;=48,"Slow","Very Slow")))</f>
        <v>Very Slow</v>
      </c>
      <c r="Q3487" s="3">
        <f>YEAR(Ticket_Table[[#This Row],[raised_date]])</f>
        <v>2023</v>
      </c>
    </row>
    <row r="3488" spans="1:17">
      <c r="A3488" t="s">
        <v>4049</v>
      </c>
      <c r="B3488" t="s">
        <v>25</v>
      </c>
      <c r="C3488" t="s">
        <v>133</v>
      </c>
      <c r="D3488" t="s">
        <v>90</v>
      </c>
      <c r="E3488" t="s">
        <v>30</v>
      </c>
      <c r="F3488" t="s">
        <v>38</v>
      </c>
      <c r="G3488" t="s">
        <v>74</v>
      </c>
      <c r="H3488" s="1">
        <v>45187</v>
      </c>
      <c r="I3488" s="2">
        <v>45187.725</v>
      </c>
      <c r="J3488">
        <v>17.4</v>
      </c>
      <c r="K3488" t="s">
        <v>24</v>
      </c>
      <c r="L3488">
        <v>0</v>
      </c>
      <c r="M3488">
        <v>4</v>
      </c>
      <c r="N3488" t="s">
        <v>47</v>
      </c>
      <c r="O3488" s="3" t="str">
        <f>TEXT(Ticket_Table[[#This Row],[raised_date]],"YYYY-MM")</f>
        <v>2023-09</v>
      </c>
      <c r="P3488" s="3" t="str">
        <f>IF(Ticket_Table[[#This Row],[resolution_hrs]]&lt;=4,"Fast",IF(Ticket_Table[[#This Row],[resolution_hrs]]&lt;=24,"Normal",IF(Ticket_Table[[#This Row],[resolution_hrs]]&lt;=48,"Slow","Very Slow")))</f>
        <v>Normal</v>
      </c>
      <c r="Q3488" s="3">
        <f>YEAR(Ticket_Table[[#This Row],[raised_date]])</f>
        <v>2023</v>
      </c>
    </row>
    <row r="3489" spans="1:17">
      <c r="A3489" t="s">
        <v>4050</v>
      </c>
      <c r="B3489" t="s">
        <v>409</v>
      </c>
      <c r="C3489" t="s">
        <v>50</v>
      </c>
      <c r="D3489" t="s">
        <v>20</v>
      </c>
      <c r="E3489" t="s">
        <v>51</v>
      </c>
      <c r="F3489" t="s">
        <v>22</v>
      </c>
      <c r="G3489" t="s">
        <v>31</v>
      </c>
      <c r="H3489" s="1">
        <v>44716</v>
      </c>
      <c r="I3489" s="2">
        <v>44717.4375</v>
      </c>
      <c r="J3489">
        <v>34.5</v>
      </c>
      <c r="K3489" t="s">
        <v>24</v>
      </c>
      <c r="L3489">
        <v>0</v>
      </c>
      <c r="M3489">
        <v>4</v>
      </c>
      <c r="N3489" t="s">
        <v>1226</v>
      </c>
      <c r="O3489" s="3" t="str">
        <f>TEXT(Ticket_Table[[#This Row],[raised_date]],"YYYY-MM")</f>
        <v>2022-06</v>
      </c>
      <c r="P3489" s="3" t="str">
        <f>IF(Ticket_Table[[#This Row],[resolution_hrs]]&lt;=4,"Fast",IF(Ticket_Table[[#This Row],[resolution_hrs]]&lt;=24,"Normal",IF(Ticket_Table[[#This Row],[resolution_hrs]]&lt;=48,"Slow","Very Slow")))</f>
        <v>Slow</v>
      </c>
      <c r="Q3489" s="3">
        <f>YEAR(Ticket_Table[[#This Row],[raised_date]])</f>
        <v>2022</v>
      </c>
    </row>
    <row r="3490" spans="1:17">
      <c r="A3490" t="s">
        <v>4051</v>
      </c>
      <c r="B3490" t="s">
        <v>454</v>
      </c>
      <c r="C3490" t="s">
        <v>213</v>
      </c>
      <c r="D3490" t="s">
        <v>29</v>
      </c>
      <c r="E3490" t="s">
        <v>21</v>
      </c>
      <c r="F3490" t="s">
        <v>22</v>
      </c>
      <c r="G3490" t="s">
        <v>31</v>
      </c>
      <c r="H3490" s="1">
        <v>44825</v>
      </c>
      <c r="I3490" s="2">
        <v>44827.9041666667</v>
      </c>
      <c r="J3490">
        <v>69.7</v>
      </c>
      <c r="K3490" t="s">
        <v>24</v>
      </c>
      <c r="L3490">
        <v>0</v>
      </c>
      <c r="M3490">
        <v>4</v>
      </c>
      <c r="N3490" t="s">
        <v>155</v>
      </c>
      <c r="O3490" s="3" t="str">
        <f>TEXT(Ticket_Table[[#This Row],[raised_date]],"YYYY-MM")</f>
        <v>2022-09</v>
      </c>
      <c r="P3490" s="3" t="str">
        <f>IF(Ticket_Table[[#This Row],[resolution_hrs]]&lt;=4,"Fast",IF(Ticket_Table[[#This Row],[resolution_hrs]]&lt;=24,"Normal",IF(Ticket_Table[[#This Row],[resolution_hrs]]&lt;=48,"Slow","Very Slow")))</f>
        <v>Very Slow</v>
      </c>
      <c r="Q3490" s="3">
        <f>YEAR(Ticket_Table[[#This Row],[raised_date]])</f>
        <v>2022</v>
      </c>
    </row>
    <row r="3491" spans="1:17">
      <c r="A3491" t="s">
        <v>4052</v>
      </c>
      <c r="B3491" t="s">
        <v>250</v>
      </c>
      <c r="C3491" t="s">
        <v>68</v>
      </c>
      <c r="D3491" t="s">
        <v>90</v>
      </c>
      <c r="E3491" t="s">
        <v>56</v>
      </c>
      <c r="F3491" t="s">
        <v>22</v>
      </c>
      <c r="G3491" t="s">
        <v>46</v>
      </c>
      <c r="H3491" s="1">
        <v>44902</v>
      </c>
      <c r="I3491" s="2">
        <v>44905.7291666667</v>
      </c>
      <c r="J3491">
        <v>89.5</v>
      </c>
      <c r="K3491" t="s">
        <v>32</v>
      </c>
      <c r="L3491">
        <v>0</v>
      </c>
      <c r="M3491">
        <v>4</v>
      </c>
      <c r="N3491" t="s">
        <v>1016</v>
      </c>
      <c r="O3491" s="3" t="str">
        <f>TEXT(Ticket_Table[[#This Row],[raised_date]],"YYYY-MM")</f>
        <v>2022-12</v>
      </c>
      <c r="P3491" s="3" t="str">
        <f>IF(Ticket_Table[[#This Row],[resolution_hrs]]&lt;=4,"Fast",IF(Ticket_Table[[#This Row],[resolution_hrs]]&lt;=24,"Normal",IF(Ticket_Table[[#This Row],[resolution_hrs]]&lt;=48,"Slow","Very Slow")))</f>
        <v>Very Slow</v>
      </c>
      <c r="Q3491" s="3">
        <f>YEAR(Ticket_Table[[#This Row],[raised_date]])</f>
        <v>2022</v>
      </c>
    </row>
    <row r="3492" spans="1:17">
      <c r="A3492" t="s">
        <v>4053</v>
      </c>
      <c r="B3492" t="s">
        <v>499</v>
      </c>
      <c r="C3492" t="s">
        <v>28</v>
      </c>
      <c r="D3492" t="s">
        <v>36</v>
      </c>
      <c r="E3492" t="s">
        <v>37</v>
      </c>
      <c r="F3492" t="s">
        <v>22</v>
      </c>
      <c r="G3492" t="s">
        <v>31</v>
      </c>
      <c r="H3492" s="1">
        <v>45012</v>
      </c>
      <c r="I3492" s="2">
        <v>45012.775</v>
      </c>
      <c r="J3492">
        <v>18.6</v>
      </c>
      <c r="K3492" t="s">
        <v>24</v>
      </c>
      <c r="L3492">
        <v>0</v>
      </c>
      <c r="M3492">
        <v>2</v>
      </c>
      <c r="N3492" t="s">
        <v>293</v>
      </c>
      <c r="O3492" s="3" t="str">
        <f>TEXT(Ticket_Table[[#This Row],[raised_date]],"YYYY-MM")</f>
        <v>2023-03</v>
      </c>
      <c r="P3492" s="3" t="str">
        <f>IF(Ticket_Table[[#This Row],[resolution_hrs]]&lt;=4,"Fast",IF(Ticket_Table[[#This Row],[resolution_hrs]]&lt;=24,"Normal",IF(Ticket_Table[[#This Row],[resolution_hrs]]&lt;=48,"Slow","Very Slow")))</f>
        <v>Normal</v>
      </c>
      <c r="Q3492" s="3">
        <f>YEAR(Ticket_Table[[#This Row],[raised_date]])</f>
        <v>2023</v>
      </c>
    </row>
    <row r="3493" spans="1:17">
      <c r="A3493" t="s">
        <v>4054</v>
      </c>
      <c r="B3493" t="s">
        <v>1156</v>
      </c>
      <c r="C3493" t="s">
        <v>117</v>
      </c>
      <c r="D3493" t="s">
        <v>43</v>
      </c>
      <c r="E3493" t="s">
        <v>83</v>
      </c>
      <c r="F3493" t="s">
        <v>70</v>
      </c>
      <c r="G3493" t="s">
        <v>31</v>
      </c>
      <c r="H3493" s="1">
        <v>44479</v>
      </c>
      <c r="I3493" s="2">
        <v>44481.4166666667</v>
      </c>
      <c r="J3493">
        <v>58</v>
      </c>
      <c r="K3493" t="s">
        <v>32</v>
      </c>
      <c r="L3493">
        <v>0</v>
      </c>
      <c r="M3493">
        <v>4</v>
      </c>
      <c r="N3493" t="s">
        <v>966</v>
      </c>
      <c r="O3493" s="3" t="str">
        <f>TEXT(Ticket_Table[[#This Row],[raised_date]],"YYYY-MM")</f>
        <v>2021-10</v>
      </c>
      <c r="P3493" s="3" t="str">
        <f>IF(Ticket_Table[[#This Row],[resolution_hrs]]&lt;=4,"Fast",IF(Ticket_Table[[#This Row],[resolution_hrs]]&lt;=24,"Normal",IF(Ticket_Table[[#This Row],[resolution_hrs]]&lt;=48,"Slow","Very Slow")))</f>
        <v>Very Slow</v>
      </c>
      <c r="Q3493" s="3">
        <f>YEAR(Ticket_Table[[#This Row],[raised_date]])</f>
        <v>2021</v>
      </c>
    </row>
    <row r="3494" spans="1:17">
      <c r="A3494" t="s">
        <v>4055</v>
      </c>
      <c r="B3494" t="s">
        <v>1195</v>
      </c>
      <c r="C3494" t="s">
        <v>78</v>
      </c>
      <c r="D3494" t="s">
        <v>43</v>
      </c>
      <c r="E3494" t="s">
        <v>44</v>
      </c>
      <c r="F3494" t="s">
        <v>22</v>
      </c>
      <c r="G3494" t="s">
        <v>23</v>
      </c>
      <c r="H3494" s="1">
        <v>44440</v>
      </c>
      <c r="I3494" s="2">
        <v>44442.925</v>
      </c>
      <c r="J3494">
        <v>70.2</v>
      </c>
      <c r="K3494" t="s">
        <v>24</v>
      </c>
      <c r="L3494">
        <v>1</v>
      </c>
      <c r="M3494">
        <v>4</v>
      </c>
      <c r="N3494" t="s">
        <v>974</v>
      </c>
      <c r="O3494" s="3" t="str">
        <f>TEXT(Ticket_Table[[#This Row],[raised_date]],"YYYY-MM")</f>
        <v>2021-09</v>
      </c>
      <c r="P3494" s="3" t="str">
        <f>IF(Ticket_Table[[#This Row],[resolution_hrs]]&lt;=4,"Fast",IF(Ticket_Table[[#This Row],[resolution_hrs]]&lt;=24,"Normal",IF(Ticket_Table[[#This Row],[resolution_hrs]]&lt;=48,"Slow","Very Slow")))</f>
        <v>Very Slow</v>
      </c>
      <c r="Q3494" s="3">
        <f>YEAR(Ticket_Table[[#This Row],[raised_date]])</f>
        <v>2021</v>
      </c>
    </row>
    <row r="3495" spans="1:17">
      <c r="A3495" t="s">
        <v>4056</v>
      </c>
      <c r="B3495" t="s">
        <v>776</v>
      </c>
      <c r="C3495" t="s">
        <v>133</v>
      </c>
      <c r="D3495" t="s">
        <v>90</v>
      </c>
      <c r="E3495" t="s">
        <v>44</v>
      </c>
      <c r="F3495" t="s">
        <v>22</v>
      </c>
      <c r="G3495" t="s">
        <v>31</v>
      </c>
      <c r="H3495" s="1">
        <v>44667</v>
      </c>
      <c r="I3495" s="2">
        <v>44667.9083333333</v>
      </c>
      <c r="J3495">
        <v>21.8</v>
      </c>
      <c r="K3495" t="s">
        <v>24</v>
      </c>
      <c r="L3495">
        <v>0</v>
      </c>
      <c r="M3495">
        <v>1</v>
      </c>
      <c r="N3495" t="s">
        <v>926</v>
      </c>
      <c r="O3495" s="3" t="str">
        <f>TEXT(Ticket_Table[[#This Row],[raised_date]],"YYYY-MM")</f>
        <v>2022-04</v>
      </c>
      <c r="P3495" s="3" t="str">
        <f>IF(Ticket_Table[[#This Row],[resolution_hrs]]&lt;=4,"Fast",IF(Ticket_Table[[#This Row],[resolution_hrs]]&lt;=24,"Normal",IF(Ticket_Table[[#This Row],[resolution_hrs]]&lt;=48,"Slow","Very Slow")))</f>
        <v>Normal</v>
      </c>
      <c r="Q3495" s="3">
        <f>YEAR(Ticket_Table[[#This Row],[raised_date]])</f>
        <v>2022</v>
      </c>
    </row>
    <row r="3496" spans="1:17">
      <c r="A3496" t="s">
        <v>4057</v>
      </c>
      <c r="B3496" t="s">
        <v>937</v>
      </c>
      <c r="C3496" t="s">
        <v>287</v>
      </c>
      <c r="D3496" t="s">
        <v>43</v>
      </c>
      <c r="E3496" t="s">
        <v>21</v>
      </c>
      <c r="F3496" t="s">
        <v>70</v>
      </c>
      <c r="G3496" t="s">
        <v>23</v>
      </c>
      <c r="H3496" s="1">
        <v>45111</v>
      </c>
      <c r="I3496" s="2">
        <v>45111.3625</v>
      </c>
      <c r="J3496">
        <v>8.7</v>
      </c>
      <c r="K3496" t="s">
        <v>24</v>
      </c>
      <c r="L3496">
        <v>0</v>
      </c>
      <c r="M3496">
        <v>3</v>
      </c>
      <c r="N3496" t="s">
        <v>413</v>
      </c>
      <c r="O3496" s="3" t="str">
        <f>TEXT(Ticket_Table[[#This Row],[raised_date]],"YYYY-MM")</f>
        <v>2023-07</v>
      </c>
      <c r="P3496" s="3" t="str">
        <f>IF(Ticket_Table[[#This Row],[resolution_hrs]]&lt;=4,"Fast",IF(Ticket_Table[[#This Row],[resolution_hrs]]&lt;=24,"Normal",IF(Ticket_Table[[#This Row],[resolution_hrs]]&lt;=48,"Slow","Very Slow")))</f>
        <v>Normal</v>
      </c>
      <c r="Q3496" s="3">
        <f>YEAR(Ticket_Table[[#This Row],[raised_date]])</f>
        <v>2023</v>
      </c>
    </row>
    <row r="3497" spans="1:17">
      <c r="A3497" t="s">
        <v>4058</v>
      </c>
      <c r="B3497" t="s">
        <v>385</v>
      </c>
      <c r="C3497" t="s">
        <v>117</v>
      </c>
      <c r="D3497" t="s">
        <v>36</v>
      </c>
      <c r="E3497" t="s">
        <v>37</v>
      </c>
      <c r="F3497" t="s">
        <v>70</v>
      </c>
      <c r="G3497" t="s">
        <v>31</v>
      </c>
      <c r="H3497" s="1">
        <v>44528</v>
      </c>
      <c r="I3497" s="2">
        <v>44528.2708333333</v>
      </c>
      <c r="J3497">
        <v>6.5</v>
      </c>
      <c r="K3497" t="s">
        <v>24</v>
      </c>
      <c r="L3497">
        <v>0</v>
      </c>
      <c r="M3497">
        <v>2</v>
      </c>
      <c r="N3497" t="s">
        <v>169</v>
      </c>
      <c r="O3497" s="3" t="str">
        <f>TEXT(Ticket_Table[[#This Row],[raised_date]],"YYYY-MM")</f>
        <v>2021-11</v>
      </c>
      <c r="P3497" s="3" t="str">
        <f>IF(Ticket_Table[[#This Row],[resolution_hrs]]&lt;=4,"Fast",IF(Ticket_Table[[#This Row],[resolution_hrs]]&lt;=24,"Normal",IF(Ticket_Table[[#This Row],[resolution_hrs]]&lt;=48,"Slow","Very Slow")))</f>
        <v>Normal</v>
      </c>
      <c r="Q3497" s="3">
        <f>YEAR(Ticket_Table[[#This Row],[raised_date]])</f>
        <v>2021</v>
      </c>
    </row>
    <row r="3498" spans="1:17">
      <c r="A3498" t="s">
        <v>4059</v>
      </c>
      <c r="B3498" t="s">
        <v>1223</v>
      </c>
      <c r="C3498" t="s">
        <v>175</v>
      </c>
      <c r="D3498" t="s">
        <v>20</v>
      </c>
      <c r="E3498" t="s">
        <v>30</v>
      </c>
      <c r="F3498" t="s">
        <v>38</v>
      </c>
      <c r="G3498" t="s">
        <v>23</v>
      </c>
      <c r="H3498" s="1">
        <v>44402</v>
      </c>
      <c r="I3498" s="2">
        <v>44402.9208333333</v>
      </c>
      <c r="J3498">
        <v>22.1</v>
      </c>
      <c r="K3498" t="s">
        <v>24</v>
      </c>
      <c r="L3498">
        <v>0</v>
      </c>
      <c r="M3498">
        <v>5</v>
      </c>
      <c r="N3498" t="s">
        <v>716</v>
      </c>
      <c r="O3498" s="3" t="str">
        <f>TEXT(Ticket_Table[[#This Row],[raised_date]],"YYYY-MM")</f>
        <v>2021-07</v>
      </c>
      <c r="P3498" s="3" t="str">
        <f>IF(Ticket_Table[[#This Row],[resolution_hrs]]&lt;=4,"Fast",IF(Ticket_Table[[#This Row],[resolution_hrs]]&lt;=24,"Normal",IF(Ticket_Table[[#This Row],[resolution_hrs]]&lt;=48,"Slow","Very Slow")))</f>
        <v>Normal</v>
      </c>
      <c r="Q3498" s="3">
        <f>YEAR(Ticket_Table[[#This Row],[raised_date]])</f>
        <v>2021</v>
      </c>
    </row>
    <row r="3499" spans="1:17">
      <c r="A3499" t="s">
        <v>4060</v>
      </c>
      <c r="B3499" t="s">
        <v>521</v>
      </c>
      <c r="C3499" t="s">
        <v>68</v>
      </c>
      <c r="D3499" t="s">
        <v>36</v>
      </c>
      <c r="E3499" t="s">
        <v>30</v>
      </c>
      <c r="F3499" t="s">
        <v>70</v>
      </c>
      <c r="G3499" t="s">
        <v>31</v>
      </c>
      <c r="H3499" s="1">
        <v>44636</v>
      </c>
      <c r="I3499" s="2">
        <v>44638.5458333333</v>
      </c>
      <c r="J3499">
        <v>61.1</v>
      </c>
      <c r="K3499" t="s">
        <v>32</v>
      </c>
      <c r="L3499">
        <v>0</v>
      </c>
      <c r="M3499">
        <v>4</v>
      </c>
      <c r="N3499" t="s">
        <v>403</v>
      </c>
      <c r="O3499" s="3" t="str">
        <f>TEXT(Ticket_Table[[#This Row],[raised_date]],"YYYY-MM")</f>
        <v>2022-03</v>
      </c>
      <c r="P3499" s="3" t="str">
        <f>IF(Ticket_Table[[#This Row],[resolution_hrs]]&lt;=4,"Fast",IF(Ticket_Table[[#This Row],[resolution_hrs]]&lt;=24,"Normal",IF(Ticket_Table[[#This Row],[resolution_hrs]]&lt;=48,"Slow","Very Slow")))</f>
        <v>Very Slow</v>
      </c>
      <c r="Q3499" s="3">
        <f>YEAR(Ticket_Table[[#This Row],[raised_date]])</f>
        <v>2022</v>
      </c>
    </row>
    <row r="3500" spans="1:17">
      <c r="A3500" t="s">
        <v>4061</v>
      </c>
      <c r="B3500" t="s">
        <v>504</v>
      </c>
      <c r="C3500" t="s">
        <v>55</v>
      </c>
      <c r="D3500" t="s">
        <v>43</v>
      </c>
      <c r="E3500" t="s">
        <v>37</v>
      </c>
      <c r="F3500" t="s">
        <v>22</v>
      </c>
      <c r="G3500" t="s">
        <v>23</v>
      </c>
      <c r="H3500" s="1">
        <v>45238</v>
      </c>
      <c r="I3500" s="2">
        <v>45238.1666666667</v>
      </c>
      <c r="J3500">
        <v>4</v>
      </c>
      <c r="K3500" t="s">
        <v>24</v>
      </c>
      <c r="L3500">
        <v>0</v>
      </c>
      <c r="M3500">
        <v>4</v>
      </c>
      <c r="N3500" t="s">
        <v>35</v>
      </c>
      <c r="O3500" s="3" t="str">
        <f>TEXT(Ticket_Table[[#This Row],[raised_date]],"YYYY-MM")</f>
        <v>2023-11</v>
      </c>
      <c r="P3500" s="3" t="str">
        <f>IF(Ticket_Table[[#This Row],[resolution_hrs]]&lt;=4,"Fast",IF(Ticket_Table[[#This Row],[resolution_hrs]]&lt;=24,"Normal",IF(Ticket_Table[[#This Row],[resolution_hrs]]&lt;=48,"Slow","Very Slow")))</f>
        <v>Fast</v>
      </c>
      <c r="Q3500" s="3">
        <f>YEAR(Ticket_Table[[#This Row],[raised_date]])</f>
        <v>2023</v>
      </c>
    </row>
    <row r="3501" spans="1:17">
      <c r="A3501" t="s">
        <v>4062</v>
      </c>
      <c r="B3501" t="s">
        <v>189</v>
      </c>
      <c r="C3501" t="s">
        <v>140</v>
      </c>
      <c r="D3501" t="s">
        <v>20</v>
      </c>
      <c r="E3501" t="s">
        <v>69</v>
      </c>
      <c r="F3501" t="s">
        <v>38</v>
      </c>
      <c r="G3501" t="s">
        <v>46</v>
      </c>
      <c r="H3501" s="1">
        <v>45017</v>
      </c>
      <c r="I3501" s="2">
        <v>45017.4541666667</v>
      </c>
      <c r="J3501">
        <v>10.9</v>
      </c>
      <c r="K3501" t="s">
        <v>24</v>
      </c>
      <c r="L3501">
        <v>0</v>
      </c>
      <c r="M3501">
        <v>4</v>
      </c>
      <c r="N3501" t="s">
        <v>947</v>
      </c>
      <c r="O3501" s="3" t="str">
        <f>TEXT(Ticket_Table[[#This Row],[raised_date]],"YYYY-MM")</f>
        <v>2023-04</v>
      </c>
      <c r="P3501" s="3" t="str">
        <f>IF(Ticket_Table[[#This Row],[resolution_hrs]]&lt;=4,"Fast",IF(Ticket_Table[[#This Row],[resolution_hrs]]&lt;=24,"Normal",IF(Ticket_Table[[#This Row],[resolution_hrs]]&lt;=48,"Slow","Very Slow")))</f>
        <v>Normal</v>
      </c>
      <c r="Q3501" s="3">
        <f>YEAR(Ticket_Table[[#This Row],[raised_date]])</f>
        <v>2023</v>
      </c>
    </row>
    <row r="3502" spans="1:17">
      <c r="A3502" t="s">
        <v>4063</v>
      </c>
      <c r="B3502" t="s">
        <v>1022</v>
      </c>
      <c r="C3502" t="s">
        <v>64</v>
      </c>
      <c r="D3502" t="s">
        <v>36</v>
      </c>
      <c r="E3502" t="s">
        <v>21</v>
      </c>
      <c r="F3502" t="s">
        <v>22</v>
      </c>
      <c r="G3502" t="s">
        <v>23</v>
      </c>
      <c r="H3502" s="1">
        <v>44890</v>
      </c>
      <c r="I3502" s="2">
        <v>44892.4541666667</v>
      </c>
      <c r="J3502">
        <v>58.9</v>
      </c>
      <c r="K3502" t="s">
        <v>24</v>
      </c>
      <c r="L3502">
        <v>0</v>
      </c>
      <c r="M3502">
        <v>5</v>
      </c>
      <c r="N3502" t="s">
        <v>1243</v>
      </c>
      <c r="O3502" s="3" t="str">
        <f>TEXT(Ticket_Table[[#This Row],[raised_date]],"YYYY-MM")</f>
        <v>2022-11</v>
      </c>
      <c r="P3502" s="3" t="str">
        <f>IF(Ticket_Table[[#This Row],[resolution_hrs]]&lt;=4,"Fast",IF(Ticket_Table[[#This Row],[resolution_hrs]]&lt;=24,"Normal",IF(Ticket_Table[[#This Row],[resolution_hrs]]&lt;=48,"Slow","Very Slow")))</f>
        <v>Very Slow</v>
      </c>
      <c r="Q3502" s="3">
        <f>YEAR(Ticket_Table[[#This Row],[raised_date]])</f>
        <v>2022</v>
      </c>
    </row>
    <row r="3503" spans="1:17">
      <c r="A3503" t="s">
        <v>4064</v>
      </c>
      <c r="B3503" t="s">
        <v>764</v>
      </c>
      <c r="C3503" t="s">
        <v>55</v>
      </c>
      <c r="D3503" t="s">
        <v>29</v>
      </c>
      <c r="E3503" t="s">
        <v>51</v>
      </c>
      <c r="F3503" t="s">
        <v>70</v>
      </c>
      <c r="G3503" t="s">
        <v>46</v>
      </c>
      <c r="H3503" s="1">
        <v>44303</v>
      </c>
      <c r="I3503" s="2">
        <v>44303.2333333333</v>
      </c>
      <c r="J3503">
        <v>5.6</v>
      </c>
      <c r="K3503" t="s">
        <v>24</v>
      </c>
      <c r="L3503">
        <v>0</v>
      </c>
      <c r="M3503">
        <v>4</v>
      </c>
      <c r="N3503" t="s">
        <v>899</v>
      </c>
      <c r="O3503" s="3" t="str">
        <f>TEXT(Ticket_Table[[#This Row],[raised_date]],"YYYY-MM")</f>
        <v>2021-04</v>
      </c>
      <c r="P3503" s="3" t="str">
        <f>IF(Ticket_Table[[#This Row],[resolution_hrs]]&lt;=4,"Fast",IF(Ticket_Table[[#This Row],[resolution_hrs]]&lt;=24,"Normal",IF(Ticket_Table[[#This Row],[resolution_hrs]]&lt;=48,"Slow","Very Slow")))</f>
        <v>Normal</v>
      </c>
      <c r="Q3503" s="3">
        <f>YEAR(Ticket_Table[[#This Row],[raised_date]])</f>
        <v>2021</v>
      </c>
    </row>
    <row r="3504" spans="1:17">
      <c r="A3504" t="s">
        <v>4065</v>
      </c>
      <c r="B3504" t="s">
        <v>937</v>
      </c>
      <c r="C3504" t="s">
        <v>287</v>
      </c>
      <c r="D3504" t="s">
        <v>29</v>
      </c>
      <c r="E3504" t="s">
        <v>166</v>
      </c>
      <c r="F3504" t="s">
        <v>70</v>
      </c>
      <c r="G3504" t="s">
        <v>46</v>
      </c>
      <c r="H3504" s="1">
        <v>44526</v>
      </c>
      <c r="I3504" s="2">
        <v>44527.8083333333</v>
      </c>
      <c r="J3504">
        <v>43.4</v>
      </c>
      <c r="K3504" t="s">
        <v>24</v>
      </c>
      <c r="L3504">
        <v>0</v>
      </c>
      <c r="M3504">
        <v>3</v>
      </c>
      <c r="N3504" t="s">
        <v>339</v>
      </c>
      <c r="O3504" s="3" t="str">
        <f>TEXT(Ticket_Table[[#This Row],[raised_date]],"YYYY-MM")</f>
        <v>2021-11</v>
      </c>
      <c r="P3504" s="3" t="str">
        <f>IF(Ticket_Table[[#This Row],[resolution_hrs]]&lt;=4,"Fast",IF(Ticket_Table[[#This Row],[resolution_hrs]]&lt;=24,"Normal",IF(Ticket_Table[[#This Row],[resolution_hrs]]&lt;=48,"Slow","Very Slow")))</f>
        <v>Slow</v>
      </c>
      <c r="Q3504" s="3">
        <f>YEAR(Ticket_Table[[#This Row],[raised_date]])</f>
        <v>2021</v>
      </c>
    </row>
    <row r="3505" spans="1:17">
      <c r="A3505" t="s">
        <v>4066</v>
      </c>
      <c r="B3505" t="s">
        <v>532</v>
      </c>
      <c r="C3505" t="s">
        <v>42</v>
      </c>
      <c r="D3505" t="s">
        <v>20</v>
      </c>
      <c r="E3505" t="s">
        <v>37</v>
      </c>
      <c r="F3505" t="s">
        <v>22</v>
      </c>
      <c r="G3505" t="s">
        <v>46</v>
      </c>
      <c r="H3505" s="1">
        <v>44993</v>
      </c>
      <c r="I3505" s="2">
        <v>44996.4125</v>
      </c>
      <c r="J3505">
        <v>81.9</v>
      </c>
      <c r="K3505" t="s">
        <v>32</v>
      </c>
      <c r="L3505">
        <v>0</v>
      </c>
      <c r="M3505">
        <v>4</v>
      </c>
      <c r="N3505" t="s">
        <v>155</v>
      </c>
      <c r="O3505" s="3" t="str">
        <f>TEXT(Ticket_Table[[#This Row],[raised_date]],"YYYY-MM")</f>
        <v>2023-03</v>
      </c>
      <c r="P3505" s="3" t="str">
        <f>IF(Ticket_Table[[#This Row],[resolution_hrs]]&lt;=4,"Fast",IF(Ticket_Table[[#This Row],[resolution_hrs]]&lt;=24,"Normal",IF(Ticket_Table[[#This Row],[resolution_hrs]]&lt;=48,"Slow","Very Slow")))</f>
        <v>Very Slow</v>
      </c>
      <c r="Q3505" s="3">
        <f>YEAR(Ticket_Table[[#This Row],[raised_date]])</f>
        <v>2023</v>
      </c>
    </row>
    <row r="3506" spans="1:17">
      <c r="A3506" t="s">
        <v>4067</v>
      </c>
      <c r="B3506" t="s">
        <v>937</v>
      </c>
      <c r="C3506" t="s">
        <v>28</v>
      </c>
      <c r="D3506" t="s">
        <v>20</v>
      </c>
      <c r="E3506" t="s">
        <v>69</v>
      </c>
      <c r="F3506" t="s">
        <v>70</v>
      </c>
      <c r="G3506" t="s">
        <v>31</v>
      </c>
      <c r="H3506" s="1">
        <v>44207</v>
      </c>
      <c r="I3506" s="2">
        <v>44207.9541666667</v>
      </c>
      <c r="J3506">
        <v>22.9</v>
      </c>
      <c r="K3506" t="s">
        <v>24</v>
      </c>
      <c r="L3506">
        <v>1</v>
      </c>
      <c r="M3506">
        <v>4</v>
      </c>
      <c r="N3506" t="s">
        <v>256</v>
      </c>
      <c r="O3506" s="3" t="str">
        <f>TEXT(Ticket_Table[[#This Row],[raised_date]],"YYYY-MM")</f>
        <v>2021-01</v>
      </c>
      <c r="P3506" s="3" t="str">
        <f>IF(Ticket_Table[[#This Row],[resolution_hrs]]&lt;=4,"Fast",IF(Ticket_Table[[#This Row],[resolution_hrs]]&lt;=24,"Normal",IF(Ticket_Table[[#This Row],[resolution_hrs]]&lt;=48,"Slow","Very Slow")))</f>
        <v>Normal</v>
      </c>
      <c r="Q3506" s="3">
        <f>YEAR(Ticket_Table[[#This Row],[raised_date]])</f>
        <v>2021</v>
      </c>
    </row>
    <row r="3507" spans="1:17">
      <c r="A3507" t="s">
        <v>4068</v>
      </c>
      <c r="B3507" t="s">
        <v>566</v>
      </c>
      <c r="C3507" t="s">
        <v>261</v>
      </c>
      <c r="D3507" t="s">
        <v>20</v>
      </c>
      <c r="E3507" t="s">
        <v>44</v>
      </c>
      <c r="F3507" t="s">
        <v>38</v>
      </c>
      <c r="G3507" t="s">
        <v>31</v>
      </c>
      <c r="H3507" s="1">
        <v>44383</v>
      </c>
      <c r="I3507" s="2">
        <v>44383.8458333333</v>
      </c>
      <c r="J3507">
        <v>20.3</v>
      </c>
      <c r="K3507" t="s">
        <v>24</v>
      </c>
      <c r="L3507">
        <v>0</v>
      </c>
      <c r="M3507">
        <v>4</v>
      </c>
      <c r="N3507" t="s">
        <v>1582</v>
      </c>
      <c r="O3507" s="3" t="str">
        <f>TEXT(Ticket_Table[[#This Row],[raised_date]],"YYYY-MM")</f>
        <v>2021-07</v>
      </c>
      <c r="P3507" s="3" t="str">
        <f>IF(Ticket_Table[[#This Row],[resolution_hrs]]&lt;=4,"Fast",IF(Ticket_Table[[#This Row],[resolution_hrs]]&lt;=24,"Normal",IF(Ticket_Table[[#This Row],[resolution_hrs]]&lt;=48,"Slow","Very Slow")))</f>
        <v>Normal</v>
      </c>
      <c r="Q3507" s="3">
        <f>YEAR(Ticket_Table[[#This Row],[raised_date]])</f>
        <v>2021</v>
      </c>
    </row>
    <row r="3508" spans="1:17">
      <c r="A3508" t="s">
        <v>4069</v>
      </c>
      <c r="B3508" t="s">
        <v>616</v>
      </c>
      <c r="C3508" t="s">
        <v>133</v>
      </c>
      <c r="D3508" t="s">
        <v>29</v>
      </c>
      <c r="E3508" t="s">
        <v>30</v>
      </c>
      <c r="F3508" t="s">
        <v>45</v>
      </c>
      <c r="G3508" t="s">
        <v>31</v>
      </c>
      <c r="H3508" s="1">
        <v>44494</v>
      </c>
      <c r="I3508" s="2">
        <v>44494.175</v>
      </c>
      <c r="J3508">
        <v>4.2</v>
      </c>
      <c r="K3508" t="s">
        <v>32</v>
      </c>
      <c r="L3508">
        <v>0</v>
      </c>
      <c r="M3508">
        <v>3</v>
      </c>
      <c r="N3508" t="s">
        <v>192</v>
      </c>
      <c r="O3508" s="3" t="str">
        <f>TEXT(Ticket_Table[[#This Row],[raised_date]],"YYYY-MM")</f>
        <v>2021-10</v>
      </c>
      <c r="P3508" s="3" t="str">
        <f>IF(Ticket_Table[[#This Row],[resolution_hrs]]&lt;=4,"Fast",IF(Ticket_Table[[#This Row],[resolution_hrs]]&lt;=24,"Normal",IF(Ticket_Table[[#This Row],[resolution_hrs]]&lt;=48,"Slow","Very Slow")))</f>
        <v>Normal</v>
      </c>
      <c r="Q3508" s="3">
        <f>YEAR(Ticket_Table[[#This Row],[raised_date]])</f>
        <v>2021</v>
      </c>
    </row>
    <row r="3509" spans="1:17">
      <c r="A3509" t="s">
        <v>4070</v>
      </c>
      <c r="B3509" t="s">
        <v>350</v>
      </c>
      <c r="C3509" t="s">
        <v>201</v>
      </c>
      <c r="D3509" t="s">
        <v>36</v>
      </c>
      <c r="E3509" t="s">
        <v>56</v>
      </c>
      <c r="F3509" t="s">
        <v>70</v>
      </c>
      <c r="G3509" t="s">
        <v>31</v>
      </c>
      <c r="H3509" s="1">
        <v>45162</v>
      </c>
      <c r="I3509" s="2">
        <v>45162.1375</v>
      </c>
      <c r="J3509">
        <v>3.3</v>
      </c>
      <c r="K3509" t="s">
        <v>24</v>
      </c>
      <c r="L3509">
        <v>0</v>
      </c>
      <c r="M3509">
        <v>5</v>
      </c>
      <c r="N3509" t="s">
        <v>597</v>
      </c>
      <c r="O3509" s="3" t="str">
        <f>TEXT(Ticket_Table[[#This Row],[raised_date]],"YYYY-MM")</f>
        <v>2023-08</v>
      </c>
      <c r="P3509" s="3" t="str">
        <f>IF(Ticket_Table[[#This Row],[resolution_hrs]]&lt;=4,"Fast",IF(Ticket_Table[[#This Row],[resolution_hrs]]&lt;=24,"Normal",IF(Ticket_Table[[#This Row],[resolution_hrs]]&lt;=48,"Slow","Very Slow")))</f>
        <v>Fast</v>
      </c>
      <c r="Q3509" s="3">
        <f>YEAR(Ticket_Table[[#This Row],[raised_date]])</f>
        <v>2023</v>
      </c>
    </row>
    <row r="3510" spans="1:17">
      <c r="A3510" t="s">
        <v>4071</v>
      </c>
      <c r="B3510" t="s">
        <v>956</v>
      </c>
      <c r="C3510" t="s">
        <v>19</v>
      </c>
      <c r="D3510" t="s">
        <v>20</v>
      </c>
      <c r="E3510" t="s">
        <v>21</v>
      </c>
      <c r="F3510" t="s">
        <v>70</v>
      </c>
      <c r="G3510" t="s">
        <v>31</v>
      </c>
      <c r="H3510" s="1">
        <v>45088</v>
      </c>
      <c r="I3510" s="2">
        <v>45088.8375</v>
      </c>
      <c r="J3510">
        <v>20.1</v>
      </c>
      <c r="K3510" t="s">
        <v>24</v>
      </c>
      <c r="L3510">
        <v>0</v>
      </c>
      <c r="M3510">
        <v>5</v>
      </c>
      <c r="N3510" t="s">
        <v>1243</v>
      </c>
      <c r="O3510" s="3" t="str">
        <f>TEXT(Ticket_Table[[#This Row],[raised_date]],"YYYY-MM")</f>
        <v>2023-06</v>
      </c>
      <c r="P3510" s="3" t="str">
        <f>IF(Ticket_Table[[#This Row],[resolution_hrs]]&lt;=4,"Fast",IF(Ticket_Table[[#This Row],[resolution_hrs]]&lt;=24,"Normal",IF(Ticket_Table[[#This Row],[resolution_hrs]]&lt;=48,"Slow","Very Slow")))</f>
        <v>Normal</v>
      </c>
      <c r="Q3510" s="3">
        <f>YEAR(Ticket_Table[[#This Row],[raised_date]])</f>
        <v>2023</v>
      </c>
    </row>
    <row r="3511" spans="1:17">
      <c r="A3511" t="s">
        <v>4072</v>
      </c>
      <c r="B3511" t="s">
        <v>650</v>
      </c>
      <c r="C3511" t="s">
        <v>201</v>
      </c>
      <c r="D3511" t="s">
        <v>29</v>
      </c>
      <c r="E3511" t="s">
        <v>30</v>
      </c>
      <c r="F3511" t="s">
        <v>22</v>
      </c>
      <c r="G3511" t="s">
        <v>74</v>
      </c>
      <c r="H3511" s="1">
        <v>44377</v>
      </c>
      <c r="I3511" s="2">
        <v>44381.3958333333</v>
      </c>
      <c r="J3511">
        <v>105.5</v>
      </c>
      <c r="K3511" t="s">
        <v>32</v>
      </c>
      <c r="L3511">
        <v>0</v>
      </c>
      <c r="M3511">
        <v>5</v>
      </c>
      <c r="N3511" t="s">
        <v>1226</v>
      </c>
      <c r="O3511" s="3" t="str">
        <f>TEXT(Ticket_Table[[#This Row],[raised_date]],"YYYY-MM")</f>
        <v>2021-06</v>
      </c>
      <c r="P3511" s="3" t="str">
        <f>IF(Ticket_Table[[#This Row],[resolution_hrs]]&lt;=4,"Fast",IF(Ticket_Table[[#This Row],[resolution_hrs]]&lt;=24,"Normal",IF(Ticket_Table[[#This Row],[resolution_hrs]]&lt;=48,"Slow","Very Slow")))</f>
        <v>Very Slow</v>
      </c>
      <c r="Q3511" s="3">
        <f>YEAR(Ticket_Table[[#This Row],[raised_date]])</f>
        <v>2021</v>
      </c>
    </row>
    <row r="3512" spans="1:17">
      <c r="A3512" t="s">
        <v>4073</v>
      </c>
      <c r="B3512" t="s">
        <v>1297</v>
      </c>
      <c r="C3512" t="s">
        <v>133</v>
      </c>
      <c r="D3512" t="s">
        <v>20</v>
      </c>
      <c r="E3512" t="s">
        <v>51</v>
      </c>
      <c r="F3512" t="s">
        <v>22</v>
      </c>
      <c r="G3512" t="s">
        <v>31</v>
      </c>
      <c r="H3512" s="1">
        <v>44328</v>
      </c>
      <c r="I3512" s="2">
        <v>44330.5583333333</v>
      </c>
      <c r="J3512">
        <v>61.4</v>
      </c>
      <c r="K3512" t="s">
        <v>24</v>
      </c>
      <c r="L3512">
        <v>0</v>
      </c>
      <c r="M3512">
        <v>2</v>
      </c>
      <c r="N3512" t="s">
        <v>687</v>
      </c>
      <c r="O3512" s="3" t="str">
        <f>TEXT(Ticket_Table[[#This Row],[raised_date]],"YYYY-MM")</f>
        <v>2021-05</v>
      </c>
      <c r="P3512" s="3" t="str">
        <f>IF(Ticket_Table[[#This Row],[resolution_hrs]]&lt;=4,"Fast",IF(Ticket_Table[[#This Row],[resolution_hrs]]&lt;=24,"Normal",IF(Ticket_Table[[#This Row],[resolution_hrs]]&lt;=48,"Slow","Very Slow")))</f>
        <v>Very Slow</v>
      </c>
      <c r="Q3512" s="3">
        <f>YEAR(Ticket_Table[[#This Row],[raised_date]])</f>
        <v>2021</v>
      </c>
    </row>
    <row r="3513" spans="1:17">
      <c r="A3513" t="s">
        <v>4074</v>
      </c>
      <c r="B3513" t="s">
        <v>349</v>
      </c>
      <c r="C3513" t="s">
        <v>50</v>
      </c>
      <c r="D3513" t="s">
        <v>20</v>
      </c>
      <c r="E3513" t="s">
        <v>69</v>
      </c>
      <c r="F3513" t="s">
        <v>70</v>
      </c>
      <c r="G3513" t="s">
        <v>31</v>
      </c>
      <c r="H3513" s="1">
        <v>44735</v>
      </c>
      <c r="I3513" s="2">
        <v>44736.7083333333</v>
      </c>
      <c r="J3513">
        <v>41</v>
      </c>
      <c r="K3513" t="s">
        <v>24</v>
      </c>
      <c r="L3513">
        <v>0</v>
      </c>
      <c r="M3513">
        <v>3</v>
      </c>
      <c r="N3513" t="s">
        <v>1063</v>
      </c>
      <c r="O3513" s="3" t="str">
        <f>TEXT(Ticket_Table[[#This Row],[raised_date]],"YYYY-MM")</f>
        <v>2022-06</v>
      </c>
      <c r="P3513" s="3" t="str">
        <f>IF(Ticket_Table[[#This Row],[resolution_hrs]]&lt;=4,"Fast",IF(Ticket_Table[[#This Row],[resolution_hrs]]&lt;=24,"Normal",IF(Ticket_Table[[#This Row],[resolution_hrs]]&lt;=48,"Slow","Very Slow")))</f>
        <v>Slow</v>
      </c>
      <c r="Q3513" s="3">
        <f>YEAR(Ticket_Table[[#This Row],[raised_date]])</f>
        <v>2022</v>
      </c>
    </row>
    <row r="3514" spans="1:17">
      <c r="A3514" t="s">
        <v>4075</v>
      </c>
      <c r="B3514" t="s">
        <v>272</v>
      </c>
      <c r="C3514" t="s">
        <v>60</v>
      </c>
      <c r="D3514" t="s">
        <v>20</v>
      </c>
      <c r="E3514" t="s">
        <v>44</v>
      </c>
      <c r="F3514" t="s">
        <v>70</v>
      </c>
      <c r="G3514" t="s">
        <v>46</v>
      </c>
      <c r="H3514" s="1">
        <v>44651</v>
      </c>
      <c r="I3514" s="2">
        <v>44653.3791666667</v>
      </c>
      <c r="J3514">
        <v>57.1</v>
      </c>
      <c r="K3514" t="s">
        <v>32</v>
      </c>
      <c r="L3514">
        <v>0</v>
      </c>
      <c r="M3514">
        <v>4</v>
      </c>
      <c r="N3514" t="s">
        <v>917</v>
      </c>
      <c r="O3514" s="3" t="str">
        <f>TEXT(Ticket_Table[[#This Row],[raised_date]],"YYYY-MM")</f>
        <v>2022-03</v>
      </c>
      <c r="P3514" s="3" t="str">
        <f>IF(Ticket_Table[[#This Row],[resolution_hrs]]&lt;=4,"Fast",IF(Ticket_Table[[#This Row],[resolution_hrs]]&lt;=24,"Normal",IF(Ticket_Table[[#This Row],[resolution_hrs]]&lt;=48,"Slow","Very Slow")))</f>
        <v>Very Slow</v>
      </c>
      <c r="Q3514" s="3">
        <f>YEAR(Ticket_Table[[#This Row],[raised_date]])</f>
        <v>2022</v>
      </c>
    </row>
    <row r="3515" spans="1:17">
      <c r="A3515" t="s">
        <v>4076</v>
      </c>
      <c r="B3515" t="s">
        <v>372</v>
      </c>
      <c r="C3515" t="s">
        <v>287</v>
      </c>
      <c r="D3515" t="s">
        <v>29</v>
      </c>
      <c r="E3515" t="s">
        <v>51</v>
      </c>
      <c r="F3515" t="s">
        <v>45</v>
      </c>
      <c r="G3515" t="s">
        <v>31</v>
      </c>
      <c r="H3515" s="1">
        <v>44956</v>
      </c>
      <c r="I3515" s="2">
        <v>44956.05</v>
      </c>
      <c r="J3515">
        <v>1.2</v>
      </c>
      <c r="K3515" t="s">
        <v>24</v>
      </c>
      <c r="L3515">
        <v>0</v>
      </c>
      <c r="M3515">
        <v>5</v>
      </c>
      <c r="N3515" t="s">
        <v>833</v>
      </c>
      <c r="O3515" s="3" t="str">
        <f>TEXT(Ticket_Table[[#This Row],[raised_date]],"YYYY-MM")</f>
        <v>2023-01</v>
      </c>
      <c r="P3515" s="3" t="str">
        <f>IF(Ticket_Table[[#This Row],[resolution_hrs]]&lt;=4,"Fast",IF(Ticket_Table[[#This Row],[resolution_hrs]]&lt;=24,"Normal",IF(Ticket_Table[[#This Row],[resolution_hrs]]&lt;=48,"Slow","Very Slow")))</f>
        <v>Fast</v>
      </c>
      <c r="Q3515" s="3">
        <f>YEAR(Ticket_Table[[#This Row],[raised_date]])</f>
        <v>2023</v>
      </c>
    </row>
    <row r="3516" spans="1:17">
      <c r="A3516" t="s">
        <v>4077</v>
      </c>
      <c r="B3516" t="s">
        <v>552</v>
      </c>
      <c r="C3516" t="s">
        <v>28</v>
      </c>
      <c r="D3516" t="s">
        <v>36</v>
      </c>
      <c r="E3516" t="s">
        <v>166</v>
      </c>
      <c r="F3516" t="s">
        <v>70</v>
      </c>
      <c r="G3516" t="s">
        <v>23</v>
      </c>
      <c r="H3516" s="1">
        <v>44360</v>
      </c>
      <c r="I3516" s="2">
        <v>44360.9708333333</v>
      </c>
      <c r="J3516">
        <v>23.3</v>
      </c>
      <c r="K3516" t="s">
        <v>24</v>
      </c>
      <c r="L3516">
        <v>0</v>
      </c>
      <c r="M3516">
        <v>4</v>
      </c>
      <c r="N3516" t="s">
        <v>737</v>
      </c>
      <c r="O3516" s="3" t="str">
        <f>TEXT(Ticket_Table[[#This Row],[raised_date]],"YYYY-MM")</f>
        <v>2021-06</v>
      </c>
      <c r="P3516" s="3" t="str">
        <f>IF(Ticket_Table[[#This Row],[resolution_hrs]]&lt;=4,"Fast",IF(Ticket_Table[[#This Row],[resolution_hrs]]&lt;=24,"Normal",IF(Ticket_Table[[#This Row],[resolution_hrs]]&lt;=48,"Slow","Very Slow")))</f>
        <v>Normal</v>
      </c>
      <c r="Q3516" s="3">
        <f>YEAR(Ticket_Table[[#This Row],[raised_date]])</f>
        <v>2021</v>
      </c>
    </row>
    <row r="3517" spans="1:17">
      <c r="A3517" t="s">
        <v>4078</v>
      </c>
      <c r="B3517" t="s">
        <v>599</v>
      </c>
      <c r="C3517" t="s">
        <v>68</v>
      </c>
      <c r="D3517" t="s">
        <v>29</v>
      </c>
      <c r="E3517" t="s">
        <v>106</v>
      </c>
      <c r="F3517" t="s">
        <v>70</v>
      </c>
      <c r="G3517" t="s">
        <v>31</v>
      </c>
      <c r="H3517" s="1">
        <v>44274</v>
      </c>
      <c r="I3517" s="2">
        <v>44276.8333333333</v>
      </c>
      <c r="J3517">
        <v>68</v>
      </c>
      <c r="K3517" t="s">
        <v>32</v>
      </c>
      <c r="L3517">
        <v>0</v>
      </c>
      <c r="M3517">
        <v>5</v>
      </c>
      <c r="N3517" t="s">
        <v>155</v>
      </c>
      <c r="O3517" s="3" t="str">
        <f>TEXT(Ticket_Table[[#This Row],[raised_date]],"YYYY-MM")</f>
        <v>2021-03</v>
      </c>
      <c r="P3517" s="3" t="str">
        <f>IF(Ticket_Table[[#This Row],[resolution_hrs]]&lt;=4,"Fast",IF(Ticket_Table[[#This Row],[resolution_hrs]]&lt;=24,"Normal",IF(Ticket_Table[[#This Row],[resolution_hrs]]&lt;=48,"Slow","Very Slow")))</f>
        <v>Very Slow</v>
      </c>
      <c r="Q3517" s="3">
        <f>YEAR(Ticket_Table[[#This Row],[raised_date]])</f>
        <v>2021</v>
      </c>
    </row>
    <row r="3518" spans="1:17">
      <c r="A3518" t="s">
        <v>4079</v>
      </c>
      <c r="B3518" t="s">
        <v>914</v>
      </c>
      <c r="C3518" t="s">
        <v>42</v>
      </c>
      <c r="D3518" t="s">
        <v>29</v>
      </c>
      <c r="E3518" t="s">
        <v>56</v>
      </c>
      <c r="F3518" t="s">
        <v>70</v>
      </c>
      <c r="G3518" t="s">
        <v>31</v>
      </c>
      <c r="H3518" s="1">
        <v>44984</v>
      </c>
      <c r="I3518" s="2">
        <v>44984.0666666667</v>
      </c>
      <c r="J3518">
        <v>1.6</v>
      </c>
      <c r="K3518" t="s">
        <v>24</v>
      </c>
      <c r="L3518">
        <v>0</v>
      </c>
      <c r="M3518">
        <v>5</v>
      </c>
      <c r="N3518" t="s">
        <v>817</v>
      </c>
      <c r="O3518" s="3" t="str">
        <f>TEXT(Ticket_Table[[#This Row],[raised_date]],"YYYY-MM")</f>
        <v>2023-02</v>
      </c>
      <c r="P3518" s="3" t="str">
        <f>IF(Ticket_Table[[#This Row],[resolution_hrs]]&lt;=4,"Fast",IF(Ticket_Table[[#This Row],[resolution_hrs]]&lt;=24,"Normal",IF(Ticket_Table[[#This Row],[resolution_hrs]]&lt;=48,"Slow","Very Slow")))</f>
        <v>Fast</v>
      </c>
      <c r="Q3518" s="3">
        <f>YEAR(Ticket_Table[[#This Row],[raised_date]])</f>
        <v>2023</v>
      </c>
    </row>
    <row r="3519" spans="1:17">
      <c r="A3519" t="s">
        <v>4080</v>
      </c>
      <c r="B3519" t="s">
        <v>876</v>
      </c>
      <c r="C3519" t="s">
        <v>213</v>
      </c>
      <c r="D3519" t="s">
        <v>20</v>
      </c>
      <c r="E3519" t="s">
        <v>166</v>
      </c>
      <c r="F3519" t="s">
        <v>38</v>
      </c>
      <c r="G3519" t="s">
        <v>91</v>
      </c>
      <c r="H3519" s="1">
        <v>45017</v>
      </c>
      <c r="I3519" s="2">
        <v>45017.5625</v>
      </c>
      <c r="J3519">
        <v>13.5</v>
      </c>
      <c r="K3519" t="s">
        <v>24</v>
      </c>
      <c r="L3519">
        <v>0</v>
      </c>
      <c r="M3519">
        <v>4</v>
      </c>
      <c r="N3519" t="s">
        <v>92</v>
      </c>
      <c r="O3519" s="3" t="str">
        <f>TEXT(Ticket_Table[[#This Row],[raised_date]],"YYYY-MM")</f>
        <v>2023-04</v>
      </c>
      <c r="P3519" s="3" t="str">
        <f>IF(Ticket_Table[[#This Row],[resolution_hrs]]&lt;=4,"Fast",IF(Ticket_Table[[#This Row],[resolution_hrs]]&lt;=24,"Normal",IF(Ticket_Table[[#This Row],[resolution_hrs]]&lt;=48,"Slow","Very Slow")))</f>
        <v>Normal</v>
      </c>
      <c r="Q3519" s="3">
        <f>YEAR(Ticket_Table[[#This Row],[raised_date]])</f>
        <v>2023</v>
      </c>
    </row>
    <row r="3520" spans="1:17">
      <c r="A3520" t="s">
        <v>4081</v>
      </c>
      <c r="B3520" t="s">
        <v>778</v>
      </c>
      <c r="C3520" t="s">
        <v>287</v>
      </c>
      <c r="D3520" t="s">
        <v>90</v>
      </c>
      <c r="E3520" t="s">
        <v>21</v>
      </c>
      <c r="F3520" t="s">
        <v>38</v>
      </c>
      <c r="G3520" t="s">
        <v>46</v>
      </c>
      <c r="H3520" s="1">
        <v>45264</v>
      </c>
      <c r="I3520" s="2">
        <v>45264.4541666667</v>
      </c>
      <c r="J3520">
        <v>10.9</v>
      </c>
      <c r="K3520" t="s">
        <v>24</v>
      </c>
      <c r="L3520">
        <v>0</v>
      </c>
      <c r="M3520">
        <v>3</v>
      </c>
      <c r="N3520" t="s">
        <v>132</v>
      </c>
      <c r="O3520" s="3" t="str">
        <f>TEXT(Ticket_Table[[#This Row],[raised_date]],"YYYY-MM")</f>
        <v>2023-12</v>
      </c>
      <c r="P3520" s="3" t="str">
        <f>IF(Ticket_Table[[#This Row],[resolution_hrs]]&lt;=4,"Fast",IF(Ticket_Table[[#This Row],[resolution_hrs]]&lt;=24,"Normal",IF(Ticket_Table[[#This Row],[resolution_hrs]]&lt;=48,"Slow","Very Slow")))</f>
        <v>Normal</v>
      </c>
      <c r="Q3520" s="3">
        <f>YEAR(Ticket_Table[[#This Row],[raised_date]])</f>
        <v>2023</v>
      </c>
    </row>
    <row r="3521" spans="1:17">
      <c r="A3521" t="s">
        <v>4082</v>
      </c>
      <c r="B3521" t="s">
        <v>33</v>
      </c>
      <c r="C3521" t="s">
        <v>68</v>
      </c>
      <c r="D3521" t="s">
        <v>90</v>
      </c>
      <c r="E3521" t="s">
        <v>30</v>
      </c>
      <c r="F3521" t="s">
        <v>70</v>
      </c>
      <c r="G3521" t="s">
        <v>74</v>
      </c>
      <c r="H3521" s="1">
        <v>44783</v>
      </c>
      <c r="I3521" s="2">
        <v>44784.2208333333</v>
      </c>
      <c r="J3521">
        <v>29.3</v>
      </c>
      <c r="K3521" t="s">
        <v>24</v>
      </c>
      <c r="L3521">
        <v>0</v>
      </c>
      <c r="M3521">
        <v>3</v>
      </c>
      <c r="N3521" t="s">
        <v>478</v>
      </c>
      <c r="O3521" s="3" t="str">
        <f>TEXT(Ticket_Table[[#This Row],[raised_date]],"YYYY-MM")</f>
        <v>2022-08</v>
      </c>
      <c r="P3521" s="3" t="str">
        <f>IF(Ticket_Table[[#This Row],[resolution_hrs]]&lt;=4,"Fast",IF(Ticket_Table[[#This Row],[resolution_hrs]]&lt;=24,"Normal",IF(Ticket_Table[[#This Row],[resolution_hrs]]&lt;=48,"Slow","Very Slow")))</f>
        <v>Slow</v>
      </c>
      <c r="Q3521" s="3">
        <f>YEAR(Ticket_Table[[#This Row],[raised_date]])</f>
        <v>2022</v>
      </c>
    </row>
    <row r="3522" spans="1:17">
      <c r="A3522" t="s">
        <v>4083</v>
      </c>
      <c r="B3522" t="s">
        <v>749</v>
      </c>
      <c r="C3522" t="s">
        <v>287</v>
      </c>
      <c r="D3522" t="s">
        <v>90</v>
      </c>
      <c r="E3522" t="s">
        <v>83</v>
      </c>
      <c r="F3522" t="s">
        <v>70</v>
      </c>
      <c r="G3522" t="s">
        <v>91</v>
      </c>
      <c r="H3522" s="1">
        <v>44314</v>
      </c>
      <c r="I3522" s="2">
        <v>44314.6166666667</v>
      </c>
      <c r="J3522">
        <v>14.8</v>
      </c>
      <c r="K3522" t="s">
        <v>24</v>
      </c>
      <c r="L3522">
        <v>0</v>
      </c>
      <c r="M3522">
        <v>3</v>
      </c>
      <c r="N3522" t="s">
        <v>302</v>
      </c>
      <c r="O3522" s="3" t="str">
        <f>TEXT(Ticket_Table[[#This Row],[raised_date]],"YYYY-MM")</f>
        <v>2021-04</v>
      </c>
      <c r="P3522" s="3" t="str">
        <f>IF(Ticket_Table[[#This Row],[resolution_hrs]]&lt;=4,"Fast",IF(Ticket_Table[[#This Row],[resolution_hrs]]&lt;=24,"Normal",IF(Ticket_Table[[#This Row],[resolution_hrs]]&lt;=48,"Slow","Very Slow")))</f>
        <v>Normal</v>
      </c>
      <c r="Q3522" s="3">
        <f>YEAR(Ticket_Table[[#This Row],[raised_date]])</f>
        <v>2021</v>
      </c>
    </row>
    <row r="3523" spans="1:17">
      <c r="A3523" t="s">
        <v>4084</v>
      </c>
      <c r="B3523" t="s">
        <v>107</v>
      </c>
      <c r="C3523" t="s">
        <v>175</v>
      </c>
      <c r="D3523" t="s">
        <v>29</v>
      </c>
      <c r="E3523" t="s">
        <v>83</v>
      </c>
      <c r="F3523" t="s">
        <v>38</v>
      </c>
      <c r="G3523" t="s">
        <v>74</v>
      </c>
      <c r="H3523" s="1">
        <v>44555</v>
      </c>
      <c r="I3523" s="2">
        <v>44556.1375</v>
      </c>
      <c r="J3523">
        <v>27.3</v>
      </c>
      <c r="K3523" t="s">
        <v>32</v>
      </c>
      <c r="L3523">
        <v>1</v>
      </c>
      <c r="M3523">
        <v>3</v>
      </c>
      <c r="N3523" t="s">
        <v>899</v>
      </c>
      <c r="O3523" s="3" t="str">
        <f>TEXT(Ticket_Table[[#This Row],[raised_date]],"YYYY-MM")</f>
        <v>2021-12</v>
      </c>
      <c r="P3523" s="3" t="str">
        <f>IF(Ticket_Table[[#This Row],[resolution_hrs]]&lt;=4,"Fast",IF(Ticket_Table[[#This Row],[resolution_hrs]]&lt;=24,"Normal",IF(Ticket_Table[[#This Row],[resolution_hrs]]&lt;=48,"Slow","Very Slow")))</f>
        <v>Slow</v>
      </c>
      <c r="Q3523" s="3">
        <f>YEAR(Ticket_Table[[#This Row],[raised_date]])</f>
        <v>2021</v>
      </c>
    </row>
    <row r="3524" spans="1:17">
      <c r="A3524" t="s">
        <v>4085</v>
      </c>
      <c r="B3524" t="s">
        <v>1051</v>
      </c>
      <c r="C3524" t="s">
        <v>102</v>
      </c>
      <c r="D3524" t="s">
        <v>20</v>
      </c>
      <c r="E3524" t="s">
        <v>44</v>
      </c>
      <c r="F3524" t="s">
        <v>22</v>
      </c>
      <c r="G3524" t="s">
        <v>23</v>
      </c>
      <c r="H3524" s="1">
        <v>45209</v>
      </c>
      <c r="I3524" s="2">
        <v>45212.275</v>
      </c>
      <c r="J3524">
        <v>78.6</v>
      </c>
      <c r="K3524" t="s">
        <v>32</v>
      </c>
      <c r="L3524">
        <v>0</v>
      </c>
      <c r="M3524">
        <v>3</v>
      </c>
      <c r="N3524" t="s">
        <v>191</v>
      </c>
      <c r="O3524" s="3" t="str">
        <f>TEXT(Ticket_Table[[#This Row],[raised_date]],"YYYY-MM")</f>
        <v>2023-10</v>
      </c>
      <c r="P3524" s="3" t="str">
        <f>IF(Ticket_Table[[#This Row],[resolution_hrs]]&lt;=4,"Fast",IF(Ticket_Table[[#This Row],[resolution_hrs]]&lt;=24,"Normal",IF(Ticket_Table[[#This Row],[resolution_hrs]]&lt;=48,"Slow","Very Slow")))</f>
        <v>Very Slow</v>
      </c>
      <c r="Q3524" s="3">
        <f>YEAR(Ticket_Table[[#This Row],[raised_date]])</f>
        <v>2023</v>
      </c>
    </row>
    <row r="3525" spans="1:17">
      <c r="A3525" t="s">
        <v>4086</v>
      </c>
      <c r="B3525" t="s">
        <v>1136</v>
      </c>
      <c r="C3525" t="s">
        <v>261</v>
      </c>
      <c r="D3525" t="s">
        <v>90</v>
      </c>
      <c r="E3525" t="s">
        <v>37</v>
      </c>
      <c r="F3525" t="s">
        <v>38</v>
      </c>
      <c r="G3525" t="s">
        <v>23</v>
      </c>
      <c r="H3525" s="1">
        <v>45096</v>
      </c>
      <c r="I3525" s="2">
        <v>45097.4625</v>
      </c>
      <c r="J3525">
        <v>35.1</v>
      </c>
      <c r="K3525" t="s">
        <v>32</v>
      </c>
      <c r="L3525">
        <v>1</v>
      </c>
      <c r="M3525">
        <v>4</v>
      </c>
      <c r="N3525" t="s">
        <v>94</v>
      </c>
      <c r="O3525" s="3" t="str">
        <f>TEXT(Ticket_Table[[#This Row],[raised_date]],"YYYY-MM")</f>
        <v>2023-06</v>
      </c>
      <c r="P3525" s="3" t="str">
        <f>IF(Ticket_Table[[#This Row],[resolution_hrs]]&lt;=4,"Fast",IF(Ticket_Table[[#This Row],[resolution_hrs]]&lt;=24,"Normal",IF(Ticket_Table[[#This Row],[resolution_hrs]]&lt;=48,"Slow","Very Slow")))</f>
        <v>Slow</v>
      </c>
      <c r="Q3525" s="3">
        <f>YEAR(Ticket_Table[[#This Row],[raised_date]])</f>
        <v>2023</v>
      </c>
    </row>
    <row r="3526" spans="1:17">
      <c r="A3526" t="s">
        <v>4087</v>
      </c>
      <c r="B3526" t="s">
        <v>860</v>
      </c>
      <c r="C3526" t="s">
        <v>55</v>
      </c>
      <c r="D3526" t="s">
        <v>43</v>
      </c>
      <c r="E3526" t="s">
        <v>30</v>
      </c>
      <c r="F3526" t="s">
        <v>70</v>
      </c>
      <c r="G3526" t="s">
        <v>31</v>
      </c>
      <c r="H3526" s="1">
        <v>44218</v>
      </c>
      <c r="I3526" s="2">
        <v>44220.1208333333</v>
      </c>
      <c r="J3526">
        <v>50.9</v>
      </c>
      <c r="K3526" t="s">
        <v>32</v>
      </c>
      <c r="L3526">
        <v>0</v>
      </c>
      <c r="M3526">
        <v>1</v>
      </c>
      <c r="N3526" t="s">
        <v>678</v>
      </c>
      <c r="O3526" s="3" t="str">
        <f>TEXT(Ticket_Table[[#This Row],[raised_date]],"YYYY-MM")</f>
        <v>2021-01</v>
      </c>
      <c r="P3526" s="3" t="str">
        <f>IF(Ticket_Table[[#This Row],[resolution_hrs]]&lt;=4,"Fast",IF(Ticket_Table[[#This Row],[resolution_hrs]]&lt;=24,"Normal",IF(Ticket_Table[[#This Row],[resolution_hrs]]&lt;=48,"Slow","Very Slow")))</f>
        <v>Very Slow</v>
      </c>
      <c r="Q3526" s="3">
        <f>YEAR(Ticket_Table[[#This Row],[raised_date]])</f>
        <v>2021</v>
      </c>
    </row>
    <row r="3527" spans="1:17">
      <c r="A3527" t="s">
        <v>4088</v>
      </c>
      <c r="B3527" t="s">
        <v>944</v>
      </c>
      <c r="C3527" t="s">
        <v>133</v>
      </c>
      <c r="D3527" t="s">
        <v>43</v>
      </c>
      <c r="E3527" t="s">
        <v>83</v>
      </c>
      <c r="F3527" t="s">
        <v>70</v>
      </c>
      <c r="G3527" t="s">
        <v>23</v>
      </c>
      <c r="H3527" s="1">
        <v>44610</v>
      </c>
      <c r="I3527" s="2">
        <v>44610.3291666667</v>
      </c>
      <c r="J3527">
        <v>7.9</v>
      </c>
      <c r="K3527" t="s">
        <v>24</v>
      </c>
      <c r="L3527">
        <v>0</v>
      </c>
      <c r="M3527">
        <v>4</v>
      </c>
      <c r="N3527" t="s">
        <v>171</v>
      </c>
      <c r="O3527" s="3" t="str">
        <f>TEXT(Ticket_Table[[#This Row],[raised_date]],"YYYY-MM")</f>
        <v>2022-02</v>
      </c>
      <c r="P3527" s="3" t="str">
        <f>IF(Ticket_Table[[#This Row],[resolution_hrs]]&lt;=4,"Fast",IF(Ticket_Table[[#This Row],[resolution_hrs]]&lt;=24,"Normal",IF(Ticket_Table[[#This Row],[resolution_hrs]]&lt;=48,"Slow","Very Slow")))</f>
        <v>Normal</v>
      </c>
      <c r="Q3527" s="3">
        <f>YEAR(Ticket_Table[[#This Row],[raised_date]])</f>
        <v>2022</v>
      </c>
    </row>
    <row r="3528" spans="1:17">
      <c r="A3528" t="s">
        <v>4089</v>
      </c>
      <c r="B3528" t="s">
        <v>224</v>
      </c>
      <c r="C3528" t="s">
        <v>78</v>
      </c>
      <c r="D3528" t="s">
        <v>43</v>
      </c>
      <c r="E3528" t="s">
        <v>69</v>
      </c>
      <c r="F3528" t="s">
        <v>70</v>
      </c>
      <c r="G3528" t="s">
        <v>74</v>
      </c>
      <c r="H3528" s="1">
        <v>45258</v>
      </c>
      <c r="I3528" s="2">
        <v>45259.2458333333</v>
      </c>
      <c r="J3528">
        <v>29.9</v>
      </c>
      <c r="K3528" t="s">
        <v>24</v>
      </c>
      <c r="L3528">
        <v>0</v>
      </c>
      <c r="M3528">
        <v>5</v>
      </c>
      <c r="N3528" t="s">
        <v>1226</v>
      </c>
      <c r="O3528" s="3" t="str">
        <f>TEXT(Ticket_Table[[#This Row],[raised_date]],"YYYY-MM")</f>
        <v>2023-11</v>
      </c>
      <c r="P3528" s="3" t="str">
        <f>IF(Ticket_Table[[#This Row],[resolution_hrs]]&lt;=4,"Fast",IF(Ticket_Table[[#This Row],[resolution_hrs]]&lt;=24,"Normal",IF(Ticket_Table[[#This Row],[resolution_hrs]]&lt;=48,"Slow","Very Slow")))</f>
        <v>Slow</v>
      </c>
      <c r="Q3528" s="3">
        <f>YEAR(Ticket_Table[[#This Row],[raised_date]])</f>
        <v>2023</v>
      </c>
    </row>
    <row r="3529" spans="1:17">
      <c r="A3529" t="s">
        <v>4090</v>
      </c>
      <c r="B3529" t="s">
        <v>503</v>
      </c>
      <c r="C3529" t="s">
        <v>95</v>
      </c>
      <c r="D3529" t="s">
        <v>36</v>
      </c>
      <c r="E3529" t="s">
        <v>106</v>
      </c>
      <c r="F3529" t="s">
        <v>38</v>
      </c>
      <c r="G3529" t="s">
        <v>23</v>
      </c>
      <c r="H3529" s="1">
        <v>44782</v>
      </c>
      <c r="I3529" s="2">
        <v>44783.125</v>
      </c>
      <c r="J3529">
        <v>27</v>
      </c>
      <c r="K3529" t="s">
        <v>32</v>
      </c>
      <c r="L3529">
        <v>2</v>
      </c>
      <c r="M3529">
        <v>2</v>
      </c>
      <c r="N3529" t="s">
        <v>67</v>
      </c>
      <c r="O3529" s="3" t="str">
        <f>TEXT(Ticket_Table[[#This Row],[raised_date]],"YYYY-MM")</f>
        <v>2022-08</v>
      </c>
      <c r="P3529" s="3" t="str">
        <f>IF(Ticket_Table[[#This Row],[resolution_hrs]]&lt;=4,"Fast",IF(Ticket_Table[[#This Row],[resolution_hrs]]&lt;=24,"Normal",IF(Ticket_Table[[#This Row],[resolution_hrs]]&lt;=48,"Slow","Very Slow")))</f>
        <v>Slow</v>
      </c>
      <c r="Q3529" s="3">
        <f>YEAR(Ticket_Table[[#This Row],[raised_date]])</f>
        <v>2022</v>
      </c>
    </row>
    <row r="3530" spans="1:17">
      <c r="A3530" t="s">
        <v>4091</v>
      </c>
      <c r="B3530" t="s">
        <v>1278</v>
      </c>
      <c r="C3530" t="s">
        <v>175</v>
      </c>
      <c r="D3530" t="s">
        <v>20</v>
      </c>
      <c r="E3530" t="s">
        <v>44</v>
      </c>
      <c r="F3530" t="s">
        <v>22</v>
      </c>
      <c r="G3530" t="s">
        <v>23</v>
      </c>
      <c r="H3530" s="1">
        <v>44595</v>
      </c>
      <c r="I3530" s="2">
        <v>44595.4916666667</v>
      </c>
      <c r="J3530">
        <v>11.8</v>
      </c>
      <c r="K3530" t="s">
        <v>24</v>
      </c>
      <c r="L3530">
        <v>1</v>
      </c>
      <c r="M3530">
        <v>2</v>
      </c>
      <c r="N3530" t="s">
        <v>558</v>
      </c>
      <c r="O3530" s="3" t="str">
        <f>TEXT(Ticket_Table[[#This Row],[raised_date]],"YYYY-MM")</f>
        <v>2022-02</v>
      </c>
      <c r="P3530" s="3" t="str">
        <f>IF(Ticket_Table[[#This Row],[resolution_hrs]]&lt;=4,"Fast",IF(Ticket_Table[[#This Row],[resolution_hrs]]&lt;=24,"Normal",IF(Ticket_Table[[#This Row],[resolution_hrs]]&lt;=48,"Slow","Very Slow")))</f>
        <v>Normal</v>
      </c>
      <c r="Q3530" s="3">
        <f>YEAR(Ticket_Table[[#This Row],[raised_date]])</f>
        <v>2022</v>
      </c>
    </row>
    <row r="3531" spans="1:17">
      <c r="A3531" t="s">
        <v>4092</v>
      </c>
      <c r="B3531" t="s">
        <v>457</v>
      </c>
      <c r="C3531" t="s">
        <v>140</v>
      </c>
      <c r="D3531" t="s">
        <v>29</v>
      </c>
      <c r="E3531" t="s">
        <v>56</v>
      </c>
      <c r="F3531" t="s">
        <v>38</v>
      </c>
      <c r="G3531" t="s">
        <v>23</v>
      </c>
      <c r="H3531" s="1">
        <v>44265</v>
      </c>
      <c r="I3531" s="2">
        <v>44266.2208333333</v>
      </c>
      <c r="J3531">
        <v>29.3</v>
      </c>
      <c r="K3531" t="s">
        <v>32</v>
      </c>
      <c r="L3531">
        <v>0</v>
      </c>
      <c r="M3531">
        <v>3</v>
      </c>
      <c r="N3531" t="s">
        <v>730</v>
      </c>
      <c r="O3531" s="3" t="str">
        <f>TEXT(Ticket_Table[[#This Row],[raised_date]],"YYYY-MM")</f>
        <v>2021-03</v>
      </c>
      <c r="P3531" s="3" t="str">
        <f>IF(Ticket_Table[[#This Row],[resolution_hrs]]&lt;=4,"Fast",IF(Ticket_Table[[#This Row],[resolution_hrs]]&lt;=24,"Normal",IF(Ticket_Table[[#This Row],[resolution_hrs]]&lt;=48,"Slow","Very Slow")))</f>
        <v>Slow</v>
      </c>
      <c r="Q3531" s="3">
        <f>YEAR(Ticket_Table[[#This Row],[raised_date]])</f>
        <v>2021</v>
      </c>
    </row>
    <row r="3532" spans="1:17">
      <c r="A3532" t="s">
        <v>4093</v>
      </c>
      <c r="B3532" t="s">
        <v>258</v>
      </c>
      <c r="C3532" t="s">
        <v>201</v>
      </c>
      <c r="D3532" t="s">
        <v>29</v>
      </c>
      <c r="E3532" t="s">
        <v>166</v>
      </c>
      <c r="F3532" t="s">
        <v>70</v>
      </c>
      <c r="G3532" t="s">
        <v>31</v>
      </c>
      <c r="H3532" s="1">
        <v>45242</v>
      </c>
      <c r="I3532" s="2">
        <v>45242.4875</v>
      </c>
      <c r="J3532">
        <v>11.7</v>
      </c>
      <c r="K3532" t="s">
        <v>24</v>
      </c>
      <c r="L3532">
        <v>0</v>
      </c>
      <c r="M3532">
        <v>3</v>
      </c>
      <c r="N3532" t="s">
        <v>808</v>
      </c>
      <c r="O3532" s="3" t="str">
        <f>TEXT(Ticket_Table[[#This Row],[raised_date]],"YYYY-MM")</f>
        <v>2023-11</v>
      </c>
      <c r="P3532" s="3" t="str">
        <f>IF(Ticket_Table[[#This Row],[resolution_hrs]]&lt;=4,"Fast",IF(Ticket_Table[[#This Row],[resolution_hrs]]&lt;=24,"Normal",IF(Ticket_Table[[#This Row],[resolution_hrs]]&lt;=48,"Slow","Very Slow")))</f>
        <v>Normal</v>
      </c>
      <c r="Q3532" s="3">
        <f>YEAR(Ticket_Table[[#This Row],[raised_date]])</f>
        <v>2023</v>
      </c>
    </row>
    <row r="3533" spans="1:17">
      <c r="A3533" t="s">
        <v>4094</v>
      </c>
      <c r="B3533" t="s">
        <v>1011</v>
      </c>
      <c r="C3533" t="s">
        <v>175</v>
      </c>
      <c r="D3533" t="s">
        <v>20</v>
      </c>
      <c r="E3533" t="s">
        <v>166</v>
      </c>
      <c r="F3533" t="s">
        <v>70</v>
      </c>
      <c r="G3533" t="s">
        <v>31</v>
      </c>
      <c r="H3533" s="1">
        <v>45253</v>
      </c>
      <c r="I3533" s="2">
        <v>45254.7791666667</v>
      </c>
      <c r="J3533">
        <v>42.7</v>
      </c>
      <c r="K3533" t="s">
        <v>24</v>
      </c>
      <c r="L3533">
        <v>0</v>
      </c>
      <c r="M3533">
        <v>4</v>
      </c>
      <c r="N3533" t="s">
        <v>1278</v>
      </c>
      <c r="O3533" s="3" t="str">
        <f>TEXT(Ticket_Table[[#This Row],[raised_date]],"YYYY-MM")</f>
        <v>2023-11</v>
      </c>
      <c r="P3533" s="3" t="str">
        <f>IF(Ticket_Table[[#This Row],[resolution_hrs]]&lt;=4,"Fast",IF(Ticket_Table[[#This Row],[resolution_hrs]]&lt;=24,"Normal",IF(Ticket_Table[[#This Row],[resolution_hrs]]&lt;=48,"Slow","Very Slow")))</f>
        <v>Slow</v>
      </c>
      <c r="Q3533" s="3">
        <f>YEAR(Ticket_Table[[#This Row],[raised_date]])</f>
        <v>2023</v>
      </c>
    </row>
    <row r="3534" spans="1:17">
      <c r="A3534" t="s">
        <v>4095</v>
      </c>
      <c r="B3534" t="s">
        <v>101</v>
      </c>
      <c r="C3534" t="s">
        <v>42</v>
      </c>
      <c r="D3534" t="s">
        <v>36</v>
      </c>
      <c r="E3534" t="s">
        <v>83</v>
      </c>
      <c r="F3534" t="s">
        <v>22</v>
      </c>
      <c r="G3534" t="s">
        <v>31</v>
      </c>
      <c r="H3534" s="1">
        <v>44671</v>
      </c>
      <c r="I3534" s="2">
        <v>44672.7458333333</v>
      </c>
      <c r="J3534">
        <v>41.9</v>
      </c>
      <c r="K3534" t="s">
        <v>24</v>
      </c>
      <c r="L3534">
        <v>2</v>
      </c>
      <c r="M3534">
        <v>4</v>
      </c>
      <c r="N3534" t="s">
        <v>792</v>
      </c>
      <c r="O3534" s="3" t="str">
        <f>TEXT(Ticket_Table[[#This Row],[raised_date]],"YYYY-MM")</f>
        <v>2022-04</v>
      </c>
      <c r="P3534" s="3" t="str">
        <f>IF(Ticket_Table[[#This Row],[resolution_hrs]]&lt;=4,"Fast",IF(Ticket_Table[[#This Row],[resolution_hrs]]&lt;=24,"Normal",IF(Ticket_Table[[#This Row],[resolution_hrs]]&lt;=48,"Slow","Very Slow")))</f>
        <v>Slow</v>
      </c>
      <c r="Q3534" s="3">
        <f>YEAR(Ticket_Table[[#This Row],[raised_date]])</f>
        <v>2022</v>
      </c>
    </row>
    <row r="3535" spans="1:17">
      <c r="A3535" t="s">
        <v>4096</v>
      </c>
      <c r="B3535" t="s">
        <v>988</v>
      </c>
      <c r="C3535" t="s">
        <v>102</v>
      </c>
      <c r="D3535" t="s">
        <v>20</v>
      </c>
      <c r="E3535" t="s">
        <v>44</v>
      </c>
      <c r="F3535" t="s">
        <v>70</v>
      </c>
      <c r="G3535" t="s">
        <v>46</v>
      </c>
      <c r="H3535" s="1">
        <v>44544</v>
      </c>
      <c r="I3535" s="2">
        <v>44545.775</v>
      </c>
      <c r="J3535">
        <v>42.6</v>
      </c>
      <c r="K3535" t="s">
        <v>24</v>
      </c>
      <c r="L3535">
        <v>0</v>
      </c>
      <c r="M3535">
        <v>4</v>
      </c>
      <c r="N3535" t="s">
        <v>515</v>
      </c>
      <c r="O3535" s="3" t="str">
        <f>TEXT(Ticket_Table[[#This Row],[raised_date]],"YYYY-MM")</f>
        <v>2021-12</v>
      </c>
      <c r="P3535" s="3" t="str">
        <f>IF(Ticket_Table[[#This Row],[resolution_hrs]]&lt;=4,"Fast",IF(Ticket_Table[[#This Row],[resolution_hrs]]&lt;=24,"Normal",IF(Ticket_Table[[#This Row],[resolution_hrs]]&lt;=48,"Slow","Very Slow")))</f>
        <v>Slow</v>
      </c>
      <c r="Q3535" s="3">
        <f>YEAR(Ticket_Table[[#This Row],[raised_date]])</f>
        <v>2021</v>
      </c>
    </row>
    <row r="3536" spans="1:17">
      <c r="A3536" t="s">
        <v>4097</v>
      </c>
      <c r="B3536" t="s">
        <v>339</v>
      </c>
      <c r="C3536" t="s">
        <v>95</v>
      </c>
      <c r="D3536" t="s">
        <v>36</v>
      </c>
      <c r="E3536" t="s">
        <v>83</v>
      </c>
      <c r="F3536" t="s">
        <v>70</v>
      </c>
      <c r="G3536" t="s">
        <v>31</v>
      </c>
      <c r="H3536" s="1">
        <v>44270</v>
      </c>
      <c r="I3536" s="2">
        <v>44272.5625</v>
      </c>
      <c r="J3536">
        <v>61.5</v>
      </c>
      <c r="K3536" t="s">
        <v>32</v>
      </c>
      <c r="L3536">
        <v>0</v>
      </c>
      <c r="M3536">
        <v>3</v>
      </c>
      <c r="N3536" t="s">
        <v>1051</v>
      </c>
      <c r="O3536" s="3" t="str">
        <f>TEXT(Ticket_Table[[#This Row],[raised_date]],"YYYY-MM")</f>
        <v>2021-03</v>
      </c>
      <c r="P3536" s="3" t="str">
        <f>IF(Ticket_Table[[#This Row],[resolution_hrs]]&lt;=4,"Fast",IF(Ticket_Table[[#This Row],[resolution_hrs]]&lt;=24,"Normal",IF(Ticket_Table[[#This Row],[resolution_hrs]]&lt;=48,"Slow","Very Slow")))</f>
        <v>Very Slow</v>
      </c>
      <c r="Q3536" s="3">
        <f>YEAR(Ticket_Table[[#This Row],[raised_date]])</f>
        <v>2021</v>
      </c>
    </row>
    <row r="3537" spans="1:17">
      <c r="A3537" t="s">
        <v>4098</v>
      </c>
      <c r="B3537" t="s">
        <v>866</v>
      </c>
      <c r="C3537" t="s">
        <v>78</v>
      </c>
      <c r="D3537" t="s">
        <v>90</v>
      </c>
      <c r="E3537" t="s">
        <v>166</v>
      </c>
      <c r="F3537" t="s">
        <v>70</v>
      </c>
      <c r="G3537" t="s">
        <v>91</v>
      </c>
      <c r="H3537" s="1">
        <v>44933</v>
      </c>
      <c r="I3537" s="2">
        <v>44933.9</v>
      </c>
      <c r="J3537">
        <v>21.6</v>
      </c>
      <c r="K3537" t="s">
        <v>24</v>
      </c>
      <c r="L3537">
        <v>0</v>
      </c>
      <c r="M3537">
        <v>4</v>
      </c>
      <c r="N3537" t="s">
        <v>740</v>
      </c>
      <c r="O3537" s="3" t="str">
        <f>TEXT(Ticket_Table[[#This Row],[raised_date]],"YYYY-MM")</f>
        <v>2023-01</v>
      </c>
      <c r="P3537" s="3" t="str">
        <f>IF(Ticket_Table[[#This Row],[resolution_hrs]]&lt;=4,"Fast",IF(Ticket_Table[[#This Row],[resolution_hrs]]&lt;=24,"Normal",IF(Ticket_Table[[#This Row],[resolution_hrs]]&lt;=48,"Slow","Very Slow")))</f>
        <v>Normal</v>
      </c>
      <c r="Q3537" s="3">
        <f>YEAR(Ticket_Table[[#This Row],[raised_date]])</f>
        <v>2023</v>
      </c>
    </row>
    <row r="3538" spans="1:17">
      <c r="A3538" t="s">
        <v>4099</v>
      </c>
      <c r="B3538" t="s">
        <v>245</v>
      </c>
      <c r="C3538" t="s">
        <v>78</v>
      </c>
      <c r="D3538" t="s">
        <v>90</v>
      </c>
      <c r="E3538" t="s">
        <v>21</v>
      </c>
      <c r="F3538" t="s">
        <v>38</v>
      </c>
      <c r="G3538" t="s">
        <v>23</v>
      </c>
      <c r="H3538" s="1">
        <v>44686</v>
      </c>
      <c r="I3538" s="2">
        <v>44686.2625</v>
      </c>
      <c r="J3538">
        <v>6.3</v>
      </c>
      <c r="K3538" t="s">
        <v>24</v>
      </c>
      <c r="L3538">
        <v>0</v>
      </c>
      <c r="M3538">
        <v>4</v>
      </c>
      <c r="N3538" t="s">
        <v>935</v>
      </c>
      <c r="O3538" s="3" t="str">
        <f>TEXT(Ticket_Table[[#This Row],[raised_date]],"YYYY-MM")</f>
        <v>2022-05</v>
      </c>
      <c r="P3538" s="3" t="str">
        <f>IF(Ticket_Table[[#This Row],[resolution_hrs]]&lt;=4,"Fast",IF(Ticket_Table[[#This Row],[resolution_hrs]]&lt;=24,"Normal",IF(Ticket_Table[[#This Row],[resolution_hrs]]&lt;=48,"Slow","Very Slow")))</f>
        <v>Normal</v>
      </c>
      <c r="Q3538" s="3">
        <f>YEAR(Ticket_Table[[#This Row],[raised_date]])</f>
        <v>2022</v>
      </c>
    </row>
    <row r="3539" spans="1:17">
      <c r="A3539" t="s">
        <v>4100</v>
      </c>
      <c r="B3539" t="s">
        <v>89</v>
      </c>
      <c r="C3539" t="s">
        <v>102</v>
      </c>
      <c r="D3539" t="s">
        <v>36</v>
      </c>
      <c r="E3539" t="s">
        <v>51</v>
      </c>
      <c r="F3539" t="s">
        <v>70</v>
      </c>
      <c r="G3539" t="s">
        <v>46</v>
      </c>
      <c r="H3539" s="1">
        <v>44197</v>
      </c>
      <c r="I3539" s="2">
        <v>44198.4125</v>
      </c>
      <c r="J3539">
        <v>33.9</v>
      </c>
      <c r="K3539" t="s">
        <v>24</v>
      </c>
      <c r="L3539">
        <v>0</v>
      </c>
      <c r="M3539">
        <v>2</v>
      </c>
      <c r="N3539" t="s">
        <v>746</v>
      </c>
      <c r="O3539" s="3" t="str">
        <f>TEXT(Ticket_Table[[#This Row],[raised_date]],"YYYY-MM")</f>
        <v>2021-01</v>
      </c>
      <c r="P3539" s="3" t="str">
        <f>IF(Ticket_Table[[#This Row],[resolution_hrs]]&lt;=4,"Fast",IF(Ticket_Table[[#This Row],[resolution_hrs]]&lt;=24,"Normal",IF(Ticket_Table[[#This Row],[resolution_hrs]]&lt;=48,"Slow","Very Slow")))</f>
        <v>Slow</v>
      </c>
      <c r="Q3539" s="3">
        <f>YEAR(Ticket_Table[[#This Row],[raised_date]])</f>
        <v>2021</v>
      </c>
    </row>
    <row r="3540" spans="1:17">
      <c r="A3540" t="s">
        <v>4101</v>
      </c>
      <c r="B3540" t="s">
        <v>696</v>
      </c>
      <c r="C3540" t="s">
        <v>64</v>
      </c>
      <c r="D3540" t="s">
        <v>20</v>
      </c>
      <c r="E3540" t="s">
        <v>30</v>
      </c>
      <c r="F3540" t="s">
        <v>45</v>
      </c>
      <c r="G3540" t="s">
        <v>91</v>
      </c>
      <c r="H3540" s="1">
        <v>44519</v>
      </c>
      <c r="I3540" s="2">
        <v>44519.225</v>
      </c>
      <c r="J3540">
        <v>5.4</v>
      </c>
      <c r="K3540" t="s">
        <v>32</v>
      </c>
      <c r="L3540">
        <v>0</v>
      </c>
      <c r="M3540">
        <v>3</v>
      </c>
      <c r="N3540" t="s">
        <v>1003</v>
      </c>
      <c r="O3540" s="3" t="str">
        <f>TEXT(Ticket_Table[[#This Row],[raised_date]],"YYYY-MM")</f>
        <v>2021-11</v>
      </c>
      <c r="P3540" s="3" t="str">
        <f>IF(Ticket_Table[[#This Row],[resolution_hrs]]&lt;=4,"Fast",IF(Ticket_Table[[#This Row],[resolution_hrs]]&lt;=24,"Normal",IF(Ticket_Table[[#This Row],[resolution_hrs]]&lt;=48,"Slow","Very Slow")))</f>
        <v>Normal</v>
      </c>
      <c r="Q3540" s="3">
        <f>YEAR(Ticket_Table[[#This Row],[raised_date]])</f>
        <v>2021</v>
      </c>
    </row>
    <row r="3541" spans="1:17">
      <c r="A3541" t="s">
        <v>4102</v>
      </c>
      <c r="B3541" t="s">
        <v>603</v>
      </c>
      <c r="C3541" t="s">
        <v>213</v>
      </c>
      <c r="D3541" t="s">
        <v>90</v>
      </c>
      <c r="E3541" t="s">
        <v>44</v>
      </c>
      <c r="F3541" t="s">
        <v>70</v>
      </c>
      <c r="G3541" t="s">
        <v>23</v>
      </c>
      <c r="H3541" s="1">
        <v>44374</v>
      </c>
      <c r="I3541" s="2">
        <v>44374.3166666667</v>
      </c>
      <c r="J3541">
        <v>7.6</v>
      </c>
      <c r="K3541" t="s">
        <v>24</v>
      </c>
      <c r="L3541">
        <v>0</v>
      </c>
      <c r="M3541">
        <v>5</v>
      </c>
      <c r="N3541" t="s">
        <v>1037</v>
      </c>
      <c r="O3541" s="3" t="str">
        <f>TEXT(Ticket_Table[[#This Row],[raised_date]],"YYYY-MM")</f>
        <v>2021-06</v>
      </c>
      <c r="P3541" s="3" t="str">
        <f>IF(Ticket_Table[[#This Row],[resolution_hrs]]&lt;=4,"Fast",IF(Ticket_Table[[#This Row],[resolution_hrs]]&lt;=24,"Normal",IF(Ticket_Table[[#This Row],[resolution_hrs]]&lt;=48,"Slow","Very Slow")))</f>
        <v>Normal</v>
      </c>
      <c r="Q3541" s="3">
        <f>YEAR(Ticket_Table[[#This Row],[raised_date]])</f>
        <v>2021</v>
      </c>
    </row>
    <row r="3542" spans="1:17">
      <c r="A3542" t="s">
        <v>4103</v>
      </c>
      <c r="B3542" t="s">
        <v>1202</v>
      </c>
      <c r="C3542" t="s">
        <v>261</v>
      </c>
      <c r="D3542" t="s">
        <v>20</v>
      </c>
      <c r="E3542" t="s">
        <v>69</v>
      </c>
      <c r="F3542" t="s">
        <v>38</v>
      </c>
      <c r="G3542" t="s">
        <v>31</v>
      </c>
      <c r="H3542" s="1">
        <v>44762</v>
      </c>
      <c r="I3542" s="2">
        <v>44763.0875</v>
      </c>
      <c r="J3542">
        <v>26.1</v>
      </c>
      <c r="K3542" t="s">
        <v>32</v>
      </c>
      <c r="L3542">
        <v>0</v>
      </c>
      <c r="M3542">
        <v>3</v>
      </c>
      <c r="N3542" t="s">
        <v>138</v>
      </c>
      <c r="O3542" s="3" t="str">
        <f>TEXT(Ticket_Table[[#This Row],[raised_date]],"YYYY-MM")</f>
        <v>2022-07</v>
      </c>
      <c r="P3542" s="3" t="str">
        <f>IF(Ticket_Table[[#This Row],[resolution_hrs]]&lt;=4,"Fast",IF(Ticket_Table[[#This Row],[resolution_hrs]]&lt;=24,"Normal",IF(Ticket_Table[[#This Row],[resolution_hrs]]&lt;=48,"Slow","Very Slow")))</f>
        <v>Slow</v>
      </c>
      <c r="Q3542" s="3">
        <f>YEAR(Ticket_Table[[#This Row],[raised_date]])</f>
        <v>2022</v>
      </c>
    </row>
    <row r="3543" spans="1:17">
      <c r="A3543" t="s">
        <v>4104</v>
      </c>
      <c r="B3543" t="s">
        <v>124</v>
      </c>
      <c r="C3543" t="s">
        <v>261</v>
      </c>
      <c r="D3543" t="s">
        <v>90</v>
      </c>
      <c r="E3543" t="s">
        <v>83</v>
      </c>
      <c r="F3543" t="s">
        <v>22</v>
      </c>
      <c r="G3543" t="s">
        <v>46</v>
      </c>
      <c r="H3543" s="1">
        <v>45015</v>
      </c>
      <c r="I3543" s="2">
        <v>45018.9833333333</v>
      </c>
      <c r="J3543">
        <v>95.6</v>
      </c>
      <c r="K3543" t="s">
        <v>32</v>
      </c>
      <c r="L3543">
        <v>0</v>
      </c>
      <c r="M3543">
        <v>5</v>
      </c>
      <c r="N3543" t="s">
        <v>1051</v>
      </c>
      <c r="O3543" s="3" t="str">
        <f>TEXT(Ticket_Table[[#This Row],[raised_date]],"YYYY-MM")</f>
        <v>2023-03</v>
      </c>
      <c r="P3543" s="3" t="str">
        <f>IF(Ticket_Table[[#This Row],[resolution_hrs]]&lt;=4,"Fast",IF(Ticket_Table[[#This Row],[resolution_hrs]]&lt;=24,"Normal",IF(Ticket_Table[[#This Row],[resolution_hrs]]&lt;=48,"Slow","Very Slow")))</f>
        <v>Very Slow</v>
      </c>
      <c r="Q3543" s="3">
        <f>YEAR(Ticket_Table[[#This Row],[raised_date]])</f>
        <v>2023</v>
      </c>
    </row>
    <row r="3544" spans="1:17">
      <c r="A3544" t="s">
        <v>4105</v>
      </c>
      <c r="B3544" t="s">
        <v>468</v>
      </c>
      <c r="C3544" t="s">
        <v>117</v>
      </c>
      <c r="D3544" t="s">
        <v>20</v>
      </c>
      <c r="E3544" t="s">
        <v>83</v>
      </c>
      <c r="F3544" t="s">
        <v>70</v>
      </c>
      <c r="G3544" t="s">
        <v>31</v>
      </c>
      <c r="H3544" s="1">
        <v>44920</v>
      </c>
      <c r="I3544" s="2">
        <v>44922.4291666667</v>
      </c>
      <c r="J3544">
        <v>58.3</v>
      </c>
      <c r="K3544" t="s">
        <v>32</v>
      </c>
      <c r="L3544">
        <v>0</v>
      </c>
      <c r="M3544">
        <v>3</v>
      </c>
      <c r="N3544" t="s">
        <v>1301</v>
      </c>
      <c r="O3544" s="3" t="str">
        <f>TEXT(Ticket_Table[[#This Row],[raised_date]],"YYYY-MM")</f>
        <v>2022-12</v>
      </c>
      <c r="P3544" s="3" t="str">
        <f>IF(Ticket_Table[[#This Row],[resolution_hrs]]&lt;=4,"Fast",IF(Ticket_Table[[#This Row],[resolution_hrs]]&lt;=24,"Normal",IF(Ticket_Table[[#This Row],[resolution_hrs]]&lt;=48,"Slow","Very Slow")))</f>
        <v>Very Slow</v>
      </c>
      <c r="Q3544" s="3">
        <f>YEAR(Ticket_Table[[#This Row],[raised_date]])</f>
        <v>2022</v>
      </c>
    </row>
    <row r="3545" spans="1:17">
      <c r="A3545" t="s">
        <v>4106</v>
      </c>
      <c r="B3545" t="s">
        <v>318</v>
      </c>
      <c r="C3545" t="s">
        <v>68</v>
      </c>
      <c r="D3545" t="s">
        <v>20</v>
      </c>
      <c r="E3545" t="s">
        <v>37</v>
      </c>
      <c r="F3545" t="s">
        <v>70</v>
      </c>
      <c r="G3545" t="s">
        <v>31</v>
      </c>
      <c r="H3545" s="1">
        <v>45006</v>
      </c>
      <c r="I3545" s="2">
        <v>45007.975</v>
      </c>
      <c r="J3545">
        <v>47.4</v>
      </c>
      <c r="K3545" t="s">
        <v>24</v>
      </c>
      <c r="L3545">
        <v>0</v>
      </c>
      <c r="M3545">
        <v>1</v>
      </c>
      <c r="N3545" t="s">
        <v>363</v>
      </c>
      <c r="O3545" s="3" t="str">
        <f>TEXT(Ticket_Table[[#This Row],[raised_date]],"YYYY-MM")</f>
        <v>2023-03</v>
      </c>
      <c r="P3545" s="3" t="str">
        <f>IF(Ticket_Table[[#This Row],[resolution_hrs]]&lt;=4,"Fast",IF(Ticket_Table[[#This Row],[resolution_hrs]]&lt;=24,"Normal",IF(Ticket_Table[[#This Row],[resolution_hrs]]&lt;=48,"Slow","Very Slow")))</f>
        <v>Slow</v>
      </c>
      <c r="Q3545" s="3">
        <f>YEAR(Ticket_Table[[#This Row],[raised_date]])</f>
        <v>2023</v>
      </c>
    </row>
    <row r="3546" spans="1:17">
      <c r="A3546" t="s">
        <v>4107</v>
      </c>
      <c r="B3546" t="s">
        <v>653</v>
      </c>
      <c r="C3546" t="s">
        <v>261</v>
      </c>
      <c r="D3546" t="s">
        <v>43</v>
      </c>
      <c r="E3546" t="s">
        <v>106</v>
      </c>
      <c r="F3546" t="s">
        <v>70</v>
      </c>
      <c r="G3546" t="s">
        <v>23</v>
      </c>
      <c r="H3546" s="1">
        <v>45027</v>
      </c>
      <c r="I3546" s="2">
        <v>45029.3166666667</v>
      </c>
      <c r="J3546">
        <v>55.6</v>
      </c>
      <c r="K3546" t="s">
        <v>32</v>
      </c>
      <c r="L3546">
        <v>1</v>
      </c>
      <c r="M3546">
        <v>4</v>
      </c>
      <c r="N3546" t="s">
        <v>586</v>
      </c>
      <c r="O3546" s="3" t="str">
        <f>TEXT(Ticket_Table[[#This Row],[raised_date]],"YYYY-MM")</f>
        <v>2023-04</v>
      </c>
      <c r="P3546" s="3" t="str">
        <f>IF(Ticket_Table[[#This Row],[resolution_hrs]]&lt;=4,"Fast",IF(Ticket_Table[[#This Row],[resolution_hrs]]&lt;=24,"Normal",IF(Ticket_Table[[#This Row],[resolution_hrs]]&lt;=48,"Slow","Very Slow")))</f>
        <v>Very Slow</v>
      </c>
      <c r="Q3546" s="3">
        <f>YEAR(Ticket_Table[[#This Row],[raised_date]])</f>
        <v>2023</v>
      </c>
    </row>
    <row r="3547" spans="1:17">
      <c r="A3547" t="s">
        <v>4108</v>
      </c>
      <c r="B3547" t="s">
        <v>504</v>
      </c>
      <c r="C3547" t="s">
        <v>140</v>
      </c>
      <c r="D3547" t="s">
        <v>36</v>
      </c>
      <c r="E3547" t="s">
        <v>56</v>
      </c>
      <c r="F3547" t="s">
        <v>38</v>
      </c>
      <c r="G3547" t="s">
        <v>23</v>
      </c>
      <c r="H3547" s="1">
        <v>44607</v>
      </c>
      <c r="I3547" s="2">
        <v>44607.275</v>
      </c>
      <c r="J3547">
        <v>6.6</v>
      </c>
      <c r="K3547" t="s">
        <v>24</v>
      </c>
      <c r="L3547">
        <v>0</v>
      </c>
      <c r="M3547">
        <v>5</v>
      </c>
      <c r="N3547" t="s">
        <v>84</v>
      </c>
      <c r="O3547" s="3" t="str">
        <f>TEXT(Ticket_Table[[#This Row],[raised_date]],"YYYY-MM")</f>
        <v>2022-02</v>
      </c>
      <c r="P3547" s="3" t="str">
        <f>IF(Ticket_Table[[#This Row],[resolution_hrs]]&lt;=4,"Fast",IF(Ticket_Table[[#This Row],[resolution_hrs]]&lt;=24,"Normal",IF(Ticket_Table[[#This Row],[resolution_hrs]]&lt;=48,"Slow","Very Slow")))</f>
        <v>Normal</v>
      </c>
      <c r="Q3547" s="3">
        <f>YEAR(Ticket_Table[[#This Row],[raised_date]])</f>
        <v>2022</v>
      </c>
    </row>
    <row r="3548" spans="1:17">
      <c r="A3548" t="s">
        <v>4109</v>
      </c>
      <c r="B3548" t="s">
        <v>670</v>
      </c>
      <c r="C3548" t="s">
        <v>287</v>
      </c>
      <c r="D3548" t="s">
        <v>29</v>
      </c>
      <c r="E3548" t="s">
        <v>83</v>
      </c>
      <c r="F3548" t="s">
        <v>22</v>
      </c>
      <c r="G3548" t="s">
        <v>46</v>
      </c>
      <c r="H3548" s="1">
        <v>45257</v>
      </c>
      <c r="I3548" s="2">
        <v>45261.3375</v>
      </c>
      <c r="J3548">
        <v>104.1</v>
      </c>
      <c r="K3548" t="s">
        <v>32</v>
      </c>
      <c r="L3548">
        <v>0</v>
      </c>
      <c r="M3548">
        <v>5</v>
      </c>
      <c r="N3548" t="s">
        <v>680</v>
      </c>
      <c r="O3548" s="3" t="str">
        <f>TEXT(Ticket_Table[[#This Row],[raised_date]],"YYYY-MM")</f>
        <v>2023-11</v>
      </c>
      <c r="P3548" s="3" t="str">
        <f>IF(Ticket_Table[[#This Row],[resolution_hrs]]&lt;=4,"Fast",IF(Ticket_Table[[#This Row],[resolution_hrs]]&lt;=24,"Normal",IF(Ticket_Table[[#This Row],[resolution_hrs]]&lt;=48,"Slow","Very Slow")))</f>
        <v>Very Slow</v>
      </c>
      <c r="Q3548" s="3">
        <f>YEAR(Ticket_Table[[#This Row],[raised_date]])</f>
        <v>2023</v>
      </c>
    </row>
    <row r="3549" spans="1:17">
      <c r="A3549" t="s">
        <v>4110</v>
      </c>
      <c r="B3549" t="s">
        <v>423</v>
      </c>
      <c r="C3549" t="s">
        <v>287</v>
      </c>
      <c r="D3549" t="s">
        <v>36</v>
      </c>
      <c r="E3549" t="s">
        <v>69</v>
      </c>
      <c r="F3549" t="s">
        <v>22</v>
      </c>
      <c r="G3549" t="s">
        <v>23</v>
      </c>
      <c r="H3549" s="1">
        <v>44228</v>
      </c>
      <c r="I3549" s="2">
        <v>44230.3416666667</v>
      </c>
      <c r="J3549">
        <v>56.2</v>
      </c>
      <c r="K3549" t="s">
        <v>24</v>
      </c>
      <c r="L3549">
        <v>1</v>
      </c>
      <c r="M3549">
        <v>3</v>
      </c>
      <c r="N3549" t="s">
        <v>321</v>
      </c>
      <c r="O3549" s="3" t="str">
        <f>TEXT(Ticket_Table[[#This Row],[raised_date]],"YYYY-MM")</f>
        <v>2021-02</v>
      </c>
      <c r="P3549" s="3" t="str">
        <f>IF(Ticket_Table[[#This Row],[resolution_hrs]]&lt;=4,"Fast",IF(Ticket_Table[[#This Row],[resolution_hrs]]&lt;=24,"Normal",IF(Ticket_Table[[#This Row],[resolution_hrs]]&lt;=48,"Slow","Very Slow")))</f>
        <v>Very Slow</v>
      </c>
      <c r="Q3549" s="3">
        <f>YEAR(Ticket_Table[[#This Row],[raised_date]])</f>
        <v>2021</v>
      </c>
    </row>
    <row r="3550" spans="1:17">
      <c r="A3550" t="s">
        <v>4111</v>
      </c>
      <c r="B3550" t="s">
        <v>130</v>
      </c>
      <c r="C3550" t="s">
        <v>60</v>
      </c>
      <c r="D3550" t="s">
        <v>20</v>
      </c>
      <c r="E3550" t="s">
        <v>56</v>
      </c>
      <c r="F3550" t="s">
        <v>38</v>
      </c>
      <c r="G3550" t="s">
        <v>23</v>
      </c>
      <c r="H3550" s="1">
        <v>44337</v>
      </c>
      <c r="I3550" s="2">
        <v>44338.1041666667</v>
      </c>
      <c r="J3550">
        <v>26.5</v>
      </c>
      <c r="K3550" t="s">
        <v>32</v>
      </c>
      <c r="L3550">
        <v>1</v>
      </c>
      <c r="M3550">
        <v>5</v>
      </c>
      <c r="N3550" t="s">
        <v>391</v>
      </c>
      <c r="O3550" s="3" t="str">
        <f>TEXT(Ticket_Table[[#This Row],[raised_date]],"YYYY-MM")</f>
        <v>2021-05</v>
      </c>
      <c r="P3550" s="3" t="str">
        <f>IF(Ticket_Table[[#This Row],[resolution_hrs]]&lt;=4,"Fast",IF(Ticket_Table[[#This Row],[resolution_hrs]]&lt;=24,"Normal",IF(Ticket_Table[[#This Row],[resolution_hrs]]&lt;=48,"Slow","Very Slow")))</f>
        <v>Slow</v>
      </c>
      <c r="Q3550" s="3">
        <f>YEAR(Ticket_Table[[#This Row],[raised_date]])</f>
        <v>2021</v>
      </c>
    </row>
    <row r="3551" spans="1:17">
      <c r="A3551" t="s">
        <v>4112</v>
      </c>
      <c r="B3551" t="s">
        <v>176</v>
      </c>
      <c r="C3551" t="s">
        <v>82</v>
      </c>
      <c r="D3551" t="s">
        <v>20</v>
      </c>
      <c r="E3551" t="s">
        <v>106</v>
      </c>
      <c r="F3551" t="s">
        <v>22</v>
      </c>
      <c r="G3551" t="s">
        <v>31</v>
      </c>
      <c r="H3551" s="1">
        <v>44381</v>
      </c>
      <c r="I3551" s="2">
        <v>44383.9458333333</v>
      </c>
      <c r="J3551">
        <v>70.7</v>
      </c>
      <c r="K3551" t="s">
        <v>24</v>
      </c>
      <c r="L3551">
        <v>1</v>
      </c>
      <c r="M3551">
        <v>4</v>
      </c>
      <c r="N3551" t="s">
        <v>608</v>
      </c>
      <c r="O3551" s="3" t="str">
        <f>TEXT(Ticket_Table[[#This Row],[raised_date]],"YYYY-MM")</f>
        <v>2021-07</v>
      </c>
      <c r="P3551" s="3" t="str">
        <f>IF(Ticket_Table[[#This Row],[resolution_hrs]]&lt;=4,"Fast",IF(Ticket_Table[[#This Row],[resolution_hrs]]&lt;=24,"Normal",IF(Ticket_Table[[#This Row],[resolution_hrs]]&lt;=48,"Slow","Very Slow")))</f>
        <v>Very Slow</v>
      </c>
      <c r="Q3551" s="3">
        <f>YEAR(Ticket_Table[[#This Row],[raised_date]])</f>
        <v>2021</v>
      </c>
    </row>
    <row r="3552" spans="1:17">
      <c r="A3552" t="s">
        <v>4113</v>
      </c>
      <c r="B3552" t="s">
        <v>756</v>
      </c>
      <c r="C3552" t="s">
        <v>55</v>
      </c>
      <c r="D3552" t="s">
        <v>36</v>
      </c>
      <c r="E3552" t="s">
        <v>37</v>
      </c>
      <c r="F3552" t="s">
        <v>38</v>
      </c>
      <c r="G3552" t="s">
        <v>46</v>
      </c>
      <c r="H3552" s="1">
        <v>44779</v>
      </c>
      <c r="I3552" s="2">
        <v>44780.4</v>
      </c>
      <c r="J3552">
        <v>33.6</v>
      </c>
      <c r="K3552" t="s">
        <v>32</v>
      </c>
      <c r="L3552">
        <v>0</v>
      </c>
      <c r="M3552">
        <v>1</v>
      </c>
      <c r="N3552" t="s">
        <v>235</v>
      </c>
      <c r="O3552" s="3" t="str">
        <f>TEXT(Ticket_Table[[#This Row],[raised_date]],"YYYY-MM")</f>
        <v>2022-08</v>
      </c>
      <c r="P3552" s="3" t="str">
        <f>IF(Ticket_Table[[#This Row],[resolution_hrs]]&lt;=4,"Fast",IF(Ticket_Table[[#This Row],[resolution_hrs]]&lt;=24,"Normal",IF(Ticket_Table[[#This Row],[resolution_hrs]]&lt;=48,"Slow","Very Slow")))</f>
        <v>Slow</v>
      </c>
      <c r="Q3552" s="3">
        <f>YEAR(Ticket_Table[[#This Row],[raised_date]])</f>
        <v>2022</v>
      </c>
    </row>
    <row r="3553" spans="1:17">
      <c r="A3553" t="s">
        <v>4114</v>
      </c>
      <c r="B3553" t="s">
        <v>749</v>
      </c>
      <c r="C3553" t="s">
        <v>19</v>
      </c>
      <c r="D3553" t="s">
        <v>20</v>
      </c>
      <c r="E3553" t="s">
        <v>83</v>
      </c>
      <c r="F3553" t="s">
        <v>70</v>
      </c>
      <c r="G3553" t="s">
        <v>46</v>
      </c>
      <c r="H3553" s="1">
        <v>44909</v>
      </c>
      <c r="I3553" s="2">
        <v>44910.05</v>
      </c>
      <c r="J3553">
        <v>25.2</v>
      </c>
      <c r="K3553" t="s">
        <v>24</v>
      </c>
      <c r="L3553">
        <v>0</v>
      </c>
      <c r="M3553">
        <v>1</v>
      </c>
      <c r="N3553" t="s">
        <v>558</v>
      </c>
      <c r="O3553" s="3" t="str">
        <f>TEXT(Ticket_Table[[#This Row],[raised_date]],"YYYY-MM")</f>
        <v>2022-12</v>
      </c>
      <c r="P3553" s="3" t="str">
        <f>IF(Ticket_Table[[#This Row],[resolution_hrs]]&lt;=4,"Fast",IF(Ticket_Table[[#This Row],[resolution_hrs]]&lt;=24,"Normal",IF(Ticket_Table[[#This Row],[resolution_hrs]]&lt;=48,"Slow","Very Slow")))</f>
        <v>Slow</v>
      </c>
      <c r="Q3553" s="3">
        <f>YEAR(Ticket_Table[[#This Row],[raised_date]])</f>
        <v>2022</v>
      </c>
    </row>
    <row r="3554" spans="1:17">
      <c r="A3554" t="s">
        <v>4115</v>
      </c>
      <c r="B3554" t="s">
        <v>256</v>
      </c>
      <c r="C3554" t="s">
        <v>19</v>
      </c>
      <c r="D3554" t="s">
        <v>90</v>
      </c>
      <c r="E3554" t="s">
        <v>56</v>
      </c>
      <c r="F3554" t="s">
        <v>38</v>
      </c>
      <c r="G3554" t="s">
        <v>23</v>
      </c>
      <c r="H3554" s="1">
        <v>44908</v>
      </c>
      <c r="I3554" s="2">
        <v>44909.1875</v>
      </c>
      <c r="J3554">
        <v>28.5</v>
      </c>
      <c r="K3554" t="s">
        <v>32</v>
      </c>
      <c r="L3554">
        <v>0</v>
      </c>
      <c r="M3554">
        <v>4</v>
      </c>
      <c r="N3554" t="s">
        <v>197</v>
      </c>
      <c r="O3554" s="3" t="str">
        <f>TEXT(Ticket_Table[[#This Row],[raised_date]],"YYYY-MM")</f>
        <v>2022-12</v>
      </c>
      <c r="P3554" s="3" t="str">
        <f>IF(Ticket_Table[[#This Row],[resolution_hrs]]&lt;=4,"Fast",IF(Ticket_Table[[#This Row],[resolution_hrs]]&lt;=24,"Normal",IF(Ticket_Table[[#This Row],[resolution_hrs]]&lt;=48,"Slow","Very Slow")))</f>
        <v>Slow</v>
      </c>
      <c r="Q3554" s="3">
        <f>YEAR(Ticket_Table[[#This Row],[raised_date]])</f>
        <v>2022</v>
      </c>
    </row>
    <row r="3555" spans="1:17">
      <c r="A3555" t="s">
        <v>4116</v>
      </c>
      <c r="B3555" t="s">
        <v>1382</v>
      </c>
      <c r="C3555" t="s">
        <v>42</v>
      </c>
      <c r="D3555" t="s">
        <v>20</v>
      </c>
      <c r="E3555" t="s">
        <v>56</v>
      </c>
      <c r="F3555" t="s">
        <v>22</v>
      </c>
      <c r="G3555" t="s">
        <v>23</v>
      </c>
      <c r="H3555" s="1">
        <v>44763</v>
      </c>
      <c r="I3555" s="2">
        <v>44764.5541666667</v>
      </c>
      <c r="J3555">
        <v>37.3</v>
      </c>
      <c r="K3555" t="s">
        <v>24</v>
      </c>
      <c r="L3555">
        <v>0</v>
      </c>
      <c r="M3555">
        <v>4</v>
      </c>
      <c r="N3555" t="s">
        <v>382</v>
      </c>
      <c r="O3555" s="3" t="str">
        <f>TEXT(Ticket_Table[[#This Row],[raised_date]],"YYYY-MM")</f>
        <v>2022-07</v>
      </c>
      <c r="P3555" s="3" t="str">
        <f>IF(Ticket_Table[[#This Row],[resolution_hrs]]&lt;=4,"Fast",IF(Ticket_Table[[#This Row],[resolution_hrs]]&lt;=24,"Normal",IF(Ticket_Table[[#This Row],[resolution_hrs]]&lt;=48,"Slow","Very Slow")))</f>
        <v>Slow</v>
      </c>
      <c r="Q3555" s="3">
        <f>YEAR(Ticket_Table[[#This Row],[raised_date]])</f>
        <v>2022</v>
      </c>
    </row>
    <row r="3556" spans="1:17">
      <c r="A3556" t="s">
        <v>4117</v>
      </c>
      <c r="B3556" t="s">
        <v>581</v>
      </c>
      <c r="C3556" t="s">
        <v>95</v>
      </c>
      <c r="D3556" t="s">
        <v>36</v>
      </c>
      <c r="E3556" t="s">
        <v>21</v>
      </c>
      <c r="F3556" t="s">
        <v>22</v>
      </c>
      <c r="G3556" t="s">
        <v>23</v>
      </c>
      <c r="H3556" s="1">
        <v>44660</v>
      </c>
      <c r="I3556" s="2">
        <v>44661.65</v>
      </c>
      <c r="J3556">
        <v>39.6</v>
      </c>
      <c r="K3556" t="s">
        <v>24</v>
      </c>
      <c r="L3556">
        <v>0</v>
      </c>
      <c r="M3556">
        <v>2</v>
      </c>
      <c r="N3556" t="s">
        <v>269</v>
      </c>
      <c r="O3556" s="3" t="str">
        <f>TEXT(Ticket_Table[[#This Row],[raised_date]],"YYYY-MM")</f>
        <v>2022-04</v>
      </c>
      <c r="P3556" s="3" t="str">
        <f>IF(Ticket_Table[[#This Row],[resolution_hrs]]&lt;=4,"Fast",IF(Ticket_Table[[#This Row],[resolution_hrs]]&lt;=24,"Normal",IF(Ticket_Table[[#This Row],[resolution_hrs]]&lt;=48,"Slow","Very Slow")))</f>
        <v>Slow</v>
      </c>
      <c r="Q3556" s="3">
        <f>YEAR(Ticket_Table[[#This Row],[raised_date]])</f>
        <v>2022</v>
      </c>
    </row>
    <row r="3557" spans="1:17">
      <c r="A3557" t="s">
        <v>4118</v>
      </c>
      <c r="B3557" t="s">
        <v>87</v>
      </c>
      <c r="C3557" t="s">
        <v>68</v>
      </c>
      <c r="D3557" t="s">
        <v>36</v>
      </c>
      <c r="E3557" t="s">
        <v>56</v>
      </c>
      <c r="F3557" t="s">
        <v>70</v>
      </c>
      <c r="G3557" t="s">
        <v>31</v>
      </c>
      <c r="H3557" s="1">
        <v>44595</v>
      </c>
      <c r="I3557" s="2">
        <v>44597.575</v>
      </c>
      <c r="J3557">
        <v>61.8</v>
      </c>
      <c r="K3557" t="s">
        <v>32</v>
      </c>
      <c r="L3557">
        <v>0</v>
      </c>
      <c r="M3557">
        <v>5</v>
      </c>
      <c r="N3557" t="s">
        <v>608</v>
      </c>
      <c r="O3557" s="3" t="str">
        <f>TEXT(Ticket_Table[[#This Row],[raised_date]],"YYYY-MM")</f>
        <v>2022-02</v>
      </c>
      <c r="P3557" s="3" t="str">
        <f>IF(Ticket_Table[[#This Row],[resolution_hrs]]&lt;=4,"Fast",IF(Ticket_Table[[#This Row],[resolution_hrs]]&lt;=24,"Normal",IF(Ticket_Table[[#This Row],[resolution_hrs]]&lt;=48,"Slow","Very Slow")))</f>
        <v>Very Slow</v>
      </c>
      <c r="Q3557" s="3">
        <f>YEAR(Ticket_Table[[#This Row],[raised_date]])</f>
        <v>2022</v>
      </c>
    </row>
    <row r="3558" spans="1:17">
      <c r="A3558" t="s">
        <v>4119</v>
      </c>
      <c r="B3558" t="s">
        <v>944</v>
      </c>
      <c r="C3558" t="s">
        <v>140</v>
      </c>
      <c r="D3558" t="s">
        <v>36</v>
      </c>
      <c r="E3558" t="s">
        <v>166</v>
      </c>
      <c r="F3558" t="s">
        <v>45</v>
      </c>
      <c r="G3558" t="s">
        <v>31</v>
      </c>
      <c r="H3558" s="1">
        <v>45128</v>
      </c>
      <c r="I3558" s="2">
        <v>45128.1333333333</v>
      </c>
      <c r="J3558">
        <v>3.2</v>
      </c>
      <c r="K3558" t="s">
        <v>24</v>
      </c>
      <c r="L3558">
        <v>0</v>
      </c>
      <c r="M3558">
        <v>4</v>
      </c>
      <c r="N3558" t="s">
        <v>1154</v>
      </c>
      <c r="O3558" s="3" t="str">
        <f>TEXT(Ticket_Table[[#This Row],[raised_date]],"YYYY-MM")</f>
        <v>2023-07</v>
      </c>
      <c r="P3558" s="3" t="str">
        <f>IF(Ticket_Table[[#This Row],[resolution_hrs]]&lt;=4,"Fast",IF(Ticket_Table[[#This Row],[resolution_hrs]]&lt;=24,"Normal",IF(Ticket_Table[[#This Row],[resolution_hrs]]&lt;=48,"Slow","Very Slow")))</f>
        <v>Fast</v>
      </c>
      <c r="Q3558" s="3">
        <f>YEAR(Ticket_Table[[#This Row],[raised_date]])</f>
        <v>2023</v>
      </c>
    </row>
    <row r="3559" spans="1:17">
      <c r="A3559" t="s">
        <v>4120</v>
      </c>
      <c r="B3559" t="s">
        <v>737</v>
      </c>
      <c r="C3559" t="s">
        <v>60</v>
      </c>
      <c r="D3559" t="s">
        <v>43</v>
      </c>
      <c r="E3559" t="s">
        <v>106</v>
      </c>
      <c r="F3559" t="s">
        <v>70</v>
      </c>
      <c r="G3559" t="s">
        <v>23</v>
      </c>
      <c r="H3559" s="1">
        <v>45024</v>
      </c>
      <c r="I3559" s="2">
        <v>45026.675</v>
      </c>
      <c r="J3559">
        <v>64.2</v>
      </c>
      <c r="K3559" t="s">
        <v>32</v>
      </c>
      <c r="L3559">
        <v>0</v>
      </c>
      <c r="M3559">
        <v>5</v>
      </c>
      <c r="N3559" t="s">
        <v>137</v>
      </c>
      <c r="O3559" s="3" t="str">
        <f>TEXT(Ticket_Table[[#This Row],[raised_date]],"YYYY-MM")</f>
        <v>2023-04</v>
      </c>
      <c r="P3559" s="3" t="str">
        <f>IF(Ticket_Table[[#This Row],[resolution_hrs]]&lt;=4,"Fast",IF(Ticket_Table[[#This Row],[resolution_hrs]]&lt;=24,"Normal",IF(Ticket_Table[[#This Row],[resolution_hrs]]&lt;=48,"Slow","Very Slow")))</f>
        <v>Very Slow</v>
      </c>
      <c r="Q3559" s="3">
        <f>YEAR(Ticket_Table[[#This Row],[raised_date]])</f>
        <v>2023</v>
      </c>
    </row>
    <row r="3560" spans="1:17">
      <c r="A3560" t="s">
        <v>4121</v>
      </c>
      <c r="B3560" t="s">
        <v>59</v>
      </c>
      <c r="C3560" t="s">
        <v>102</v>
      </c>
      <c r="D3560" t="s">
        <v>43</v>
      </c>
      <c r="E3560" t="s">
        <v>69</v>
      </c>
      <c r="F3560" t="s">
        <v>70</v>
      </c>
      <c r="G3560" t="s">
        <v>23</v>
      </c>
      <c r="H3560" s="1">
        <v>44206</v>
      </c>
      <c r="I3560" s="2">
        <v>44208.3333333333</v>
      </c>
      <c r="J3560">
        <v>56</v>
      </c>
      <c r="K3560" t="s">
        <v>32</v>
      </c>
      <c r="L3560">
        <v>0</v>
      </c>
      <c r="M3560">
        <v>4</v>
      </c>
      <c r="N3560" t="s">
        <v>182</v>
      </c>
      <c r="O3560" s="3" t="str">
        <f>TEXT(Ticket_Table[[#This Row],[raised_date]],"YYYY-MM")</f>
        <v>2021-01</v>
      </c>
      <c r="P3560" s="3" t="str">
        <f>IF(Ticket_Table[[#This Row],[resolution_hrs]]&lt;=4,"Fast",IF(Ticket_Table[[#This Row],[resolution_hrs]]&lt;=24,"Normal",IF(Ticket_Table[[#This Row],[resolution_hrs]]&lt;=48,"Slow","Very Slow")))</f>
        <v>Very Slow</v>
      </c>
      <c r="Q3560" s="3">
        <f>YEAR(Ticket_Table[[#This Row],[raised_date]])</f>
        <v>2021</v>
      </c>
    </row>
    <row r="3561" spans="1:17">
      <c r="A3561" t="s">
        <v>4122</v>
      </c>
      <c r="B3561" t="s">
        <v>363</v>
      </c>
      <c r="C3561" t="s">
        <v>140</v>
      </c>
      <c r="D3561" t="s">
        <v>43</v>
      </c>
      <c r="E3561" t="s">
        <v>37</v>
      </c>
      <c r="F3561" t="s">
        <v>70</v>
      </c>
      <c r="G3561" t="s">
        <v>23</v>
      </c>
      <c r="H3561" s="1">
        <v>44731</v>
      </c>
      <c r="I3561" s="2">
        <v>44732.1875</v>
      </c>
      <c r="J3561">
        <v>28.5</v>
      </c>
      <c r="K3561" t="s">
        <v>24</v>
      </c>
      <c r="L3561">
        <v>0</v>
      </c>
      <c r="M3561">
        <v>4</v>
      </c>
      <c r="N3561" t="s">
        <v>318</v>
      </c>
      <c r="O3561" s="3" t="str">
        <f>TEXT(Ticket_Table[[#This Row],[raised_date]],"YYYY-MM")</f>
        <v>2022-06</v>
      </c>
      <c r="P3561" s="3" t="str">
        <f>IF(Ticket_Table[[#This Row],[resolution_hrs]]&lt;=4,"Fast",IF(Ticket_Table[[#This Row],[resolution_hrs]]&lt;=24,"Normal",IF(Ticket_Table[[#This Row],[resolution_hrs]]&lt;=48,"Slow","Very Slow")))</f>
        <v>Slow</v>
      </c>
      <c r="Q3561" s="3">
        <f>YEAR(Ticket_Table[[#This Row],[raised_date]])</f>
        <v>2022</v>
      </c>
    </row>
    <row r="3562" spans="1:17">
      <c r="A3562" t="s">
        <v>4123</v>
      </c>
      <c r="B3562" t="s">
        <v>1297</v>
      </c>
      <c r="C3562" t="s">
        <v>102</v>
      </c>
      <c r="D3562" t="s">
        <v>43</v>
      </c>
      <c r="E3562" t="s">
        <v>106</v>
      </c>
      <c r="F3562" t="s">
        <v>45</v>
      </c>
      <c r="G3562" t="s">
        <v>74</v>
      </c>
      <c r="H3562" s="1">
        <v>44555</v>
      </c>
      <c r="I3562" s="2">
        <v>44555.0833333333</v>
      </c>
      <c r="J3562">
        <v>2</v>
      </c>
      <c r="K3562" t="s">
        <v>24</v>
      </c>
      <c r="L3562">
        <v>0</v>
      </c>
      <c r="M3562">
        <v>3</v>
      </c>
      <c r="N3562" t="s">
        <v>295</v>
      </c>
      <c r="O3562" s="3" t="str">
        <f>TEXT(Ticket_Table[[#This Row],[raised_date]],"YYYY-MM")</f>
        <v>2021-12</v>
      </c>
      <c r="P3562" s="3" t="str">
        <f>IF(Ticket_Table[[#This Row],[resolution_hrs]]&lt;=4,"Fast",IF(Ticket_Table[[#This Row],[resolution_hrs]]&lt;=24,"Normal",IF(Ticket_Table[[#This Row],[resolution_hrs]]&lt;=48,"Slow","Very Slow")))</f>
        <v>Fast</v>
      </c>
      <c r="Q3562" s="3">
        <f>YEAR(Ticket_Table[[#This Row],[raised_date]])</f>
        <v>2021</v>
      </c>
    </row>
    <row r="3563" spans="1:17">
      <c r="A3563" t="s">
        <v>4124</v>
      </c>
      <c r="B3563" t="s">
        <v>662</v>
      </c>
      <c r="C3563" t="s">
        <v>55</v>
      </c>
      <c r="D3563" t="s">
        <v>43</v>
      </c>
      <c r="E3563" t="s">
        <v>51</v>
      </c>
      <c r="F3563" t="s">
        <v>38</v>
      </c>
      <c r="G3563" t="s">
        <v>23</v>
      </c>
      <c r="H3563" s="1">
        <v>45030</v>
      </c>
      <c r="I3563" s="2">
        <v>45030.9333333333</v>
      </c>
      <c r="J3563">
        <v>22.4</v>
      </c>
      <c r="K3563" t="s">
        <v>24</v>
      </c>
      <c r="L3563">
        <v>0</v>
      </c>
      <c r="M3563">
        <v>4</v>
      </c>
      <c r="N3563" t="s">
        <v>248</v>
      </c>
      <c r="O3563" s="3" t="str">
        <f>TEXT(Ticket_Table[[#This Row],[raised_date]],"YYYY-MM")</f>
        <v>2023-04</v>
      </c>
      <c r="P3563" s="3" t="str">
        <f>IF(Ticket_Table[[#This Row],[resolution_hrs]]&lt;=4,"Fast",IF(Ticket_Table[[#This Row],[resolution_hrs]]&lt;=24,"Normal",IF(Ticket_Table[[#This Row],[resolution_hrs]]&lt;=48,"Slow","Very Slow")))</f>
        <v>Normal</v>
      </c>
      <c r="Q3563" s="3">
        <f>YEAR(Ticket_Table[[#This Row],[raised_date]])</f>
        <v>2023</v>
      </c>
    </row>
    <row r="3564" spans="1:17">
      <c r="A3564" t="s">
        <v>4125</v>
      </c>
      <c r="B3564" t="s">
        <v>290</v>
      </c>
      <c r="C3564" t="s">
        <v>68</v>
      </c>
      <c r="D3564" t="s">
        <v>43</v>
      </c>
      <c r="E3564" t="s">
        <v>166</v>
      </c>
      <c r="F3564" t="s">
        <v>45</v>
      </c>
      <c r="G3564" t="s">
        <v>31</v>
      </c>
      <c r="H3564" s="1">
        <v>45233</v>
      </c>
      <c r="I3564" s="2">
        <v>45233.0583333333</v>
      </c>
      <c r="J3564">
        <v>1.4</v>
      </c>
      <c r="K3564" t="s">
        <v>24</v>
      </c>
      <c r="L3564">
        <v>0</v>
      </c>
      <c r="M3564">
        <v>5</v>
      </c>
      <c r="N3564" t="s">
        <v>878</v>
      </c>
      <c r="O3564" s="3" t="str">
        <f>TEXT(Ticket_Table[[#This Row],[raised_date]],"YYYY-MM")</f>
        <v>2023-11</v>
      </c>
      <c r="P3564" s="3" t="str">
        <f>IF(Ticket_Table[[#This Row],[resolution_hrs]]&lt;=4,"Fast",IF(Ticket_Table[[#This Row],[resolution_hrs]]&lt;=24,"Normal",IF(Ticket_Table[[#This Row],[resolution_hrs]]&lt;=48,"Slow","Very Slow")))</f>
        <v>Fast</v>
      </c>
      <c r="Q3564" s="3">
        <f>YEAR(Ticket_Table[[#This Row],[raised_date]])</f>
        <v>2023</v>
      </c>
    </row>
    <row r="3565" spans="1:17">
      <c r="A3565" t="s">
        <v>4126</v>
      </c>
      <c r="B3565" t="s">
        <v>612</v>
      </c>
      <c r="C3565" t="s">
        <v>78</v>
      </c>
      <c r="D3565" t="s">
        <v>43</v>
      </c>
      <c r="E3565" t="s">
        <v>37</v>
      </c>
      <c r="F3565" t="s">
        <v>22</v>
      </c>
      <c r="G3565" t="s">
        <v>74</v>
      </c>
      <c r="H3565" s="1">
        <v>44415</v>
      </c>
      <c r="I3565" s="2">
        <v>44415.7208333333</v>
      </c>
      <c r="J3565">
        <v>17.3</v>
      </c>
      <c r="K3565" t="s">
        <v>24</v>
      </c>
      <c r="L3565">
        <v>1</v>
      </c>
      <c r="M3565">
        <v>4</v>
      </c>
      <c r="N3565" t="s">
        <v>207</v>
      </c>
      <c r="O3565" s="3" t="str">
        <f>TEXT(Ticket_Table[[#This Row],[raised_date]],"YYYY-MM")</f>
        <v>2021-08</v>
      </c>
      <c r="P3565" s="3" t="str">
        <f>IF(Ticket_Table[[#This Row],[resolution_hrs]]&lt;=4,"Fast",IF(Ticket_Table[[#This Row],[resolution_hrs]]&lt;=24,"Normal",IF(Ticket_Table[[#This Row],[resolution_hrs]]&lt;=48,"Slow","Very Slow")))</f>
        <v>Normal</v>
      </c>
      <c r="Q3565" s="3">
        <f>YEAR(Ticket_Table[[#This Row],[raised_date]])</f>
        <v>2021</v>
      </c>
    </row>
    <row r="3566" spans="1:17">
      <c r="A3566" t="s">
        <v>4127</v>
      </c>
      <c r="B3566" t="s">
        <v>320</v>
      </c>
      <c r="C3566" t="s">
        <v>133</v>
      </c>
      <c r="D3566" t="s">
        <v>36</v>
      </c>
      <c r="E3566" t="s">
        <v>51</v>
      </c>
      <c r="F3566" t="s">
        <v>22</v>
      </c>
      <c r="G3566" t="s">
        <v>74</v>
      </c>
      <c r="H3566" s="1">
        <v>44345</v>
      </c>
      <c r="I3566" s="2">
        <v>44347.8416666667</v>
      </c>
      <c r="J3566">
        <v>68.2</v>
      </c>
      <c r="K3566" t="s">
        <v>24</v>
      </c>
      <c r="L3566">
        <v>0</v>
      </c>
      <c r="M3566">
        <v>3</v>
      </c>
      <c r="N3566" t="s">
        <v>350</v>
      </c>
      <c r="O3566" s="3" t="str">
        <f>TEXT(Ticket_Table[[#This Row],[raised_date]],"YYYY-MM")</f>
        <v>2021-05</v>
      </c>
      <c r="P3566" s="3" t="str">
        <f>IF(Ticket_Table[[#This Row],[resolution_hrs]]&lt;=4,"Fast",IF(Ticket_Table[[#This Row],[resolution_hrs]]&lt;=24,"Normal",IF(Ticket_Table[[#This Row],[resolution_hrs]]&lt;=48,"Slow","Very Slow")))</f>
        <v>Very Slow</v>
      </c>
      <c r="Q3566" s="3">
        <f>YEAR(Ticket_Table[[#This Row],[raised_date]])</f>
        <v>2021</v>
      </c>
    </row>
    <row r="3567" spans="1:17">
      <c r="A3567" t="s">
        <v>4128</v>
      </c>
      <c r="B3567" t="s">
        <v>94</v>
      </c>
      <c r="C3567" t="s">
        <v>50</v>
      </c>
      <c r="D3567" t="s">
        <v>29</v>
      </c>
      <c r="E3567" t="s">
        <v>56</v>
      </c>
      <c r="F3567" t="s">
        <v>70</v>
      </c>
      <c r="G3567" t="s">
        <v>31</v>
      </c>
      <c r="H3567" s="1">
        <v>45227</v>
      </c>
      <c r="I3567" s="2">
        <v>45228.5125</v>
      </c>
      <c r="J3567">
        <v>36.3</v>
      </c>
      <c r="K3567" t="s">
        <v>24</v>
      </c>
      <c r="L3567">
        <v>1</v>
      </c>
      <c r="M3567">
        <v>3</v>
      </c>
      <c r="N3567" t="s">
        <v>59</v>
      </c>
      <c r="O3567" s="3" t="str">
        <f>TEXT(Ticket_Table[[#This Row],[raised_date]],"YYYY-MM")</f>
        <v>2023-10</v>
      </c>
      <c r="P3567" s="3" t="str">
        <f>IF(Ticket_Table[[#This Row],[resolution_hrs]]&lt;=4,"Fast",IF(Ticket_Table[[#This Row],[resolution_hrs]]&lt;=24,"Normal",IF(Ticket_Table[[#This Row],[resolution_hrs]]&lt;=48,"Slow","Very Slow")))</f>
        <v>Slow</v>
      </c>
      <c r="Q3567" s="3">
        <f>YEAR(Ticket_Table[[#This Row],[raised_date]])</f>
        <v>2023</v>
      </c>
    </row>
    <row r="3568" spans="1:17">
      <c r="A3568" t="s">
        <v>4129</v>
      </c>
      <c r="B3568" t="s">
        <v>343</v>
      </c>
      <c r="C3568" t="s">
        <v>175</v>
      </c>
      <c r="D3568" t="s">
        <v>43</v>
      </c>
      <c r="E3568" t="s">
        <v>106</v>
      </c>
      <c r="F3568" t="s">
        <v>38</v>
      </c>
      <c r="G3568" t="s">
        <v>31</v>
      </c>
      <c r="H3568" s="1">
        <v>44799</v>
      </c>
      <c r="I3568" s="2">
        <v>44800.2166666667</v>
      </c>
      <c r="J3568">
        <v>29.2</v>
      </c>
      <c r="K3568" t="s">
        <v>32</v>
      </c>
      <c r="L3568">
        <v>0</v>
      </c>
      <c r="M3568">
        <v>5</v>
      </c>
      <c r="N3568" t="s">
        <v>612</v>
      </c>
      <c r="O3568" s="3" t="str">
        <f>TEXT(Ticket_Table[[#This Row],[raised_date]],"YYYY-MM")</f>
        <v>2022-08</v>
      </c>
      <c r="P3568" s="3" t="str">
        <f>IF(Ticket_Table[[#This Row],[resolution_hrs]]&lt;=4,"Fast",IF(Ticket_Table[[#This Row],[resolution_hrs]]&lt;=24,"Normal",IF(Ticket_Table[[#This Row],[resolution_hrs]]&lt;=48,"Slow","Very Slow")))</f>
        <v>Slow</v>
      </c>
      <c r="Q3568" s="3">
        <f>YEAR(Ticket_Table[[#This Row],[raised_date]])</f>
        <v>2022</v>
      </c>
    </row>
    <row r="3569" spans="1:17">
      <c r="A3569" t="s">
        <v>4130</v>
      </c>
      <c r="B3569" t="s">
        <v>703</v>
      </c>
      <c r="C3569" t="s">
        <v>117</v>
      </c>
      <c r="D3569" t="s">
        <v>36</v>
      </c>
      <c r="E3569" t="s">
        <v>69</v>
      </c>
      <c r="F3569" t="s">
        <v>22</v>
      </c>
      <c r="G3569" t="s">
        <v>23</v>
      </c>
      <c r="H3569" s="1">
        <v>44893</v>
      </c>
      <c r="I3569" s="2">
        <v>44893.6791666667</v>
      </c>
      <c r="J3569">
        <v>16.3</v>
      </c>
      <c r="K3569" t="s">
        <v>24</v>
      </c>
      <c r="L3569">
        <v>0</v>
      </c>
      <c r="M3569">
        <v>3</v>
      </c>
      <c r="N3569" t="s">
        <v>270</v>
      </c>
      <c r="O3569" s="3" t="str">
        <f>TEXT(Ticket_Table[[#This Row],[raised_date]],"YYYY-MM")</f>
        <v>2022-11</v>
      </c>
      <c r="P3569" s="3" t="str">
        <f>IF(Ticket_Table[[#This Row],[resolution_hrs]]&lt;=4,"Fast",IF(Ticket_Table[[#This Row],[resolution_hrs]]&lt;=24,"Normal",IF(Ticket_Table[[#This Row],[resolution_hrs]]&lt;=48,"Slow","Very Slow")))</f>
        <v>Normal</v>
      </c>
      <c r="Q3569" s="3">
        <f>YEAR(Ticket_Table[[#This Row],[raised_date]])</f>
        <v>2022</v>
      </c>
    </row>
    <row r="3570" spans="1:17">
      <c r="A3570" t="s">
        <v>4131</v>
      </c>
      <c r="B3570" t="s">
        <v>382</v>
      </c>
      <c r="C3570" t="s">
        <v>64</v>
      </c>
      <c r="D3570" t="s">
        <v>29</v>
      </c>
      <c r="E3570" t="s">
        <v>37</v>
      </c>
      <c r="F3570" t="s">
        <v>22</v>
      </c>
      <c r="G3570" t="s">
        <v>31</v>
      </c>
      <c r="H3570" s="1">
        <v>44436</v>
      </c>
      <c r="I3570" s="2">
        <v>44439.9208333333</v>
      </c>
      <c r="J3570">
        <v>94.1</v>
      </c>
      <c r="K3570" t="s">
        <v>32</v>
      </c>
      <c r="L3570">
        <v>0</v>
      </c>
      <c r="M3570">
        <v>5</v>
      </c>
      <c r="N3570" t="s">
        <v>401</v>
      </c>
      <c r="O3570" s="3" t="str">
        <f>TEXT(Ticket_Table[[#This Row],[raised_date]],"YYYY-MM")</f>
        <v>2021-08</v>
      </c>
      <c r="P3570" s="3" t="str">
        <f>IF(Ticket_Table[[#This Row],[resolution_hrs]]&lt;=4,"Fast",IF(Ticket_Table[[#This Row],[resolution_hrs]]&lt;=24,"Normal",IF(Ticket_Table[[#This Row],[resolution_hrs]]&lt;=48,"Slow","Very Slow")))</f>
        <v>Very Slow</v>
      </c>
      <c r="Q3570" s="3">
        <f>YEAR(Ticket_Table[[#This Row],[raised_date]])</f>
        <v>2021</v>
      </c>
    </row>
    <row r="3571" spans="1:17">
      <c r="A3571" t="s">
        <v>4132</v>
      </c>
      <c r="B3571" t="s">
        <v>412</v>
      </c>
      <c r="C3571" t="s">
        <v>133</v>
      </c>
      <c r="D3571" t="s">
        <v>43</v>
      </c>
      <c r="E3571" t="s">
        <v>30</v>
      </c>
      <c r="F3571" t="s">
        <v>38</v>
      </c>
      <c r="G3571" t="s">
        <v>91</v>
      </c>
      <c r="H3571" s="1">
        <v>45248</v>
      </c>
      <c r="I3571" s="2">
        <v>45248.8375</v>
      </c>
      <c r="J3571">
        <v>20.1</v>
      </c>
      <c r="K3571" t="s">
        <v>24</v>
      </c>
      <c r="L3571">
        <v>0</v>
      </c>
      <c r="M3571">
        <v>4</v>
      </c>
      <c r="N3571" t="s">
        <v>349</v>
      </c>
      <c r="O3571" s="3" t="str">
        <f>TEXT(Ticket_Table[[#This Row],[raised_date]],"YYYY-MM")</f>
        <v>2023-11</v>
      </c>
      <c r="P3571" s="3" t="str">
        <f>IF(Ticket_Table[[#This Row],[resolution_hrs]]&lt;=4,"Fast",IF(Ticket_Table[[#This Row],[resolution_hrs]]&lt;=24,"Normal",IF(Ticket_Table[[#This Row],[resolution_hrs]]&lt;=48,"Slow","Very Slow")))</f>
        <v>Normal</v>
      </c>
      <c r="Q3571" s="3">
        <f>YEAR(Ticket_Table[[#This Row],[raised_date]])</f>
        <v>2023</v>
      </c>
    </row>
    <row r="3572" spans="1:17">
      <c r="A3572" t="s">
        <v>4133</v>
      </c>
      <c r="B3572" t="s">
        <v>536</v>
      </c>
      <c r="C3572" t="s">
        <v>261</v>
      </c>
      <c r="D3572" t="s">
        <v>29</v>
      </c>
      <c r="E3572" t="s">
        <v>51</v>
      </c>
      <c r="F3572" t="s">
        <v>22</v>
      </c>
      <c r="G3572" t="s">
        <v>46</v>
      </c>
      <c r="H3572" s="1">
        <v>44724</v>
      </c>
      <c r="I3572" s="2">
        <v>44728.3625</v>
      </c>
      <c r="J3572">
        <v>104.7</v>
      </c>
      <c r="K3572" t="s">
        <v>32</v>
      </c>
      <c r="L3572">
        <v>0</v>
      </c>
      <c r="M3572">
        <v>4</v>
      </c>
      <c r="N3572" t="s">
        <v>470</v>
      </c>
      <c r="O3572" s="3" t="str">
        <f>TEXT(Ticket_Table[[#This Row],[raised_date]],"YYYY-MM")</f>
        <v>2022-06</v>
      </c>
      <c r="P3572" s="3" t="str">
        <f>IF(Ticket_Table[[#This Row],[resolution_hrs]]&lt;=4,"Fast",IF(Ticket_Table[[#This Row],[resolution_hrs]]&lt;=24,"Normal",IF(Ticket_Table[[#This Row],[resolution_hrs]]&lt;=48,"Slow","Very Slow")))</f>
        <v>Very Slow</v>
      </c>
      <c r="Q3572" s="3">
        <f>YEAR(Ticket_Table[[#This Row],[raised_date]])</f>
        <v>2022</v>
      </c>
    </row>
    <row r="3573" spans="1:17">
      <c r="A3573" t="s">
        <v>4134</v>
      </c>
      <c r="B3573" t="s">
        <v>974</v>
      </c>
      <c r="C3573" t="s">
        <v>60</v>
      </c>
      <c r="D3573" t="s">
        <v>29</v>
      </c>
      <c r="E3573" t="s">
        <v>21</v>
      </c>
      <c r="F3573" t="s">
        <v>70</v>
      </c>
      <c r="G3573" t="s">
        <v>46</v>
      </c>
      <c r="H3573" s="1">
        <v>44709</v>
      </c>
      <c r="I3573" s="2">
        <v>44711.3541666667</v>
      </c>
      <c r="J3573">
        <v>56.5</v>
      </c>
      <c r="K3573" t="s">
        <v>32</v>
      </c>
      <c r="L3573">
        <v>0</v>
      </c>
      <c r="M3573">
        <v>4</v>
      </c>
      <c r="N3573" t="s">
        <v>283</v>
      </c>
      <c r="O3573" s="3" t="str">
        <f>TEXT(Ticket_Table[[#This Row],[raised_date]],"YYYY-MM")</f>
        <v>2022-05</v>
      </c>
      <c r="P3573" s="3" t="str">
        <f>IF(Ticket_Table[[#This Row],[resolution_hrs]]&lt;=4,"Fast",IF(Ticket_Table[[#This Row],[resolution_hrs]]&lt;=24,"Normal",IF(Ticket_Table[[#This Row],[resolution_hrs]]&lt;=48,"Slow","Very Slow")))</f>
        <v>Very Slow</v>
      </c>
      <c r="Q3573" s="3">
        <f>YEAR(Ticket_Table[[#This Row],[raised_date]])</f>
        <v>2022</v>
      </c>
    </row>
    <row r="3574" spans="1:17">
      <c r="A3574" t="s">
        <v>4135</v>
      </c>
      <c r="B3574" t="s">
        <v>406</v>
      </c>
      <c r="C3574" t="s">
        <v>78</v>
      </c>
      <c r="D3574" t="s">
        <v>90</v>
      </c>
      <c r="E3574" t="s">
        <v>166</v>
      </c>
      <c r="F3574" t="s">
        <v>70</v>
      </c>
      <c r="G3574" t="s">
        <v>46</v>
      </c>
      <c r="H3574" s="1">
        <v>45103</v>
      </c>
      <c r="I3574" s="2">
        <v>45103.3</v>
      </c>
      <c r="J3574">
        <v>7.2</v>
      </c>
      <c r="K3574" t="s">
        <v>24</v>
      </c>
      <c r="L3574">
        <v>0</v>
      </c>
      <c r="M3574">
        <v>2</v>
      </c>
      <c r="N3574" t="s">
        <v>581</v>
      </c>
      <c r="O3574" s="3" t="str">
        <f>TEXT(Ticket_Table[[#This Row],[raised_date]],"YYYY-MM")</f>
        <v>2023-06</v>
      </c>
      <c r="P3574" s="3" t="str">
        <f>IF(Ticket_Table[[#This Row],[resolution_hrs]]&lt;=4,"Fast",IF(Ticket_Table[[#This Row],[resolution_hrs]]&lt;=24,"Normal",IF(Ticket_Table[[#This Row],[resolution_hrs]]&lt;=48,"Slow","Very Slow")))</f>
        <v>Normal</v>
      </c>
      <c r="Q3574" s="3">
        <f>YEAR(Ticket_Table[[#This Row],[raised_date]])</f>
        <v>2023</v>
      </c>
    </row>
    <row r="3575" spans="1:17">
      <c r="A3575" t="s">
        <v>4136</v>
      </c>
      <c r="B3575" t="s">
        <v>1243</v>
      </c>
      <c r="C3575" t="s">
        <v>213</v>
      </c>
      <c r="D3575" t="s">
        <v>20</v>
      </c>
      <c r="E3575" t="s">
        <v>166</v>
      </c>
      <c r="F3575" t="s">
        <v>70</v>
      </c>
      <c r="G3575" t="s">
        <v>31</v>
      </c>
      <c r="H3575" s="1">
        <v>44969</v>
      </c>
      <c r="I3575" s="2">
        <v>44969.3208333333</v>
      </c>
      <c r="J3575">
        <v>7.7</v>
      </c>
      <c r="K3575" t="s">
        <v>24</v>
      </c>
      <c r="L3575">
        <v>0</v>
      </c>
      <c r="M3575">
        <v>4</v>
      </c>
      <c r="N3575" t="s">
        <v>560</v>
      </c>
      <c r="O3575" s="3" t="str">
        <f>TEXT(Ticket_Table[[#This Row],[raised_date]],"YYYY-MM")</f>
        <v>2023-02</v>
      </c>
      <c r="P3575" s="3" t="str">
        <f>IF(Ticket_Table[[#This Row],[resolution_hrs]]&lt;=4,"Fast",IF(Ticket_Table[[#This Row],[resolution_hrs]]&lt;=24,"Normal",IF(Ticket_Table[[#This Row],[resolution_hrs]]&lt;=48,"Slow","Very Slow")))</f>
        <v>Normal</v>
      </c>
      <c r="Q3575" s="3">
        <f>YEAR(Ticket_Table[[#This Row],[raised_date]])</f>
        <v>2023</v>
      </c>
    </row>
    <row r="3576" spans="1:17">
      <c r="A3576" t="s">
        <v>4137</v>
      </c>
      <c r="B3576" t="s">
        <v>678</v>
      </c>
      <c r="C3576" t="s">
        <v>133</v>
      </c>
      <c r="D3576" t="s">
        <v>90</v>
      </c>
      <c r="E3576" t="s">
        <v>21</v>
      </c>
      <c r="F3576" t="s">
        <v>38</v>
      </c>
      <c r="G3576" t="s">
        <v>23</v>
      </c>
      <c r="H3576" s="1">
        <v>45187</v>
      </c>
      <c r="I3576" s="2">
        <v>45187.5</v>
      </c>
      <c r="J3576">
        <v>12</v>
      </c>
      <c r="K3576" t="s">
        <v>24</v>
      </c>
      <c r="L3576">
        <v>0</v>
      </c>
      <c r="M3576">
        <v>1</v>
      </c>
      <c r="N3576" t="s">
        <v>1016</v>
      </c>
      <c r="O3576" s="3" t="str">
        <f>TEXT(Ticket_Table[[#This Row],[raised_date]],"YYYY-MM")</f>
        <v>2023-09</v>
      </c>
      <c r="P3576" s="3" t="str">
        <f>IF(Ticket_Table[[#This Row],[resolution_hrs]]&lt;=4,"Fast",IF(Ticket_Table[[#This Row],[resolution_hrs]]&lt;=24,"Normal",IF(Ticket_Table[[#This Row],[resolution_hrs]]&lt;=48,"Slow","Very Slow")))</f>
        <v>Normal</v>
      </c>
      <c r="Q3576" s="3">
        <f>YEAR(Ticket_Table[[#This Row],[raised_date]])</f>
        <v>2023</v>
      </c>
    </row>
    <row r="3577" spans="1:17">
      <c r="A3577" t="s">
        <v>4138</v>
      </c>
      <c r="B3577" t="s">
        <v>315</v>
      </c>
      <c r="C3577" t="s">
        <v>64</v>
      </c>
      <c r="D3577" t="s">
        <v>29</v>
      </c>
      <c r="E3577" t="s">
        <v>166</v>
      </c>
      <c r="F3577" t="s">
        <v>70</v>
      </c>
      <c r="G3577" t="s">
        <v>91</v>
      </c>
      <c r="H3577" s="1">
        <v>44695</v>
      </c>
      <c r="I3577" s="2">
        <v>44697.8041666667</v>
      </c>
      <c r="J3577">
        <v>67.3</v>
      </c>
      <c r="K3577" t="s">
        <v>32</v>
      </c>
      <c r="L3577">
        <v>0</v>
      </c>
      <c r="M3577">
        <v>4</v>
      </c>
      <c r="N3577" t="s">
        <v>592</v>
      </c>
      <c r="O3577" s="3" t="str">
        <f>TEXT(Ticket_Table[[#This Row],[raised_date]],"YYYY-MM")</f>
        <v>2022-05</v>
      </c>
      <c r="P3577" s="3" t="str">
        <f>IF(Ticket_Table[[#This Row],[resolution_hrs]]&lt;=4,"Fast",IF(Ticket_Table[[#This Row],[resolution_hrs]]&lt;=24,"Normal",IF(Ticket_Table[[#This Row],[resolution_hrs]]&lt;=48,"Slow","Very Slow")))</f>
        <v>Very Slow</v>
      </c>
      <c r="Q3577" s="3">
        <f>YEAR(Ticket_Table[[#This Row],[raised_date]])</f>
        <v>2022</v>
      </c>
    </row>
    <row r="3578" spans="1:17">
      <c r="A3578" t="s">
        <v>4139</v>
      </c>
      <c r="B3578" t="s">
        <v>760</v>
      </c>
      <c r="C3578" t="s">
        <v>117</v>
      </c>
      <c r="D3578" t="s">
        <v>36</v>
      </c>
      <c r="E3578" t="s">
        <v>44</v>
      </c>
      <c r="F3578" t="s">
        <v>70</v>
      </c>
      <c r="G3578" t="s">
        <v>31</v>
      </c>
      <c r="H3578" s="1">
        <v>44892</v>
      </c>
      <c r="I3578" s="2">
        <v>44892.5208333333</v>
      </c>
      <c r="J3578">
        <v>12.5</v>
      </c>
      <c r="K3578" t="s">
        <v>24</v>
      </c>
      <c r="L3578">
        <v>0</v>
      </c>
      <c r="M3578">
        <v>2</v>
      </c>
      <c r="N3578" t="s">
        <v>640</v>
      </c>
      <c r="O3578" s="3" t="str">
        <f>TEXT(Ticket_Table[[#This Row],[raised_date]],"YYYY-MM")</f>
        <v>2022-11</v>
      </c>
      <c r="P3578" s="3" t="str">
        <f>IF(Ticket_Table[[#This Row],[resolution_hrs]]&lt;=4,"Fast",IF(Ticket_Table[[#This Row],[resolution_hrs]]&lt;=24,"Normal",IF(Ticket_Table[[#This Row],[resolution_hrs]]&lt;=48,"Slow","Very Slow")))</f>
        <v>Normal</v>
      </c>
      <c r="Q3578" s="3">
        <f>YEAR(Ticket_Table[[#This Row],[raised_date]])</f>
        <v>2022</v>
      </c>
    </row>
    <row r="3579" spans="1:17">
      <c r="A3579" t="s">
        <v>4140</v>
      </c>
      <c r="B3579" t="s">
        <v>127</v>
      </c>
      <c r="C3579" t="s">
        <v>133</v>
      </c>
      <c r="D3579" t="s">
        <v>43</v>
      </c>
      <c r="E3579" t="s">
        <v>44</v>
      </c>
      <c r="F3579" t="s">
        <v>70</v>
      </c>
      <c r="G3579" t="s">
        <v>23</v>
      </c>
      <c r="H3579" s="1">
        <v>45136</v>
      </c>
      <c r="I3579" s="2">
        <v>45136.8708333333</v>
      </c>
      <c r="J3579">
        <v>20.9</v>
      </c>
      <c r="K3579" t="s">
        <v>24</v>
      </c>
      <c r="L3579">
        <v>1</v>
      </c>
      <c r="M3579">
        <v>2</v>
      </c>
      <c r="N3579" t="s">
        <v>65</v>
      </c>
      <c r="O3579" s="3" t="str">
        <f>TEXT(Ticket_Table[[#This Row],[raised_date]],"YYYY-MM")</f>
        <v>2023-07</v>
      </c>
      <c r="P3579" s="3" t="str">
        <f>IF(Ticket_Table[[#This Row],[resolution_hrs]]&lt;=4,"Fast",IF(Ticket_Table[[#This Row],[resolution_hrs]]&lt;=24,"Normal",IF(Ticket_Table[[#This Row],[resolution_hrs]]&lt;=48,"Slow","Very Slow")))</f>
        <v>Normal</v>
      </c>
      <c r="Q3579" s="3">
        <f>YEAR(Ticket_Table[[#This Row],[raised_date]])</f>
        <v>2023</v>
      </c>
    </row>
    <row r="3580" spans="1:17">
      <c r="A3580" t="s">
        <v>4141</v>
      </c>
      <c r="B3580" t="s">
        <v>198</v>
      </c>
      <c r="C3580" t="s">
        <v>133</v>
      </c>
      <c r="D3580" t="s">
        <v>20</v>
      </c>
      <c r="E3580" t="s">
        <v>37</v>
      </c>
      <c r="F3580" t="s">
        <v>70</v>
      </c>
      <c r="G3580" t="s">
        <v>46</v>
      </c>
      <c r="H3580" s="1">
        <v>45140</v>
      </c>
      <c r="I3580" s="2">
        <v>45141.1166666667</v>
      </c>
      <c r="J3580">
        <v>26.8</v>
      </c>
      <c r="K3580" t="s">
        <v>24</v>
      </c>
      <c r="L3580">
        <v>1</v>
      </c>
      <c r="M3580">
        <v>5</v>
      </c>
      <c r="N3580" t="s">
        <v>970</v>
      </c>
      <c r="O3580" s="3" t="str">
        <f>TEXT(Ticket_Table[[#This Row],[raised_date]],"YYYY-MM")</f>
        <v>2023-08</v>
      </c>
      <c r="P3580" s="3" t="str">
        <f>IF(Ticket_Table[[#This Row],[resolution_hrs]]&lt;=4,"Fast",IF(Ticket_Table[[#This Row],[resolution_hrs]]&lt;=24,"Normal",IF(Ticket_Table[[#This Row],[resolution_hrs]]&lt;=48,"Slow","Very Slow")))</f>
        <v>Slow</v>
      </c>
      <c r="Q3580" s="3">
        <f>YEAR(Ticket_Table[[#This Row],[raised_date]])</f>
        <v>2023</v>
      </c>
    </row>
    <row r="3581" spans="1:17">
      <c r="A3581" t="s">
        <v>4142</v>
      </c>
      <c r="B3581" t="s">
        <v>886</v>
      </c>
      <c r="C3581" t="s">
        <v>60</v>
      </c>
      <c r="D3581" t="s">
        <v>43</v>
      </c>
      <c r="E3581" t="s">
        <v>30</v>
      </c>
      <c r="F3581" t="s">
        <v>70</v>
      </c>
      <c r="G3581" t="s">
        <v>23</v>
      </c>
      <c r="H3581" s="1">
        <v>44253</v>
      </c>
      <c r="I3581" s="2">
        <v>44253.3041666667</v>
      </c>
      <c r="J3581">
        <v>7.3</v>
      </c>
      <c r="K3581" t="s">
        <v>24</v>
      </c>
      <c r="L3581">
        <v>3</v>
      </c>
      <c r="M3581">
        <v>4</v>
      </c>
      <c r="N3581" t="s">
        <v>2204</v>
      </c>
      <c r="O3581" s="3" t="str">
        <f>TEXT(Ticket_Table[[#This Row],[raised_date]],"YYYY-MM")</f>
        <v>2021-02</v>
      </c>
      <c r="P3581" s="3" t="str">
        <f>IF(Ticket_Table[[#This Row],[resolution_hrs]]&lt;=4,"Fast",IF(Ticket_Table[[#This Row],[resolution_hrs]]&lt;=24,"Normal",IF(Ticket_Table[[#This Row],[resolution_hrs]]&lt;=48,"Slow","Very Slow")))</f>
        <v>Normal</v>
      </c>
      <c r="Q3581" s="3">
        <f>YEAR(Ticket_Table[[#This Row],[raised_date]])</f>
        <v>2021</v>
      </c>
    </row>
    <row r="3582" spans="1:17">
      <c r="A3582" t="s">
        <v>4143</v>
      </c>
      <c r="B3582" t="s">
        <v>428</v>
      </c>
      <c r="C3582" t="s">
        <v>261</v>
      </c>
      <c r="D3582" t="s">
        <v>36</v>
      </c>
      <c r="E3582" t="s">
        <v>69</v>
      </c>
      <c r="F3582" t="s">
        <v>22</v>
      </c>
      <c r="G3582" t="s">
        <v>23</v>
      </c>
      <c r="H3582" s="1">
        <v>45184</v>
      </c>
      <c r="I3582" s="2">
        <v>45184.8416666667</v>
      </c>
      <c r="J3582">
        <v>20.2</v>
      </c>
      <c r="K3582" t="s">
        <v>24</v>
      </c>
      <c r="L3582">
        <v>0</v>
      </c>
      <c r="M3582">
        <v>3</v>
      </c>
      <c r="N3582" t="s">
        <v>391</v>
      </c>
      <c r="O3582" s="3" t="str">
        <f>TEXT(Ticket_Table[[#This Row],[raised_date]],"YYYY-MM")</f>
        <v>2023-09</v>
      </c>
      <c r="P3582" s="3" t="str">
        <f>IF(Ticket_Table[[#This Row],[resolution_hrs]]&lt;=4,"Fast",IF(Ticket_Table[[#This Row],[resolution_hrs]]&lt;=24,"Normal",IF(Ticket_Table[[#This Row],[resolution_hrs]]&lt;=48,"Slow","Very Slow")))</f>
        <v>Normal</v>
      </c>
      <c r="Q3582" s="3">
        <f>YEAR(Ticket_Table[[#This Row],[raised_date]])</f>
        <v>2023</v>
      </c>
    </row>
    <row r="3583" spans="1:17">
      <c r="A3583" t="s">
        <v>4144</v>
      </c>
      <c r="B3583" t="s">
        <v>703</v>
      </c>
      <c r="C3583" t="s">
        <v>95</v>
      </c>
      <c r="D3583" t="s">
        <v>20</v>
      </c>
      <c r="E3583" t="s">
        <v>56</v>
      </c>
      <c r="F3583" t="s">
        <v>22</v>
      </c>
      <c r="G3583" t="s">
        <v>31</v>
      </c>
      <c r="H3583" s="1">
        <v>44435</v>
      </c>
      <c r="I3583" s="2">
        <v>44438.4833333333</v>
      </c>
      <c r="J3583">
        <v>83.6</v>
      </c>
      <c r="K3583" t="s">
        <v>32</v>
      </c>
      <c r="L3583">
        <v>1</v>
      </c>
      <c r="M3583">
        <v>4</v>
      </c>
      <c r="N3583" t="s">
        <v>621</v>
      </c>
      <c r="O3583" s="3" t="str">
        <f>TEXT(Ticket_Table[[#This Row],[raised_date]],"YYYY-MM")</f>
        <v>2021-08</v>
      </c>
      <c r="P3583" s="3" t="str">
        <f>IF(Ticket_Table[[#This Row],[resolution_hrs]]&lt;=4,"Fast",IF(Ticket_Table[[#This Row],[resolution_hrs]]&lt;=24,"Normal",IF(Ticket_Table[[#This Row],[resolution_hrs]]&lt;=48,"Slow","Very Slow")))</f>
        <v>Very Slow</v>
      </c>
      <c r="Q3583" s="3">
        <f>YEAR(Ticket_Table[[#This Row],[raised_date]])</f>
        <v>2021</v>
      </c>
    </row>
    <row r="3584" spans="1:17">
      <c r="A3584" t="s">
        <v>4145</v>
      </c>
      <c r="B3584" t="s">
        <v>506</v>
      </c>
      <c r="C3584" t="s">
        <v>140</v>
      </c>
      <c r="D3584" t="s">
        <v>90</v>
      </c>
      <c r="E3584" t="s">
        <v>44</v>
      </c>
      <c r="F3584" t="s">
        <v>22</v>
      </c>
      <c r="G3584" t="s">
        <v>23</v>
      </c>
      <c r="H3584" s="1">
        <v>44725</v>
      </c>
      <c r="I3584" s="2">
        <v>44726.1916666667</v>
      </c>
      <c r="J3584">
        <v>28.6</v>
      </c>
      <c r="K3584" t="s">
        <v>24</v>
      </c>
      <c r="L3584">
        <v>1</v>
      </c>
      <c r="M3584">
        <v>4</v>
      </c>
      <c r="N3584" t="s">
        <v>854</v>
      </c>
      <c r="O3584" s="3" t="str">
        <f>TEXT(Ticket_Table[[#This Row],[raised_date]],"YYYY-MM")</f>
        <v>2022-06</v>
      </c>
      <c r="P3584" s="3" t="str">
        <f>IF(Ticket_Table[[#This Row],[resolution_hrs]]&lt;=4,"Fast",IF(Ticket_Table[[#This Row],[resolution_hrs]]&lt;=24,"Normal",IF(Ticket_Table[[#This Row],[resolution_hrs]]&lt;=48,"Slow","Very Slow")))</f>
        <v>Slow</v>
      </c>
      <c r="Q3584" s="3">
        <f>YEAR(Ticket_Table[[#This Row],[raised_date]])</f>
        <v>2022</v>
      </c>
    </row>
    <row r="3585" spans="1:17">
      <c r="A3585" t="s">
        <v>4146</v>
      </c>
      <c r="B3585" t="s">
        <v>258</v>
      </c>
      <c r="C3585" t="s">
        <v>42</v>
      </c>
      <c r="D3585" t="s">
        <v>29</v>
      </c>
      <c r="E3585" t="s">
        <v>51</v>
      </c>
      <c r="F3585" t="s">
        <v>22</v>
      </c>
      <c r="G3585" t="s">
        <v>23</v>
      </c>
      <c r="H3585" s="1">
        <v>44335</v>
      </c>
      <c r="I3585" s="2">
        <v>44337.15</v>
      </c>
      <c r="J3585">
        <v>51.6</v>
      </c>
      <c r="K3585" t="s">
        <v>24</v>
      </c>
      <c r="L3585">
        <v>0</v>
      </c>
      <c r="M3585">
        <v>4</v>
      </c>
      <c r="N3585" t="s">
        <v>385</v>
      </c>
      <c r="O3585" s="3" t="str">
        <f>TEXT(Ticket_Table[[#This Row],[raised_date]],"YYYY-MM")</f>
        <v>2021-05</v>
      </c>
      <c r="P3585" s="3" t="str">
        <f>IF(Ticket_Table[[#This Row],[resolution_hrs]]&lt;=4,"Fast",IF(Ticket_Table[[#This Row],[resolution_hrs]]&lt;=24,"Normal",IF(Ticket_Table[[#This Row],[resolution_hrs]]&lt;=48,"Slow","Very Slow")))</f>
        <v>Very Slow</v>
      </c>
      <c r="Q3585" s="3">
        <f>YEAR(Ticket_Table[[#This Row],[raised_date]])</f>
        <v>2021</v>
      </c>
    </row>
    <row r="3586" spans="1:17">
      <c r="A3586" t="s">
        <v>4147</v>
      </c>
      <c r="B3586" t="s">
        <v>491</v>
      </c>
      <c r="C3586" t="s">
        <v>175</v>
      </c>
      <c r="D3586" t="s">
        <v>36</v>
      </c>
      <c r="E3586" t="s">
        <v>21</v>
      </c>
      <c r="F3586" t="s">
        <v>70</v>
      </c>
      <c r="G3586" t="s">
        <v>23</v>
      </c>
      <c r="H3586" s="1">
        <v>44980</v>
      </c>
      <c r="I3586" s="2">
        <v>44980.8</v>
      </c>
      <c r="J3586">
        <v>19.2</v>
      </c>
      <c r="K3586" t="s">
        <v>24</v>
      </c>
      <c r="L3586">
        <v>0</v>
      </c>
      <c r="M3586">
        <v>5</v>
      </c>
      <c r="N3586" t="s">
        <v>668</v>
      </c>
      <c r="O3586" s="3" t="str">
        <f>TEXT(Ticket_Table[[#This Row],[raised_date]],"YYYY-MM")</f>
        <v>2023-02</v>
      </c>
      <c r="P3586" s="3" t="str">
        <f>IF(Ticket_Table[[#This Row],[resolution_hrs]]&lt;=4,"Fast",IF(Ticket_Table[[#This Row],[resolution_hrs]]&lt;=24,"Normal",IF(Ticket_Table[[#This Row],[resolution_hrs]]&lt;=48,"Slow","Very Slow")))</f>
        <v>Normal</v>
      </c>
      <c r="Q3586" s="3">
        <f>YEAR(Ticket_Table[[#This Row],[raised_date]])</f>
        <v>2023</v>
      </c>
    </row>
    <row r="3587" spans="1:17">
      <c r="A3587" t="s">
        <v>4148</v>
      </c>
      <c r="B3587" t="s">
        <v>358</v>
      </c>
      <c r="C3587" t="s">
        <v>55</v>
      </c>
      <c r="D3587" t="s">
        <v>29</v>
      </c>
      <c r="E3587" t="s">
        <v>106</v>
      </c>
      <c r="F3587" t="s">
        <v>38</v>
      </c>
      <c r="G3587" t="s">
        <v>46</v>
      </c>
      <c r="H3587" s="1">
        <v>44648</v>
      </c>
      <c r="I3587" s="2">
        <v>44649.3208333333</v>
      </c>
      <c r="J3587">
        <v>31.7</v>
      </c>
      <c r="K3587" t="s">
        <v>32</v>
      </c>
      <c r="L3587">
        <v>2</v>
      </c>
      <c r="M3587">
        <v>4</v>
      </c>
      <c r="N3587" t="s">
        <v>116</v>
      </c>
      <c r="O3587" s="3" t="str">
        <f>TEXT(Ticket_Table[[#This Row],[raised_date]],"YYYY-MM")</f>
        <v>2022-03</v>
      </c>
      <c r="P3587" s="3" t="str">
        <f>IF(Ticket_Table[[#This Row],[resolution_hrs]]&lt;=4,"Fast",IF(Ticket_Table[[#This Row],[resolution_hrs]]&lt;=24,"Normal",IF(Ticket_Table[[#This Row],[resolution_hrs]]&lt;=48,"Slow","Very Slow")))</f>
        <v>Slow</v>
      </c>
      <c r="Q3587" s="3">
        <f>YEAR(Ticket_Table[[#This Row],[raised_date]])</f>
        <v>2022</v>
      </c>
    </row>
    <row r="3588" spans="1:17">
      <c r="A3588" t="s">
        <v>4149</v>
      </c>
      <c r="B3588" t="s">
        <v>566</v>
      </c>
      <c r="C3588" t="s">
        <v>287</v>
      </c>
      <c r="D3588" t="s">
        <v>29</v>
      </c>
      <c r="E3588" t="s">
        <v>30</v>
      </c>
      <c r="F3588" t="s">
        <v>38</v>
      </c>
      <c r="G3588" t="s">
        <v>23</v>
      </c>
      <c r="H3588" s="1">
        <v>44667</v>
      </c>
      <c r="I3588" s="2">
        <v>44667.9916666667</v>
      </c>
      <c r="J3588">
        <v>23.8</v>
      </c>
      <c r="K3588" t="s">
        <v>24</v>
      </c>
      <c r="L3588">
        <v>3</v>
      </c>
      <c r="M3588">
        <v>3</v>
      </c>
      <c r="N3588" t="s">
        <v>54</v>
      </c>
      <c r="O3588" s="3" t="str">
        <f>TEXT(Ticket_Table[[#This Row],[raised_date]],"YYYY-MM")</f>
        <v>2022-04</v>
      </c>
      <c r="P3588" s="3" t="str">
        <f>IF(Ticket_Table[[#This Row],[resolution_hrs]]&lt;=4,"Fast",IF(Ticket_Table[[#This Row],[resolution_hrs]]&lt;=24,"Normal",IF(Ticket_Table[[#This Row],[resolution_hrs]]&lt;=48,"Slow","Very Slow")))</f>
        <v>Normal</v>
      </c>
      <c r="Q3588" s="3">
        <f>YEAR(Ticket_Table[[#This Row],[raised_date]])</f>
        <v>2022</v>
      </c>
    </row>
    <row r="3589" spans="1:17">
      <c r="A3589" t="s">
        <v>4150</v>
      </c>
      <c r="B3589" t="s">
        <v>1011</v>
      </c>
      <c r="C3589" t="s">
        <v>42</v>
      </c>
      <c r="D3589" t="s">
        <v>43</v>
      </c>
      <c r="E3589" t="s">
        <v>69</v>
      </c>
      <c r="F3589" t="s">
        <v>38</v>
      </c>
      <c r="G3589" t="s">
        <v>74</v>
      </c>
      <c r="H3589" s="1">
        <v>44843</v>
      </c>
      <c r="I3589" s="2">
        <v>44843.2458333333</v>
      </c>
      <c r="J3589">
        <v>5.9</v>
      </c>
      <c r="K3589" t="s">
        <v>24</v>
      </c>
      <c r="L3589">
        <v>0</v>
      </c>
      <c r="M3589">
        <v>4</v>
      </c>
      <c r="N3589" t="s">
        <v>94</v>
      </c>
      <c r="O3589" s="3" t="str">
        <f>TEXT(Ticket_Table[[#This Row],[raised_date]],"YYYY-MM")</f>
        <v>2022-10</v>
      </c>
      <c r="P3589" s="3" t="str">
        <f>IF(Ticket_Table[[#This Row],[resolution_hrs]]&lt;=4,"Fast",IF(Ticket_Table[[#This Row],[resolution_hrs]]&lt;=24,"Normal",IF(Ticket_Table[[#This Row],[resolution_hrs]]&lt;=48,"Slow","Very Slow")))</f>
        <v>Normal</v>
      </c>
      <c r="Q3589" s="3">
        <f>YEAR(Ticket_Table[[#This Row],[raised_date]])</f>
        <v>2022</v>
      </c>
    </row>
    <row r="3590" spans="1:17">
      <c r="A3590" t="s">
        <v>4151</v>
      </c>
      <c r="B3590" t="s">
        <v>79</v>
      </c>
      <c r="C3590" t="s">
        <v>64</v>
      </c>
      <c r="D3590" t="s">
        <v>36</v>
      </c>
      <c r="E3590" t="s">
        <v>51</v>
      </c>
      <c r="F3590" t="s">
        <v>70</v>
      </c>
      <c r="G3590" t="s">
        <v>23</v>
      </c>
      <c r="H3590" s="1">
        <v>45041</v>
      </c>
      <c r="I3590" s="2">
        <v>45041.4083333333</v>
      </c>
      <c r="J3590">
        <v>9.8</v>
      </c>
      <c r="K3590" t="s">
        <v>24</v>
      </c>
      <c r="L3590">
        <v>0</v>
      </c>
      <c r="M3590">
        <v>2</v>
      </c>
      <c r="N3590" t="s">
        <v>329</v>
      </c>
      <c r="O3590" s="3" t="str">
        <f>TEXT(Ticket_Table[[#This Row],[raised_date]],"YYYY-MM")</f>
        <v>2023-04</v>
      </c>
      <c r="P3590" s="3" t="str">
        <f>IF(Ticket_Table[[#This Row],[resolution_hrs]]&lt;=4,"Fast",IF(Ticket_Table[[#This Row],[resolution_hrs]]&lt;=24,"Normal",IF(Ticket_Table[[#This Row],[resolution_hrs]]&lt;=48,"Slow","Very Slow")))</f>
        <v>Normal</v>
      </c>
      <c r="Q3590" s="3">
        <f>YEAR(Ticket_Table[[#This Row],[raised_date]])</f>
        <v>2023</v>
      </c>
    </row>
    <row r="3591" spans="1:17">
      <c r="A3591" t="s">
        <v>4152</v>
      </c>
      <c r="B3591" t="s">
        <v>924</v>
      </c>
      <c r="C3591" t="s">
        <v>261</v>
      </c>
      <c r="D3591" t="s">
        <v>29</v>
      </c>
      <c r="E3591" t="s">
        <v>30</v>
      </c>
      <c r="F3591" t="s">
        <v>70</v>
      </c>
      <c r="G3591" t="s">
        <v>23</v>
      </c>
      <c r="H3591" s="1">
        <v>44920</v>
      </c>
      <c r="I3591" s="2">
        <v>44921.725</v>
      </c>
      <c r="J3591">
        <v>41.4</v>
      </c>
      <c r="K3591" t="s">
        <v>24</v>
      </c>
      <c r="L3591">
        <v>1</v>
      </c>
      <c r="M3591">
        <v>3</v>
      </c>
      <c r="N3591" t="s">
        <v>438</v>
      </c>
      <c r="O3591" s="3" t="str">
        <f>TEXT(Ticket_Table[[#This Row],[raised_date]],"YYYY-MM")</f>
        <v>2022-12</v>
      </c>
      <c r="P3591" s="3" t="str">
        <f>IF(Ticket_Table[[#This Row],[resolution_hrs]]&lt;=4,"Fast",IF(Ticket_Table[[#This Row],[resolution_hrs]]&lt;=24,"Normal",IF(Ticket_Table[[#This Row],[resolution_hrs]]&lt;=48,"Slow","Very Slow")))</f>
        <v>Slow</v>
      </c>
      <c r="Q3591" s="3">
        <f>YEAR(Ticket_Table[[#This Row],[raised_date]])</f>
        <v>2022</v>
      </c>
    </row>
    <row r="3592" spans="1:17">
      <c r="A3592" t="s">
        <v>4153</v>
      </c>
      <c r="B3592" t="s">
        <v>670</v>
      </c>
      <c r="C3592" t="s">
        <v>68</v>
      </c>
      <c r="D3592" t="s">
        <v>90</v>
      </c>
      <c r="E3592" t="s">
        <v>21</v>
      </c>
      <c r="F3592" t="s">
        <v>70</v>
      </c>
      <c r="G3592" t="s">
        <v>23</v>
      </c>
      <c r="H3592" s="1">
        <v>45254</v>
      </c>
      <c r="I3592" s="2">
        <v>45254.1583333333</v>
      </c>
      <c r="J3592">
        <v>3.8</v>
      </c>
      <c r="K3592" t="s">
        <v>24</v>
      </c>
      <c r="L3592">
        <v>0</v>
      </c>
      <c r="M3592">
        <v>5</v>
      </c>
      <c r="N3592" t="s">
        <v>363</v>
      </c>
      <c r="O3592" s="3" t="str">
        <f>TEXT(Ticket_Table[[#This Row],[raised_date]],"YYYY-MM")</f>
        <v>2023-11</v>
      </c>
      <c r="P3592" s="3" t="str">
        <f>IF(Ticket_Table[[#This Row],[resolution_hrs]]&lt;=4,"Fast",IF(Ticket_Table[[#This Row],[resolution_hrs]]&lt;=24,"Normal",IF(Ticket_Table[[#This Row],[resolution_hrs]]&lt;=48,"Slow","Very Slow")))</f>
        <v>Fast</v>
      </c>
      <c r="Q3592" s="3">
        <f>YEAR(Ticket_Table[[#This Row],[raised_date]])</f>
        <v>2023</v>
      </c>
    </row>
    <row r="3593" spans="1:17">
      <c r="A3593" t="s">
        <v>4154</v>
      </c>
      <c r="B3593" t="s">
        <v>701</v>
      </c>
      <c r="C3593" t="s">
        <v>55</v>
      </c>
      <c r="D3593" t="s">
        <v>20</v>
      </c>
      <c r="E3593" t="s">
        <v>51</v>
      </c>
      <c r="F3593" t="s">
        <v>22</v>
      </c>
      <c r="G3593" t="s">
        <v>31</v>
      </c>
      <c r="H3593" s="1">
        <v>44216</v>
      </c>
      <c r="I3593" s="2">
        <v>44219.8708333333</v>
      </c>
      <c r="J3593">
        <v>92.9</v>
      </c>
      <c r="K3593" t="s">
        <v>32</v>
      </c>
      <c r="L3593">
        <v>0</v>
      </c>
      <c r="M3593">
        <v>4</v>
      </c>
      <c r="N3593" t="s">
        <v>228</v>
      </c>
      <c r="O3593" s="3" t="str">
        <f>TEXT(Ticket_Table[[#This Row],[raised_date]],"YYYY-MM")</f>
        <v>2021-01</v>
      </c>
      <c r="P3593" s="3" t="str">
        <f>IF(Ticket_Table[[#This Row],[resolution_hrs]]&lt;=4,"Fast",IF(Ticket_Table[[#This Row],[resolution_hrs]]&lt;=24,"Normal",IF(Ticket_Table[[#This Row],[resolution_hrs]]&lt;=48,"Slow","Very Slow")))</f>
        <v>Very Slow</v>
      </c>
      <c r="Q3593" s="3">
        <f>YEAR(Ticket_Table[[#This Row],[raised_date]])</f>
        <v>2021</v>
      </c>
    </row>
    <row r="3594" spans="1:17">
      <c r="A3594" t="s">
        <v>4155</v>
      </c>
      <c r="B3594" t="s">
        <v>323</v>
      </c>
      <c r="C3594" t="s">
        <v>102</v>
      </c>
      <c r="D3594" t="s">
        <v>36</v>
      </c>
      <c r="E3594" t="s">
        <v>21</v>
      </c>
      <c r="F3594" t="s">
        <v>22</v>
      </c>
      <c r="G3594" t="s">
        <v>74</v>
      </c>
      <c r="H3594" s="1">
        <v>44736</v>
      </c>
      <c r="I3594" s="2">
        <v>44737.8291666667</v>
      </c>
      <c r="J3594">
        <v>43.9</v>
      </c>
      <c r="K3594" t="s">
        <v>24</v>
      </c>
      <c r="L3594">
        <v>3</v>
      </c>
      <c r="M3594">
        <v>5</v>
      </c>
      <c r="N3594" t="s">
        <v>250</v>
      </c>
      <c r="O3594" s="3" t="str">
        <f>TEXT(Ticket_Table[[#This Row],[raised_date]],"YYYY-MM")</f>
        <v>2022-06</v>
      </c>
      <c r="P3594" s="3" t="str">
        <f>IF(Ticket_Table[[#This Row],[resolution_hrs]]&lt;=4,"Fast",IF(Ticket_Table[[#This Row],[resolution_hrs]]&lt;=24,"Normal",IF(Ticket_Table[[#This Row],[resolution_hrs]]&lt;=48,"Slow","Very Slow")))</f>
        <v>Slow</v>
      </c>
      <c r="Q3594" s="3">
        <f>YEAR(Ticket_Table[[#This Row],[raised_date]])</f>
        <v>2022</v>
      </c>
    </row>
    <row r="3595" spans="1:17">
      <c r="A3595" t="s">
        <v>4156</v>
      </c>
      <c r="B3595" t="s">
        <v>646</v>
      </c>
      <c r="C3595" t="s">
        <v>201</v>
      </c>
      <c r="D3595" t="s">
        <v>43</v>
      </c>
      <c r="E3595" t="s">
        <v>69</v>
      </c>
      <c r="F3595" t="s">
        <v>70</v>
      </c>
      <c r="G3595" t="s">
        <v>23</v>
      </c>
      <c r="H3595" s="1">
        <v>44705</v>
      </c>
      <c r="I3595" s="2">
        <v>44707.575</v>
      </c>
      <c r="J3595">
        <v>61.8</v>
      </c>
      <c r="K3595" t="s">
        <v>32</v>
      </c>
      <c r="L3595">
        <v>1</v>
      </c>
      <c r="M3595">
        <v>3</v>
      </c>
      <c r="N3595" t="s">
        <v>811</v>
      </c>
      <c r="O3595" s="3" t="str">
        <f>TEXT(Ticket_Table[[#This Row],[raised_date]],"YYYY-MM")</f>
        <v>2022-05</v>
      </c>
      <c r="P3595" s="3" t="str">
        <f>IF(Ticket_Table[[#This Row],[resolution_hrs]]&lt;=4,"Fast",IF(Ticket_Table[[#This Row],[resolution_hrs]]&lt;=24,"Normal",IF(Ticket_Table[[#This Row],[resolution_hrs]]&lt;=48,"Slow","Very Slow")))</f>
        <v>Very Slow</v>
      </c>
      <c r="Q3595" s="3">
        <f>YEAR(Ticket_Table[[#This Row],[raised_date]])</f>
        <v>2022</v>
      </c>
    </row>
    <row r="3596" spans="1:17">
      <c r="A3596" t="s">
        <v>4157</v>
      </c>
      <c r="B3596" t="s">
        <v>318</v>
      </c>
      <c r="C3596" t="s">
        <v>102</v>
      </c>
      <c r="D3596" t="s">
        <v>36</v>
      </c>
      <c r="E3596" t="s">
        <v>166</v>
      </c>
      <c r="F3596" t="s">
        <v>45</v>
      </c>
      <c r="G3596" t="s">
        <v>23</v>
      </c>
      <c r="H3596" s="1">
        <v>44785</v>
      </c>
      <c r="I3596" s="2">
        <v>44785.2333333333</v>
      </c>
      <c r="J3596">
        <v>5.6</v>
      </c>
      <c r="K3596" t="s">
        <v>32</v>
      </c>
      <c r="L3596">
        <v>2</v>
      </c>
      <c r="M3596">
        <v>3</v>
      </c>
      <c r="N3596" t="s">
        <v>75</v>
      </c>
      <c r="O3596" s="3" t="str">
        <f>TEXT(Ticket_Table[[#This Row],[raised_date]],"YYYY-MM")</f>
        <v>2022-08</v>
      </c>
      <c r="P3596" s="3" t="str">
        <f>IF(Ticket_Table[[#This Row],[resolution_hrs]]&lt;=4,"Fast",IF(Ticket_Table[[#This Row],[resolution_hrs]]&lt;=24,"Normal",IF(Ticket_Table[[#This Row],[resolution_hrs]]&lt;=48,"Slow","Very Slow")))</f>
        <v>Normal</v>
      </c>
      <c r="Q3596" s="3">
        <f>YEAR(Ticket_Table[[#This Row],[raised_date]])</f>
        <v>2022</v>
      </c>
    </row>
    <row r="3597" spans="1:17">
      <c r="A3597" t="s">
        <v>4158</v>
      </c>
      <c r="B3597" t="s">
        <v>434</v>
      </c>
      <c r="C3597" t="s">
        <v>55</v>
      </c>
      <c r="D3597" t="s">
        <v>43</v>
      </c>
      <c r="E3597" t="s">
        <v>56</v>
      </c>
      <c r="F3597" t="s">
        <v>22</v>
      </c>
      <c r="G3597" t="s">
        <v>23</v>
      </c>
      <c r="H3597" s="1">
        <v>44387</v>
      </c>
      <c r="I3597" s="2">
        <v>44387.6166666667</v>
      </c>
      <c r="J3597">
        <v>14.8</v>
      </c>
      <c r="K3597" t="s">
        <v>24</v>
      </c>
      <c r="L3597">
        <v>0</v>
      </c>
      <c r="M3597">
        <v>3</v>
      </c>
      <c r="N3597" t="s">
        <v>1265</v>
      </c>
      <c r="O3597" s="3" t="str">
        <f>TEXT(Ticket_Table[[#This Row],[raised_date]],"YYYY-MM")</f>
        <v>2021-07</v>
      </c>
      <c r="P3597" s="3" t="str">
        <f>IF(Ticket_Table[[#This Row],[resolution_hrs]]&lt;=4,"Fast",IF(Ticket_Table[[#This Row],[resolution_hrs]]&lt;=24,"Normal",IF(Ticket_Table[[#This Row],[resolution_hrs]]&lt;=48,"Slow","Very Slow")))</f>
        <v>Normal</v>
      </c>
      <c r="Q3597" s="3">
        <f>YEAR(Ticket_Table[[#This Row],[raised_date]])</f>
        <v>2021</v>
      </c>
    </row>
    <row r="3598" spans="1:17">
      <c r="A3598" t="s">
        <v>4159</v>
      </c>
      <c r="B3598" t="s">
        <v>318</v>
      </c>
      <c r="C3598" t="s">
        <v>82</v>
      </c>
      <c r="D3598" t="s">
        <v>20</v>
      </c>
      <c r="E3598" t="s">
        <v>56</v>
      </c>
      <c r="F3598" t="s">
        <v>22</v>
      </c>
      <c r="G3598" t="s">
        <v>91</v>
      </c>
      <c r="H3598" s="1">
        <v>45014</v>
      </c>
      <c r="I3598" s="2">
        <v>45015.675</v>
      </c>
      <c r="J3598">
        <v>40.2</v>
      </c>
      <c r="K3598" t="s">
        <v>24</v>
      </c>
      <c r="L3598">
        <v>0</v>
      </c>
      <c r="M3598">
        <v>3</v>
      </c>
      <c r="N3598" t="s">
        <v>302</v>
      </c>
      <c r="O3598" s="3" t="str">
        <f>TEXT(Ticket_Table[[#This Row],[raised_date]],"YYYY-MM")</f>
        <v>2023-03</v>
      </c>
      <c r="P3598" s="3" t="str">
        <f>IF(Ticket_Table[[#This Row],[resolution_hrs]]&lt;=4,"Fast",IF(Ticket_Table[[#This Row],[resolution_hrs]]&lt;=24,"Normal",IF(Ticket_Table[[#This Row],[resolution_hrs]]&lt;=48,"Slow","Very Slow")))</f>
        <v>Slow</v>
      </c>
      <c r="Q3598" s="3">
        <f>YEAR(Ticket_Table[[#This Row],[raised_date]])</f>
        <v>2023</v>
      </c>
    </row>
    <row r="3599" spans="1:17">
      <c r="A3599" t="s">
        <v>4160</v>
      </c>
      <c r="B3599" t="s">
        <v>751</v>
      </c>
      <c r="C3599" t="s">
        <v>55</v>
      </c>
      <c r="D3599" t="s">
        <v>90</v>
      </c>
      <c r="E3599" t="s">
        <v>83</v>
      </c>
      <c r="F3599" t="s">
        <v>38</v>
      </c>
      <c r="G3599" t="s">
        <v>46</v>
      </c>
      <c r="H3599" s="1">
        <v>44897</v>
      </c>
      <c r="I3599" s="2">
        <v>44898.275</v>
      </c>
      <c r="J3599">
        <v>30.6</v>
      </c>
      <c r="K3599" t="s">
        <v>32</v>
      </c>
      <c r="L3599">
        <v>3</v>
      </c>
      <c r="M3599">
        <v>4</v>
      </c>
      <c r="N3599" t="s">
        <v>653</v>
      </c>
      <c r="O3599" s="3" t="str">
        <f>TEXT(Ticket_Table[[#This Row],[raised_date]],"YYYY-MM")</f>
        <v>2022-12</v>
      </c>
      <c r="P3599" s="3" t="str">
        <f>IF(Ticket_Table[[#This Row],[resolution_hrs]]&lt;=4,"Fast",IF(Ticket_Table[[#This Row],[resolution_hrs]]&lt;=24,"Normal",IF(Ticket_Table[[#This Row],[resolution_hrs]]&lt;=48,"Slow","Very Slow")))</f>
        <v>Slow</v>
      </c>
      <c r="Q3599" s="3">
        <f>YEAR(Ticket_Table[[#This Row],[raised_date]])</f>
        <v>2022</v>
      </c>
    </row>
    <row r="3600" spans="1:17">
      <c r="A3600" t="s">
        <v>4161</v>
      </c>
      <c r="B3600" t="s">
        <v>703</v>
      </c>
      <c r="C3600" t="s">
        <v>102</v>
      </c>
      <c r="D3600" t="s">
        <v>29</v>
      </c>
      <c r="E3600" t="s">
        <v>44</v>
      </c>
      <c r="F3600" t="s">
        <v>22</v>
      </c>
      <c r="G3600" t="s">
        <v>31</v>
      </c>
      <c r="H3600" s="1">
        <v>44352</v>
      </c>
      <c r="I3600" s="2">
        <v>44356.2875</v>
      </c>
      <c r="J3600">
        <v>102.9</v>
      </c>
      <c r="K3600" t="s">
        <v>32</v>
      </c>
      <c r="L3600">
        <v>0</v>
      </c>
      <c r="M3600">
        <v>4</v>
      </c>
      <c r="N3600" t="s">
        <v>1200</v>
      </c>
      <c r="O3600" s="3" t="str">
        <f>TEXT(Ticket_Table[[#This Row],[raised_date]],"YYYY-MM")</f>
        <v>2021-06</v>
      </c>
      <c r="P3600" s="3" t="str">
        <f>IF(Ticket_Table[[#This Row],[resolution_hrs]]&lt;=4,"Fast",IF(Ticket_Table[[#This Row],[resolution_hrs]]&lt;=24,"Normal",IF(Ticket_Table[[#This Row],[resolution_hrs]]&lt;=48,"Slow","Very Slow")))</f>
        <v>Very Slow</v>
      </c>
      <c r="Q3600" s="3">
        <f>YEAR(Ticket_Table[[#This Row],[raised_date]])</f>
        <v>2021</v>
      </c>
    </row>
    <row r="3601" spans="1:17">
      <c r="A3601" t="s">
        <v>4162</v>
      </c>
      <c r="B3601" t="s">
        <v>197</v>
      </c>
      <c r="C3601" t="s">
        <v>28</v>
      </c>
      <c r="D3601" t="s">
        <v>36</v>
      </c>
      <c r="E3601" t="s">
        <v>37</v>
      </c>
      <c r="F3601" t="s">
        <v>38</v>
      </c>
      <c r="G3601" t="s">
        <v>23</v>
      </c>
      <c r="H3601" s="1">
        <v>44562</v>
      </c>
      <c r="I3601" s="2">
        <v>44562.5875</v>
      </c>
      <c r="J3601">
        <v>14.1</v>
      </c>
      <c r="K3601" t="s">
        <v>24</v>
      </c>
      <c r="L3601">
        <v>1</v>
      </c>
      <c r="M3601">
        <v>4</v>
      </c>
      <c r="N3601" t="s">
        <v>668</v>
      </c>
      <c r="O3601" s="3" t="str">
        <f>TEXT(Ticket_Table[[#This Row],[raised_date]],"YYYY-MM")</f>
        <v>2022-01</v>
      </c>
      <c r="P3601" s="3" t="str">
        <f>IF(Ticket_Table[[#This Row],[resolution_hrs]]&lt;=4,"Fast",IF(Ticket_Table[[#This Row],[resolution_hrs]]&lt;=24,"Normal",IF(Ticket_Table[[#This Row],[resolution_hrs]]&lt;=48,"Slow","Very Slow")))</f>
        <v>Normal</v>
      </c>
      <c r="Q3601" s="3">
        <f>YEAR(Ticket_Table[[#This Row],[raised_date]])</f>
        <v>2022</v>
      </c>
    </row>
    <row r="3602" spans="1:17">
      <c r="A3602" t="s">
        <v>4163</v>
      </c>
      <c r="B3602" t="s">
        <v>143</v>
      </c>
      <c r="C3602" t="s">
        <v>68</v>
      </c>
      <c r="D3602" t="s">
        <v>43</v>
      </c>
      <c r="E3602" t="s">
        <v>106</v>
      </c>
      <c r="F3602" t="s">
        <v>38</v>
      </c>
      <c r="G3602" t="s">
        <v>23</v>
      </c>
      <c r="H3602" s="1">
        <v>45172</v>
      </c>
      <c r="I3602" s="2">
        <v>45173.0375</v>
      </c>
      <c r="J3602">
        <v>24.9</v>
      </c>
      <c r="K3602" t="s">
        <v>32</v>
      </c>
      <c r="L3602">
        <v>0</v>
      </c>
      <c r="M3602">
        <v>4</v>
      </c>
      <c r="N3602" t="s">
        <v>584</v>
      </c>
      <c r="O3602" s="3" t="str">
        <f>TEXT(Ticket_Table[[#This Row],[raised_date]],"YYYY-MM")</f>
        <v>2023-09</v>
      </c>
      <c r="P3602" s="3" t="str">
        <f>IF(Ticket_Table[[#This Row],[resolution_hrs]]&lt;=4,"Fast",IF(Ticket_Table[[#This Row],[resolution_hrs]]&lt;=24,"Normal",IF(Ticket_Table[[#This Row],[resolution_hrs]]&lt;=48,"Slow","Very Slow")))</f>
        <v>Slow</v>
      </c>
      <c r="Q3602" s="3">
        <f>YEAR(Ticket_Table[[#This Row],[raised_date]])</f>
        <v>2023</v>
      </c>
    </row>
    <row r="3603" spans="1:17">
      <c r="A3603" t="s">
        <v>4164</v>
      </c>
      <c r="B3603" t="s">
        <v>293</v>
      </c>
      <c r="C3603" t="s">
        <v>261</v>
      </c>
      <c r="D3603" t="s">
        <v>20</v>
      </c>
      <c r="E3603" t="s">
        <v>21</v>
      </c>
      <c r="F3603" t="s">
        <v>45</v>
      </c>
      <c r="G3603" t="s">
        <v>31</v>
      </c>
      <c r="H3603" s="1">
        <v>44839</v>
      </c>
      <c r="I3603" s="2">
        <v>44839.1458333333</v>
      </c>
      <c r="J3603">
        <v>3.5</v>
      </c>
      <c r="K3603" t="s">
        <v>24</v>
      </c>
      <c r="L3603">
        <v>0</v>
      </c>
      <c r="M3603">
        <v>4</v>
      </c>
      <c r="N3603" t="s">
        <v>370</v>
      </c>
      <c r="O3603" s="3" t="str">
        <f>TEXT(Ticket_Table[[#This Row],[raised_date]],"YYYY-MM")</f>
        <v>2022-10</v>
      </c>
      <c r="P3603" s="3" t="str">
        <f>IF(Ticket_Table[[#This Row],[resolution_hrs]]&lt;=4,"Fast",IF(Ticket_Table[[#This Row],[resolution_hrs]]&lt;=24,"Normal",IF(Ticket_Table[[#This Row],[resolution_hrs]]&lt;=48,"Slow","Very Slow")))</f>
        <v>Fast</v>
      </c>
      <c r="Q3603" s="3">
        <f>YEAR(Ticket_Table[[#This Row],[raised_date]])</f>
        <v>2022</v>
      </c>
    </row>
    <row r="3604" spans="1:17">
      <c r="A3604" t="s">
        <v>4165</v>
      </c>
      <c r="B3604" t="s">
        <v>1278</v>
      </c>
      <c r="C3604" t="s">
        <v>201</v>
      </c>
      <c r="D3604" t="s">
        <v>29</v>
      </c>
      <c r="E3604" t="s">
        <v>83</v>
      </c>
      <c r="F3604" t="s">
        <v>70</v>
      </c>
      <c r="G3604" t="s">
        <v>46</v>
      </c>
      <c r="H3604" s="1">
        <v>44921</v>
      </c>
      <c r="I3604" s="2">
        <v>44921.8208333333</v>
      </c>
      <c r="J3604">
        <v>19.7</v>
      </c>
      <c r="K3604" t="s">
        <v>24</v>
      </c>
      <c r="L3604">
        <v>0</v>
      </c>
      <c r="M3604">
        <v>5</v>
      </c>
      <c r="N3604" t="s">
        <v>618</v>
      </c>
      <c r="O3604" s="3" t="str">
        <f>TEXT(Ticket_Table[[#This Row],[raised_date]],"YYYY-MM")</f>
        <v>2022-12</v>
      </c>
      <c r="P3604" s="3" t="str">
        <f>IF(Ticket_Table[[#This Row],[resolution_hrs]]&lt;=4,"Fast",IF(Ticket_Table[[#This Row],[resolution_hrs]]&lt;=24,"Normal",IF(Ticket_Table[[#This Row],[resolution_hrs]]&lt;=48,"Slow","Very Slow")))</f>
        <v>Normal</v>
      </c>
      <c r="Q3604" s="3">
        <f>YEAR(Ticket_Table[[#This Row],[raised_date]])</f>
        <v>2022</v>
      </c>
    </row>
    <row r="3605" spans="1:17">
      <c r="A3605" t="s">
        <v>4166</v>
      </c>
      <c r="B3605" t="s">
        <v>929</v>
      </c>
      <c r="C3605" t="s">
        <v>140</v>
      </c>
      <c r="D3605" t="s">
        <v>20</v>
      </c>
      <c r="E3605" t="s">
        <v>83</v>
      </c>
      <c r="F3605" t="s">
        <v>38</v>
      </c>
      <c r="G3605" t="s">
        <v>31</v>
      </c>
      <c r="H3605" s="1">
        <v>44644</v>
      </c>
      <c r="I3605" s="2">
        <v>44645.3166666667</v>
      </c>
      <c r="J3605">
        <v>31.6</v>
      </c>
      <c r="K3605" t="s">
        <v>32</v>
      </c>
      <c r="L3605">
        <v>0</v>
      </c>
      <c r="M3605">
        <v>4</v>
      </c>
      <c r="N3605" t="s">
        <v>372</v>
      </c>
      <c r="O3605" s="3" t="str">
        <f>TEXT(Ticket_Table[[#This Row],[raised_date]],"YYYY-MM")</f>
        <v>2022-03</v>
      </c>
      <c r="P3605" s="3" t="str">
        <f>IF(Ticket_Table[[#This Row],[resolution_hrs]]&lt;=4,"Fast",IF(Ticket_Table[[#This Row],[resolution_hrs]]&lt;=24,"Normal",IF(Ticket_Table[[#This Row],[resolution_hrs]]&lt;=48,"Slow","Very Slow")))</f>
        <v>Slow</v>
      </c>
      <c r="Q3605" s="3">
        <f>YEAR(Ticket_Table[[#This Row],[raised_date]])</f>
        <v>2022</v>
      </c>
    </row>
    <row r="3606" spans="1:17">
      <c r="A3606" t="s">
        <v>4167</v>
      </c>
      <c r="B3606" t="s">
        <v>599</v>
      </c>
      <c r="C3606" t="s">
        <v>55</v>
      </c>
      <c r="D3606" t="s">
        <v>90</v>
      </c>
      <c r="E3606" t="s">
        <v>83</v>
      </c>
      <c r="F3606" t="s">
        <v>70</v>
      </c>
      <c r="G3606" t="s">
        <v>74</v>
      </c>
      <c r="H3606" s="1">
        <v>44748</v>
      </c>
      <c r="I3606" s="2">
        <v>44750.0625</v>
      </c>
      <c r="J3606">
        <v>49.5</v>
      </c>
      <c r="K3606" t="s">
        <v>32</v>
      </c>
      <c r="L3606">
        <v>0</v>
      </c>
      <c r="M3606">
        <v>5</v>
      </c>
      <c r="N3606" t="s">
        <v>720</v>
      </c>
      <c r="O3606" s="3" t="str">
        <f>TEXT(Ticket_Table[[#This Row],[raised_date]],"YYYY-MM")</f>
        <v>2022-07</v>
      </c>
      <c r="P3606" s="3" t="str">
        <f>IF(Ticket_Table[[#This Row],[resolution_hrs]]&lt;=4,"Fast",IF(Ticket_Table[[#This Row],[resolution_hrs]]&lt;=24,"Normal",IF(Ticket_Table[[#This Row],[resolution_hrs]]&lt;=48,"Slow","Very Slow")))</f>
        <v>Very Slow</v>
      </c>
      <c r="Q3606" s="3">
        <f>YEAR(Ticket_Table[[#This Row],[raised_date]])</f>
        <v>2022</v>
      </c>
    </row>
    <row r="3607" spans="1:17">
      <c r="A3607" t="s">
        <v>4168</v>
      </c>
      <c r="B3607" t="s">
        <v>685</v>
      </c>
      <c r="C3607" t="s">
        <v>64</v>
      </c>
      <c r="D3607" t="s">
        <v>29</v>
      </c>
      <c r="E3607" t="s">
        <v>21</v>
      </c>
      <c r="F3607" t="s">
        <v>70</v>
      </c>
      <c r="G3607" t="s">
        <v>23</v>
      </c>
      <c r="H3607" s="1">
        <v>44571</v>
      </c>
      <c r="I3607" s="2">
        <v>44572.8791666667</v>
      </c>
      <c r="J3607">
        <v>45.1</v>
      </c>
      <c r="K3607" t="s">
        <v>24</v>
      </c>
      <c r="L3607">
        <v>0</v>
      </c>
      <c r="M3607">
        <v>4</v>
      </c>
      <c r="N3607" t="s">
        <v>621</v>
      </c>
      <c r="O3607" s="3" t="str">
        <f>TEXT(Ticket_Table[[#This Row],[raised_date]],"YYYY-MM")</f>
        <v>2022-01</v>
      </c>
      <c r="P3607" s="3" t="str">
        <f>IF(Ticket_Table[[#This Row],[resolution_hrs]]&lt;=4,"Fast",IF(Ticket_Table[[#This Row],[resolution_hrs]]&lt;=24,"Normal",IF(Ticket_Table[[#This Row],[resolution_hrs]]&lt;=48,"Slow","Very Slow")))</f>
        <v>Slow</v>
      </c>
      <c r="Q3607" s="3">
        <f>YEAR(Ticket_Table[[#This Row],[raised_date]])</f>
        <v>2022</v>
      </c>
    </row>
    <row r="3608" spans="1:17">
      <c r="A3608" t="s">
        <v>4169</v>
      </c>
      <c r="B3608" t="s">
        <v>567</v>
      </c>
      <c r="C3608" t="s">
        <v>50</v>
      </c>
      <c r="D3608" t="s">
        <v>29</v>
      </c>
      <c r="E3608" t="s">
        <v>69</v>
      </c>
      <c r="F3608" t="s">
        <v>70</v>
      </c>
      <c r="G3608" t="s">
        <v>31</v>
      </c>
      <c r="H3608" s="1">
        <v>44586</v>
      </c>
      <c r="I3608" s="2">
        <v>44587.9458333333</v>
      </c>
      <c r="J3608">
        <v>46.7</v>
      </c>
      <c r="K3608" t="s">
        <v>24</v>
      </c>
      <c r="L3608">
        <v>0</v>
      </c>
      <c r="M3608">
        <v>4</v>
      </c>
      <c r="N3608" t="s">
        <v>426</v>
      </c>
      <c r="O3608" s="3" t="str">
        <f>TEXT(Ticket_Table[[#This Row],[raised_date]],"YYYY-MM")</f>
        <v>2022-01</v>
      </c>
      <c r="P3608" s="3" t="str">
        <f>IF(Ticket_Table[[#This Row],[resolution_hrs]]&lt;=4,"Fast",IF(Ticket_Table[[#This Row],[resolution_hrs]]&lt;=24,"Normal",IF(Ticket_Table[[#This Row],[resolution_hrs]]&lt;=48,"Slow","Very Slow")))</f>
        <v>Slow</v>
      </c>
      <c r="Q3608" s="3">
        <f>YEAR(Ticket_Table[[#This Row],[raised_date]])</f>
        <v>2022</v>
      </c>
    </row>
    <row r="3609" spans="1:17">
      <c r="A3609" t="s">
        <v>4170</v>
      </c>
      <c r="B3609" t="s">
        <v>67</v>
      </c>
      <c r="C3609" t="s">
        <v>42</v>
      </c>
      <c r="D3609" t="s">
        <v>29</v>
      </c>
      <c r="E3609" t="s">
        <v>21</v>
      </c>
      <c r="F3609" t="s">
        <v>22</v>
      </c>
      <c r="G3609" t="s">
        <v>46</v>
      </c>
      <c r="H3609" s="1">
        <v>45218</v>
      </c>
      <c r="I3609" s="2">
        <v>45221.3458333333</v>
      </c>
      <c r="J3609">
        <v>80.3</v>
      </c>
      <c r="K3609" t="s">
        <v>32</v>
      </c>
      <c r="L3609">
        <v>0</v>
      </c>
      <c r="M3609">
        <v>5</v>
      </c>
      <c r="N3609" t="s">
        <v>510</v>
      </c>
      <c r="O3609" s="3" t="str">
        <f>TEXT(Ticket_Table[[#This Row],[raised_date]],"YYYY-MM")</f>
        <v>2023-10</v>
      </c>
      <c r="P3609" s="3" t="str">
        <f>IF(Ticket_Table[[#This Row],[resolution_hrs]]&lt;=4,"Fast",IF(Ticket_Table[[#This Row],[resolution_hrs]]&lt;=24,"Normal",IF(Ticket_Table[[#This Row],[resolution_hrs]]&lt;=48,"Slow","Very Slow")))</f>
        <v>Very Slow</v>
      </c>
      <c r="Q3609" s="3">
        <f>YEAR(Ticket_Table[[#This Row],[raised_date]])</f>
        <v>2023</v>
      </c>
    </row>
    <row r="3610" spans="1:17">
      <c r="A3610" t="s">
        <v>4171</v>
      </c>
      <c r="B3610" t="s">
        <v>567</v>
      </c>
      <c r="C3610" t="s">
        <v>213</v>
      </c>
      <c r="D3610" t="s">
        <v>43</v>
      </c>
      <c r="E3610" t="s">
        <v>56</v>
      </c>
      <c r="F3610" t="s">
        <v>70</v>
      </c>
      <c r="G3610" t="s">
        <v>31</v>
      </c>
      <c r="H3610" s="1">
        <v>44605</v>
      </c>
      <c r="I3610" s="2">
        <v>44605.7666666667</v>
      </c>
      <c r="J3610">
        <v>18.4</v>
      </c>
      <c r="K3610" t="s">
        <v>24</v>
      </c>
      <c r="L3610">
        <v>1</v>
      </c>
      <c r="M3610">
        <v>1</v>
      </c>
      <c r="N3610" t="s">
        <v>295</v>
      </c>
      <c r="O3610" s="3" t="str">
        <f>TEXT(Ticket_Table[[#This Row],[raised_date]],"YYYY-MM")</f>
        <v>2022-02</v>
      </c>
      <c r="P3610" s="3" t="str">
        <f>IF(Ticket_Table[[#This Row],[resolution_hrs]]&lt;=4,"Fast",IF(Ticket_Table[[#This Row],[resolution_hrs]]&lt;=24,"Normal",IF(Ticket_Table[[#This Row],[resolution_hrs]]&lt;=48,"Slow","Very Slow")))</f>
        <v>Normal</v>
      </c>
      <c r="Q3610" s="3">
        <f>YEAR(Ticket_Table[[#This Row],[raised_date]])</f>
        <v>2022</v>
      </c>
    </row>
    <row r="3611" spans="1:17">
      <c r="A3611" t="s">
        <v>4172</v>
      </c>
      <c r="B3611" t="s">
        <v>833</v>
      </c>
      <c r="C3611" t="s">
        <v>175</v>
      </c>
      <c r="D3611" t="s">
        <v>29</v>
      </c>
      <c r="E3611" t="s">
        <v>21</v>
      </c>
      <c r="F3611" t="s">
        <v>70</v>
      </c>
      <c r="G3611" t="s">
        <v>46</v>
      </c>
      <c r="H3611" s="1">
        <v>44677</v>
      </c>
      <c r="I3611" s="2">
        <v>44679.4708333333</v>
      </c>
      <c r="J3611">
        <v>59.3</v>
      </c>
      <c r="K3611" t="s">
        <v>32</v>
      </c>
      <c r="L3611">
        <v>0</v>
      </c>
      <c r="M3611">
        <v>4</v>
      </c>
      <c r="N3611" t="s">
        <v>138</v>
      </c>
      <c r="O3611" s="3" t="str">
        <f>TEXT(Ticket_Table[[#This Row],[raised_date]],"YYYY-MM")</f>
        <v>2022-04</v>
      </c>
      <c r="P3611" s="3" t="str">
        <f>IF(Ticket_Table[[#This Row],[resolution_hrs]]&lt;=4,"Fast",IF(Ticket_Table[[#This Row],[resolution_hrs]]&lt;=24,"Normal",IF(Ticket_Table[[#This Row],[resolution_hrs]]&lt;=48,"Slow","Very Slow")))</f>
        <v>Very Slow</v>
      </c>
      <c r="Q3611" s="3">
        <f>YEAR(Ticket_Table[[#This Row],[raised_date]])</f>
        <v>2022</v>
      </c>
    </row>
    <row r="3612" spans="1:17">
      <c r="A3612" t="s">
        <v>4173</v>
      </c>
      <c r="B3612" t="s">
        <v>39</v>
      </c>
      <c r="C3612" t="s">
        <v>95</v>
      </c>
      <c r="D3612" t="s">
        <v>20</v>
      </c>
      <c r="E3612" t="s">
        <v>69</v>
      </c>
      <c r="F3612" t="s">
        <v>38</v>
      </c>
      <c r="G3612" t="s">
        <v>31</v>
      </c>
      <c r="H3612" s="1">
        <v>44692</v>
      </c>
      <c r="I3612" s="2">
        <v>44692.0541666667</v>
      </c>
      <c r="J3612">
        <v>1.3</v>
      </c>
      <c r="K3612" t="s">
        <v>24</v>
      </c>
      <c r="L3612">
        <v>0</v>
      </c>
      <c r="M3612">
        <v>5</v>
      </c>
      <c r="N3612" t="s">
        <v>296</v>
      </c>
      <c r="O3612" s="3" t="str">
        <f>TEXT(Ticket_Table[[#This Row],[raised_date]],"YYYY-MM")</f>
        <v>2022-05</v>
      </c>
      <c r="P3612" s="3" t="str">
        <f>IF(Ticket_Table[[#This Row],[resolution_hrs]]&lt;=4,"Fast",IF(Ticket_Table[[#This Row],[resolution_hrs]]&lt;=24,"Normal",IF(Ticket_Table[[#This Row],[resolution_hrs]]&lt;=48,"Slow","Very Slow")))</f>
        <v>Fast</v>
      </c>
      <c r="Q3612" s="3">
        <f>YEAR(Ticket_Table[[#This Row],[raised_date]])</f>
        <v>2022</v>
      </c>
    </row>
    <row r="3613" spans="1:17">
      <c r="A3613" t="s">
        <v>4174</v>
      </c>
      <c r="B3613" t="s">
        <v>1058</v>
      </c>
      <c r="C3613" t="s">
        <v>261</v>
      </c>
      <c r="D3613" t="s">
        <v>43</v>
      </c>
      <c r="E3613" t="s">
        <v>30</v>
      </c>
      <c r="F3613" t="s">
        <v>38</v>
      </c>
      <c r="G3613" t="s">
        <v>23</v>
      </c>
      <c r="H3613" s="1">
        <v>44740</v>
      </c>
      <c r="I3613" s="2">
        <v>44741.2875</v>
      </c>
      <c r="J3613">
        <v>30.9</v>
      </c>
      <c r="K3613" t="s">
        <v>32</v>
      </c>
      <c r="L3613">
        <v>0</v>
      </c>
      <c r="M3613">
        <v>4</v>
      </c>
      <c r="N3613" t="s">
        <v>1265</v>
      </c>
      <c r="O3613" s="3" t="str">
        <f>TEXT(Ticket_Table[[#This Row],[raised_date]],"YYYY-MM")</f>
        <v>2022-06</v>
      </c>
      <c r="P3613" s="3" t="str">
        <f>IF(Ticket_Table[[#This Row],[resolution_hrs]]&lt;=4,"Fast",IF(Ticket_Table[[#This Row],[resolution_hrs]]&lt;=24,"Normal",IF(Ticket_Table[[#This Row],[resolution_hrs]]&lt;=48,"Slow","Very Slow")))</f>
        <v>Slow</v>
      </c>
      <c r="Q3613" s="3">
        <f>YEAR(Ticket_Table[[#This Row],[raised_date]])</f>
        <v>2022</v>
      </c>
    </row>
    <row r="3614" spans="1:17">
      <c r="A3614" t="s">
        <v>4175</v>
      </c>
      <c r="B3614" t="s">
        <v>1265</v>
      </c>
      <c r="C3614" t="s">
        <v>82</v>
      </c>
      <c r="D3614" t="s">
        <v>29</v>
      </c>
      <c r="E3614" t="s">
        <v>56</v>
      </c>
      <c r="F3614" t="s">
        <v>38</v>
      </c>
      <c r="G3614" t="s">
        <v>31</v>
      </c>
      <c r="H3614" s="1">
        <v>44620</v>
      </c>
      <c r="I3614" s="2">
        <v>44620.4666666667</v>
      </c>
      <c r="J3614">
        <v>11.2</v>
      </c>
      <c r="K3614" t="s">
        <v>24</v>
      </c>
      <c r="L3614">
        <v>0</v>
      </c>
      <c r="M3614">
        <v>5</v>
      </c>
      <c r="N3614" t="s">
        <v>75</v>
      </c>
      <c r="O3614" s="3" t="str">
        <f>TEXT(Ticket_Table[[#This Row],[raised_date]],"YYYY-MM")</f>
        <v>2022-02</v>
      </c>
      <c r="P3614" s="3" t="str">
        <f>IF(Ticket_Table[[#This Row],[resolution_hrs]]&lt;=4,"Fast",IF(Ticket_Table[[#This Row],[resolution_hrs]]&lt;=24,"Normal",IF(Ticket_Table[[#This Row],[resolution_hrs]]&lt;=48,"Slow","Very Slow")))</f>
        <v>Normal</v>
      </c>
      <c r="Q3614" s="3">
        <f>YEAR(Ticket_Table[[#This Row],[raised_date]])</f>
        <v>2022</v>
      </c>
    </row>
    <row r="3615" spans="1:17">
      <c r="A3615" t="s">
        <v>4176</v>
      </c>
      <c r="B3615" t="s">
        <v>503</v>
      </c>
      <c r="C3615" t="s">
        <v>102</v>
      </c>
      <c r="D3615" t="s">
        <v>20</v>
      </c>
      <c r="E3615" t="s">
        <v>166</v>
      </c>
      <c r="F3615" t="s">
        <v>22</v>
      </c>
      <c r="G3615" t="s">
        <v>31</v>
      </c>
      <c r="H3615" s="1">
        <v>44666</v>
      </c>
      <c r="I3615" s="2">
        <v>44666.7458333333</v>
      </c>
      <c r="J3615">
        <v>17.9</v>
      </c>
      <c r="K3615" t="s">
        <v>24</v>
      </c>
      <c r="L3615">
        <v>0</v>
      </c>
      <c r="M3615">
        <v>3</v>
      </c>
      <c r="N3615" t="s">
        <v>1129</v>
      </c>
      <c r="O3615" s="3" t="str">
        <f>TEXT(Ticket_Table[[#This Row],[raised_date]],"YYYY-MM")</f>
        <v>2022-04</v>
      </c>
      <c r="P3615" s="3" t="str">
        <f>IF(Ticket_Table[[#This Row],[resolution_hrs]]&lt;=4,"Fast",IF(Ticket_Table[[#This Row],[resolution_hrs]]&lt;=24,"Normal",IF(Ticket_Table[[#This Row],[resolution_hrs]]&lt;=48,"Slow","Very Slow")))</f>
        <v>Normal</v>
      </c>
      <c r="Q3615" s="3">
        <f>YEAR(Ticket_Table[[#This Row],[raised_date]])</f>
        <v>2022</v>
      </c>
    </row>
    <row r="3616" spans="1:17">
      <c r="A3616" t="s">
        <v>4177</v>
      </c>
      <c r="B3616" t="s">
        <v>423</v>
      </c>
      <c r="C3616" t="s">
        <v>201</v>
      </c>
      <c r="D3616" t="s">
        <v>20</v>
      </c>
      <c r="E3616" t="s">
        <v>51</v>
      </c>
      <c r="F3616" t="s">
        <v>38</v>
      </c>
      <c r="G3616" t="s">
        <v>23</v>
      </c>
      <c r="H3616" s="1">
        <v>44612</v>
      </c>
      <c r="I3616" s="2">
        <v>44612.625</v>
      </c>
      <c r="J3616">
        <v>15</v>
      </c>
      <c r="K3616" t="s">
        <v>24</v>
      </c>
      <c r="L3616">
        <v>0</v>
      </c>
      <c r="M3616">
        <v>4</v>
      </c>
      <c r="N3616" t="s">
        <v>981</v>
      </c>
      <c r="O3616" s="3" t="str">
        <f>TEXT(Ticket_Table[[#This Row],[raised_date]],"YYYY-MM")</f>
        <v>2022-02</v>
      </c>
      <c r="P3616" s="3" t="str">
        <f>IF(Ticket_Table[[#This Row],[resolution_hrs]]&lt;=4,"Fast",IF(Ticket_Table[[#This Row],[resolution_hrs]]&lt;=24,"Normal",IF(Ticket_Table[[#This Row],[resolution_hrs]]&lt;=48,"Slow","Very Slow")))</f>
        <v>Normal</v>
      </c>
      <c r="Q3616" s="3">
        <f>YEAR(Ticket_Table[[#This Row],[raised_date]])</f>
        <v>2022</v>
      </c>
    </row>
    <row r="3617" spans="1:17">
      <c r="A3617" t="s">
        <v>4178</v>
      </c>
      <c r="B3617" t="s">
        <v>653</v>
      </c>
      <c r="C3617" t="s">
        <v>68</v>
      </c>
      <c r="D3617" t="s">
        <v>36</v>
      </c>
      <c r="E3617" t="s">
        <v>166</v>
      </c>
      <c r="F3617" t="s">
        <v>70</v>
      </c>
      <c r="G3617" t="s">
        <v>46</v>
      </c>
      <c r="H3617" s="1">
        <v>44708</v>
      </c>
      <c r="I3617" s="2">
        <v>44708.2583333333</v>
      </c>
      <c r="J3617">
        <v>6.2</v>
      </c>
      <c r="K3617" t="s">
        <v>24</v>
      </c>
      <c r="L3617">
        <v>0</v>
      </c>
      <c r="M3617">
        <v>5</v>
      </c>
      <c r="N3617" t="s">
        <v>241</v>
      </c>
      <c r="O3617" s="3" t="str">
        <f>TEXT(Ticket_Table[[#This Row],[raised_date]],"YYYY-MM")</f>
        <v>2022-05</v>
      </c>
      <c r="P3617" s="3" t="str">
        <f>IF(Ticket_Table[[#This Row],[resolution_hrs]]&lt;=4,"Fast",IF(Ticket_Table[[#This Row],[resolution_hrs]]&lt;=24,"Normal",IF(Ticket_Table[[#This Row],[resolution_hrs]]&lt;=48,"Slow","Very Slow")))</f>
        <v>Normal</v>
      </c>
      <c r="Q3617" s="3">
        <f>YEAR(Ticket_Table[[#This Row],[raised_date]])</f>
        <v>2022</v>
      </c>
    </row>
    <row r="3618" spans="1:17">
      <c r="A3618" t="s">
        <v>4179</v>
      </c>
      <c r="B3618" t="s">
        <v>401</v>
      </c>
      <c r="C3618" t="s">
        <v>82</v>
      </c>
      <c r="D3618" t="s">
        <v>20</v>
      </c>
      <c r="E3618" t="s">
        <v>37</v>
      </c>
      <c r="F3618" t="s">
        <v>38</v>
      </c>
      <c r="G3618" t="s">
        <v>31</v>
      </c>
      <c r="H3618" s="1">
        <v>44926</v>
      </c>
      <c r="I3618" s="2">
        <v>44926.6083333333</v>
      </c>
      <c r="J3618">
        <v>14.6</v>
      </c>
      <c r="K3618" t="s">
        <v>24</v>
      </c>
      <c r="L3618">
        <v>0</v>
      </c>
      <c r="M3618">
        <v>4</v>
      </c>
      <c r="N3618" t="s">
        <v>858</v>
      </c>
      <c r="O3618" s="3" t="str">
        <f>TEXT(Ticket_Table[[#This Row],[raised_date]],"YYYY-MM")</f>
        <v>2022-12</v>
      </c>
      <c r="P3618" s="3" t="str">
        <f>IF(Ticket_Table[[#This Row],[resolution_hrs]]&lt;=4,"Fast",IF(Ticket_Table[[#This Row],[resolution_hrs]]&lt;=24,"Normal",IF(Ticket_Table[[#This Row],[resolution_hrs]]&lt;=48,"Slow","Very Slow")))</f>
        <v>Normal</v>
      </c>
      <c r="Q3618" s="3">
        <f>YEAR(Ticket_Table[[#This Row],[raised_date]])</f>
        <v>2022</v>
      </c>
    </row>
    <row r="3619" spans="1:17">
      <c r="A3619" t="s">
        <v>4180</v>
      </c>
      <c r="B3619" t="s">
        <v>493</v>
      </c>
      <c r="C3619" t="s">
        <v>55</v>
      </c>
      <c r="D3619" t="s">
        <v>90</v>
      </c>
      <c r="E3619" t="s">
        <v>166</v>
      </c>
      <c r="F3619" t="s">
        <v>45</v>
      </c>
      <c r="G3619" t="s">
        <v>46</v>
      </c>
      <c r="H3619" s="1">
        <v>44516</v>
      </c>
      <c r="I3619" s="2">
        <v>44516.1375</v>
      </c>
      <c r="J3619">
        <v>3.3</v>
      </c>
      <c r="K3619" t="s">
        <v>24</v>
      </c>
      <c r="L3619">
        <v>0</v>
      </c>
      <c r="M3619">
        <v>4</v>
      </c>
      <c r="N3619" t="s">
        <v>295</v>
      </c>
      <c r="O3619" s="3" t="str">
        <f>TEXT(Ticket_Table[[#This Row],[raised_date]],"YYYY-MM")</f>
        <v>2021-11</v>
      </c>
      <c r="P3619" s="3" t="str">
        <f>IF(Ticket_Table[[#This Row],[resolution_hrs]]&lt;=4,"Fast",IF(Ticket_Table[[#This Row],[resolution_hrs]]&lt;=24,"Normal",IF(Ticket_Table[[#This Row],[resolution_hrs]]&lt;=48,"Slow","Very Slow")))</f>
        <v>Fast</v>
      </c>
      <c r="Q3619" s="3">
        <f>YEAR(Ticket_Table[[#This Row],[raised_date]])</f>
        <v>2021</v>
      </c>
    </row>
    <row r="3620" spans="1:17">
      <c r="A3620" t="s">
        <v>4181</v>
      </c>
      <c r="B3620" t="s">
        <v>255</v>
      </c>
      <c r="C3620" t="s">
        <v>133</v>
      </c>
      <c r="D3620" t="s">
        <v>29</v>
      </c>
      <c r="E3620" t="s">
        <v>56</v>
      </c>
      <c r="F3620" t="s">
        <v>22</v>
      </c>
      <c r="G3620" t="s">
        <v>23</v>
      </c>
      <c r="H3620" s="1">
        <v>44415</v>
      </c>
      <c r="I3620" s="2">
        <v>44415.4583333333</v>
      </c>
      <c r="J3620">
        <v>11</v>
      </c>
      <c r="K3620" t="s">
        <v>24</v>
      </c>
      <c r="L3620">
        <v>2</v>
      </c>
      <c r="M3620">
        <v>2</v>
      </c>
      <c r="N3620" t="s">
        <v>1382</v>
      </c>
      <c r="O3620" s="3" t="str">
        <f>TEXT(Ticket_Table[[#This Row],[raised_date]],"YYYY-MM")</f>
        <v>2021-08</v>
      </c>
      <c r="P3620" s="3" t="str">
        <f>IF(Ticket_Table[[#This Row],[resolution_hrs]]&lt;=4,"Fast",IF(Ticket_Table[[#This Row],[resolution_hrs]]&lt;=24,"Normal",IF(Ticket_Table[[#This Row],[resolution_hrs]]&lt;=48,"Slow","Very Slow")))</f>
        <v>Normal</v>
      </c>
      <c r="Q3620" s="3">
        <f>YEAR(Ticket_Table[[#This Row],[raised_date]])</f>
        <v>2021</v>
      </c>
    </row>
    <row r="3621" spans="1:17">
      <c r="A3621" t="s">
        <v>4182</v>
      </c>
      <c r="B3621" t="s">
        <v>118</v>
      </c>
      <c r="C3621" t="s">
        <v>64</v>
      </c>
      <c r="D3621" t="s">
        <v>29</v>
      </c>
      <c r="E3621" t="s">
        <v>166</v>
      </c>
      <c r="F3621" t="s">
        <v>38</v>
      </c>
      <c r="G3621" t="s">
        <v>31</v>
      </c>
      <c r="H3621" s="1">
        <v>44442</v>
      </c>
      <c r="I3621" s="2">
        <v>44442.7208333333</v>
      </c>
      <c r="J3621">
        <v>17.3</v>
      </c>
      <c r="K3621" t="s">
        <v>24</v>
      </c>
      <c r="L3621">
        <v>2</v>
      </c>
      <c r="M3621">
        <v>1</v>
      </c>
      <c r="N3621" t="s">
        <v>662</v>
      </c>
      <c r="O3621" s="3" t="str">
        <f>TEXT(Ticket_Table[[#This Row],[raised_date]],"YYYY-MM")</f>
        <v>2021-09</v>
      </c>
      <c r="P3621" s="3" t="str">
        <f>IF(Ticket_Table[[#This Row],[resolution_hrs]]&lt;=4,"Fast",IF(Ticket_Table[[#This Row],[resolution_hrs]]&lt;=24,"Normal",IF(Ticket_Table[[#This Row],[resolution_hrs]]&lt;=48,"Slow","Very Slow")))</f>
        <v>Normal</v>
      </c>
      <c r="Q3621" s="3">
        <f>YEAR(Ticket_Table[[#This Row],[raised_date]])</f>
        <v>2021</v>
      </c>
    </row>
    <row r="3622" spans="1:17">
      <c r="A3622" t="s">
        <v>4183</v>
      </c>
      <c r="B3622" t="s">
        <v>966</v>
      </c>
      <c r="C3622" t="s">
        <v>55</v>
      </c>
      <c r="D3622" t="s">
        <v>29</v>
      </c>
      <c r="E3622" t="s">
        <v>44</v>
      </c>
      <c r="F3622" t="s">
        <v>22</v>
      </c>
      <c r="G3622" t="s">
        <v>31</v>
      </c>
      <c r="H3622" s="1">
        <v>44357</v>
      </c>
      <c r="I3622" s="2">
        <v>44359.9041666667</v>
      </c>
      <c r="J3622">
        <v>69.7</v>
      </c>
      <c r="K3622" t="s">
        <v>24</v>
      </c>
      <c r="L3622">
        <v>0</v>
      </c>
      <c r="M3622">
        <v>4</v>
      </c>
      <c r="N3622" t="s">
        <v>413</v>
      </c>
      <c r="O3622" s="3" t="str">
        <f>TEXT(Ticket_Table[[#This Row],[raised_date]],"YYYY-MM")</f>
        <v>2021-06</v>
      </c>
      <c r="P3622" s="3" t="str">
        <f>IF(Ticket_Table[[#This Row],[resolution_hrs]]&lt;=4,"Fast",IF(Ticket_Table[[#This Row],[resolution_hrs]]&lt;=24,"Normal",IF(Ticket_Table[[#This Row],[resolution_hrs]]&lt;=48,"Slow","Very Slow")))</f>
        <v>Very Slow</v>
      </c>
      <c r="Q3622" s="3">
        <f>YEAR(Ticket_Table[[#This Row],[raised_date]])</f>
        <v>2021</v>
      </c>
    </row>
    <row r="3623" spans="1:17">
      <c r="A3623" t="s">
        <v>4184</v>
      </c>
      <c r="B3623" t="s">
        <v>853</v>
      </c>
      <c r="C3623" t="s">
        <v>287</v>
      </c>
      <c r="D3623" t="s">
        <v>20</v>
      </c>
      <c r="E3623" t="s">
        <v>166</v>
      </c>
      <c r="F3623" t="s">
        <v>70</v>
      </c>
      <c r="G3623" t="s">
        <v>46</v>
      </c>
      <c r="H3623" s="1">
        <v>45205</v>
      </c>
      <c r="I3623" s="2">
        <v>45207.7041666667</v>
      </c>
      <c r="J3623">
        <v>64.9</v>
      </c>
      <c r="K3623" t="s">
        <v>32</v>
      </c>
      <c r="L3623">
        <v>0</v>
      </c>
      <c r="M3623">
        <v>5</v>
      </c>
      <c r="N3623" t="s">
        <v>262</v>
      </c>
      <c r="O3623" s="3" t="str">
        <f>TEXT(Ticket_Table[[#This Row],[raised_date]],"YYYY-MM")</f>
        <v>2023-10</v>
      </c>
      <c r="P3623" s="3" t="str">
        <f>IF(Ticket_Table[[#This Row],[resolution_hrs]]&lt;=4,"Fast",IF(Ticket_Table[[#This Row],[resolution_hrs]]&lt;=24,"Normal",IF(Ticket_Table[[#This Row],[resolution_hrs]]&lt;=48,"Slow","Very Slow")))</f>
        <v>Very Slow</v>
      </c>
      <c r="Q3623" s="3">
        <f>YEAR(Ticket_Table[[#This Row],[raised_date]])</f>
        <v>2023</v>
      </c>
    </row>
    <row r="3624" spans="1:17">
      <c r="A3624" t="s">
        <v>4185</v>
      </c>
      <c r="B3624" t="s">
        <v>372</v>
      </c>
      <c r="C3624" t="s">
        <v>117</v>
      </c>
      <c r="D3624" t="s">
        <v>20</v>
      </c>
      <c r="E3624" t="s">
        <v>106</v>
      </c>
      <c r="F3624" t="s">
        <v>70</v>
      </c>
      <c r="G3624" t="s">
        <v>46</v>
      </c>
      <c r="H3624" s="1">
        <v>44210</v>
      </c>
      <c r="I3624" s="2">
        <v>44211.4166666667</v>
      </c>
      <c r="J3624">
        <v>34</v>
      </c>
      <c r="K3624" t="s">
        <v>24</v>
      </c>
      <c r="L3624">
        <v>2</v>
      </c>
      <c r="M3624">
        <v>5</v>
      </c>
      <c r="N3624" t="s">
        <v>504</v>
      </c>
      <c r="O3624" s="3" t="str">
        <f>TEXT(Ticket_Table[[#This Row],[raised_date]],"YYYY-MM")</f>
        <v>2021-01</v>
      </c>
      <c r="P3624" s="3" t="str">
        <f>IF(Ticket_Table[[#This Row],[resolution_hrs]]&lt;=4,"Fast",IF(Ticket_Table[[#This Row],[resolution_hrs]]&lt;=24,"Normal",IF(Ticket_Table[[#This Row],[resolution_hrs]]&lt;=48,"Slow","Very Slow")))</f>
        <v>Slow</v>
      </c>
      <c r="Q3624" s="3">
        <f>YEAR(Ticket_Table[[#This Row],[raised_date]])</f>
        <v>2021</v>
      </c>
    </row>
    <row r="3625" spans="1:17">
      <c r="A3625" t="s">
        <v>4186</v>
      </c>
      <c r="B3625" t="s">
        <v>207</v>
      </c>
      <c r="C3625" t="s">
        <v>68</v>
      </c>
      <c r="D3625" t="s">
        <v>29</v>
      </c>
      <c r="E3625" t="s">
        <v>37</v>
      </c>
      <c r="F3625" t="s">
        <v>22</v>
      </c>
      <c r="G3625" t="s">
        <v>23</v>
      </c>
      <c r="H3625" s="1">
        <v>44283</v>
      </c>
      <c r="I3625" s="2">
        <v>44283.425</v>
      </c>
      <c r="J3625">
        <v>10.2</v>
      </c>
      <c r="K3625" t="s">
        <v>24</v>
      </c>
      <c r="L3625">
        <v>0</v>
      </c>
      <c r="M3625">
        <v>4</v>
      </c>
      <c r="N3625" t="s">
        <v>510</v>
      </c>
      <c r="O3625" s="3" t="str">
        <f>TEXT(Ticket_Table[[#This Row],[raised_date]],"YYYY-MM")</f>
        <v>2021-03</v>
      </c>
      <c r="P3625" s="3" t="str">
        <f>IF(Ticket_Table[[#This Row],[resolution_hrs]]&lt;=4,"Fast",IF(Ticket_Table[[#This Row],[resolution_hrs]]&lt;=24,"Normal",IF(Ticket_Table[[#This Row],[resolution_hrs]]&lt;=48,"Slow","Very Slow")))</f>
        <v>Normal</v>
      </c>
      <c r="Q3625" s="3">
        <f>YEAR(Ticket_Table[[#This Row],[raised_date]])</f>
        <v>2021</v>
      </c>
    </row>
    <row r="3626" spans="1:17">
      <c r="A3626" t="s">
        <v>4187</v>
      </c>
      <c r="B3626" t="s">
        <v>71</v>
      </c>
      <c r="C3626" t="s">
        <v>55</v>
      </c>
      <c r="D3626" t="s">
        <v>43</v>
      </c>
      <c r="E3626" t="s">
        <v>51</v>
      </c>
      <c r="F3626" t="s">
        <v>38</v>
      </c>
      <c r="G3626" t="s">
        <v>23</v>
      </c>
      <c r="H3626" s="1">
        <v>45184</v>
      </c>
      <c r="I3626" s="2">
        <v>45185.1083333333</v>
      </c>
      <c r="J3626">
        <v>26.6</v>
      </c>
      <c r="K3626" t="s">
        <v>32</v>
      </c>
      <c r="L3626">
        <v>0</v>
      </c>
      <c r="M3626">
        <v>5</v>
      </c>
      <c r="N3626" t="s">
        <v>277</v>
      </c>
      <c r="O3626" s="3" t="str">
        <f>TEXT(Ticket_Table[[#This Row],[raised_date]],"YYYY-MM")</f>
        <v>2023-09</v>
      </c>
      <c r="P3626" s="3" t="str">
        <f>IF(Ticket_Table[[#This Row],[resolution_hrs]]&lt;=4,"Fast",IF(Ticket_Table[[#This Row],[resolution_hrs]]&lt;=24,"Normal",IF(Ticket_Table[[#This Row],[resolution_hrs]]&lt;=48,"Slow","Very Slow")))</f>
        <v>Slow</v>
      </c>
      <c r="Q3626" s="3">
        <f>YEAR(Ticket_Table[[#This Row],[raised_date]])</f>
        <v>2023</v>
      </c>
    </row>
    <row r="3627" spans="1:17">
      <c r="A3627" t="s">
        <v>4188</v>
      </c>
      <c r="B3627" t="s">
        <v>787</v>
      </c>
      <c r="C3627" t="s">
        <v>19</v>
      </c>
      <c r="D3627" t="s">
        <v>43</v>
      </c>
      <c r="E3627" t="s">
        <v>69</v>
      </c>
      <c r="F3627" t="s">
        <v>22</v>
      </c>
      <c r="G3627" t="s">
        <v>46</v>
      </c>
      <c r="H3627" s="1">
        <v>44957</v>
      </c>
      <c r="I3627" s="2">
        <v>44961.1333333333</v>
      </c>
      <c r="J3627">
        <v>99.2</v>
      </c>
      <c r="K3627" t="s">
        <v>32</v>
      </c>
      <c r="L3627">
        <v>0</v>
      </c>
      <c r="M3627">
        <v>4</v>
      </c>
      <c r="N3627" t="s">
        <v>98</v>
      </c>
      <c r="O3627" s="3" t="str">
        <f>TEXT(Ticket_Table[[#This Row],[raised_date]],"YYYY-MM")</f>
        <v>2023-01</v>
      </c>
      <c r="P3627" s="3" t="str">
        <f>IF(Ticket_Table[[#This Row],[resolution_hrs]]&lt;=4,"Fast",IF(Ticket_Table[[#This Row],[resolution_hrs]]&lt;=24,"Normal",IF(Ticket_Table[[#This Row],[resolution_hrs]]&lt;=48,"Slow","Very Slow")))</f>
        <v>Very Slow</v>
      </c>
      <c r="Q3627" s="3">
        <f>YEAR(Ticket_Table[[#This Row],[raised_date]])</f>
        <v>2023</v>
      </c>
    </row>
    <row r="3628" spans="1:17">
      <c r="A3628" t="s">
        <v>4189</v>
      </c>
      <c r="B3628" t="s">
        <v>942</v>
      </c>
      <c r="C3628" t="s">
        <v>102</v>
      </c>
      <c r="D3628" t="s">
        <v>90</v>
      </c>
      <c r="E3628" t="s">
        <v>106</v>
      </c>
      <c r="F3628" t="s">
        <v>22</v>
      </c>
      <c r="G3628" t="s">
        <v>31</v>
      </c>
      <c r="H3628" s="1">
        <v>44842</v>
      </c>
      <c r="I3628" s="2">
        <v>44846.1541666667</v>
      </c>
      <c r="J3628">
        <v>99.7</v>
      </c>
      <c r="K3628" t="s">
        <v>32</v>
      </c>
      <c r="L3628">
        <v>3</v>
      </c>
      <c r="M3628">
        <v>4</v>
      </c>
      <c r="N3628" t="s">
        <v>599</v>
      </c>
      <c r="O3628" s="3" t="str">
        <f>TEXT(Ticket_Table[[#This Row],[raised_date]],"YYYY-MM")</f>
        <v>2022-10</v>
      </c>
      <c r="P3628" s="3" t="str">
        <f>IF(Ticket_Table[[#This Row],[resolution_hrs]]&lt;=4,"Fast",IF(Ticket_Table[[#This Row],[resolution_hrs]]&lt;=24,"Normal",IF(Ticket_Table[[#This Row],[resolution_hrs]]&lt;=48,"Slow","Very Slow")))</f>
        <v>Very Slow</v>
      </c>
      <c r="Q3628" s="3">
        <f>YEAR(Ticket_Table[[#This Row],[raised_date]])</f>
        <v>2022</v>
      </c>
    </row>
    <row r="3629" spans="1:17">
      <c r="A3629" t="s">
        <v>4190</v>
      </c>
      <c r="B3629" t="s">
        <v>365</v>
      </c>
      <c r="C3629" t="s">
        <v>64</v>
      </c>
      <c r="D3629" t="s">
        <v>36</v>
      </c>
      <c r="E3629" t="s">
        <v>106</v>
      </c>
      <c r="F3629" t="s">
        <v>70</v>
      </c>
      <c r="G3629" t="s">
        <v>23</v>
      </c>
      <c r="H3629" s="1">
        <v>45205</v>
      </c>
      <c r="I3629" s="2">
        <v>45207.3125</v>
      </c>
      <c r="J3629">
        <v>55.5</v>
      </c>
      <c r="K3629" t="s">
        <v>32</v>
      </c>
      <c r="L3629">
        <v>1</v>
      </c>
      <c r="M3629">
        <v>4</v>
      </c>
      <c r="N3629" t="s">
        <v>52</v>
      </c>
      <c r="O3629" s="3" t="str">
        <f>TEXT(Ticket_Table[[#This Row],[raised_date]],"YYYY-MM")</f>
        <v>2023-10</v>
      </c>
      <c r="P3629" s="3" t="str">
        <f>IF(Ticket_Table[[#This Row],[resolution_hrs]]&lt;=4,"Fast",IF(Ticket_Table[[#This Row],[resolution_hrs]]&lt;=24,"Normal",IF(Ticket_Table[[#This Row],[resolution_hrs]]&lt;=48,"Slow","Very Slow")))</f>
        <v>Very Slow</v>
      </c>
      <c r="Q3629" s="3">
        <f>YEAR(Ticket_Table[[#This Row],[raised_date]])</f>
        <v>2023</v>
      </c>
    </row>
    <row r="3630" spans="1:17">
      <c r="A3630" t="s">
        <v>4191</v>
      </c>
      <c r="B3630" t="s">
        <v>744</v>
      </c>
      <c r="C3630" t="s">
        <v>213</v>
      </c>
      <c r="D3630" t="s">
        <v>90</v>
      </c>
      <c r="E3630" t="s">
        <v>106</v>
      </c>
      <c r="F3630" t="s">
        <v>38</v>
      </c>
      <c r="G3630" t="s">
        <v>31</v>
      </c>
      <c r="H3630" s="1">
        <v>44759</v>
      </c>
      <c r="I3630" s="2">
        <v>44759.3333333333</v>
      </c>
      <c r="J3630">
        <v>8</v>
      </c>
      <c r="K3630" t="s">
        <v>24</v>
      </c>
      <c r="L3630">
        <v>0</v>
      </c>
      <c r="M3630">
        <v>4</v>
      </c>
      <c r="N3630" t="s">
        <v>794</v>
      </c>
      <c r="O3630" s="3" t="str">
        <f>TEXT(Ticket_Table[[#This Row],[raised_date]],"YYYY-MM")</f>
        <v>2022-07</v>
      </c>
      <c r="P3630" s="3" t="str">
        <f>IF(Ticket_Table[[#This Row],[resolution_hrs]]&lt;=4,"Fast",IF(Ticket_Table[[#This Row],[resolution_hrs]]&lt;=24,"Normal",IF(Ticket_Table[[#This Row],[resolution_hrs]]&lt;=48,"Slow","Very Slow")))</f>
        <v>Normal</v>
      </c>
      <c r="Q3630" s="3">
        <f>YEAR(Ticket_Table[[#This Row],[raised_date]])</f>
        <v>2022</v>
      </c>
    </row>
    <row r="3631" spans="1:17">
      <c r="A3631" t="s">
        <v>4192</v>
      </c>
      <c r="B3631" t="s">
        <v>947</v>
      </c>
      <c r="C3631" t="s">
        <v>28</v>
      </c>
      <c r="D3631" t="s">
        <v>29</v>
      </c>
      <c r="E3631" t="s">
        <v>69</v>
      </c>
      <c r="F3631" t="s">
        <v>45</v>
      </c>
      <c r="G3631" t="s">
        <v>31</v>
      </c>
      <c r="H3631" s="1">
        <v>45202</v>
      </c>
      <c r="I3631" s="2">
        <v>45202.1083333333</v>
      </c>
      <c r="J3631">
        <v>2.6</v>
      </c>
      <c r="K3631" t="s">
        <v>24</v>
      </c>
      <c r="L3631">
        <v>0</v>
      </c>
      <c r="M3631">
        <v>4</v>
      </c>
      <c r="N3631" t="s">
        <v>1013</v>
      </c>
      <c r="O3631" s="3" t="str">
        <f>TEXT(Ticket_Table[[#This Row],[raised_date]],"YYYY-MM")</f>
        <v>2023-10</v>
      </c>
      <c r="P3631" s="3" t="str">
        <f>IF(Ticket_Table[[#This Row],[resolution_hrs]]&lt;=4,"Fast",IF(Ticket_Table[[#This Row],[resolution_hrs]]&lt;=24,"Normal",IF(Ticket_Table[[#This Row],[resolution_hrs]]&lt;=48,"Slow","Very Slow")))</f>
        <v>Fast</v>
      </c>
      <c r="Q3631" s="3">
        <f>YEAR(Ticket_Table[[#This Row],[raised_date]])</f>
        <v>2023</v>
      </c>
    </row>
    <row r="3632" spans="1:17">
      <c r="A3632" t="s">
        <v>4193</v>
      </c>
      <c r="B3632" t="s">
        <v>588</v>
      </c>
      <c r="C3632" t="s">
        <v>82</v>
      </c>
      <c r="D3632" t="s">
        <v>29</v>
      </c>
      <c r="E3632" t="s">
        <v>44</v>
      </c>
      <c r="F3632" t="s">
        <v>38</v>
      </c>
      <c r="G3632" t="s">
        <v>31</v>
      </c>
      <c r="H3632" s="1">
        <v>44571</v>
      </c>
      <c r="I3632" s="2">
        <v>44571.5041666667</v>
      </c>
      <c r="J3632">
        <v>12.1</v>
      </c>
      <c r="K3632" t="s">
        <v>24</v>
      </c>
      <c r="L3632">
        <v>2</v>
      </c>
      <c r="M3632">
        <v>3</v>
      </c>
      <c r="N3632" t="s">
        <v>678</v>
      </c>
      <c r="O3632" s="3" t="str">
        <f>TEXT(Ticket_Table[[#This Row],[raised_date]],"YYYY-MM")</f>
        <v>2022-01</v>
      </c>
      <c r="P3632" s="3" t="str">
        <f>IF(Ticket_Table[[#This Row],[resolution_hrs]]&lt;=4,"Fast",IF(Ticket_Table[[#This Row],[resolution_hrs]]&lt;=24,"Normal",IF(Ticket_Table[[#This Row],[resolution_hrs]]&lt;=48,"Slow","Very Slow")))</f>
        <v>Normal</v>
      </c>
      <c r="Q3632" s="3">
        <f>YEAR(Ticket_Table[[#This Row],[raised_date]])</f>
        <v>2022</v>
      </c>
    </row>
    <row r="3633" spans="1:17">
      <c r="A3633" t="s">
        <v>4194</v>
      </c>
      <c r="B3633" t="s">
        <v>169</v>
      </c>
      <c r="C3633" t="s">
        <v>102</v>
      </c>
      <c r="D3633" t="s">
        <v>29</v>
      </c>
      <c r="E3633" t="s">
        <v>44</v>
      </c>
      <c r="F3633" t="s">
        <v>38</v>
      </c>
      <c r="G3633" t="s">
        <v>23</v>
      </c>
      <c r="H3633" s="1">
        <v>45243</v>
      </c>
      <c r="I3633" s="2">
        <v>45244.4958333333</v>
      </c>
      <c r="J3633">
        <v>35.9</v>
      </c>
      <c r="K3633" t="s">
        <v>32</v>
      </c>
      <c r="L3633">
        <v>0</v>
      </c>
      <c r="M3633">
        <v>5</v>
      </c>
      <c r="N3633" t="s">
        <v>218</v>
      </c>
      <c r="O3633" s="3" t="str">
        <f>TEXT(Ticket_Table[[#This Row],[raised_date]],"YYYY-MM")</f>
        <v>2023-11</v>
      </c>
      <c r="P3633" s="3" t="str">
        <f>IF(Ticket_Table[[#This Row],[resolution_hrs]]&lt;=4,"Fast",IF(Ticket_Table[[#This Row],[resolution_hrs]]&lt;=24,"Normal",IF(Ticket_Table[[#This Row],[resolution_hrs]]&lt;=48,"Slow","Very Slow")))</f>
        <v>Slow</v>
      </c>
      <c r="Q3633" s="3">
        <f>YEAR(Ticket_Table[[#This Row],[raised_date]])</f>
        <v>2023</v>
      </c>
    </row>
    <row r="3634" spans="1:17">
      <c r="A3634" t="s">
        <v>4195</v>
      </c>
      <c r="B3634" t="s">
        <v>947</v>
      </c>
      <c r="C3634" t="s">
        <v>261</v>
      </c>
      <c r="D3634" t="s">
        <v>36</v>
      </c>
      <c r="E3634" t="s">
        <v>69</v>
      </c>
      <c r="F3634" t="s">
        <v>70</v>
      </c>
      <c r="G3634" t="s">
        <v>23</v>
      </c>
      <c r="H3634" s="1">
        <v>44770</v>
      </c>
      <c r="I3634" s="2">
        <v>44771.4791666667</v>
      </c>
      <c r="J3634">
        <v>35.5</v>
      </c>
      <c r="K3634" t="s">
        <v>24</v>
      </c>
      <c r="L3634">
        <v>0</v>
      </c>
      <c r="M3634">
        <v>1</v>
      </c>
      <c r="N3634" t="s">
        <v>678</v>
      </c>
      <c r="O3634" s="3" t="str">
        <f>TEXT(Ticket_Table[[#This Row],[raised_date]],"YYYY-MM")</f>
        <v>2022-07</v>
      </c>
      <c r="P3634" s="3" t="str">
        <f>IF(Ticket_Table[[#This Row],[resolution_hrs]]&lt;=4,"Fast",IF(Ticket_Table[[#This Row],[resolution_hrs]]&lt;=24,"Normal",IF(Ticket_Table[[#This Row],[resolution_hrs]]&lt;=48,"Slow","Very Slow")))</f>
        <v>Slow</v>
      </c>
      <c r="Q3634" s="3">
        <f>YEAR(Ticket_Table[[#This Row],[raised_date]])</f>
        <v>2022</v>
      </c>
    </row>
    <row r="3635" spans="1:17">
      <c r="A3635" t="s">
        <v>4196</v>
      </c>
      <c r="B3635" t="s">
        <v>981</v>
      </c>
      <c r="C3635" t="s">
        <v>64</v>
      </c>
      <c r="D3635" t="s">
        <v>20</v>
      </c>
      <c r="E3635" t="s">
        <v>30</v>
      </c>
      <c r="F3635" t="s">
        <v>22</v>
      </c>
      <c r="G3635" t="s">
        <v>23</v>
      </c>
      <c r="H3635" s="1">
        <v>45011</v>
      </c>
      <c r="I3635" s="2">
        <v>45014.1708333333</v>
      </c>
      <c r="J3635">
        <v>76.1</v>
      </c>
      <c r="K3635" t="s">
        <v>32</v>
      </c>
      <c r="L3635">
        <v>0</v>
      </c>
      <c r="M3635">
        <v>3</v>
      </c>
      <c r="N3635" t="s">
        <v>751</v>
      </c>
      <c r="O3635" s="3" t="str">
        <f>TEXT(Ticket_Table[[#This Row],[raised_date]],"YYYY-MM")</f>
        <v>2023-03</v>
      </c>
      <c r="P3635" s="3" t="str">
        <f>IF(Ticket_Table[[#This Row],[resolution_hrs]]&lt;=4,"Fast",IF(Ticket_Table[[#This Row],[resolution_hrs]]&lt;=24,"Normal",IF(Ticket_Table[[#This Row],[resolution_hrs]]&lt;=48,"Slow","Very Slow")))</f>
        <v>Very Slow</v>
      </c>
      <c r="Q3635" s="3">
        <f>YEAR(Ticket_Table[[#This Row],[raised_date]])</f>
        <v>2023</v>
      </c>
    </row>
    <row r="3636" spans="1:17">
      <c r="A3636" t="s">
        <v>4197</v>
      </c>
      <c r="B3636" t="s">
        <v>1100</v>
      </c>
      <c r="C3636" t="s">
        <v>55</v>
      </c>
      <c r="D3636" t="s">
        <v>36</v>
      </c>
      <c r="E3636" t="s">
        <v>21</v>
      </c>
      <c r="F3636" t="s">
        <v>22</v>
      </c>
      <c r="G3636" t="s">
        <v>23</v>
      </c>
      <c r="H3636" s="1">
        <v>44651</v>
      </c>
      <c r="I3636" s="2">
        <v>44653.1666666667</v>
      </c>
      <c r="J3636">
        <v>52</v>
      </c>
      <c r="K3636" t="s">
        <v>24</v>
      </c>
      <c r="L3636">
        <v>1</v>
      </c>
      <c r="M3636">
        <v>4</v>
      </c>
      <c r="N3636" t="s">
        <v>646</v>
      </c>
      <c r="O3636" s="3" t="str">
        <f>TEXT(Ticket_Table[[#This Row],[raised_date]],"YYYY-MM")</f>
        <v>2022-03</v>
      </c>
      <c r="P3636" s="3" t="str">
        <f>IF(Ticket_Table[[#This Row],[resolution_hrs]]&lt;=4,"Fast",IF(Ticket_Table[[#This Row],[resolution_hrs]]&lt;=24,"Normal",IF(Ticket_Table[[#This Row],[resolution_hrs]]&lt;=48,"Slow","Very Slow")))</f>
        <v>Very Slow</v>
      </c>
      <c r="Q3636" s="3">
        <f>YEAR(Ticket_Table[[#This Row],[raised_date]])</f>
        <v>2022</v>
      </c>
    </row>
    <row r="3637" spans="1:17">
      <c r="A3637" t="s">
        <v>4198</v>
      </c>
      <c r="B3637" t="s">
        <v>1039</v>
      </c>
      <c r="C3637" t="s">
        <v>140</v>
      </c>
      <c r="D3637" t="s">
        <v>90</v>
      </c>
      <c r="E3637" t="s">
        <v>21</v>
      </c>
      <c r="F3637" t="s">
        <v>70</v>
      </c>
      <c r="G3637" t="s">
        <v>23</v>
      </c>
      <c r="H3637" s="1">
        <v>44459</v>
      </c>
      <c r="I3637" s="2">
        <v>44459.8666666667</v>
      </c>
      <c r="J3637">
        <v>20.8</v>
      </c>
      <c r="K3637" t="s">
        <v>24</v>
      </c>
      <c r="L3637">
        <v>0</v>
      </c>
      <c r="M3637">
        <v>5</v>
      </c>
      <c r="N3637" t="s">
        <v>1291</v>
      </c>
      <c r="O3637" s="3" t="str">
        <f>TEXT(Ticket_Table[[#This Row],[raised_date]],"YYYY-MM")</f>
        <v>2021-09</v>
      </c>
      <c r="P3637" s="3" t="str">
        <f>IF(Ticket_Table[[#This Row],[resolution_hrs]]&lt;=4,"Fast",IF(Ticket_Table[[#This Row],[resolution_hrs]]&lt;=24,"Normal",IF(Ticket_Table[[#This Row],[resolution_hrs]]&lt;=48,"Slow","Very Slow")))</f>
        <v>Normal</v>
      </c>
      <c r="Q3637" s="3">
        <f>YEAR(Ticket_Table[[#This Row],[raised_date]])</f>
        <v>2021</v>
      </c>
    </row>
    <row r="3638" spans="1:17">
      <c r="A3638" t="s">
        <v>4199</v>
      </c>
      <c r="B3638" t="s">
        <v>653</v>
      </c>
      <c r="C3638" t="s">
        <v>102</v>
      </c>
      <c r="D3638" t="s">
        <v>20</v>
      </c>
      <c r="E3638" t="s">
        <v>44</v>
      </c>
      <c r="F3638" t="s">
        <v>38</v>
      </c>
      <c r="G3638" t="s">
        <v>31</v>
      </c>
      <c r="H3638" s="1">
        <v>44307</v>
      </c>
      <c r="I3638" s="2">
        <v>44307.0958333333</v>
      </c>
      <c r="J3638">
        <v>2.3</v>
      </c>
      <c r="K3638" t="s">
        <v>24</v>
      </c>
      <c r="L3638">
        <v>1</v>
      </c>
      <c r="M3638">
        <v>4</v>
      </c>
      <c r="N3638" t="s">
        <v>671</v>
      </c>
      <c r="O3638" s="3" t="str">
        <f>TEXT(Ticket_Table[[#This Row],[raised_date]],"YYYY-MM")</f>
        <v>2021-04</v>
      </c>
      <c r="P3638" s="3" t="str">
        <f>IF(Ticket_Table[[#This Row],[resolution_hrs]]&lt;=4,"Fast",IF(Ticket_Table[[#This Row],[resolution_hrs]]&lt;=24,"Normal",IF(Ticket_Table[[#This Row],[resolution_hrs]]&lt;=48,"Slow","Very Slow")))</f>
        <v>Fast</v>
      </c>
      <c r="Q3638" s="3">
        <f>YEAR(Ticket_Table[[#This Row],[raised_date]])</f>
        <v>2021</v>
      </c>
    </row>
    <row r="3639" spans="1:17">
      <c r="A3639" t="s">
        <v>4200</v>
      </c>
      <c r="B3639" t="s">
        <v>331</v>
      </c>
      <c r="C3639" t="s">
        <v>64</v>
      </c>
      <c r="D3639" t="s">
        <v>20</v>
      </c>
      <c r="E3639" t="s">
        <v>56</v>
      </c>
      <c r="F3639" t="s">
        <v>70</v>
      </c>
      <c r="G3639" t="s">
        <v>74</v>
      </c>
      <c r="H3639" s="1">
        <v>45273</v>
      </c>
      <c r="I3639" s="2">
        <v>45273.5041666667</v>
      </c>
      <c r="J3639">
        <v>12.1</v>
      </c>
      <c r="K3639" t="s">
        <v>24</v>
      </c>
      <c r="L3639">
        <v>0</v>
      </c>
      <c r="M3639">
        <v>3</v>
      </c>
      <c r="N3639" t="s">
        <v>280</v>
      </c>
      <c r="O3639" s="3" t="str">
        <f>TEXT(Ticket_Table[[#This Row],[raised_date]],"YYYY-MM")</f>
        <v>2023-12</v>
      </c>
      <c r="P3639" s="3" t="str">
        <f>IF(Ticket_Table[[#This Row],[resolution_hrs]]&lt;=4,"Fast",IF(Ticket_Table[[#This Row],[resolution_hrs]]&lt;=24,"Normal",IF(Ticket_Table[[#This Row],[resolution_hrs]]&lt;=48,"Slow","Very Slow")))</f>
        <v>Normal</v>
      </c>
      <c r="Q3639" s="3">
        <f>YEAR(Ticket_Table[[#This Row],[raised_date]])</f>
        <v>2023</v>
      </c>
    </row>
    <row r="3640" spans="1:17">
      <c r="A3640" t="s">
        <v>4201</v>
      </c>
      <c r="B3640" t="s">
        <v>41</v>
      </c>
      <c r="C3640" t="s">
        <v>140</v>
      </c>
      <c r="D3640" t="s">
        <v>90</v>
      </c>
      <c r="E3640" t="s">
        <v>69</v>
      </c>
      <c r="F3640" t="s">
        <v>38</v>
      </c>
      <c r="G3640" t="s">
        <v>23</v>
      </c>
      <c r="H3640" s="1">
        <v>45063</v>
      </c>
      <c r="I3640" s="2">
        <v>45063.725</v>
      </c>
      <c r="J3640">
        <v>17.4</v>
      </c>
      <c r="K3640" t="s">
        <v>24</v>
      </c>
      <c r="L3640">
        <v>0</v>
      </c>
      <c r="M3640">
        <v>4</v>
      </c>
      <c r="N3640" t="s">
        <v>462</v>
      </c>
      <c r="O3640" s="3" t="str">
        <f>TEXT(Ticket_Table[[#This Row],[raised_date]],"YYYY-MM")</f>
        <v>2023-05</v>
      </c>
      <c r="P3640" s="3" t="str">
        <f>IF(Ticket_Table[[#This Row],[resolution_hrs]]&lt;=4,"Fast",IF(Ticket_Table[[#This Row],[resolution_hrs]]&lt;=24,"Normal",IF(Ticket_Table[[#This Row],[resolution_hrs]]&lt;=48,"Slow","Very Slow")))</f>
        <v>Normal</v>
      </c>
      <c r="Q3640" s="3">
        <f>YEAR(Ticket_Table[[#This Row],[raised_date]])</f>
        <v>2023</v>
      </c>
    </row>
    <row r="3641" spans="1:17">
      <c r="A3641" t="s">
        <v>4202</v>
      </c>
      <c r="B3641" t="s">
        <v>385</v>
      </c>
      <c r="C3641" t="s">
        <v>19</v>
      </c>
      <c r="D3641" t="s">
        <v>20</v>
      </c>
      <c r="E3641" t="s">
        <v>44</v>
      </c>
      <c r="F3641" t="s">
        <v>70</v>
      </c>
      <c r="G3641" t="s">
        <v>46</v>
      </c>
      <c r="H3641" s="1">
        <v>45176</v>
      </c>
      <c r="I3641" s="2">
        <v>45177.9375</v>
      </c>
      <c r="J3641">
        <v>46.5</v>
      </c>
      <c r="K3641" t="s">
        <v>24</v>
      </c>
      <c r="L3641">
        <v>0</v>
      </c>
      <c r="M3641">
        <v>5</v>
      </c>
      <c r="N3641" t="s">
        <v>1156</v>
      </c>
      <c r="O3641" s="3" t="str">
        <f>TEXT(Ticket_Table[[#This Row],[raised_date]],"YYYY-MM")</f>
        <v>2023-09</v>
      </c>
      <c r="P3641" s="3" t="str">
        <f>IF(Ticket_Table[[#This Row],[resolution_hrs]]&lt;=4,"Fast",IF(Ticket_Table[[#This Row],[resolution_hrs]]&lt;=24,"Normal",IF(Ticket_Table[[#This Row],[resolution_hrs]]&lt;=48,"Slow","Very Slow")))</f>
        <v>Slow</v>
      </c>
      <c r="Q3641" s="3">
        <f>YEAR(Ticket_Table[[#This Row],[raised_date]])</f>
        <v>2023</v>
      </c>
    </row>
    <row r="3642" spans="1:17">
      <c r="A3642" t="s">
        <v>4203</v>
      </c>
      <c r="B3642" t="s">
        <v>1016</v>
      </c>
      <c r="C3642" t="s">
        <v>213</v>
      </c>
      <c r="D3642" t="s">
        <v>43</v>
      </c>
      <c r="E3642" t="s">
        <v>56</v>
      </c>
      <c r="F3642" t="s">
        <v>22</v>
      </c>
      <c r="G3642" t="s">
        <v>31</v>
      </c>
      <c r="H3642" s="1">
        <v>44263</v>
      </c>
      <c r="I3642" s="2">
        <v>44264.4708333333</v>
      </c>
      <c r="J3642">
        <v>35.3</v>
      </c>
      <c r="K3642" t="s">
        <v>24</v>
      </c>
      <c r="L3642">
        <v>1</v>
      </c>
      <c r="M3642">
        <v>4</v>
      </c>
      <c r="N3642" t="s">
        <v>352</v>
      </c>
      <c r="O3642" s="3" t="str">
        <f>TEXT(Ticket_Table[[#This Row],[raised_date]],"YYYY-MM")</f>
        <v>2021-03</v>
      </c>
      <c r="P3642" s="3" t="str">
        <f>IF(Ticket_Table[[#This Row],[resolution_hrs]]&lt;=4,"Fast",IF(Ticket_Table[[#This Row],[resolution_hrs]]&lt;=24,"Normal",IF(Ticket_Table[[#This Row],[resolution_hrs]]&lt;=48,"Slow","Very Slow")))</f>
        <v>Slow</v>
      </c>
      <c r="Q3642" s="3">
        <f>YEAR(Ticket_Table[[#This Row],[raised_date]])</f>
        <v>2021</v>
      </c>
    </row>
    <row r="3643" spans="1:17">
      <c r="A3643" t="s">
        <v>4204</v>
      </c>
      <c r="B3643" t="s">
        <v>1154</v>
      </c>
      <c r="C3643" t="s">
        <v>102</v>
      </c>
      <c r="D3643" t="s">
        <v>90</v>
      </c>
      <c r="E3643" t="s">
        <v>21</v>
      </c>
      <c r="F3643" t="s">
        <v>22</v>
      </c>
      <c r="G3643" t="s">
        <v>31</v>
      </c>
      <c r="H3643" s="1">
        <v>45226</v>
      </c>
      <c r="I3643" s="2">
        <v>45226.1833333333</v>
      </c>
      <c r="J3643">
        <v>4.4</v>
      </c>
      <c r="K3643" t="s">
        <v>24</v>
      </c>
      <c r="L3643">
        <v>0</v>
      </c>
      <c r="M3643">
        <v>4</v>
      </c>
      <c r="N3643" t="s">
        <v>1265</v>
      </c>
      <c r="O3643" s="3" t="str">
        <f>TEXT(Ticket_Table[[#This Row],[raised_date]],"YYYY-MM")</f>
        <v>2023-10</v>
      </c>
      <c r="P3643" s="3" t="str">
        <f>IF(Ticket_Table[[#This Row],[resolution_hrs]]&lt;=4,"Fast",IF(Ticket_Table[[#This Row],[resolution_hrs]]&lt;=24,"Normal",IF(Ticket_Table[[#This Row],[resolution_hrs]]&lt;=48,"Slow","Very Slow")))</f>
        <v>Normal</v>
      </c>
      <c r="Q3643" s="3">
        <f>YEAR(Ticket_Table[[#This Row],[raised_date]])</f>
        <v>2023</v>
      </c>
    </row>
    <row r="3644" spans="1:17">
      <c r="A3644" t="s">
        <v>4205</v>
      </c>
      <c r="B3644" t="s">
        <v>221</v>
      </c>
      <c r="C3644" t="s">
        <v>60</v>
      </c>
      <c r="D3644" t="s">
        <v>90</v>
      </c>
      <c r="E3644" t="s">
        <v>166</v>
      </c>
      <c r="F3644" t="s">
        <v>38</v>
      </c>
      <c r="G3644" t="s">
        <v>74</v>
      </c>
      <c r="H3644" s="1">
        <v>44908</v>
      </c>
      <c r="I3644" s="2">
        <v>44908.9166666667</v>
      </c>
      <c r="J3644">
        <v>22</v>
      </c>
      <c r="K3644" t="s">
        <v>24</v>
      </c>
      <c r="L3644">
        <v>0</v>
      </c>
      <c r="M3644">
        <v>4</v>
      </c>
      <c r="N3644" t="s">
        <v>708</v>
      </c>
      <c r="O3644" s="3" t="str">
        <f>TEXT(Ticket_Table[[#This Row],[raised_date]],"YYYY-MM")</f>
        <v>2022-12</v>
      </c>
      <c r="P3644" s="3" t="str">
        <f>IF(Ticket_Table[[#This Row],[resolution_hrs]]&lt;=4,"Fast",IF(Ticket_Table[[#This Row],[resolution_hrs]]&lt;=24,"Normal",IF(Ticket_Table[[#This Row],[resolution_hrs]]&lt;=48,"Slow","Very Slow")))</f>
        <v>Normal</v>
      </c>
      <c r="Q3644" s="3">
        <f>YEAR(Ticket_Table[[#This Row],[raised_date]])</f>
        <v>2022</v>
      </c>
    </row>
    <row r="3645" spans="1:17">
      <c r="A3645" t="s">
        <v>4206</v>
      </c>
      <c r="B3645" t="s">
        <v>833</v>
      </c>
      <c r="C3645" t="s">
        <v>133</v>
      </c>
      <c r="D3645" t="s">
        <v>43</v>
      </c>
      <c r="E3645" t="s">
        <v>44</v>
      </c>
      <c r="F3645" t="s">
        <v>38</v>
      </c>
      <c r="G3645" t="s">
        <v>23</v>
      </c>
      <c r="H3645" s="1">
        <v>45003</v>
      </c>
      <c r="I3645" s="2">
        <v>45003.5958333333</v>
      </c>
      <c r="J3645">
        <v>14.3</v>
      </c>
      <c r="K3645" t="s">
        <v>24</v>
      </c>
      <c r="L3645">
        <v>0</v>
      </c>
      <c r="M3645">
        <v>3</v>
      </c>
      <c r="N3645" t="s">
        <v>155</v>
      </c>
      <c r="O3645" s="3" t="str">
        <f>TEXT(Ticket_Table[[#This Row],[raised_date]],"YYYY-MM")</f>
        <v>2023-03</v>
      </c>
      <c r="P3645" s="3" t="str">
        <f>IF(Ticket_Table[[#This Row],[resolution_hrs]]&lt;=4,"Fast",IF(Ticket_Table[[#This Row],[resolution_hrs]]&lt;=24,"Normal",IF(Ticket_Table[[#This Row],[resolution_hrs]]&lt;=48,"Slow","Very Slow")))</f>
        <v>Normal</v>
      </c>
      <c r="Q3645" s="3">
        <f>YEAR(Ticket_Table[[#This Row],[raised_date]])</f>
        <v>2023</v>
      </c>
    </row>
    <row r="3646" spans="1:17">
      <c r="A3646" t="s">
        <v>4207</v>
      </c>
      <c r="B3646" t="s">
        <v>794</v>
      </c>
      <c r="C3646" t="s">
        <v>82</v>
      </c>
      <c r="D3646" t="s">
        <v>36</v>
      </c>
      <c r="E3646" t="s">
        <v>37</v>
      </c>
      <c r="F3646" t="s">
        <v>38</v>
      </c>
      <c r="G3646" t="s">
        <v>31</v>
      </c>
      <c r="H3646" s="1">
        <v>44554</v>
      </c>
      <c r="I3646" s="2">
        <v>44555.4083333333</v>
      </c>
      <c r="J3646">
        <v>33.8</v>
      </c>
      <c r="K3646" t="s">
        <v>32</v>
      </c>
      <c r="L3646">
        <v>0</v>
      </c>
      <c r="M3646">
        <v>5</v>
      </c>
      <c r="N3646" t="s">
        <v>1078</v>
      </c>
      <c r="O3646" s="3" t="str">
        <f>TEXT(Ticket_Table[[#This Row],[raised_date]],"YYYY-MM")</f>
        <v>2021-12</v>
      </c>
      <c r="P3646" s="3" t="str">
        <f>IF(Ticket_Table[[#This Row],[resolution_hrs]]&lt;=4,"Fast",IF(Ticket_Table[[#This Row],[resolution_hrs]]&lt;=24,"Normal",IF(Ticket_Table[[#This Row],[resolution_hrs]]&lt;=48,"Slow","Very Slow")))</f>
        <v>Slow</v>
      </c>
      <c r="Q3646" s="3">
        <f>YEAR(Ticket_Table[[#This Row],[raised_date]])</f>
        <v>2021</v>
      </c>
    </row>
    <row r="3647" spans="1:17">
      <c r="A3647" t="s">
        <v>4208</v>
      </c>
      <c r="B3647" t="s">
        <v>701</v>
      </c>
      <c r="C3647" t="s">
        <v>42</v>
      </c>
      <c r="D3647" t="s">
        <v>36</v>
      </c>
      <c r="E3647" t="s">
        <v>166</v>
      </c>
      <c r="F3647" t="s">
        <v>22</v>
      </c>
      <c r="G3647" t="s">
        <v>23</v>
      </c>
      <c r="H3647" s="1">
        <v>45133</v>
      </c>
      <c r="I3647" s="2">
        <v>45134.6541666667</v>
      </c>
      <c r="J3647">
        <v>39.7</v>
      </c>
      <c r="K3647" t="s">
        <v>24</v>
      </c>
      <c r="L3647">
        <v>1</v>
      </c>
      <c r="M3647">
        <v>4</v>
      </c>
      <c r="N3647" t="s">
        <v>701</v>
      </c>
      <c r="O3647" s="3" t="str">
        <f>TEXT(Ticket_Table[[#This Row],[raised_date]],"YYYY-MM")</f>
        <v>2023-07</v>
      </c>
      <c r="P3647" s="3" t="str">
        <f>IF(Ticket_Table[[#This Row],[resolution_hrs]]&lt;=4,"Fast",IF(Ticket_Table[[#This Row],[resolution_hrs]]&lt;=24,"Normal",IF(Ticket_Table[[#This Row],[resolution_hrs]]&lt;=48,"Slow","Very Slow")))</f>
        <v>Slow</v>
      </c>
      <c r="Q3647" s="3">
        <f>YEAR(Ticket_Table[[#This Row],[raised_date]])</f>
        <v>2023</v>
      </c>
    </row>
    <row r="3648" spans="1:17">
      <c r="A3648" t="s">
        <v>4209</v>
      </c>
      <c r="B3648" t="s">
        <v>744</v>
      </c>
      <c r="C3648" t="s">
        <v>175</v>
      </c>
      <c r="D3648" t="s">
        <v>36</v>
      </c>
      <c r="E3648" t="s">
        <v>166</v>
      </c>
      <c r="F3648" t="s">
        <v>45</v>
      </c>
      <c r="G3648" t="s">
        <v>31</v>
      </c>
      <c r="H3648" s="1">
        <v>44443</v>
      </c>
      <c r="I3648" s="2">
        <v>44443.1333333333</v>
      </c>
      <c r="J3648">
        <v>3.2</v>
      </c>
      <c r="K3648" t="s">
        <v>24</v>
      </c>
      <c r="L3648">
        <v>0</v>
      </c>
      <c r="M3648">
        <v>4</v>
      </c>
      <c r="N3648" t="s">
        <v>290</v>
      </c>
      <c r="O3648" s="3" t="str">
        <f>TEXT(Ticket_Table[[#This Row],[raised_date]],"YYYY-MM")</f>
        <v>2021-09</v>
      </c>
      <c r="P3648" s="3" t="str">
        <f>IF(Ticket_Table[[#This Row],[resolution_hrs]]&lt;=4,"Fast",IF(Ticket_Table[[#This Row],[resolution_hrs]]&lt;=24,"Normal",IF(Ticket_Table[[#This Row],[resolution_hrs]]&lt;=48,"Slow","Very Slow")))</f>
        <v>Fast</v>
      </c>
      <c r="Q3648" s="3">
        <f>YEAR(Ticket_Table[[#This Row],[raised_date]])</f>
        <v>2021</v>
      </c>
    </row>
    <row r="3649" spans="1:17">
      <c r="A3649" t="s">
        <v>4210</v>
      </c>
      <c r="B3649" t="s">
        <v>780</v>
      </c>
      <c r="C3649" t="s">
        <v>60</v>
      </c>
      <c r="D3649" t="s">
        <v>20</v>
      </c>
      <c r="E3649" t="s">
        <v>44</v>
      </c>
      <c r="F3649" t="s">
        <v>22</v>
      </c>
      <c r="G3649" t="s">
        <v>46</v>
      </c>
      <c r="H3649" s="1">
        <v>45258</v>
      </c>
      <c r="I3649" s="2">
        <v>45260.1541666667</v>
      </c>
      <c r="J3649">
        <v>51.7</v>
      </c>
      <c r="K3649" t="s">
        <v>24</v>
      </c>
      <c r="L3649">
        <v>0</v>
      </c>
      <c r="M3649">
        <v>4</v>
      </c>
      <c r="N3649" t="s">
        <v>275</v>
      </c>
      <c r="O3649" s="3" t="str">
        <f>TEXT(Ticket_Table[[#This Row],[raised_date]],"YYYY-MM")</f>
        <v>2023-11</v>
      </c>
      <c r="P3649" s="3" t="str">
        <f>IF(Ticket_Table[[#This Row],[resolution_hrs]]&lt;=4,"Fast",IF(Ticket_Table[[#This Row],[resolution_hrs]]&lt;=24,"Normal",IF(Ticket_Table[[#This Row],[resolution_hrs]]&lt;=48,"Slow","Very Slow")))</f>
        <v>Very Slow</v>
      </c>
      <c r="Q3649" s="3">
        <f>YEAR(Ticket_Table[[#This Row],[raised_date]])</f>
        <v>2023</v>
      </c>
    </row>
    <row r="3650" spans="1:17">
      <c r="A3650" t="s">
        <v>4211</v>
      </c>
      <c r="B3650" t="s">
        <v>683</v>
      </c>
      <c r="C3650" t="s">
        <v>28</v>
      </c>
      <c r="D3650" t="s">
        <v>43</v>
      </c>
      <c r="E3650" t="s">
        <v>56</v>
      </c>
      <c r="F3650" t="s">
        <v>22</v>
      </c>
      <c r="G3650" t="s">
        <v>23</v>
      </c>
      <c r="H3650" s="1">
        <v>45139</v>
      </c>
      <c r="I3650" s="2">
        <v>45139.2833333333</v>
      </c>
      <c r="J3650">
        <v>6.8</v>
      </c>
      <c r="K3650" t="s">
        <v>24</v>
      </c>
      <c r="L3650">
        <v>0</v>
      </c>
      <c r="M3650">
        <v>5</v>
      </c>
      <c r="N3650" t="s">
        <v>120</v>
      </c>
      <c r="O3650" s="3" t="str">
        <f>TEXT(Ticket_Table[[#This Row],[raised_date]],"YYYY-MM")</f>
        <v>2023-08</v>
      </c>
      <c r="P3650" s="3" t="str">
        <f>IF(Ticket_Table[[#This Row],[resolution_hrs]]&lt;=4,"Fast",IF(Ticket_Table[[#This Row],[resolution_hrs]]&lt;=24,"Normal",IF(Ticket_Table[[#This Row],[resolution_hrs]]&lt;=48,"Slow","Very Slow")))</f>
        <v>Normal</v>
      </c>
      <c r="Q3650" s="3">
        <f>YEAR(Ticket_Table[[#This Row],[raised_date]])</f>
        <v>2023</v>
      </c>
    </row>
    <row r="3651" spans="1:17">
      <c r="A3651" t="s">
        <v>4212</v>
      </c>
      <c r="B3651" t="s">
        <v>290</v>
      </c>
      <c r="C3651" t="s">
        <v>50</v>
      </c>
      <c r="D3651" t="s">
        <v>90</v>
      </c>
      <c r="E3651" t="s">
        <v>37</v>
      </c>
      <c r="F3651" t="s">
        <v>45</v>
      </c>
      <c r="G3651" t="s">
        <v>23</v>
      </c>
      <c r="H3651" s="1">
        <v>44843</v>
      </c>
      <c r="I3651" s="2">
        <v>44843.2208333333</v>
      </c>
      <c r="J3651">
        <v>5.3</v>
      </c>
      <c r="K3651" t="s">
        <v>32</v>
      </c>
      <c r="L3651">
        <v>0</v>
      </c>
      <c r="M3651">
        <v>3</v>
      </c>
      <c r="N3651" t="s">
        <v>137</v>
      </c>
      <c r="O3651" s="3" t="str">
        <f>TEXT(Ticket_Table[[#This Row],[raised_date]],"YYYY-MM")</f>
        <v>2022-10</v>
      </c>
      <c r="P3651" s="3" t="str">
        <f>IF(Ticket_Table[[#This Row],[resolution_hrs]]&lt;=4,"Fast",IF(Ticket_Table[[#This Row],[resolution_hrs]]&lt;=24,"Normal",IF(Ticket_Table[[#This Row],[resolution_hrs]]&lt;=48,"Slow","Very Slow")))</f>
        <v>Normal</v>
      </c>
      <c r="Q3651" s="3">
        <f>YEAR(Ticket_Table[[#This Row],[raised_date]])</f>
        <v>2022</v>
      </c>
    </row>
    <row r="3652" spans="1:17">
      <c r="A3652" t="s">
        <v>4213</v>
      </c>
      <c r="B3652" t="s">
        <v>592</v>
      </c>
      <c r="C3652" t="s">
        <v>95</v>
      </c>
      <c r="D3652" t="s">
        <v>90</v>
      </c>
      <c r="E3652" t="s">
        <v>56</v>
      </c>
      <c r="F3652" t="s">
        <v>22</v>
      </c>
      <c r="G3652" t="s">
        <v>31</v>
      </c>
      <c r="H3652" s="1">
        <v>44214</v>
      </c>
      <c r="I3652" s="2">
        <v>44218.2875</v>
      </c>
      <c r="J3652">
        <v>102.9</v>
      </c>
      <c r="K3652" t="s">
        <v>32</v>
      </c>
      <c r="L3652">
        <v>2</v>
      </c>
      <c r="M3652">
        <v>3</v>
      </c>
      <c r="N3652" t="s">
        <v>720</v>
      </c>
      <c r="O3652" s="3" t="str">
        <f>TEXT(Ticket_Table[[#This Row],[raised_date]],"YYYY-MM")</f>
        <v>2021-01</v>
      </c>
      <c r="P3652" s="3" t="str">
        <f>IF(Ticket_Table[[#This Row],[resolution_hrs]]&lt;=4,"Fast",IF(Ticket_Table[[#This Row],[resolution_hrs]]&lt;=24,"Normal",IF(Ticket_Table[[#This Row],[resolution_hrs]]&lt;=48,"Slow","Very Slow")))</f>
        <v>Very Slow</v>
      </c>
      <c r="Q3652" s="3">
        <f>YEAR(Ticket_Table[[#This Row],[raised_date]])</f>
        <v>2021</v>
      </c>
    </row>
    <row r="3653" spans="1:17">
      <c r="A3653" t="s">
        <v>4214</v>
      </c>
      <c r="B3653" t="s">
        <v>780</v>
      </c>
      <c r="C3653" t="s">
        <v>55</v>
      </c>
      <c r="D3653" t="s">
        <v>90</v>
      </c>
      <c r="E3653" t="s">
        <v>106</v>
      </c>
      <c r="F3653" t="s">
        <v>38</v>
      </c>
      <c r="G3653" t="s">
        <v>23</v>
      </c>
      <c r="H3653" s="1">
        <v>44221</v>
      </c>
      <c r="I3653" s="2">
        <v>44222.0375</v>
      </c>
      <c r="J3653">
        <v>24.9</v>
      </c>
      <c r="K3653" t="s">
        <v>32</v>
      </c>
      <c r="L3653">
        <v>0</v>
      </c>
      <c r="M3653">
        <v>3</v>
      </c>
      <c r="N3653" t="s">
        <v>192</v>
      </c>
      <c r="O3653" s="3" t="str">
        <f>TEXT(Ticket_Table[[#This Row],[raised_date]],"YYYY-MM")</f>
        <v>2021-01</v>
      </c>
      <c r="P3653" s="3" t="str">
        <f>IF(Ticket_Table[[#This Row],[resolution_hrs]]&lt;=4,"Fast",IF(Ticket_Table[[#This Row],[resolution_hrs]]&lt;=24,"Normal",IF(Ticket_Table[[#This Row],[resolution_hrs]]&lt;=48,"Slow","Very Slow")))</f>
        <v>Slow</v>
      </c>
      <c r="Q3653" s="3">
        <f>YEAR(Ticket_Table[[#This Row],[raised_date]])</f>
        <v>2021</v>
      </c>
    </row>
    <row r="3654" spans="1:17">
      <c r="A3654" t="s">
        <v>4215</v>
      </c>
      <c r="B3654" t="s">
        <v>608</v>
      </c>
      <c r="C3654" t="s">
        <v>28</v>
      </c>
      <c r="D3654" t="s">
        <v>20</v>
      </c>
      <c r="E3654" t="s">
        <v>56</v>
      </c>
      <c r="F3654" t="s">
        <v>22</v>
      </c>
      <c r="G3654" t="s">
        <v>23</v>
      </c>
      <c r="H3654" s="1">
        <v>44628</v>
      </c>
      <c r="I3654" s="2">
        <v>44629.2458333333</v>
      </c>
      <c r="J3654">
        <v>29.9</v>
      </c>
      <c r="K3654" t="s">
        <v>24</v>
      </c>
      <c r="L3654">
        <v>0</v>
      </c>
      <c r="M3654">
        <v>4</v>
      </c>
      <c r="N3654" t="s">
        <v>458</v>
      </c>
      <c r="O3654" s="3" t="str">
        <f>TEXT(Ticket_Table[[#This Row],[raised_date]],"YYYY-MM")</f>
        <v>2022-03</v>
      </c>
      <c r="P3654" s="3" t="str">
        <f>IF(Ticket_Table[[#This Row],[resolution_hrs]]&lt;=4,"Fast",IF(Ticket_Table[[#This Row],[resolution_hrs]]&lt;=24,"Normal",IF(Ticket_Table[[#This Row],[resolution_hrs]]&lt;=48,"Slow","Very Slow")))</f>
        <v>Slow</v>
      </c>
      <c r="Q3654" s="3">
        <f>YEAR(Ticket_Table[[#This Row],[raised_date]])</f>
        <v>2022</v>
      </c>
    </row>
    <row r="3655" spans="1:17">
      <c r="A3655" t="s">
        <v>4216</v>
      </c>
      <c r="B3655" t="s">
        <v>267</v>
      </c>
      <c r="C3655" t="s">
        <v>68</v>
      </c>
      <c r="D3655" t="s">
        <v>20</v>
      </c>
      <c r="E3655" t="s">
        <v>56</v>
      </c>
      <c r="F3655" t="s">
        <v>70</v>
      </c>
      <c r="G3655" t="s">
        <v>23</v>
      </c>
      <c r="H3655" s="1">
        <v>44974</v>
      </c>
      <c r="I3655" s="2">
        <v>44975.9208333333</v>
      </c>
      <c r="J3655">
        <v>46.1</v>
      </c>
      <c r="K3655" t="s">
        <v>24</v>
      </c>
      <c r="L3655">
        <v>0</v>
      </c>
      <c r="M3655">
        <v>4</v>
      </c>
      <c r="N3655" t="s">
        <v>293</v>
      </c>
      <c r="O3655" s="3" t="str">
        <f>TEXT(Ticket_Table[[#This Row],[raised_date]],"YYYY-MM")</f>
        <v>2023-02</v>
      </c>
      <c r="P3655" s="3" t="str">
        <f>IF(Ticket_Table[[#This Row],[resolution_hrs]]&lt;=4,"Fast",IF(Ticket_Table[[#This Row],[resolution_hrs]]&lt;=24,"Normal",IF(Ticket_Table[[#This Row],[resolution_hrs]]&lt;=48,"Slow","Very Slow")))</f>
        <v>Slow</v>
      </c>
      <c r="Q3655" s="3">
        <f>YEAR(Ticket_Table[[#This Row],[raised_date]])</f>
        <v>2023</v>
      </c>
    </row>
    <row r="3656" spans="1:17">
      <c r="A3656" t="s">
        <v>4217</v>
      </c>
      <c r="B3656" t="s">
        <v>39</v>
      </c>
      <c r="C3656" t="s">
        <v>68</v>
      </c>
      <c r="D3656" t="s">
        <v>36</v>
      </c>
      <c r="E3656" t="s">
        <v>30</v>
      </c>
      <c r="F3656" t="s">
        <v>45</v>
      </c>
      <c r="G3656" t="s">
        <v>23</v>
      </c>
      <c r="H3656" s="1">
        <v>44403</v>
      </c>
      <c r="I3656" s="2">
        <v>44403.0583333333</v>
      </c>
      <c r="J3656">
        <v>1.4</v>
      </c>
      <c r="K3656" t="s">
        <v>24</v>
      </c>
      <c r="L3656">
        <v>0</v>
      </c>
      <c r="M3656">
        <v>4</v>
      </c>
      <c r="N3656" t="s">
        <v>318</v>
      </c>
      <c r="O3656" s="3" t="str">
        <f>TEXT(Ticket_Table[[#This Row],[raised_date]],"YYYY-MM")</f>
        <v>2021-07</v>
      </c>
      <c r="P3656" s="3" t="str">
        <f>IF(Ticket_Table[[#This Row],[resolution_hrs]]&lt;=4,"Fast",IF(Ticket_Table[[#This Row],[resolution_hrs]]&lt;=24,"Normal",IF(Ticket_Table[[#This Row],[resolution_hrs]]&lt;=48,"Slow","Very Slow")))</f>
        <v>Fast</v>
      </c>
      <c r="Q3656" s="3">
        <f>YEAR(Ticket_Table[[#This Row],[raised_date]])</f>
        <v>2021</v>
      </c>
    </row>
    <row r="3657" spans="1:17">
      <c r="A3657" t="s">
        <v>4218</v>
      </c>
      <c r="B3657" t="s">
        <v>243</v>
      </c>
      <c r="C3657" t="s">
        <v>117</v>
      </c>
      <c r="D3657" t="s">
        <v>20</v>
      </c>
      <c r="E3657" t="s">
        <v>83</v>
      </c>
      <c r="F3657" t="s">
        <v>70</v>
      </c>
      <c r="G3657" t="s">
        <v>31</v>
      </c>
      <c r="H3657" s="1">
        <v>44863</v>
      </c>
      <c r="I3657" s="2">
        <v>44863.2458333333</v>
      </c>
      <c r="J3657">
        <v>5.9</v>
      </c>
      <c r="K3657" t="s">
        <v>24</v>
      </c>
      <c r="L3657">
        <v>0</v>
      </c>
      <c r="M3657">
        <v>4</v>
      </c>
      <c r="N3657" t="s">
        <v>698</v>
      </c>
      <c r="O3657" s="3" t="str">
        <f>TEXT(Ticket_Table[[#This Row],[raised_date]],"YYYY-MM")</f>
        <v>2022-10</v>
      </c>
      <c r="P3657" s="3" t="str">
        <f>IF(Ticket_Table[[#This Row],[resolution_hrs]]&lt;=4,"Fast",IF(Ticket_Table[[#This Row],[resolution_hrs]]&lt;=24,"Normal",IF(Ticket_Table[[#This Row],[resolution_hrs]]&lt;=48,"Slow","Very Slow")))</f>
        <v>Normal</v>
      </c>
      <c r="Q3657" s="3">
        <f>YEAR(Ticket_Table[[#This Row],[raised_date]])</f>
        <v>2022</v>
      </c>
    </row>
    <row r="3658" spans="1:17">
      <c r="A3658" t="s">
        <v>4219</v>
      </c>
      <c r="B3658" t="s">
        <v>382</v>
      </c>
      <c r="C3658" t="s">
        <v>261</v>
      </c>
      <c r="D3658" t="s">
        <v>36</v>
      </c>
      <c r="E3658" t="s">
        <v>51</v>
      </c>
      <c r="F3658" t="s">
        <v>38</v>
      </c>
      <c r="G3658" t="s">
        <v>31</v>
      </c>
      <c r="H3658" s="1">
        <v>44937</v>
      </c>
      <c r="I3658" s="2">
        <v>44937.6333333333</v>
      </c>
      <c r="J3658">
        <v>15.2</v>
      </c>
      <c r="K3658" t="s">
        <v>24</v>
      </c>
      <c r="L3658">
        <v>0</v>
      </c>
      <c r="M3658">
        <v>3</v>
      </c>
      <c r="N3658" t="s">
        <v>385</v>
      </c>
      <c r="O3658" s="3" t="str">
        <f>TEXT(Ticket_Table[[#This Row],[raised_date]],"YYYY-MM")</f>
        <v>2023-01</v>
      </c>
      <c r="P3658" s="3" t="str">
        <f>IF(Ticket_Table[[#This Row],[resolution_hrs]]&lt;=4,"Fast",IF(Ticket_Table[[#This Row],[resolution_hrs]]&lt;=24,"Normal",IF(Ticket_Table[[#This Row],[resolution_hrs]]&lt;=48,"Slow","Very Slow")))</f>
        <v>Normal</v>
      </c>
      <c r="Q3658" s="3">
        <f>YEAR(Ticket_Table[[#This Row],[raised_date]])</f>
        <v>2023</v>
      </c>
    </row>
    <row r="3659" spans="1:17">
      <c r="A3659" t="s">
        <v>4220</v>
      </c>
      <c r="B3659" t="s">
        <v>824</v>
      </c>
      <c r="C3659" t="s">
        <v>95</v>
      </c>
      <c r="D3659" t="s">
        <v>36</v>
      </c>
      <c r="E3659" t="s">
        <v>83</v>
      </c>
      <c r="F3659" t="s">
        <v>22</v>
      </c>
      <c r="G3659" t="s">
        <v>74</v>
      </c>
      <c r="H3659" s="1">
        <v>44728</v>
      </c>
      <c r="I3659" s="2">
        <v>44729.3708333333</v>
      </c>
      <c r="J3659">
        <v>32.9</v>
      </c>
      <c r="K3659" t="s">
        <v>24</v>
      </c>
      <c r="L3659">
        <v>1</v>
      </c>
      <c r="M3659">
        <v>1</v>
      </c>
      <c r="N3659" t="s">
        <v>1050</v>
      </c>
      <c r="O3659" s="3" t="str">
        <f>TEXT(Ticket_Table[[#This Row],[raised_date]],"YYYY-MM")</f>
        <v>2022-06</v>
      </c>
      <c r="P3659" s="3" t="str">
        <f>IF(Ticket_Table[[#This Row],[resolution_hrs]]&lt;=4,"Fast",IF(Ticket_Table[[#This Row],[resolution_hrs]]&lt;=24,"Normal",IF(Ticket_Table[[#This Row],[resolution_hrs]]&lt;=48,"Slow","Very Slow")))</f>
        <v>Slow</v>
      </c>
      <c r="Q3659" s="3">
        <f>YEAR(Ticket_Table[[#This Row],[raised_date]])</f>
        <v>2022</v>
      </c>
    </row>
    <row r="3660" spans="1:17">
      <c r="A3660" t="s">
        <v>4221</v>
      </c>
      <c r="B3660" t="s">
        <v>662</v>
      </c>
      <c r="C3660" t="s">
        <v>133</v>
      </c>
      <c r="D3660" t="s">
        <v>90</v>
      </c>
      <c r="E3660" t="s">
        <v>37</v>
      </c>
      <c r="F3660" t="s">
        <v>70</v>
      </c>
      <c r="G3660" t="s">
        <v>31</v>
      </c>
      <c r="H3660" s="1">
        <v>44580</v>
      </c>
      <c r="I3660" s="2">
        <v>44582.15</v>
      </c>
      <c r="J3660">
        <v>51.6</v>
      </c>
      <c r="K3660" t="s">
        <v>32</v>
      </c>
      <c r="L3660">
        <v>0</v>
      </c>
      <c r="M3660">
        <v>3</v>
      </c>
      <c r="N3660" t="s">
        <v>546</v>
      </c>
      <c r="O3660" s="3" t="str">
        <f>TEXT(Ticket_Table[[#This Row],[raised_date]],"YYYY-MM")</f>
        <v>2022-01</v>
      </c>
      <c r="P3660" s="3" t="str">
        <f>IF(Ticket_Table[[#This Row],[resolution_hrs]]&lt;=4,"Fast",IF(Ticket_Table[[#This Row],[resolution_hrs]]&lt;=24,"Normal",IF(Ticket_Table[[#This Row],[resolution_hrs]]&lt;=48,"Slow","Very Slow")))</f>
        <v>Very Slow</v>
      </c>
      <c r="Q3660" s="3">
        <f>YEAR(Ticket_Table[[#This Row],[raised_date]])</f>
        <v>2022</v>
      </c>
    </row>
    <row r="3661" spans="1:17">
      <c r="A3661" t="s">
        <v>4222</v>
      </c>
      <c r="B3661" t="s">
        <v>321</v>
      </c>
      <c r="C3661" t="s">
        <v>201</v>
      </c>
      <c r="D3661" t="s">
        <v>20</v>
      </c>
      <c r="E3661" t="s">
        <v>37</v>
      </c>
      <c r="F3661" t="s">
        <v>70</v>
      </c>
      <c r="G3661" t="s">
        <v>74</v>
      </c>
      <c r="H3661" s="1">
        <v>44735</v>
      </c>
      <c r="I3661" s="2">
        <v>44737.6208333333</v>
      </c>
      <c r="J3661">
        <v>62.9</v>
      </c>
      <c r="K3661" t="s">
        <v>32</v>
      </c>
      <c r="L3661">
        <v>0</v>
      </c>
      <c r="M3661">
        <v>4</v>
      </c>
      <c r="N3661" t="s">
        <v>1011</v>
      </c>
      <c r="O3661" s="3" t="str">
        <f>TEXT(Ticket_Table[[#This Row],[raised_date]],"YYYY-MM")</f>
        <v>2022-06</v>
      </c>
      <c r="P3661" s="3" t="str">
        <f>IF(Ticket_Table[[#This Row],[resolution_hrs]]&lt;=4,"Fast",IF(Ticket_Table[[#This Row],[resolution_hrs]]&lt;=24,"Normal",IF(Ticket_Table[[#This Row],[resolution_hrs]]&lt;=48,"Slow","Very Slow")))</f>
        <v>Very Slow</v>
      </c>
      <c r="Q3661" s="3">
        <f>YEAR(Ticket_Table[[#This Row],[raised_date]])</f>
        <v>2022</v>
      </c>
    </row>
    <row r="3662" spans="1:17">
      <c r="A3662" t="s">
        <v>4223</v>
      </c>
      <c r="B3662" t="s">
        <v>307</v>
      </c>
      <c r="C3662" t="s">
        <v>82</v>
      </c>
      <c r="D3662" t="s">
        <v>36</v>
      </c>
      <c r="E3662" t="s">
        <v>69</v>
      </c>
      <c r="F3662" t="s">
        <v>22</v>
      </c>
      <c r="G3662" t="s">
        <v>23</v>
      </c>
      <c r="H3662" s="1">
        <v>44682</v>
      </c>
      <c r="I3662" s="2">
        <v>44684.3833333333</v>
      </c>
      <c r="J3662">
        <v>57.2</v>
      </c>
      <c r="K3662" t="s">
        <v>24</v>
      </c>
      <c r="L3662">
        <v>0</v>
      </c>
      <c r="M3662">
        <v>5</v>
      </c>
      <c r="N3662" t="s">
        <v>756</v>
      </c>
      <c r="O3662" s="3" t="str">
        <f>TEXT(Ticket_Table[[#This Row],[raised_date]],"YYYY-MM")</f>
        <v>2022-05</v>
      </c>
      <c r="P3662" s="3" t="str">
        <f>IF(Ticket_Table[[#This Row],[resolution_hrs]]&lt;=4,"Fast",IF(Ticket_Table[[#This Row],[resolution_hrs]]&lt;=24,"Normal",IF(Ticket_Table[[#This Row],[resolution_hrs]]&lt;=48,"Slow","Very Slow")))</f>
        <v>Very Slow</v>
      </c>
      <c r="Q3662" s="3">
        <f>YEAR(Ticket_Table[[#This Row],[raised_date]])</f>
        <v>2022</v>
      </c>
    </row>
    <row r="3663" spans="1:17">
      <c r="A3663" t="s">
        <v>4224</v>
      </c>
      <c r="B3663" t="s">
        <v>398</v>
      </c>
      <c r="C3663" t="s">
        <v>133</v>
      </c>
      <c r="D3663" t="s">
        <v>43</v>
      </c>
      <c r="E3663" t="s">
        <v>56</v>
      </c>
      <c r="F3663" t="s">
        <v>70</v>
      </c>
      <c r="G3663" t="s">
        <v>31</v>
      </c>
      <c r="H3663" s="1">
        <v>44748</v>
      </c>
      <c r="I3663" s="2">
        <v>44750.0208333333</v>
      </c>
      <c r="J3663">
        <v>48.5</v>
      </c>
      <c r="K3663" t="s">
        <v>32</v>
      </c>
      <c r="L3663">
        <v>0</v>
      </c>
      <c r="M3663">
        <v>4</v>
      </c>
      <c r="N3663" t="s">
        <v>107</v>
      </c>
      <c r="O3663" s="3" t="str">
        <f>TEXT(Ticket_Table[[#This Row],[raised_date]],"YYYY-MM")</f>
        <v>2022-07</v>
      </c>
      <c r="P3663" s="3" t="str">
        <f>IF(Ticket_Table[[#This Row],[resolution_hrs]]&lt;=4,"Fast",IF(Ticket_Table[[#This Row],[resolution_hrs]]&lt;=24,"Normal",IF(Ticket_Table[[#This Row],[resolution_hrs]]&lt;=48,"Slow","Very Slow")))</f>
        <v>Very Slow</v>
      </c>
      <c r="Q3663" s="3">
        <f>YEAR(Ticket_Table[[#This Row],[raised_date]])</f>
        <v>2022</v>
      </c>
    </row>
    <row r="3664" spans="1:17">
      <c r="A3664" t="s">
        <v>4225</v>
      </c>
      <c r="B3664" t="s">
        <v>118</v>
      </c>
      <c r="C3664" t="s">
        <v>64</v>
      </c>
      <c r="D3664" t="s">
        <v>43</v>
      </c>
      <c r="E3664" t="s">
        <v>166</v>
      </c>
      <c r="F3664" t="s">
        <v>22</v>
      </c>
      <c r="G3664" t="s">
        <v>74</v>
      </c>
      <c r="H3664" s="1">
        <v>45162</v>
      </c>
      <c r="I3664" s="2">
        <v>45163.2</v>
      </c>
      <c r="J3664">
        <v>28.8</v>
      </c>
      <c r="K3664" t="s">
        <v>24</v>
      </c>
      <c r="L3664">
        <v>0</v>
      </c>
      <c r="M3664">
        <v>3</v>
      </c>
      <c r="N3664" t="s">
        <v>192</v>
      </c>
      <c r="O3664" s="3" t="str">
        <f>TEXT(Ticket_Table[[#This Row],[raised_date]],"YYYY-MM")</f>
        <v>2023-08</v>
      </c>
      <c r="P3664" s="3" t="str">
        <f>IF(Ticket_Table[[#This Row],[resolution_hrs]]&lt;=4,"Fast",IF(Ticket_Table[[#This Row],[resolution_hrs]]&lt;=24,"Normal",IF(Ticket_Table[[#This Row],[resolution_hrs]]&lt;=48,"Slow","Very Slow")))</f>
        <v>Slow</v>
      </c>
      <c r="Q3664" s="3">
        <f>YEAR(Ticket_Table[[#This Row],[raised_date]])</f>
        <v>2023</v>
      </c>
    </row>
    <row r="3665" spans="1:17">
      <c r="A3665" t="s">
        <v>4226</v>
      </c>
      <c r="B3665" t="s">
        <v>99</v>
      </c>
      <c r="C3665" t="s">
        <v>261</v>
      </c>
      <c r="D3665" t="s">
        <v>20</v>
      </c>
      <c r="E3665" t="s">
        <v>83</v>
      </c>
      <c r="F3665" t="s">
        <v>45</v>
      </c>
      <c r="G3665" t="s">
        <v>74</v>
      </c>
      <c r="H3665" s="1">
        <v>44899</v>
      </c>
      <c r="I3665" s="2">
        <v>44899.2166666667</v>
      </c>
      <c r="J3665">
        <v>5.2</v>
      </c>
      <c r="K3665" t="s">
        <v>32</v>
      </c>
      <c r="L3665">
        <v>0</v>
      </c>
      <c r="M3665">
        <v>2</v>
      </c>
      <c r="N3665" t="s">
        <v>355</v>
      </c>
      <c r="O3665" s="3" t="str">
        <f>TEXT(Ticket_Table[[#This Row],[raised_date]],"YYYY-MM")</f>
        <v>2022-12</v>
      </c>
      <c r="P3665" s="3" t="str">
        <f>IF(Ticket_Table[[#This Row],[resolution_hrs]]&lt;=4,"Fast",IF(Ticket_Table[[#This Row],[resolution_hrs]]&lt;=24,"Normal",IF(Ticket_Table[[#This Row],[resolution_hrs]]&lt;=48,"Slow","Very Slow")))</f>
        <v>Normal</v>
      </c>
      <c r="Q3665" s="3">
        <f>YEAR(Ticket_Table[[#This Row],[raised_date]])</f>
        <v>2022</v>
      </c>
    </row>
    <row r="3666" spans="1:17">
      <c r="A3666" t="s">
        <v>4227</v>
      </c>
      <c r="B3666" t="s">
        <v>1067</v>
      </c>
      <c r="C3666" t="s">
        <v>261</v>
      </c>
      <c r="D3666" t="s">
        <v>90</v>
      </c>
      <c r="E3666" t="s">
        <v>69</v>
      </c>
      <c r="F3666" t="s">
        <v>70</v>
      </c>
      <c r="G3666" t="s">
        <v>23</v>
      </c>
      <c r="H3666" s="1">
        <v>44946</v>
      </c>
      <c r="I3666" s="2">
        <v>44946.3166666667</v>
      </c>
      <c r="J3666">
        <v>7.6</v>
      </c>
      <c r="K3666" t="s">
        <v>24</v>
      </c>
      <c r="L3666">
        <v>0</v>
      </c>
      <c r="M3666">
        <v>5</v>
      </c>
      <c r="N3666" t="s">
        <v>1223</v>
      </c>
      <c r="O3666" s="3" t="str">
        <f>TEXT(Ticket_Table[[#This Row],[raised_date]],"YYYY-MM")</f>
        <v>2023-01</v>
      </c>
      <c r="P3666" s="3" t="str">
        <f>IF(Ticket_Table[[#This Row],[resolution_hrs]]&lt;=4,"Fast",IF(Ticket_Table[[#This Row],[resolution_hrs]]&lt;=24,"Normal",IF(Ticket_Table[[#This Row],[resolution_hrs]]&lt;=48,"Slow","Very Slow")))</f>
        <v>Normal</v>
      </c>
      <c r="Q3666" s="3">
        <f>YEAR(Ticket_Table[[#This Row],[raised_date]])</f>
        <v>2023</v>
      </c>
    </row>
    <row r="3667" spans="1:17">
      <c r="A3667" t="s">
        <v>4228</v>
      </c>
      <c r="B3667" t="s">
        <v>114</v>
      </c>
      <c r="C3667" t="s">
        <v>78</v>
      </c>
      <c r="D3667" t="s">
        <v>90</v>
      </c>
      <c r="E3667" t="s">
        <v>106</v>
      </c>
      <c r="F3667" t="s">
        <v>22</v>
      </c>
      <c r="G3667" t="s">
        <v>31</v>
      </c>
      <c r="H3667" s="1">
        <v>44573</v>
      </c>
      <c r="I3667" s="2">
        <v>44577.0625</v>
      </c>
      <c r="J3667">
        <v>97.5</v>
      </c>
      <c r="K3667" t="s">
        <v>32</v>
      </c>
      <c r="L3667">
        <v>0</v>
      </c>
      <c r="M3667">
        <v>2</v>
      </c>
      <c r="N3667" t="s">
        <v>919</v>
      </c>
      <c r="O3667" s="3" t="str">
        <f>TEXT(Ticket_Table[[#This Row],[raised_date]],"YYYY-MM")</f>
        <v>2022-01</v>
      </c>
      <c r="P3667" s="3" t="str">
        <f>IF(Ticket_Table[[#This Row],[resolution_hrs]]&lt;=4,"Fast",IF(Ticket_Table[[#This Row],[resolution_hrs]]&lt;=24,"Normal",IF(Ticket_Table[[#This Row],[resolution_hrs]]&lt;=48,"Slow","Very Slow")))</f>
        <v>Very Slow</v>
      </c>
      <c r="Q3667" s="3">
        <f>YEAR(Ticket_Table[[#This Row],[raised_date]])</f>
        <v>2022</v>
      </c>
    </row>
    <row r="3668" spans="1:17">
      <c r="A3668" t="s">
        <v>4229</v>
      </c>
      <c r="B3668" t="s">
        <v>228</v>
      </c>
      <c r="C3668" t="s">
        <v>42</v>
      </c>
      <c r="D3668" t="s">
        <v>36</v>
      </c>
      <c r="E3668" t="s">
        <v>51</v>
      </c>
      <c r="F3668" t="s">
        <v>70</v>
      </c>
      <c r="G3668" t="s">
        <v>23</v>
      </c>
      <c r="H3668" s="1">
        <v>45218</v>
      </c>
      <c r="I3668" s="2">
        <v>45219.0541666667</v>
      </c>
      <c r="J3668">
        <v>25.3</v>
      </c>
      <c r="K3668" t="s">
        <v>24</v>
      </c>
      <c r="L3668">
        <v>1</v>
      </c>
      <c r="M3668">
        <v>3</v>
      </c>
      <c r="N3668" t="s">
        <v>541</v>
      </c>
      <c r="O3668" s="3" t="str">
        <f>TEXT(Ticket_Table[[#This Row],[raised_date]],"YYYY-MM")</f>
        <v>2023-10</v>
      </c>
      <c r="P3668" s="3" t="str">
        <f>IF(Ticket_Table[[#This Row],[resolution_hrs]]&lt;=4,"Fast",IF(Ticket_Table[[#This Row],[resolution_hrs]]&lt;=24,"Normal",IF(Ticket_Table[[#This Row],[resolution_hrs]]&lt;=48,"Slow","Very Slow")))</f>
        <v>Slow</v>
      </c>
      <c r="Q3668" s="3">
        <f>YEAR(Ticket_Table[[#This Row],[raised_date]])</f>
        <v>2023</v>
      </c>
    </row>
    <row r="3669" spans="1:17">
      <c r="A3669" t="s">
        <v>4230</v>
      </c>
      <c r="B3669" t="s">
        <v>614</v>
      </c>
      <c r="C3669" t="s">
        <v>175</v>
      </c>
      <c r="D3669" t="s">
        <v>20</v>
      </c>
      <c r="E3669" t="s">
        <v>56</v>
      </c>
      <c r="F3669" t="s">
        <v>70</v>
      </c>
      <c r="G3669" t="s">
        <v>23</v>
      </c>
      <c r="H3669" s="1">
        <v>45065</v>
      </c>
      <c r="I3669" s="2">
        <v>45067.2708333333</v>
      </c>
      <c r="J3669">
        <v>54.5</v>
      </c>
      <c r="K3669" t="s">
        <v>32</v>
      </c>
      <c r="L3669">
        <v>0</v>
      </c>
      <c r="M3669">
        <v>2</v>
      </c>
      <c r="N3669" t="s">
        <v>429</v>
      </c>
      <c r="O3669" s="3" t="str">
        <f>TEXT(Ticket_Table[[#This Row],[raised_date]],"YYYY-MM")</f>
        <v>2023-05</v>
      </c>
      <c r="P3669" s="3" t="str">
        <f>IF(Ticket_Table[[#This Row],[resolution_hrs]]&lt;=4,"Fast",IF(Ticket_Table[[#This Row],[resolution_hrs]]&lt;=24,"Normal",IF(Ticket_Table[[#This Row],[resolution_hrs]]&lt;=48,"Slow","Very Slow")))</f>
        <v>Very Slow</v>
      </c>
      <c r="Q3669" s="3">
        <f>YEAR(Ticket_Table[[#This Row],[raised_date]])</f>
        <v>2023</v>
      </c>
    </row>
    <row r="3670" spans="1:17">
      <c r="A3670" t="s">
        <v>4231</v>
      </c>
      <c r="B3670" t="s">
        <v>835</v>
      </c>
      <c r="C3670" t="s">
        <v>68</v>
      </c>
      <c r="D3670" t="s">
        <v>43</v>
      </c>
      <c r="E3670" t="s">
        <v>69</v>
      </c>
      <c r="F3670" t="s">
        <v>38</v>
      </c>
      <c r="G3670" t="s">
        <v>31</v>
      </c>
      <c r="H3670" s="1">
        <v>44628</v>
      </c>
      <c r="I3670" s="2">
        <v>44628.2833333333</v>
      </c>
      <c r="J3670">
        <v>6.8</v>
      </c>
      <c r="K3670" t="s">
        <v>24</v>
      </c>
      <c r="L3670">
        <v>3</v>
      </c>
      <c r="M3670">
        <v>4</v>
      </c>
      <c r="N3670" t="s">
        <v>666</v>
      </c>
      <c r="O3670" s="3" t="str">
        <f>TEXT(Ticket_Table[[#This Row],[raised_date]],"YYYY-MM")</f>
        <v>2022-03</v>
      </c>
      <c r="P3670" s="3" t="str">
        <f>IF(Ticket_Table[[#This Row],[resolution_hrs]]&lt;=4,"Fast",IF(Ticket_Table[[#This Row],[resolution_hrs]]&lt;=24,"Normal",IF(Ticket_Table[[#This Row],[resolution_hrs]]&lt;=48,"Slow","Very Slow")))</f>
        <v>Normal</v>
      </c>
      <c r="Q3670" s="3">
        <f>YEAR(Ticket_Table[[#This Row],[raised_date]])</f>
        <v>2022</v>
      </c>
    </row>
    <row r="3671" spans="1:17">
      <c r="A3671" t="s">
        <v>4232</v>
      </c>
      <c r="B3671" t="s">
        <v>782</v>
      </c>
      <c r="C3671" t="s">
        <v>28</v>
      </c>
      <c r="D3671" t="s">
        <v>36</v>
      </c>
      <c r="E3671" t="s">
        <v>83</v>
      </c>
      <c r="F3671" t="s">
        <v>45</v>
      </c>
      <c r="G3671" t="s">
        <v>31</v>
      </c>
      <c r="H3671" s="1">
        <v>45055</v>
      </c>
      <c r="I3671" s="2">
        <v>45055.1125</v>
      </c>
      <c r="J3671">
        <v>2.7</v>
      </c>
      <c r="K3671" t="s">
        <v>24</v>
      </c>
      <c r="L3671">
        <v>0</v>
      </c>
      <c r="M3671">
        <v>3</v>
      </c>
      <c r="N3671" t="s">
        <v>1191</v>
      </c>
      <c r="O3671" s="3" t="str">
        <f>TEXT(Ticket_Table[[#This Row],[raised_date]],"YYYY-MM")</f>
        <v>2023-05</v>
      </c>
      <c r="P3671" s="3" t="str">
        <f>IF(Ticket_Table[[#This Row],[resolution_hrs]]&lt;=4,"Fast",IF(Ticket_Table[[#This Row],[resolution_hrs]]&lt;=24,"Normal",IF(Ticket_Table[[#This Row],[resolution_hrs]]&lt;=48,"Slow","Very Slow")))</f>
        <v>Fast</v>
      </c>
      <c r="Q3671" s="3">
        <f>YEAR(Ticket_Table[[#This Row],[raised_date]])</f>
        <v>2023</v>
      </c>
    </row>
    <row r="3672" spans="1:17">
      <c r="A3672" t="s">
        <v>4233</v>
      </c>
      <c r="B3672" t="s">
        <v>277</v>
      </c>
      <c r="C3672" t="s">
        <v>55</v>
      </c>
      <c r="D3672" t="s">
        <v>36</v>
      </c>
      <c r="E3672" t="s">
        <v>106</v>
      </c>
      <c r="F3672" t="s">
        <v>70</v>
      </c>
      <c r="G3672" t="s">
        <v>31</v>
      </c>
      <c r="H3672" s="1">
        <v>44959</v>
      </c>
      <c r="I3672" s="2">
        <v>44960.2833333333</v>
      </c>
      <c r="J3672">
        <v>30.8</v>
      </c>
      <c r="K3672" t="s">
        <v>24</v>
      </c>
      <c r="L3672">
        <v>0</v>
      </c>
      <c r="M3672">
        <v>3</v>
      </c>
      <c r="N3672" t="s">
        <v>805</v>
      </c>
      <c r="O3672" s="3" t="str">
        <f>TEXT(Ticket_Table[[#This Row],[raised_date]],"YYYY-MM")</f>
        <v>2023-02</v>
      </c>
      <c r="P3672" s="3" t="str">
        <f>IF(Ticket_Table[[#This Row],[resolution_hrs]]&lt;=4,"Fast",IF(Ticket_Table[[#This Row],[resolution_hrs]]&lt;=24,"Normal",IF(Ticket_Table[[#This Row],[resolution_hrs]]&lt;=48,"Slow","Very Slow")))</f>
        <v>Slow</v>
      </c>
      <c r="Q3672" s="3">
        <f>YEAR(Ticket_Table[[#This Row],[raised_date]])</f>
        <v>2023</v>
      </c>
    </row>
    <row r="3673" spans="1:17">
      <c r="A3673" t="s">
        <v>4234</v>
      </c>
      <c r="B3673" t="s">
        <v>207</v>
      </c>
      <c r="C3673" t="s">
        <v>201</v>
      </c>
      <c r="D3673" t="s">
        <v>29</v>
      </c>
      <c r="E3673" t="s">
        <v>30</v>
      </c>
      <c r="F3673" t="s">
        <v>38</v>
      </c>
      <c r="G3673" t="s">
        <v>23</v>
      </c>
      <c r="H3673" s="1">
        <v>44944</v>
      </c>
      <c r="I3673" s="2">
        <v>44944.7333333333</v>
      </c>
      <c r="J3673">
        <v>17.6</v>
      </c>
      <c r="K3673" t="s">
        <v>24</v>
      </c>
      <c r="L3673">
        <v>0</v>
      </c>
      <c r="M3673">
        <v>4</v>
      </c>
      <c r="N3673" t="s">
        <v>756</v>
      </c>
      <c r="O3673" s="3" t="str">
        <f>TEXT(Ticket_Table[[#This Row],[raised_date]],"YYYY-MM")</f>
        <v>2023-01</v>
      </c>
      <c r="P3673" s="3" t="str">
        <f>IF(Ticket_Table[[#This Row],[resolution_hrs]]&lt;=4,"Fast",IF(Ticket_Table[[#This Row],[resolution_hrs]]&lt;=24,"Normal",IF(Ticket_Table[[#This Row],[resolution_hrs]]&lt;=48,"Slow","Very Slow")))</f>
        <v>Normal</v>
      </c>
      <c r="Q3673" s="3">
        <f>YEAR(Ticket_Table[[#This Row],[raised_date]])</f>
        <v>2023</v>
      </c>
    </row>
    <row r="3674" spans="1:17">
      <c r="A3674" t="s">
        <v>4235</v>
      </c>
      <c r="B3674" t="s">
        <v>1200</v>
      </c>
      <c r="C3674" t="s">
        <v>68</v>
      </c>
      <c r="D3674" t="s">
        <v>20</v>
      </c>
      <c r="E3674" t="s">
        <v>21</v>
      </c>
      <c r="F3674" t="s">
        <v>70</v>
      </c>
      <c r="G3674" t="s">
        <v>74</v>
      </c>
      <c r="H3674" s="1">
        <v>45017</v>
      </c>
      <c r="I3674" s="2">
        <v>45019.0791666667</v>
      </c>
      <c r="J3674">
        <v>49.9</v>
      </c>
      <c r="K3674" t="s">
        <v>32</v>
      </c>
      <c r="L3674">
        <v>0</v>
      </c>
      <c r="M3674">
        <v>3</v>
      </c>
      <c r="N3674" t="s">
        <v>800</v>
      </c>
      <c r="O3674" s="3" t="str">
        <f>TEXT(Ticket_Table[[#This Row],[raised_date]],"YYYY-MM")</f>
        <v>2023-04</v>
      </c>
      <c r="P3674" s="3" t="str">
        <f>IF(Ticket_Table[[#This Row],[resolution_hrs]]&lt;=4,"Fast",IF(Ticket_Table[[#This Row],[resolution_hrs]]&lt;=24,"Normal",IF(Ticket_Table[[#This Row],[resolution_hrs]]&lt;=48,"Slow","Very Slow")))</f>
        <v>Very Slow</v>
      </c>
      <c r="Q3674" s="3">
        <f>YEAR(Ticket_Table[[#This Row],[raised_date]])</f>
        <v>2023</v>
      </c>
    </row>
    <row r="3675" spans="1:17">
      <c r="A3675" t="s">
        <v>4236</v>
      </c>
      <c r="B3675" t="s">
        <v>33</v>
      </c>
      <c r="C3675" t="s">
        <v>19</v>
      </c>
      <c r="D3675" t="s">
        <v>36</v>
      </c>
      <c r="E3675" t="s">
        <v>51</v>
      </c>
      <c r="F3675" t="s">
        <v>22</v>
      </c>
      <c r="G3675" t="s">
        <v>46</v>
      </c>
      <c r="H3675" s="1">
        <v>44769</v>
      </c>
      <c r="I3675" s="2">
        <v>44769.7583333333</v>
      </c>
      <c r="J3675">
        <v>18.2</v>
      </c>
      <c r="K3675" t="s">
        <v>24</v>
      </c>
      <c r="L3675">
        <v>0</v>
      </c>
      <c r="M3675">
        <v>3</v>
      </c>
      <c r="N3675" t="s">
        <v>981</v>
      </c>
      <c r="O3675" s="3" t="str">
        <f>TEXT(Ticket_Table[[#This Row],[raised_date]],"YYYY-MM")</f>
        <v>2022-07</v>
      </c>
      <c r="P3675" s="3" t="str">
        <f>IF(Ticket_Table[[#This Row],[resolution_hrs]]&lt;=4,"Fast",IF(Ticket_Table[[#This Row],[resolution_hrs]]&lt;=24,"Normal",IF(Ticket_Table[[#This Row],[resolution_hrs]]&lt;=48,"Slow","Very Slow")))</f>
        <v>Normal</v>
      </c>
      <c r="Q3675" s="3">
        <f>YEAR(Ticket_Table[[#This Row],[raised_date]])</f>
        <v>2022</v>
      </c>
    </row>
    <row r="3676" spans="1:17">
      <c r="A3676" t="s">
        <v>4237</v>
      </c>
      <c r="B3676" t="s">
        <v>426</v>
      </c>
      <c r="C3676" t="s">
        <v>28</v>
      </c>
      <c r="D3676" t="s">
        <v>43</v>
      </c>
      <c r="E3676" t="s">
        <v>37</v>
      </c>
      <c r="F3676" t="s">
        <v>38</v>
      </c>
      <c r="G3676" t="s">
        <v>31</v>
      </c>
      <c r="H3676" s="1">
        <v>45120</v>
      </c>
      <c r="I3676" s="2">
        <v>45121.0583333333</v>
      </c>
      <c r="J3676">
        <v>25.4</v>
      </c>
      <c r="K3676" t="s">
        <v>32</v>
      </c>
      <c r="L3676">
        <v>0</v>
      </c>
      <c r="M3676">
        <v>4</v>
      </c>
      <c r="N3676" t="s">
        <v>581</v>
      </c>
      <c r="O3676" s="3" t="str">
        <f>TEXT(Ticket_Table[[#This Row],[raised_date]],"YYYY-MM")</f>
        <v>2023-07</v>
      </c>
      <c r="P3676" s="3" t="str">
        <f>IF(Ticket_Table[[#This Row],[resolution_hrs]]&lt;=4,"Fast",IF(Ticket_Table[[#This Row],[resolution_hrs]]&lt;=24,"Normal",IF(Ticket_Table[[#This Row],[resolution_hrs]]&lt;=48,"Slow","Very Slow")))</f>
        <v>Slow</v>
      </c>
      <c r="Q3676" s="3">
        <f>YEAR(Ticket_Table[[#This Row],[raised_date]])</f>
        <v>2023</v>
      </c>
    </row>
    <row r="3677" spans="1:17">
      <c r="A3677" t="s">
        <v>4238</v>
      </c>
      <c r="B3677" t="s">
        <v>161</v>
      </c>
      <c r="C3677" t="s">
        <v>28</v>
      </c>
      <c r="D3677" t="s">
        <v>29</v>
      </c>
      <c r="E3677" t="s">
        <v>30</v>
      </c>
      <c r="F3677" t="s">
        <v>70</v>
      </c>
      <c r="G3677" t="s">
        <v>31</v>
      </c>
      <c r="H3677" s="1">
        <v>44565</v>
      </c>
      <c r="I3677" s="2">
        <v>44566.0916666667</v>
      </c>
      <c r="J3677">
        <v>26.2</v>
      </c>
      <c r="K3677" t="s">
        <v>24</v>
      </c>
      <c r="L3677">
        <v>0</v>
      </c>
      <c r="M3677">
        <v>5</v>
      </c>
      <c r="N3677" t="s">
        <v>810</v>
      </c>
      <c r="O3677" s="3" t="str">
        <f>TEXT(Ticket_Table[[#This Row],[raised_date]],"YYYY-MM")</f>
        <v>2022-01</v>
      </c>
      <c r="P3677" s="3" t="str">
        <f>IF(Ticket_Table[[#This Row],[resolution_hrs]]&lt;=4,"Fast",IF(Ticket_Table[[#This Row],[resolution_hrs]]&lt;=24,"Normal",IF(Ticket_Table[[#This Row],[resolution_hrs]]&lt;=48,"Slow","Very Slow")))</f>
        <v>Slow</v>
      </c>
      <c r="Q3677" s="3">
        <f>YEAR(Ticket_Table[[#This Row],[raised_date]])</f>
        <v>2022</v>
      </c>
    </row>
    <row r="3678" spans="1:17">
      <c r="A3678" t="s">
        <v>4239</v>
      </c>
      <c r="B3678" t="s">
        <v>525</v>
      </c>
      <c r="C3678" t="s">
        <v>78</v>
      </c>
      <c r="D3678" t="s">
        <v>43</v>
      </c>
      <c r="E3678" t="s">
        <v>56</v>
      </c>
      <c r="F3678" t="s">
        <v>38</v>
      </c>
      <c r="G3678" t="s">
        <v>91</v>
      </c>
      <c r="H3678" s="1">
        <v>44465</v>
      </c>
      <c r="I3678" s="2">
        <v>44466.0541666667</v>
      </c>
      <c r="J3678">
        <v>25.3</v>
      </c>
      <c r="K3678" t="s">
        <v>32</v>
      </c>
      <c r="L3678">
        <v>0</v>
      </c>
      <c r="M3678">
        <v>3</v>
      </c>
      <c r="N3678" t="s">
        <v>266</v>
      </c>
      <c r="O3678" s="3" t="str">
        <f>TEXT(Ticket_Table[[#This Row],[raised_date]],"YYYY-MM")</f>
        <v>2021-09</v>
      </c>
      <c r="P3678" s="3" t="str">
        <f>IF(Ticket_Table[[#This Row],[resolution_hrs]]&lt;=4,"Fast",IF(Ticket_Table[[#This Row],[resolution_hrs]]&lt;=24,"Normal",IF(Ticket_Table[[#This Row],[resolution_hrs]]&lt;=48,"Slow","Very Slow")))</f>
        <v>Slow</v>
      </c>
      <c r="Q3678" s="3">
        <f>YEAR(Ticket_Table[[#This Row],[raised_date]])</f>
        <v>2021</v>
      </c>
    </row>
    <row r="3679" spans="1:17">
      <c r="A3679" t="s">
        <v>4240</v>
      </c>
      <c r="B3679" t="s">
        <v>594</v>
      </c>
      <c r="C3679" t="s">
        <v>50</v>
      </c>
      <c r="D3679" t="s">
        <v>90</v>
      </c>
      <c r="E3679" t="s">
        <v>21</v>
      </c>
      <c r="F3679" t="s">
        <v>38</v>
      </c>
      <c r="G3679" t="s">
        <v>46</v>
      </c>
      <c r="H3679" s="1">
        <v>44665</v>
      </c>
      <c r="I3679" s="2">
        <v>44665.6083333333</v>
      </c>
      <c r="J3679">
        <v>14.6</v>
      </c>
      <c r="K3679" t="s">
        <v>24</v>
      </c>
      <c r="L3679">
        <v>0</v>
      </c>
      <c r="M3679">
        <v>3</v>
      </c>
      <c r="N3679" t="s">
        <v>643</v>
      </c>
      <c r="O3679" s="3" t="str">
        <f>TEXT(Ticket_Table[[#This Row],[raised_date]],"YYYY-MM")</f>
        <v>2022-04</v>
      </c>
      <c r="P3679" s="3" t="str">
        <f>IF(Ticket_Table[[#This Row],[resolution_hrs]]&lt;=4,"Fast",IF(Ticket_Table[[#This Row],[resolution_hrs]]&lt;=24,"Normal",IF(Ticket_Table[[#This Row],[resolution_hrs]]&lt;=48,"Slow","Very Slow")))</f>
        <v>Normal</v>
      </c>
      <c r="Q3679" s="3">
        <f>YEAR(Ticket_Table[[#This Row],[raised_date]])</f>
        <v>2022</v>
      </c>
    </row>
    <row r="3680" spans="1:17">
      <c r="A3680" t="s">
        <v>4241</v>
      </c>
      <c r="B3680" t="s">
        <v>277</v>
      </c>
      <c r="C3680" t="s">
        <v>95</v>
      </c>
      <c r="D3680" t="s">
        <v>29</v>
      </c>
      <c r="E3680" t="s">
        <v>21</v>
      </c>
      <c r="F3680" t="s">
        <v>70</v>
      </c>
      <c r="G3680" t="s">
        <v>46</v>
      </c>
      <c r="H3680" s="1">
        <v>44401</v>
      </c>
      <c r="I3680" s="2">
        <v>44401.0708333333</v>
      </c>
      <c r="J3680">
        <v>1.7</v>
      </c>
      <c r="K3680" t="s">
        <v>24</v>
      </c>
      <c r="L3680">
        <v>0</v>
      </c>
      <c r="M3680">
        <v>2</v>
      </c>
      <c r="N3680" t="s">
        <v>329</v>
      </c>
      <c r="O3680" s="3" t="str">
        <f>TEXT(Ticket_Table[[#This Row],[raised_date]],"YYYY-MM")</f>
        <v>2021-07</v>
      </c>
      <c r="P3680" s="3" t="str">
        <f>IF(Ticket_Table[[#This Row],[resolution_hrs]]&lt;=4,"Fast",IF(Ticket_Table[[#This Row],[resolution_hrs]]&lt;=24,"Normal",IF(Ticket_Table[[#This Row],[resolution_hrs]]&lt;=48,"Slow","Very Slow")))</f>
        <v>Fast</v>
      </c>
      <c r="Q3680" s="3">
        <f>YEAR(Ticket_Table[[#This Row],[raised_date]])</f>
        <v>2021</v>
      </c>
    </row>
    <row r="3681" spans="1:17">
      <c r="A3681" t="s">
        <v>4242</v>
      </c>
      <c r="B3681" t="s">
        <v>372</v>
      </c>
      <c r="C3681" t="s">
        <v>64</v>
      </c>
      <c r="D3681" t="s">
        <v>29</v>
      </c>
      <c r="E3681" t="s">
        <v>51</v>
      </c>
      <c r="F3681" t="s">
        <v>45</v>
      </c>
      <c r="G3681" t="s">
        <v>46</v>
      </c>
      <c r="H3681" s="1">
        <v>44749</v>
      </c>
      <c r="I3681" s="2">
        <v>44749.2041666667</v>
      </c>
      <c r="J3681">
        <v>4.9</v>
      </c>
      <c r="K3681" t="s">
        <v>32</v>
      </c>
      <c r="L3681">
        <v>0</v>
      </c>
      <c r="M3681">
        <v>4</v>
      </c>
      <c r="N3681" t="s">
        <v>272</v>
      </c>
      <c r="O3681" s="3" t="str">
        <f>TEXT(Ticket_Table[[#This Row],[raised_date]],"YYYY-MM")</f>
        <v>2022-07</v>
      </c>
      <c r="P3681" s="3" t="str">
        <f>IF(Ticket_Table[[#This Row],[resolution_hrs]]&lt;=4,"Fast",IF(Ticket_Table[[#This Row],[resolution_hrs]]&lt;=24,"Normal",IF(Ticket_Table[[#This Row],[resolution_hrs]]&lt;=48,"Slow","Very Slow")))</f>
        <v>Normal</v>
      </c>
      <c r="Q3681" s="3">
        <f>YEAR(Ticket_Table[[#This Row],[raised_date]])</f>
        <v>2022</v>
      </c>
    </row>
    <row r="3682" spans="1:17">
      <c r="A3682" t="s">
        <v>4243</v>
      </c>
      <c r="B3682" t="s">
        <v>442</v>
      </c>
      <c r="C3682" t="s">
        <v>42</v>
      </c>
      <c r="D3682" t="s">
        <v>36</v>
      </c>
      <c r="E3682" t="s">
        <v>166</v>
      </c>
      <c r="F3682" t="s">
        <v>38</v>
      </c>
      <c r="G3682" t="s">
        <v>46</v>
      </c>
      <c r="H3682" s="1">
        <v>44679</v>
      </c>
      <c r="I3682" s="2">
        <v>44679.9125</v>
      </c>
      <c r="J3682">
        <v>21.9</v>
      </c>
      <c r="K3682" t="s">
        <v>24</v>
      </c>
      <c r="L3682">
        <v>0</v>
      </c>
      <c r="M3682">
        <v>5</v>
      </c>
      <c r="N3682" t="s">
        <v>1063</v>
      </c>
      <c r="O3682" s="3" t="str">
        <f>TEXT(Ticket_Table[[#This Row],[raised_date]],"YYYY-MM")</f>
        <v>2022-04</v>
      </c>
      <c r="P3682" s="3" t="str">
        <f>IF(Ticket_Table[[#This Row],[resolution_hrs]]&lt;=4,"Fast",IF(Ticket_Table[[#This Row],[resolution_hrs]]&lt;=24,"Normal",IF(Ticket_Table[[#This Row],[resolution_hrs]]&lt;=48,"Slow","Very Slow")))</f>
        <v>Normal</v>
      </c>
      <c r="Q3682" s="3">
        <f>YEAR(Ticket_Table[[#This Row],[raised_date]])</f>
        <v>2022</v>
      </c>
    </row>
    <row r="3683" spans="1:17">
      <c r="A3683" t="s">
        <v>4244</v>
      </c>
      <c r="B3683" t="s">
        <v>101</v>
      </c>
      <c r="C3683" t="s">
        <v>261</v>
      </c>
      <c r="D3683" t="s">
        <v>90</v>
      </c>
      <c r="E3683" t="s">
        <v>30</v>
      </c>
      <c r="F3683" t="s">
        <v>70</v>
      </c>
      <c r="G3683" t="s">
        <v>23</v>
      </c>
      <c r="H3683" s="1">
        <v>45082</v>
      </c>
      <c r="I3683" s="2">
        <v>45082.2708333333</v>
      </c>
      <c r="J3683">
        <v>6.5</v>
      </c>
      <c r="K3683" t="s">
        <v>24</v>
      </c>
      <c r="L3683">
        <v>2</v>
      </c>
      <c r="M3683">
        <v>3</v>
      </c>
      <c r="N3683" t="s">
        <v>751</v>
      </c>
      <c r="O3683" s="3" t="str">
        <f>TEXT(Ticket_Table[[#This Row],[raised_date]],"YYYY-MM")</f>
        <v>2023-06</v>
      </c>
      <c r="P3683" s="3" t="str">
        <f>IF(Ticket_Table[[#This Row],[resolution_hrs]]&lt;=4,"Fast",IF(Ticket_Table[[#This Row],[resolution_hrs]]&lt;=24,"Normal",IF(Ticket_Table[[#This Row],[resolution_hrs]]&lt;=48,"Slow","Very Slow")))</f>
        <v>Normal</v>
      </c>
      <c r="Q3683" s="3">
        <f>YEAR(Ticket_Table[[#This Row],[raised_date]])</f>
        <v>2023</v>
      </c>
    </row>
    <row r="3684" spans="1:17">
      <c r="A3684" t="s">
        <v>4245</v>
      </c>
      <c r="B3684" t="s">
        <v>858</v>
      </c>
      <c r="C3684" t="s">
        <v>50</v>
      </c>
      <c r="D3684" t="s">
        <v>36</v>
      </c>
      <c r="E3684" t="s">
        <v>166</v>
      </c>
      <c r="F3684" t="s">
        <v>70</v>
      </c>
      <c r="G3684" t="s">
        <v>91</v>
      </c>
      <c r="H3684" s="1">
        <v>44977</v>
      </c>
      <c r="I3684" s="2">
        <v>44979.0166666667</v>
      </c>
      <c r="J3684">
        <v>48.4</v>
      </c>
      <c r="K3684" t="s">
        <v>32</v>
      </c>
      <c r="L3684">
        <v>1</v>
      </c>
      <c r="M3684">
        <v>4</v>
      </c>
      <c r="N3684" t="s">
        <v>499</v>
      </c>
      <c r="O3684" s="3" t="str">
        <f>TEXT(Ticket_Table[[#This Row],[raised_date]],"YYYY-MM")</f>
        <v>2023-02</v>
      </c>
      <c r="P3684" s="3" t="str">
        <f>IF(Ticket_Table[[#This Row],[resolution_hrs]]&lt;=4,"Fast",IF(Ticket_Table[[#This Row],[resolution_hrs]]&lt;=24,"Normal",IF(Ticket_Table[[#This Row],[resolution_hrs]]&lt;=48,"Slow","Very Slow")))</f>
        <v>Very Slow</v>
      </c>
      <c r="Q3684" s="3">
        <f>YEAR(Ticket_Table[[#This Row],[raised_date]])</f>
        <v>2023</v>
      </c>
    </row>
    <row r="3685" spans="1:17">
      <c r="A3685" t="s">
        <v>4246</v>
      </c>
      <c r="B3685" t="s">
        <v>171</v>
      </c>
      <c r="C3685" t="s">
        <v>261</v>
      </c>
      <c r="D3685" t="s">
        <v>20</v>
      </c>
      <c r="E3685" t="s">
        <v>44</v>
      </c>
      <c r="F3685" t="s">
        <v>70</v>
      </c>
      <c r="G3685" t="s">
        <v>23</v>
      </c>
      <c r="H3685" s="1">
        <v>44598</v>
      </c>
      <c r="I3685" s="2">
        <v>44599.8666666667</v>
      </c>
      <c r="J3685">
        <v>44.8</v>
      </c>
      <c r="K3685" t="s">
        <v>24</v>
      </c>
      <c r="L3685">
        <v>0</v>
      </c>
      <c r="M3685">
        <v>3</v>
      </c>
      <c r="N3685" t="s">
        <v>897</v>
      </c>
      <c r="O3685" s="3" t="str">
        <f>TEXT(Ticket_Table[[#This Row],[raised_date]],"YYYY-MM")</f>
        <v>2022-02</v>
      </c>
      <c r="P3685" s="3" t="str">
        <f>IF(Ticket_Table[[#This Row],[resolution_hrs]]&lt;=4,"Fast",IF(Ticket_Table[[#This Row],[resolution_hrs]]&lt;=24,"Normal",IF(Ticket_Table[[#This Row],[resolution_hrs]]&lt;=48,"Slow","Very Slow")))</f>
        <v>Slow</v>
      </c>
      <c r="Q3685" s="3">
        <f>YEAR(Ticket_Table[[#This Row],[raised_date]])</f>
        <v>2022</v>
      </c>
    </row>
    <row r="3686" spans="1:17">
      <c r="A3686" t="s">
        <v>4247</v>
      </c>
      <c r="B3686" t="s">
        <v>460</v>
      </c>
      <c r="C3686" t="s">
        <v>287</v>
      </c>
      <c r="D3686" t="s">
        <v>43</v>
      </c>
      <c r="E3686" t="s">
        <v>30</v>
      </c>
      <c r="F3686" t="s">
        <v>45</v>
      </c>
      <c r="G3686" t="s">
        <v>23</v>
      </c>
      <c r="H3686" s="1">
        <v>44495</v>
      </c>
      <c r="I3686" s="2">
        <v>44495.1083333333</v>
      </c>
      <c r="J3686">
        <v>2.6</v>
      </c>
      <c r="K3686" t="s">
        <v>24</v>
      </c>
      <c r="L3686">
        <v>0</v>
      </c>
      <c r="M3686">
        <v>4</v>
      </c>
      <c r="N3686" t="s">
        <v>192</v>
      </c>
      <c r="O3686" s="3" t="str">
        <f>TEXT(Ticket_Table[[#This Row],[raised_date]],"YYYY-MM")</f>
        <v>2021-10</v>
      </c>
      <c r="P3686" s="3" t="str">
        <f>IF(Ticket_Table[[#This Row],[resolution_hrs]]&lt;=4,"Fast",IF(Ticket_Table[[#This Row],[resolution_hrs]]&lt;=24,"Normal",IF(Ticket_Table[[#This Row],[resolution_hrs]]&lt;=48,"Slow","Very Slow")))</f>
        <v>Fast</v>
      </c>
      <c r="Q3686" s="3">
        <f>YEAR(Ticket_Table[[#This Row],[raised_date]])</f>
        <v>2021</v>
      </c>
    </row>
    <row r="3687" spans="1:17">
      <c r="A3687" t="s">
        <v>4248</v>
      </c>
      <c r="B3687" t="s">
        <v>1226</v>
      </c>
      <c r="C3687" t="s">
        <v>213</v>
      </c>
      <c r="D3687" t="s">
        <v>43</v>
      </c>
      <c r="E3687" t="s">
        <v>106</v>
      </c>
      <c r="F3687" t="s">
        <v>38</v>
      </c>
      <c r="G3687" t="s">
        <v>31</v>
      </c>
      <c r="H3687" s="1">
        <v>44503</v>
      </c>
      <c r="I3687" s="2">
        <v>44504.4791666667</v>
      </c>
      <c r="J3687">
        <v>35.5</v>
      </c>
      <c r="K3687" t="s">
        <v>32</v>
      </c>
      <c r="L3687">
        <v>0</v>
      </c>
      <c r="M3687">
        <v>1</v>
      </c>
      <c r="N3687" t="s">
        <v>947</v>
      </c>
      <c r="O3687" s="3" t="str">
        <f>TEXT(Ticket_Table[[#This Row],[raised_date]],"YYYY-MM")</f>
        <v>2021-11</v>
      </c>
      <c r="P3687" s="3" t="str">
        <f>IF(Ticket_Table[[#This Row],[resolution_hrs]]&lt;=4,"Fast",IF(Ticket_Table[[#This Row],[resolution_hrs]]&lt;=24,"Normal",IF(Ticket_Table[[#This Row],[resolution_hrs]]&lt;=48,"Slow","Very Slow")))</f>
        <v>Slow</v>
      </c>
      <c r="Q3687" s="3">
        <f>YEAR(Ticket_Table[[#This Row],[raised_date]])</f>
        <v>2021</v>
      </c>
    </row>
    <row r="3688" spans="1:17">
      <c r="A3688" t="s">
        <v>4249</v>
      </c>
      <c r="B3688" t="s">
        <v>253</v>
      </c>
      <c r="C3688" t="s">
        <v>133</v>
      </c>
      <c r="D3688" t="s">
        <v>36</v>
      </c>
      <c r="E3688" t="s">
        <v>56</v>
      </c>
      <c r="F3688" t="s">
        <v>22</v>
      </c>
      <c r="G3688" t="s">
        <v>74</v>
      </c>
      <c r="H3688" s="1">
        <v>45165</v>
      </c>
      <c r="I3688" s="2">
        <v>45169.2291666667</v>
      </c>
      <c r="J3688">
        <v>101.5</v>
      </c>
      <c r="K3688" t="s">
        <v>32</v>
      </c>
      <c r="L3688">
        <v>1</v>
      </c>
      <c r="M3688">
        <v>5</v>
      </c>
      <c r="N3688" t="s">
        <v>608</v>
      </c>
      <c r="O3688" s="3" t="str">
        <f>TEXT(Ticket_Table[[#This Row],[raised_date]],"YYYY-MM")</f>
        <v>2023-08</v>
      </c>
      <c r="P3688" s="3" t="str">
        <f>IF(Ticket_Table[[#This Row],[resolution_hrs]]&lt;=4,"Fast",IF(Ticket_Table[[#This Row],[resolution_hrs]]&lt;=24,"Normal",IF(Ticket_Table[[#This Row],[resolution_hrs]]&lt;=48,"Slow","Very Slow")))</f>
        <v>Very Slow</v>
      </c>
      <c r="Q3688" s="3">
        <f>YEAR(Ticket_Table[[#This Row],[raised_date]])</f>
        <v>2023</v>
      </c>
    </row>
    <row r="3689" spans="1:17">
      <c r="A3689" t="s">
        <v>4250</v>
      </c>
      <c r="B3689" t="s">
        <v>944</v>
      </c>
      <c r="C3689" t="s">
        <v>117</v>
      </c>
      <c r="D3689" t="s">
        <v>43</v>
      </c>
      <c r="E3689" t="s">
        <v>30</v>
      </c>
      <c r="F3689" t="s">
        <v>70</v>
      </c>
      <c r="G3689" t="s">
        <v>31</v>
      </c>
      <c r="H3689" s="1">
        <v>44216</v>
      </c>
      <c r="I3689" s="2">
        <v>44218.2375</v>
      </c>
      <c r="J3689">
        <v>53.7</v>
      </c>
      <c r="K3689" t="s">
        <v>32</v>
      </c>
      <c r="L3689">
        <v>1</v>
      </c>
      <c r="M3689">
        <v>4</v>
      </c>
      <c r="N3689" t="s">
        <v>1337</v>
      </c>
      <c r="O3689" s="3" t="str">
        <f>TEXT(Ticket_Table[[#This Row],[raised_date]],"YYYY-MM")</f>
        <v>2021-01</v>
      </c>
      <c r="P3689" s="3" t="str">
        <f>IF(Ticket_Table[[#This Row],[resolution_hrs]]&lt;=4,"Fast",IF(Ticket_Table[[#This Row],[resolution_hrs]]&lt;=24,"Normal",IF(Ticket_Table[[#This Row],[resolution_hrs]]&lt;=48,"Slow","Very Slow")))</f>
        <v>Very Slow</v>
      </c>
      <c r="Q3689" s="3">
        <f>YEAR(Ticket_Table[[#This Row],[raised_date]])</f>
        <v>2021</v>
      </c>
    </row>
    <row r="3690" spans="1:17">
      <c r="A3690" t="s">
        <v>4251</v>
      </c>
      <c r="B3690" t="s">
        <v>454</v>
      </c>
      <c r="C3690" t="s">
        <v>213</v>
      </c>
      <c r="D3690" t="s">
        <v>43</v>
      </c>
      <c r="E3690" t="s">
        <v>30</v>
      </c>
      <c r="F3690" t="s">
        <v>70</v>
      </c>
      <c r="G3690" t="s">
        <v>23</v>
      </c>
      <c r="H3690" s="1">
        <v>44558</v>
      </c>
      <c r="I3690" s="2">
        <v>44560.2208333333</v>
      </c>
      <c r="J3690">
        <v>53.3</v>
      </c>
      <c r="K3690" t="s">
        <v>32</v>
      </c>
      <c r="L3690">
        <v>0</v>
      </c>
      <c r="M3690">
        <v>3</v>
      </c>
      <c r="N3690" t="s">
        <v>158</v>
      </c>
      <c r="O3690" s="3" t="str">
        <f>TEXT(Ticket_Table[[#This Row],[raised_date]],"YYYY-MM")</f>
        <v>2021-12</v>
      </c>
      <c r="P3690" s="3" t="str">
        <f>IF(Ticket_Table[[#This Row],[resolution_hrs]]&lt;=4,"Fast",IF(Ticket_Table[[#This Row],[resolution_hrs]]&lt;=24,"Normal",IF(Ticket_Table[[#This Row],[resolution_hrs]]&lt;=48,"Slow","Very Slow")))</f>
        <v>Very Slow</v>
      </c>
      <c r="Q3690" s="3">
        <f>YEAR(Ticket_Table[[#This Row],[raised_date]])</f>
        <v>2021</v>
      </c>
    </row>
    <row r="3691" spans="1:17">
      <c r="A3691" t="s">
        <v>4252</v>
      </c>
      <c r="B3691" t="s">
        <v>1129</v>
      </c>
      <c r="C3691" t="s">
        <v>82</v>
      </c>
      <c r="D3691" t="s">
        <v>20</v>
      </c>
      <c r="E3691" t="s">
        <v>44</v>
      </c>
      <c r="F3691" t="s">
        <v>22</v>
      </c>
      <c r="G3691" t="s">
        <v>46</v>
      </c>
      <c r="H3691" s="1">
        <v>45060</v>
      </c>
      <c r="I3691" s="2">
        <v>45061.4541666667</v>
      </c>
      <c r="J3691">
        <v>34.9</v>
      </c>
      <c r="K3691" t="s">
        <v>24</v>
      </c>
      <c r="L3691">
        <v>1</v>
      </c>
      <c r="M3691">
        <v>5</v>
      </c>
      <c r="N3691" t="s">
        <v>906</v>
      </c>
      <c r="O3691" s="3" t="str">
        <f>TEXT(Ticket_Table[[#This Row],[raised_date]],"YYYY-MM")</f>
        <v>2023-05</v>
      </c>
      <c r="P3691" s="3" t="str">
        <f>IF(Ticket_Table[[#This Row],[resolution_hrs]]&lt;=4,"Fast",IF(Ticket_Table[[#This Row],[resolution_hrs]]&lt;=24,"Normal",IF(Ticket_Table[[#This Row],[resolution_hrs]]&lt;=48,"Slow","Very Slow")))</f>
        <v>Slow</v>
      </c>
      <c r="Q3691" s="3">
        <f>YEAR(Ticket_Table[[#This Row],[raised_date]])</f>
        <v>2023</v>
      </c>
    </row>
    <row r="3692" spans="1:17">
      <c r="A3692" t="s">
        <v>4253</v>
      </c>
      <c r="B3692" t="s">
        <v>503</v>
      </c>
      <c r="C3692" t="s">
        <v>140</v>
      </c>
      <c r="D3692" t="s">
        <v>90</v>
      </c>
      <c r="E3692" t="s">
        <v>51</v>
      </c>
      <c r="F3692" t="s">
        <v>22</v>
      </c>
      <c r="G3692" t="s">
        <v>23</v>
      </c>
      <c r="H3692" s="1">
        <v>45220</v>
      </c>
      <c r="I3692" s="2">
        <v>45220.7125</v>
      </c>
      <c r="J3692">
        <v>17.1</v>
      </c>
      <c r="K3692" t="s">
        <v>24</v>
      </c>
      <c r="L3692">
        <v>0</v>
      </c>
      <c r="M3692">
        <v>3</v>
      </c>
      <c r="N3692" t="s">
        <v>305</v>
      </c>
      <c r="O3692" s="3" t="str">
        <f>TEXT(Ticket_Table[[#This Row],[raised_date]],"YYYY-MM")</f>
        <v>2023-10</v>
      </c>
      <c r="P3692" s="3" t="str">
        <f>IF(Ticket_Table[[#This Row],[resolution_hrs]]&lt;=4,"Fast",IF(Ticket_Table[[#This Row],[resolution_hrs]]&lt;=24,"Normal",IF(Ticket_Table[[#This Row],[resolution_hrs]]&lt;=48,"Slow","Very Slow")))</f>
        <v>Normal</v>
      </c>
      <c r="Q3692" s="3">
        <f>YEAR(Ticket_Table[[#This Row],[raised_date]])</f>
        <v>2023</v>
      </c>
    </row>
    <row r="3693" spans="1:17">
      <c r="A3693" t="s">
        <v>4254</v>
      </c>
      <c r="B3693" t="s">
        <v>387</v>
      </c>
      <c r="C3693" t="s">
        <v>287</v>
      </c>
      <c r="D3693" t="s">
        <v>29</v>
      </c>
      <c r="E3693" t="s">
        <v>51</v>
      </c>
      <c r="F3693" t="s">
        <v>70</v>
      </c>
      <c r="G3693" t="s">
        <v>23</v>
      </c>
      <c r="H3693" s="1">
        <v>44472</v>
      </c>
      <c r="I3693" s="2">
        <v>44473.4</v>
      </c>
      <c r="J3693">
        <v>33.6</v>
      </c>
      <c r="K3693" t="s">
        <v>24</v>
      </c>
      <c r="L3693">
        <v>1</v>
      </c>
      <c r="M3693">
        <v>2</v>
      </c>
      <c r="N3693" t="s">
        <v>98</v>
      </c>
      <c r="O3693" s="3" t="str">
        <f>TEXT(Ticket_Table[[#This Row],[raised_date]],"YYYY-MM")</f>
        <v>2021-10</v>
      </c>
      <c r="P3693" s="3" t="str">
        <f>IF(Ticket_Table[[#This Row],[resolution_hrs]]&lt;=4,"Fast",IF(Ticket_Table[[#This Row],[resolution_hrs]]&lt;=24,"Normal",IF(Ticket_Table[[#This Row],[resolution_hrs]]&lt;=48,"Slow","Very Slow")))</f>
        <v>Slow</v>
      </c>
      <c r="Q3693" s="3">
        <f>YEAR(Ticket_Table[[#This Row],[raised_date]])</f>
        <v>2021</v>
      </c>
    </row>
    <row r="3694" spans="1:17">
      <c r="A3694" t="s">
        <v>4255</v>
      </c>
      <c r="B3694" t="s">
        <v>105</v>
      </c>
      <c r="C3694" t="s">
        <v>175</v>
      </c>
      <c r="D3694" t="s">
        <v>36</v>
      </c>
      <c r="E3694" t="s">
        <v>106</v>
      </c>
      <c r="F3694" t="s">
        <v>70</v>
      </c>
      <c r="G3694" t="s">
        <v>74</v>
      </c>
      <c r="H3694" s="1">
        <v>45255</v>
      </c>
      <c r="I3694" s="2">
        <v>45255.4791666667</v>
      </c>
      <c r="J3694">
        <v>11.5</v>
      </c>
      <c r="K3694" t="s">
        <v>24</v>
      </c>
      <c r="L3694">
        <v>0</v>
      </c>
      <c r="M3694">
        <v>5</v>
      </c>
      <c r="N3694" t="s">
        <v>858</v>
      </c>
      <c r="O3694" s="3" t="str">
        <f>TEXT(Ticket_Table[[#This Row],[raised_date]],"YYYY-MM")</f>
        <v>2023-11</v>
      </c>
      <c r="P3694" s="3" t="str">
        <f>IF(Ticket_Table[[#This Row],[resolution_hrs]]&lt;=4,"Fast",IF(Ticket_Table[[#This Row],[resolution_hrs]]&lt;=24,"Normal",IF(Ticket_Table[[#This Row],[resolution_hrs]]&lt;=48,"Slow","Very Slow")))</f>
        <v>Normal</v>
      </c>
      <c r="Q3694" s="3">
        <f>YEAR(Ticket_Table[[#This Row],[raised_date]])</f>
        <v>2023</v>
      </c>
    </row>
    <row r="3695" spans="1:17">
      <c r="A3695" t="s">
        <v>4256</v>
      </c>
      <c r="B3695" t="s">
        <v>1278</v>
      </c>
      <c r="C3695" t="s">
        <v>68</v>
      </c>
      <c r="D3695" t="s">
        <v>36</v>
      </c>
      <c r="E3695" t="s">
        <v>51</v>
      </c>
      <c r="F3695" t="s">
        <v>70</v>
      </c>
      <c r="G3695" t="s">
        <v>23</v>
      </c>
      <c r="H3695" s="1">
        <v>45290</v>
      </c>
      <c r="I3695" s="2">
        <v>45292.6</v>
      </c>
      <c r="J3695">
        <v>62.4</v>
      </c>
      <c r="K3695" t="s">
        <v>32</v>
      </c>
      <c r="L3695">
        <v>0</v>
      </c>
      <c r="M3695">
        <v>3</v>
      </c>
      <c r="N3695" t="s">
        <v>569</v>
      </c>
      <c r="O3695" s="3" t="str">
        <f>TEXT(Ticket_Table[[#This Row],[raised_date]],"YYYY-MM")</f>
        <v>2023-12</v>
      </c>
      <c r="P3695" s="3" t="str">
        <f>IF(Ticket_Table[[#This Row],[resolution_hrs]]&lt;=4,"Fast",IF(Ticket_Table[[#This Row],[resolution_hrs]]&lt;=24,"Normal",IF(Ticket_Table[[#This Row],[resolution_hrs]]&lt;=48,"Slow","Very Slow")))</f>
        <v>Very Slow</v>
      </c>
      <c r="Q3695" s="3">
        <f>YEAR(Ticket_Table[[#This Row],[raised_date]])</f>
        <v>2023</v>
      </c>
    </row>
    <row r="3696" spans="1:17">
      <c r="A3696" t="s">
        <v>4257</v>
      </c>
      <c r="B3696" t="s">
        <v>1533</v>
      </c>
      <c r="C3696" t="s">
        <v>102</v>
      </c>
      <c r="D3696" t="s">
        <v>20</v>
      </c>
      <c r="E3696" t="s">
        <v>21</v>
      </c>
      <c r="F3696" t="s">
        <v>22</v>
      </c>
      <c r="G3696" t="s">
        <v>23</v>
      </c>
      <c r="H3696" s="1">
        <v>44843</v>
      </c>
      <c r="I3696" s="2">
        <v>44843.55</v>
      </c>
      <c r="J3696">
        <v>13.2</v>
      </c>
      <c r="K3696" t="s">
        <v>24</v>
      </c>
      <c r="L3696">
        <v>1</v>
      </c>
      <c r="M3696">
        <v>5</v>
      </c>
      <c r="N3696" t="s">
        <v>926</v>
      </c>
      <c r="O3696" s="3" t="str">
        <f>TEXT(Ticket_Table[[#This Row],[raised_date]],"YYYY-MM")</f>
        <v>2022-10</v>
      </c>
      <c r="P3696" s="3" t="str">
        <f>IF(Ticket_Table[[#This Row],[resolution_hrs]]&lt;=4,"Fast",IF(Ticket_Table[[#This Row],[resolution_hrs]]&lt;=24,"Normal",IF(Ticket_Table[[#This Row],[resolution_hrs]]&lt;=48,"Slow","Very Slow")))</f>
        <v>Normal</v>
      </c>
      <c r="Q3696" s="3">
        <f>YEAR(Ticket_Table[[#This Row],[raised_date]])</f>
        <v>2022</v>
      </c>
    </row>
    <row r="3697" spans="1:17">
      <c r="A3697" t="s">
        <v>4258</v>
      </c>
      <c r="B3697" t="s">
        <v>1582</v>
      </c>
      <c r="C3697" t="s">
        <v>102</v>
      </c>
      <c r="D3697" t="s">
        <v>20</v>
      </c>
      <c r="E3697" t="s">
        <v>83</v>
      </c>
      <c r="F3697" t="s">
        <v>22</v>
      </c>
      <c r="G3697" t="s">
        <v>46</v>
      </c>
      <c r="H3697" s="1">
        <v>45193</v>
      </c>
      <c r="I3697" s="2">
        <v>45197.3666666667</v>
      </c>
      <c r="J3697">
        <v>104.8</v>
      </c>
      <c r="K3697" t="s">
        <v>32</v>
      </c>
      <c r="L3697">
        <v>0</v>
      </c>
      <c r="M3697">
        <v>4</v>
      </c>
      <c r="N3697" t="s">
        <v>655</v>
      </c>
      <c r="O3697" s="3" t="str">
        <f>TEXT(Ticket_Table[[#This Row],[raised_date]],"YYYY-MM")</f>
        <v>2023-09</v>
      </c>
      <c r="P3697" s="3" t="str">
        <f>IF(Ticket_Table[[#This Row],[resolution_hrs]]&lt;=4,"Fast",IF(Ticket_Table[[#This Row],[resolution_hrs]]&lt;=24,"Normal",IF(Ticket_Table[[#This Row],[resolution_hrs]]&lt;=48,"Slow","Very Slow")))</f>
        <v>Very Slow</v>
      </c>
      <c r="Q3697" s="3">
        <f>YEAR(Ticket_Table[[#This Row],[raised_date]])</f>
        <v>2023</v>
      </c>
    </row>
    <row r="3698" spans="1:17">
      <c r="A3698" t="s">
        <v>4259</v>
      </c>
      <c r="B3698" t="s">
        <v>607</v>
      </c>
      <c r="C3698" t="s">
        <v>42</v>
      </c>
      <c r="D3698" t="s">
        <v>29</v>
      </c>
      <c r="E3698" t="s">
        <v>44</v>
      </c>
      <c r="F3698" t="s">
        <v>38</v>
      </c>
      <c r="G3698" t="s">
        <v>46</v>
      </c>
      <c r="H3698" s="1">
        <v>44811</v>
      </c>
      <c r="I3698" s="2">
        <v>44811.6333333333</v>
      </c>
      <c r="J3698">
        <v>15.2</v>
      </c>
      <c r="K3698" t="s">
        <v>24</v>
      </c>
      <c r="L3698">
        <v>3</v>
      </c>
      <c r="M3698">
        <v>5</v>
      </c>
      <c r="N3698" t="s">
        <v>99</v>
      </c>
      <c r="O3698" s="3" t="str">
        <f>TEXT(Ticket_Table[[#This Row],[raised_date]],"YYYY-MM")</f>
        <v>2022-09</v>
      </c>
      <c r="P3698" s="3" t="str">
        <f>IF(Ticket_Table[[#This Row],[resolution_hrs]]&lt;=4,"Fast",IF(Ticket_Table[[#This Row],[resolution_hrs]]&lt;=24,"Normal",IF(Ticket_Table[[#This Row],[resolution_hrs]]&lt;=48,"Slow","Very Slow")))</f>
        <v>Normal</v>
      </c>
      <c r="Q3698" s="3">
        <f>YEAR(Ticket_Table[[#This Row],[raised_date]])</f>
        <v>2022</v>
      </c>
    </row>
    <row r="3699" spans="1:17">
      <c r="A3699" t="s">
        <v>4260</v>
      </c>
      <c r="B3699" t="s">
        <v>756</v>
      </c>
      <c r="C3699" t="s">
        <v>50</v>
      </c>
      <c r="D3699" t="s">
        <v>90</v>
      </c>
      <c r="E3699" t="s">
        <v>83</v>
      </c>
      <c r="F3699" t="s">
        <v>70</v>
      </c>
      <c r="G3699" t="s">
        <v>23</v>
      </c>
      <c r="H3699" s="1">
        <v>44710</v>
      </c>
      <c r="I3699" s="2">
        <v>44711.5833333333</v>
      </c>
      <c r="J3699">
        <v>38</v>
      </c>
      <c r="K3699" t="s">
        <v>24</v>
      </c>
      <c r="L3699">
        <v>0</v>
      </c>
      <c r="M3699">
        <v>4</v>
      </c>
      <c r="N3699" t="s">
        <v>1154</v>
      </c>
      <c r="O3699" s="3" t="str">
        <f>TEXT(Ticket_Table[[#This Row],[raised_date]],"YYYY-MM")</f>
        <v>2022-05</v>
      </c>
      <c r="P3699" s="3" t="str">
        <f>IF(Ticket_Table[[#This Row],[resolution_hrs]]&lt;=4,"Fast",IF(Ticket_Table[[#This Row],[resolution_hrs]]&lt;=24,"Normal",IF(Ticket_Table[[#This Row],[resolution_hrs]]&lt;=48,"Slow","Very Slow")))</f>
        <v>Slow</v>
      </c>
      <c r="Q3699" s="3">
        <f>YEAR(Ticket_Table[[#This Row],[raised_date]])</f>
        <v>2022</v>
      </c>
    </row>
    <row r="3700" spans="1:17">
      <c r="A3700" t="s">
        <v>4261</v>
      </c>
      <c r="B3700" t="s">
        <v>1216</v>
      </c>
      <c r="C3700" t="s">
        <v>261</v>
      </c>
      <c r="D3700" t="s">
        <v>36</v>
      </c>
      <c r="E3700" t="s">
        <v>83</v>
      </c>
      <c r="F3700" t="s">
        <v>22</v>
      </c>
      <c r="G3700" t="s">
        <v>23</v>
      </c>
      <c r="H3700" s="1">
        <v>44294</v>
      </c>
      <c r="I3700" s="2">
        <v>44294.0583333333</v>
      </c>
      <c r="J3700">
        <v>1.4</v>
      </c>
      <c r="K3700" t="s">
        <v>24</v>
      </c>
      <c r="L3700">
        <v>0</v>
      </c>
      <c r="M3700">
        <v>2</v>
      </c>
      <c r="N3700" t="s">
        <v>413</v>
      </c>
      <c r="O3700" s="3" t="str">
        <f>TEXT(Ticket_Table[[#This Row],[raised_date]],"YYYY-MM")</f>
        <v>2021-04</v>
      </c>
      <c r="P3700" s="3" t="str">
        <f>IF(Ticket_Table[[#This Row],[resolution_hrs]]&lt;=4,"Fast",IF(Ticket_Table[[#This Row],[resolution_hrs]]&lt;=24,"Normal",IF(Ticket_Table[[#This Row],[resolution_hrs]]&lt;=48,"Slow","Very Slow")))</f>
        <v>Fast</v>
      </c>
      <c r="Q3700" s="3">
        <f>YEAR(Ticket_Table[[#This Row],[raised_date]])</f>
        <v>2021</v>
      </c>
    </row>
    <row r="3701" spans="1:17">
      <c r="A3701" t="s">
        <v>4262</v>
      </c>
      <c r="B3701" t="s">
        <v>464</v>
      </c>
      <c r="C3701" t="s">
        <v>261</v>
      </c>
      <c r="D3701" t="s">
        <v>20</v>
      </c>
      <c r="E3701" t="s">
        <v>44</v>
      </c>
      <c r="F3701" t="s">
        <v>70</v>
      </c>
      <c r="G3701" t="s">
        <v>31</v>
      </c>
      <c r="H3701" s="1">
        <v>45012</v>
      </c>
      <c r="I3701" s="2">
        <v>45013.375</v>
      </c>
      <c r="J3701">
        <v>33</v>
      </c>
      <c r="K3701" t="s">
        <v>24</v>
      </c>
      <c r="L3701">
        <v>1</v>
      </c>
      <c r="M3701">
        <v>5</v>
      </c>
      <c r="N3701" t="s">
        <v>146</v>
      </c>
      <c r="O3701" s="3" t="str">
        <f>TEXT(Ticket_Table[[#This Row],[raised_date]],"YYYY-MM")</f>
        <v>2023-03</v>
      </c>
      <c r="P3701" s="3" t="str">
        <f>IF(Ticket_Table[[#This Row],[resolution_hrs]]&lt;=4,"Fast",IF(Ticket_Table[[#This Row],[resolution_hrs]]&lt;=24,"Normal",IF(Ticket_Table[[#This Row],[resolution_hrs]]&lt;=48,"Slow","Very Slow")))</f>
        <v>Slow</v>
      </c>
      <c r="Q3701" s="3">
        <f>YEAR(Ticket_Table[[#This Row],[raised_date]])</f>
        <v>2023</v>
      </c>
    </row>
    <row r="3702" spans="1:17">
      <c r="A3702" t="s">
        <v>4263</v>
      </c>
      <c r="B3702" t="s">
        <v>243</v>
      </c>
      <c r="C3702" t="s">
        <v>55</v>
      </c>
      <c r="D3702" t="s">
        <v>36</v>
      </c>
      <c r="E3702" t="s">
        <v>83</v>
      </c>
      <c r="F3702" t="s">
        <v>70</v>
      </c>
      <c r="G3702" t="s">
        <v>91</v>
      </c>
      <c r="H3702" s="1">
        <v>44399</v>
      </c>
      <c r="I3702" s="2">
        <v>44401.5041666667</v>
      </c>
      <c r="J3702">
        <v>60.1</v>
      </c>
      <c r="K3702" t="s">
        <v>32</v>
      </c>
      <c r="L3702">
        <v>0</v>
      </c>
      <c r="M3702">
        <v>2</v>
      </c>
      <c r="N3702" t="s">
        <v>493</v>
      </c>
      <c r="O3702" s="3" t="str">
        <f>TEXT(Ticket_Table[[#This Row],[raised_date]],"YYYY-MM")</f>
        <v>2021-07</v>
      </c>
      <c r="P3702" s="3" t="str">
        <f>IF(Ticket_Table[[#This Row],[resolution_hrs]]&lt;=4,"Fast",IF(Ticket_Table[[#This Row],[resolution_hrs]]&lt;=24,"Normal",IF(Ticket_Table[[#This Row],[resolution_hrs]]&lt;=48,"Slow","Very Slow")))</f>
        <v>Very Slow</v>
      </c>
      <c r="Q3702" s="3">
        <f>YEAR(Ticket_Table[[#This Row],[raised_date]])</f>
        <v>2021</v>
      </c>
    </row>
    <row r="3703" spans="1:17">
      <c r="A3703" t="s">
        <v>4264</v>
      </c>
      <c r="B3703" t="s">
        <v>778</v>
      </c>
      <c r="C3703" t="s">
        <v>60</v>
      </c>
      <c r="D3703" t="s">
        <v>43</v>
      </c>
      <c r="E3703" t="s">
        <v>83</v>
      </c>
      <c r="F3703" t="s">
        <v>22</v>
      </c>
      <c r="G3703" t="s">
        <v>31</v>
      </c>
      <c r="H3703" s="1">
        <v>44531</v>
      </c>
      <c r="I3703" s="2">
        <v>44531.6041666667</v>
      </c>
      <c r="J3703">
        <v>14.5</v>
      </c>
      <c r="K3703" t="s">
        <v>24</v>
      </c>
      <c r="L3703">
        <v>0</v>
      </c>
      <c r="M3703">
        <v>4</v>
      </c>
      <c r="N3703" t="s">
        <v>395</v>
      </c>
      <c r="O3703" s="3" t="str">
        <f>TEXT(Ticket_Table[[#This Row],[raised_date]],"YYYY-MM")</f>
        <v>2021-12</v>
      </c>
      <c r="P3703" s="3" t="str">
        <f>IF(Ticket_Table[[#This Row],[resolution_hrs]]&lt;=4,"Fast",IF(Ticket_Table[[#This Row],[resolution_hrs]]&lt;=24,"Normal",IF(Ticket_Table[[#This Row],[resolution_hrs]]&lt;=48,"Slow","Very Slow")))</f>
        <v>Normal</v>
      </c>
      <c r="Q3703" s="3">
        <f>YEAR(Ticket_Table[[#This Row],[raised_date]])</f>
        <v>2021</v>
      </c>
    </row>
    <row r="3704" spans="1:17">
      <c r="A3704" t="s">
        <v>4265</v>
      </c>
      <c r="B3704" t="s">
        <v>603</v>
      </c>
      <c r="C3704" t="s">
        <v>19</v>
      </c>
      <c r="D3704" t="s">
        <v>36</v>
      </c>
      <c r="E3704" t="s">
        <v>83</v>
      </c>
      <c r="F3704" t="s">
        <v>22</v>
      </c>
      <c r="G3704" t="s">
        <v>23</v>
      </c>
      <c r="H3704" s="1">
        <v>44319</v>
      </c>
      <c r="I3704" s="2">
        <v>44321.0458333333</v>
      </c>
      <c r="J3704">
        <v>49.1</v>
      </c>
      <c r="K3704" t="s">
        <v>24</v>
      </c>
      <c r="L3704">
        <v>0</v>
      </c>
      <c r="M3704">
        <v>4</v>
      </c>
      <c r="N3704" t="s">
        <v>353</v>
      </c>
      <c r="O3704" s="3" t="str">
        <f>TEXT(Ticket_Table[[#This Row],[raised_date]],"YYYY-MM")</f>
        <v>2021-05</v>
      </c>
      <c r="P3704" s="3" t="str">
        <f>IF(Ticket_Table[[#This Row],[resolution_hrs]]&lt;=4,"Fast",IF(Ticket_Table[[#This Row],[resolution_hrs]]&lt;=24,"Normal",IF(Ticket_Table[[#This Row],[resolution_hrs]]&lt;=48,"Slow","Very Slow")))</f>
        <v>Very Slow</v>
      </c>
      <c r="Q3704" s="3">
        <f>YEAR(Ticket_Table[[#This Row],[raised_date]])</f>
        <v>2021</v>
      </c>
    </row>
    <row r="3705" spans="1:17">
      <c r="A3705" t="s">
        <v>4266</v>
      </c>
      <c r="B3705" t="s">
        <v>707</v>
      </c>
      <c r="C3705" t="s">
        <v>117</v>
      </c>
      <c r="D3705" t="s">
        <v>90</v>
      </c>
      <c r="E3705" t="s">
        <v>106</v>
      </c>
      <c r="F3705" t="s">
        <v>22</v>
      </c>
      <c r="G3705" t="s">
        <v>31</v>
      </c>
      <c r="H3705" s="1">
        <v>44638</v>
      </c>
      <c r="I3705" s="2">
        <v>44642.3625</v>
      </c>
      <c r="J3705">
        <v>104.7</v>
      </c>
      <c r="K3705" t="s">
        <v>32</v>
      </c>
      <c r="L3705">
        <v>3</v>
      </c>
      <c r="M3705">
        <v>4</v>
      </c>
      <c r="N3705" t="s">
        <v>805</v>
      </c>
      <c r="O3705" s="3" t="str">
        <f>TEXT(Ticket_Table[[#This Row],[raised_date]],"YYYY-MM")</f>
        <v>2022-03</v>
      </c>
      <c r="P3705" s="3" t="str">
        <f>IF(Ticket_Table[[#This Row],[resolution_hrs]]&lt;=4,"Fast",IF(Ticket_Table[[#This Row],[resolution_hrs]]&lt;=24,"Normal",IF(Ticket_Table[[#This Row],[resolution_hrs]]&lt;=48,"Slow","Very Slow")))</f>
        <v>Very Slow</v>
      </c>
      <c r="Q3705" s="3">
        <f>YEAR(Ticket_Table[[#This Row],[raised_date]])</f>
        <v>2022</v>
      </c>
    </row>
    <row r="3706" spans="1:17">
      <c r="A3706" t="s">
        <v>4267</v>
      </c>
      <c r="B3706" t="s">
        <v>89</v>
      </c>
      <c r="C3706" t="s">
        <v>68</v>
      </c>
      <c r="D3706" t="s">
        <v>90</v>
      </c>
      <c r="E3706" t="s">
        <v>37</v>
      </c>
      <c r="F3706" t="s">
        <v>38</v>
      </c>
      <c r="G3706" t="s">
        <v>23</v>
      </c>
      <c r="H3706" s="1">
        <v>44717</v>
      </c>
      <c r="I3706" s="2">
        <v>44717.1833333333</v>
      </c>
      <c r="J3706">
        <v>4.4</v>
      </c>
      <c r="K3706" t="s">
        <v>24</v>
      </c>
      <c r="L3706">
        <v>1</v>
      </c>
      <c r="M3706">
        <v>4</v>
      </c>
      <c r="N3706" t="s">
        <v>365</v>
      </c>
      <c r="O3706" s="3" t="str">
        <f>TEXT(Ticket_Table[[#This Row],[raised_date]],"YYYY-MM")</f>
        <v>2022-06</v>
      </c>
      <c r="P3706" s="3" t="str">
        <f>IF(Ticket_Table[[#This Row],[resolution_hrs]]&lt;=4,"Fast",IF(Ticket_Table[[#This Row],[resolution_hrs]]&lt;=24,"Normal",IF(Ticket_Table[[#This Row],[resolution_hrs]]&lt;=48,"Slow","Very Slow")))</f>
        <v>Normal</v>
      </c>
      <c r="Q3706" s="3">
        <f>YEAR(Ticket_Table[[#This Row],[raised_date]])</f>
        <v>2022</v>
      </c>
    </row>
    <row r="3707" spans="1:17">
      <c r="A3707" t="s">
        <v>4268</v>
      </c>
      <c r="B3707" t="s">
        <v>1195</v>
      </c>
      <c r="C3707" t="s">
        <v>213</v>
      </c>
      <c r="D3707" t="s">
        <v>36</v>
      </c>
      <c r="E3707" t="s">
        <v>106</v>
      </c>
      <c r="F3707" t="s">
        <v>38</v>
      </c>
      <c r="G3707" t="s">
        <v>46</v>
      </c>
      <c r="H3707" s="1">
        <v>45172</v>
      </c>
      <c r="I3707" s="2">
        <v>45172.3625</v>
      </c>
      <c r="J3707">
        <v>8.7</v>
      </c>
      <c r="K3707" t="s">
        <v>24</v>
      </c>
      <c r="L3707">
        <v>0</v>
      </c>
      <c r="M3707">
        <v>5</v>
      </c>
      <c r="N3707" t="s">
        <v>2204</v>
      </c>
      <c r="O3707" s="3" t="str">
        <f>TEXT(Ticket_Table[[#This Row],[raised_date]],"YYYY-MM")</f>
        <v>2023-09</v>
      </c>
      <c r="P3707" s="3" t="str">
        <f>IF(Ticket_Table[[#This Row],[resolution_hrs]]&lt;=4,"Fast",IF(Ticket_Table[[#This Row],[resolution_hrs]]&lt;=24,"Normal",IF(Ticket_Table[[#This Row],[resolution_hrs]]&lt;=48,"Slow","Very Slow")))</f>
        <v>Normal</v>
      </c>
      <c r="Q3707" s="3">
        <f>YEAR(Ticket_Table[[#This Row],[raised_date]])</f>
        <v>2023</v>
      </c>
    </row>
    <row r="3708" spans="1:17">
      <c r="A3708" t="s">
        <v>4269</v>
      </c>
      <c r="B3708" t="s">
        <v>988</v>
      </c>
      <c r="C3708" t="s">
        <v>55</v>
      </c>
      <c r="D3708" t="s">
        <v>43</v>
      </c>
      <c r="E3708" t="s">
        <v>166</v>
      </c>
      <c r="F3708" t="s">
        <v>38</v>
      </c>
      <c r="G3708" t="s">
        <v>23</v>
      </c>
      <c r="H3708" s="1">
        <v>44394</v>
      </c>
      <c r="I3708" s="2">
        <v>44395.4708333333</v>
      </c>
      <c r="J3708">
        <v>35.3</v>
      </c>
      <c r="K3708" t="s">
        <v>32</v>
      </c>
      <c r="L3708">
        <v>0</v>
      </c>
      <c r="M3708">
        <v>5</v>
      </c>
      <c r="N3708" t="s">
        <v>484</v>
      </c>
      <c r="O3708" s="3" t="str">
        <f>TEXT(Ticket_Table[[#This Row],[raised_date]],"YYYY-MM")</f>
        <v>2021-07</v>
      </c>
      <c r="P3708" s="3" t="str">
        <f>IF(Ticket_Table[[#This Row],[resolution_hrs]]&lt;=4,"Fast",IF(Ticket_Table[[#This Row],[resolution_hrs]]&lt;=24,"Normal",IF(Ticket_Table[[#This Row],[resolution_hrs]]&lt;=48,"Slow","Very Slow")))</f>
        <v>Slow</v>
      </c>
      <c r="Q3708" s="3">
        <f>YEAR(Ticket_Table[[#This Row],[raised_date]])</f>
        <v>2021</v>
      </c>
    </row>
    <row r="3709" spans="1:17">
      <c r="A3709" t="s">
        <v>4270</v>
      </c>
      <c r="B3709" t="s">
        <v>1348</v>
      </c>
      <c r="C3709" t="s">
        <v>102</v>
      </c>
      <c r="D3709" t="s">
        <v>90</v>
      </c>
      <c r="E3709" t="s">
        <v>30</v>
      </c>
      <c r="F3709" t="s">
        <v>38</v>
      </c>
      <c r="G3709" t="s">
        <v>31</v>
      </c>
      <c r="H3709" s="1">
        <v>45118</v>
      </c>
      <c r="I3709" s="2">
        <v>45118.6541666667</v>
      </c>
      <c r="J3709">
        <v>15.7</v>
      </c>
      <c r="K3709" t="s">
        <v>24</v>
      </c>
      <c r="L3709">
        <v>0</v>
      </c>
      <c r="M3709">
        <v>5</v>
      </c>
      <c r="N3709" t="s">
        <v>385</v>
      </c>
      <c r="O3709" s="3" t="str">
        <f>TEXT(Ticket_Table[[#This Row],[raised_date]],"YYYY-MM")</f>
        <v>2023-07</v>
      </c>
      <c r="P3709" s="3" t="str">
        <f>IF(Ticket_Table[[#This Row],[resolution_hrs]]&lt;=4,"Fast",IF(Ticket_Table[[#This Row],[resolution_hrs]]&lt;=24,"Normal",IF(Ticket_Table[[#This Row],[resolution_hrs]]&lt;=48,"Slow","Very Slow")))</f>
        <v>Normal</v>
      </c>
      <c r="Q3709" s="3">
        <f>YEAR(Ticket_Table[[#This Row],[raised_date]])</f>
        <v>2023</v>
      </c>
    </row>
    <row r="3710" spans="1:17">
      <c r="A3710" t="s">
        <v>4271</v>
      </c>
      <c r="B3710" t="s">
        <v>49</v>
      </c>
      <c r="C3710" t="s">
        <v>64</v>
      </c>
      <c r="D3710" t="s">
        <v>20</v>
      </c>
      <c r="E3710" t="s">
        <v>51</v>
      </c>
      <c r="F3710" t="s">
        <v>38</v>
      </c>
      <c r="G3710" t="s">
        <v>31</v>
      </c>
      <c r="H3710" s="1">
        <v>44882</v>
      </c>
      <c r="I3710" s="2">
        <v>44882.8375</v>
      </c>
      <c r="J3710">
        <v>20.1</v>
      </c>
      <c r="K3710" t="s">
        <v>24</v>
      </c>
      <c r="L3710">
        <v>0</v>
      </c>
      <c r="M3710">
        <v>4</v>
      </c>
      <c r="N3710" t="s">
        <v>138</v>
      </c>
      <c r="O3710" s="3" t="str">
        <f>TEXT(Ticket_Table[[#This Row],[raised_date]],"YYYY-MM")</f>
        <v>2022-11</v>
      </c>
      <c r="P3710" s="3" t="str">
        <f>IF(Ticket_Table[[#This Row],[resolution_hrs]]&lt;=4,"Fast",IF(Ticket_Table[[#This Row],[resolution_hrs]]&lt;=24,"Normal",IF(Ticket_Table[[#This Row],[resolution_hrs]]&lt;=48,"Slow","Very Slow")))</f>
        <v>Normal</v>
      </c>
      <c r="Q3710" s="3">
        <f>YEAR(Ticket_Table[[#This Row],[raised_date]])</f>
        <v>2022</v>
      </c>
    </row>
    <row r="3711" spans="1:17">
      <c r="A3711" t="s">
        <v>4272</v>
      </c>
      <c r="B3711" t="s">
        <v>525</v>
      </c>
      <c r="C3711" t="s">
        <v>117</v>
      </c>
      <c r="D3711" t="s">
        <v>36</v>
      </c>
      <c r="E3711" t="s">
        <v>44</v>
      </c>
      <c r="F3711" t="s">
        <v>70</v>
      </c>
      <c r="G3711" t="s">
        <v>91</v>
      </c>
      <c r="H3711" s="1">
        <v>44729</v>
      </c>
      <c r="I3711" s="2">
        <v>44729.5333333333</v>
      </c>
      <c r="J3711">
        <v>12.8</v>
      </c>
      <c r="K3711" t="s">
        <v>24</v>
      </c>
      <c r="L3711">
        <v>3</v>
      </c>
      <c r="M3711">
        <v>5</v>
      </c>
      <c r="N3711" t="s">
        <v>304</v>
      </c>
      <c r="O3711" s="3" t="str">
        <f>TEXT(Ticket_Table[[#This Row],[raised_date]],"YYYY-MM")</f>
        <v>2022-06</v>
      </c>
      <c r="P3711" s="3" t="str">
        <f>IF(Ticket_Table[[#This Row],[resolution_hrs]]&lt;=4,"Fast",IF(Ticket_Table[[#This Row],[resolution_hrs]]&lt;=24,"Normal",IF(Ticket_Table[[#This Row],[resolution_hrs]]&lt;=48,"Slow","Very Slow")))</f>
        <v>Normal</v>
      </c>
      <c r="Q3711" s="3">
        <f>YEAR(Ticket_Table[[#This Row],[raised_date]])</f>
        <v>2022</v>
      </c>
    </row>
    <row r="3712" spans="1:17">
      <c r="A3712" t="s">
        <v>4273</v>
      </c>
      <c r="B3712" t="s">
        <v>569</v>
      </c>
      <c r="C3712" t="s">
        <v>175</v>
      </c>
      <c r="D3712" t="s">
        <v>43</v>
      </c>
      <c r="E3712" t="s">
        <v>21</v>
      </c>
      <c r="F3712" t="s">
        <v>70</v>
      </c>
      <c r="G3712" t="s">
        <v>23</v>
      </c>
      <c r="H3712" s="1">
        <v>44936</v>
      </c>
      <c r="I3712" s="2">
        <v>44937.1583333333</v>
      </c>
      <c r="J3712">
        <v>27.8</v>
      </c>
      <c r="K3712" t="s">
        <v>24</v>
      </c>
      <c r="L3712">
        <v>0</v>
      </c>
      <c r="M3712">
        <v>4</v>
      </c>
      <c r="N3712" t="s">
        <v>59</v>
      </c>
      <c r="O3712" s="3" t="str">
        <f>TEXT(Ticket_Table[[#This Row],[raised_date]],"YYYY-MM")</f>
        <v>2023-01</v>
      </c>
      <c r="P3712" s="3" t="str">
        <f>IF(Ticket_Table[[#This Row],[resolution_hrs]]&lt;=4,"Fast",IF(Ticket_Table[[#This Row],[resolution_hrs]]&lt;=24,"Normal",IF(Ticket_Table[[#This Row],[resolution_hrs]]&lt;=48,"Slow","Very Slow")))</f>
        <v>Slow</v>
      </c>
      <c r="Q3712" s="3">
        <f>YEAR(Ticket_Table[[#This Row],[raised_date]])</f>
        <v>2023</v>
      </c>
    </row>
    <row r="3713" spans="1:17">
      <c r="A3713" t="s">
        <v>4274</v>
      </c>
      <c r="B3713" t="s">
        <v>267</v>
      </c>
      <c r="C3713" t="s">
        <v>64</v>
      </c>
      <c r="D3713" t="s">
        <v>20</v>
      </c>
      <c r="E3713" t="s">
        <v>83</v>
      </c>
      <c r="F3713" t="s">
        <v>22</v>
      </c>
      <c r="G3713" t="s">
        <v>31</v>
      </c>
      <c r="H3713" s="1">
        <v>44934</v>
      </c>
      <c r="I3713" s="2">
        <v>44935.5916666667</v>
      </c>
      <c r="J3713">
        <v>38.2</v>
      </c>
      <c r="K3713" t="s">
        <v>24</v>
      </c>
      <c r="L3713">
        <v>0</v>
      </c>
      <c r="M3713">
        <v>5</v>
      </c>
      <c r="N3713" t="s">
        <v>310</v>
      </c>
      <c r="O3713" s="3" t="str">
        <f>TEXT(Ticket_Table[[#This Row],[raised_date]],"YYYY-MM")</f>
        <v>2023-01</v>
      </c>
      <c r="P3713" s="3" t="str">
        <f>IF(Ticket_Table[[#This Row],[resolution_hrs]]&lt;=4,"Fast",IF(Ticket_Table[[#This Row],[resolution_hrs]]&lt;=24,"Normal",IF(Ticket_Table[[#This Row],[resolution_hrs]]&lt;=48,"Slow","Very Slow")))</f>
        <v>Slow</v>
      </c>
      <c r="Q3713" s="3">
        <f>YEAR(Ticket_Table[[#This Row],[raised_date]])</f>
        <v>2023</v>
      </c>
    </row>
    <row r="3714" spans="1:17">
      <c r="A3714" t="s">
        <v>4275</v>
      </c>
      <c r="B3714" t="s">
        <v>207</v>
      </c>
      <c r="C3714" t="s">
        <v>55</v>
      </c>
      <c r="D3714" t="s">
        <v>36</v>
      </c>
      <c r="E3714" t="s">
        <v>69</v>
      </c>
      <c r="F3714" t="s">
        <v>70</v>
      </c>
      <c r="G3714" t="s">
        <v>74</v>
      </c>
      <c r="H3714" s="1">
        <v>44724</v>
      </c>
      <c r="I3714" s="2">
        <v>44726.8583333333</v>
      </c>
      <c r="J3714">
        <v>68.6</v>
      </c>
      <c r="K3714" t="s">
        <v>32</v>
      </c>
      <c r="L3714">
        <v>0</v>
      </c>
      <c r="M3714">
        <v>5</v>
      </c>
      <c r="N3714" t="s">
        <v>109</v>
      </c>
      <c r="O3714" s="3" t="str">
        <f>TEXT(Ticket_Table[[#This Row],[raised_date]],"YYYY-MM")</f>
        <v>2022-06</v>
      </c>
      <c r="P3714" s="3" t="str">
        <f>IF(Ticket_Table[[#This Row],[resolution_hrs]]&lt;=4,"Fast",IF(Ticket_Table[[#This Row],[resolution_hrs]]&lt;=24,"Normal",IF(Ticket_Table[[#This Row],[resolution_hrs]]&lt;=48,"Slow","Very Slow")))</f>
        <v>Very Slow</v>
      </c>
      <c r="Q3714" s="3">
        <f>YEAR(Ticket_Table[[#This Row],[raised_date]])</f>
        <v>2022</v>
      </c>
    </row>
    <row r="3715" spans="1:17">
      <c r="A3715" t="s">
        <v>4276</v>
      </c>
      <c r="B3715" t="s">
        <v>878</v>
      </c>
      <c r="C3715" t="s">
        <v>42</v>
      </c>
      <c r="D3715" t="s">
        <v>43</v>
      </c>
      <c r="E3715" t="s">
        <v>44</v>
      </c>
      <c r="F3715" t="s">
        <v>38</v>
      </c>
      <c r="G3715" t="s">
        <v>23</v>
      </c>
      <c r="H3715" s="1">
        <v>44901</v>
      </c>
      <c r="I3715" s="2">
        <v>44902.4583333333</v>
      </c>
      <c r="J3715">
        <v>35</v>
      </c>
      <c r="K3715" t="s">
        <v>32</v>
      </c>
      <c r="L3715">
        <v>3</v>
      </c>
      <c r="M3715">
        <v>2</v>
      </c>
      <c r="N3715" t="s">
        <v>796</v>
      </c>
      <c r="O3715" s="3" t="str">
        <f>TEXT(Ticket_Table[[#This Row],[raised_date]],"YYYY-MM")</f>
        <v>2022-12</v>
      </c>
      <c r="P3715" s="3" t="str">
        <f>IF(Ticket_Table[[#This Row],[resolution_hrs]]&lt;=4,"Fast",IF(Ticket_Table[[#This Row],[resolution_hrs]]&lt;=24,"Normal",IF(Ticket_Table[[#This Row],[resolution_hrs]]&lt;=48,"Slow","Very Slow")))</f>
        <v>Slow</v>
      </c>
      <c r="Q3715" s="3">
        <f>YEAR(Ticket_Table[[#This Row],[raised_date]])</f>
        <v>2022</v>
      </c>
    </row>
    <row r="3716" spans="1:17">
      <c r="A3716" t="s">
        <v>4277</v>
      </c>
      <c r="B3716" t="s">
        <v>151</v>
      </c>
      <c r="C3716" t="s">
        <v>102</v>
      </c>
      <c r="D3716" t="s">
        <v>20</v>
      </c>
      <c r="E3716" t="s">
        <v>56</v>
      </c>
      <c r="F3716" t="s">
        <v>70</v>
      </c>
      <c r="G3716" t="s">
        <v>31</v>
      </c>
      <c r="H3716" s="1">
        <v>44237</v>
      </c>
      <c r="I3716" s="2">
        <v>44238.75</v>
      </c>
      <c r="J3716">
        <v>42</v>
      </c>
      <c r="K3716" t="s">
        <v>24</v>
      </c>
      <c r="L3716">
        <v>0</v>
      </c>
      <c r="M3716">
        <v>3</v>
      </c>
      <c r="N3716" t="s">
        <v>449</v>
      </c>
      <c r="O3716" s="3" t="str">
        <f>TEXT(Ticket_Table[[#This Row],[raised_date]],"YYYY-MM")</f>
        <v>2021-02</v>
      </c>
      <c r="P3716" s="3" t="str">
        <f>IF(Ticket_Table[[#This Row],[resolution_hrs]]&lt;=4,"Fast",IF(Ticket_Table[[#This Row],[resolution_hrs]]&lt;=24,"Normal",IF(Ticket_Table[[#This Row],[resolution_hrs]]&lt;=48,"Slow","Very Slow")))</f>
        <v>Slow</v>
      </c>
      <c r="Q3716" s="3">
        <f>YEAR(Ticket_Table[[#This Row],[raised_date]])</f>
        <v>2021</v>
      </c>
    </row>
    <row r="3717" spans="1:17">
      <c r="A3717" t="s">
        <v>4278</v>
      </c>
      <c r="B3717" t="s">
        <v>1301</v>
      </c>
      <c r="C3717" t="s">
        <v>68</v>
      </c>
      <c r="D3717" t="s">
        <v>90</v>
      </c>
      <c r="E3717" t="s">
        <v>44</v>
      </c>
      <c r="F3717" t="s">
        <v>70</v>
      </c>
      <c r="G3717" t="s">
        <v>23</v>
      </c>
      <c r="H3717" s="1">
        <v>45040</v>
      </c>
      <c r="I3717" s="2">
        <v>45040.0833333333</v>
      </c>
      <c r="J3717">
        <v>2</v>
      </c>
      <c r="K3717" t="s">
        <v>24</v>
      </c>
      <c r="L3717">
        <v>2</v>
      </c>
      <c r="M3717">
        <v>5</v>
      </c>
      <c r="N3717" t="s">
        <v>195</v>
      </c>
      <c r="O3717" s="3" t="str">
        <f>TEXT(Ticket_Table[[#This Row],[raised_date]],"YYYY-MM")</f>
        <v>2023-04</v>
      </c>
      <c r="P3717" s="3" t="str">
        <f>IF(Ticket_Table[[#This Row],[resolution_hrs]]&lt;=4,"Fast",IF(Ticket_Table[[#This Row],[resolution_hrs]]&lt;=24,"Normal",IF(Ticket_Table[[#This Row],[resolution_hrs]]&lt;=48,"Slow","Very Slow")))</f>
        <v>Fast</v>
      </c>
      <c r="Q3717" s="3">
        <f>YEAR(Ticket_Table[[#This Row],[raised_date]])</f>
        <v>2023</v>
      </c>
    </row>
    <row r="3718" spans="1:17">
      <c r="A3718" t="s">
        <v>4279</v>
      </c>
      <c r="B3718" t="s">
        <v>79</v>
      </c>
      <c r="C3718" t="s">
        <v>42</v>
      </c>
      <c r="D3718" t="s">
        <v>36</v>
      </c>
      <c r="E3718" t="s">
        <v>30</v>
      </c>
      <c r="F3718" t="s">
        <v>22</v>
      </c>
      <c r="G3718" t="s">
        <v>46</v>
      </c>
      <c r="H3718" s="1">
        <v>44445</v>
      </c>
      <c r="I3718" s="2">
        <v>44448.6708333333</v>
      </c>
      <c r="J3718">
        <v>88.1</v>
      </c>
      <c r="K3718" t="s">
        <v>32</v>
      </c>
      <c r="L3718">
        <v>0</v>
      </c>
      <c r="M3718">
        <v>2</v>
      </c>
      <c r="N3718" t="s">
        <v>985</v>
      </c>
      <c r="O3718" s="3" t="str">
        <f>TEXT(Ticket_Table[[#This Row],[raised_date]],"YYYY-MM")</f>
        <v>2021-09</v>
      </c>
      <c r="P3718" s="3" t="str">
        <f>IF(Ticket_Table[[#This Row],[resolution_hrs]]&lt;=4,"Fast",IF(Ticket_Table[[#This Row],[resolution_hrs]]&lt;=24,"Normal",IF(Ticket_Table[[#This Row],[resolution_hrs]]&lt;=48,"Slow","Very Slow")))</f>
        <v>Very Slow</v>
      </c>
      <c r="Q3718" s="3">
        <f>YEAR(Ticket_Table[[#This Row],[raised_date]])</f>
        <v>2021</v>
      </c>
    </row>
    <row r="3719" spans="1:17">
      <c r="A3719" t="s">
        <v>4280</v>
      </c>
      <c r="B3719" t="s">
        <v>1123</v>
      </c>
      <c r="C3719" t="s">
        <v>117</v>
      </c>
      <c r="D3719" t="s">
        <v>36</v>
      </c>
      <c r="E3719" t="s">
        <v>21</v>
      </c>
      <c r="F3719" t="s">
        <v>70</v>
      </c>
      <c r="G3719" t="s">
        <v>23</v>
      </c>
      <c r="H3719" s="1">
        <v>44916</v>
      </c>
      <c r="I3719" s="2">
        <v>44916.0875</v>
      </c>
      <c r="J3719">
        <v>2.1</v>
      </c>
      <c r="K3719" t="s">
        <v>24</v>
      </c>
      <c r="L3719">
        <v>1</v>
      </c>
      <c r="M3719">
        <v>4</v>
      </c>
      <c r="N3719" t="s">
        <v>1216</v>
      </c>
      <c r="O3719" s="3" t="str">
        <f>TEXT(Ticket_Table[[#This Row],[raised_date]],"YYYY-MM")</f>
        <v>2022-12</v>
      </c>
      <c r="P3719" s="3" t="str">
        <f>IF(Ticket_Table[[#This Row],[resolution_hrs]]&lt;=4,"Fast",IF(Ticket_Table[[#This Row],[resolution_hrs]]&lt;=24,"Normal",IF(Ticket_Table[[#This Row],[resolution_hrs]]&lt;=48,"Slow","Very Slow")))</f>
        <v>Fast</v>
      </c>
      <c r="Q3719" s="3">
        <f>YEAR(Ticket_Table[[#This Row],[raised_date]])</f>
        <v>2022</v>
      </c>
    </row>
    <row r="3720" spans="1:17">
      <c r="A3720" t="s">
        <v>4281</v>
      </c>
      <c r="B3720" t="s">
        <v>835</v>
      </c>
      <c r="C3720" t="s">
        <v>140</v>
      </c>
      <c r="D3720" t="s">
        <v>90</v>
      </c>
      <c r="E3720" t="s">
        <v>44</v>
      </c>
      <c r="F3720" t="s">
        <v>38</v>
      </c>
      <c r="G3720" t="s">
        <v>31</v>
      </c>
      <c r="H3720" s="1">
        <v>44604</v>
      </c>
      <c r="I3720" s="2">
        <v>44605.35</v>
      </c>
      <c r="J3720">
        <v>32.4</v>
      </c>
      <c r="K3720" t="s">
        <v>32</v>
      </c>
      <c r="L3720">
        <v>0</v>
      </c>
      <c r="M3720">
        <v>5</v>
      </c>
      <c r="N3720" t="s">
        <v>988</v>
      </c>
      <c r="O3720" s="3" t="str">
        <f>TEXT(Ticket_Table[[#This Row],[raised_date]],"YYYY-MM")</f>
        <v>2022-02</v>
      </c>
      <c r="P3720" s="3" t="str">
        <f>IF(Ticket_Table[[#This Row],[resolution_hrs]]&lt;=4,"Fast",IF(Ticket_Table[[#This Row],[resolution_hrs]]&lt;=24,"Normal",IF(Ticket_Table[[#This Row],[resolution_hrs]]&lt;=48,"Slow","Very Slow")))</f>
        <v>Slow</v>
      </c>
      <c r="Q3720" s="3">
        <f>YEAR(Ticket_Table[[#This Row],[raised_date]])</f>
        <v>2022</v>
      </c>
    </row>
    <row r="3721" spans="1:17">
      <c r="A3721" t="s">
        <v>4282</v>
      </c>
      <c r="B3721" t="s">
        <v>189</v>
      </c>
      <c r="C3721" t="s">
        <v>201</v>
      </c>
      <c r="D3721" t="s">
        <v>29</v>
      </c>
      <c r="E3721" t="s">
        <v>21</v>
      </c>
      <c r="F3721" t="s">
        <v>38</v>
      </c>
      <c r="G3721" t="s">
        <v>74</v>
      </c>
      <c r="H3721" s="1">
        <v>44554</v>
      </c>
      <c r="I3721" s="2">
        <v>44554.775</v>
      </c>
      <c r="J3721">
        <v>18.6</v>
      </c>
      <c r="K3721" t="s">
        <v>24</v>
      </c>
      <c r="L3721">
        <v>0</v>
      </c>
      <c r="M3721">
        <v>1</v>
      </c>
      <c r="N3721" t="s">
        <v>114</v>
      </c>
      <c r="O3721" s="3" t="str">
        <f>TEXT(Ticket_Table[[#This Row],[raised_date]],"YYYY-MM")</f>
        <v>2021-12</v>
      </c>
      <c r="P3721" s="3" t="str">
        <f>IF(Ticket_Table[[#This Row],[resolution_hrs]]&lt;=4,"Fast",IF(Ticket_Table[[#This Row],[resolution_hrs]]&lt;=24,"Normal",IF(Ticket_Table[[#This Row],[resolution_hrs]]&lt;=48,"Slow","Very Slow")))</f>
        <v>Normal</v>
      </c>
      <c r="Q3721" s="3">
        <f>YEAR(Ticket_Table[[#This Row],[raised_date]])</f>
        <v>2021</v>
      </c>
    </row>
    <row r="3722" spans="1:17">
      <c r="A3722" t="s">
        <v>4283</v>
      </c>
      <c r="B3722" t="s">
        <v>1080</v>
      </c>
      <c r="C3722" t="s">
        <v>201</v>
      </c>
      <c r="D3722" t="s">
        <v>20</v>
      </c>
      <c r="E3722" t="s">
        <v>44</v>
      </c>
      <c r="F3722" t="s">
        <v>70</v>
      </c>
      <c r="G3722" t="s">
        <v>23</v>
      </c>
      <c r="H3722" s="1">
        <v>44779</v>
      </c>
      <c r="I3722" s="2">
        <v>44781.6083333333</v>
      </c>
      <c r="J3722">
        <v>62.6</v>
      </c>
      <c r="K3722" t="s">
        <v>32</v>
      </c>
      <c r="L3722">
        <v>0</v>
      </c>
      <c r="M3722">
        <v>5</v>
      </c>
      <c r="N3722" t="s">
        <v>284</v>
      </c>
      <c r="O3722" s="3" t="str">
        <f>TEXT(Ticket_Table[[#This Row],[raised_date]],"YYYY-MM")</f>
        <v>2022-08</v>
      </c>
      <c r="P3722" s="3" t="str">
        <f>IF(Ticket_Table[[#This Row],[resolution_hrs]]&lt;=4,"Fast",IF(Ticket_Table[[#This Row],[resolution_hrs]]&lt;=24,"Normal",IF(Ticket_Table[[#This Row],[resolution_hrs]]&lt;=48,"Slow","Very Slow")))</f>
        <v>Very Slow</v>
      </c>
      <c r="Q3722" s="3">
        <f>YEAR(Ticket_Table[[#This Row],[raised_date]])</f>
        <v>2022</v>
      </c>
    </row>
    <row r="3723" spans="1:17">
      <c r="A3723" t="s">
        <v>4284</v>
      </c>
      <c r="B3723" t="s">
        <v>103</v>
      </c>
      <c r="C3723" t="s">
        <v>213</v>
      </c>
      <c r="D3723" t="s">
        <v>90</v>
      </c>
      <c r="E3723" t="s">
        <v>106</v>
      </c>
      <c r="F3723" t="s">
        <v>38</v>
      </c>
      <c r="G3723" t="s">
        <v>46</v>
      </c>
      <c r="H3723" s="1">
        <v>44924</v>
      </c>
      <c r="I3723" s="2">
        <v>44925.0625</v>
      </c>
      <c r="J3723">
        <v>25.5</v>
      </c>
      <c r="K3723" t="s">
        <v>32</v>
      </c>
      <c r="L3723">
        <v>0</v>
      </c>
      <c r="M3723">
        <v>5</v>
      </c>
      <c r="N3723" t="s">
        <v>270</v>
      </c>
      <c r="O3723" s="3" t="str">
        <f>TEXT(Ticket_Table[[#This Row],[raised_date]],"YYYY-MM")</f>
        <v>2022-12</v>
      </c>
      <c r="P3723" s="3" t="str">
        <f>IF(Ticket_Table[[#This Row],[resolution_hrs]]&lt;=4,"Fast",IF(Ticket_Table[[#This Row],[resolution_hrs]]&lt;=24,"Normal",IF(Ticket_Table[[#This Row],[resolution_hrs]]&lt;=48,"Slow","Very Slow")))</f>
        <v>Slow</v>
      </c>
      <c r="Q3723" s="3">
        <f>YEAR(Ticket_Table[[#This Row],[raised_date]])</f>
        <v>2022</v>
      </c>
    </row>
    <row r="3724" spans="1:17">
      <c r="A3724" t="s">
        <v>4285</v>
      </c>
      <c r="B3724" t="s">
        <v>429</v>
      </c>
      <c r="C3724" t="s">
        <v>117</v>
      </c>
      <c r="D3724" t="s">
        <v>36</v>
      </c>
      <c r="E3724" t="s">
        <v>106</v>
      </c>
      <c r="F3724" t="s">
        <v>70</v>
      </c>
      <c r="G3724" t="s">
        <v>23</v>
      </c>
      <c r="H3724" s="1">
        <v>44862</v>
      </c>
      <c r="I3724" s="2">
        <v>44863.9625</v>
      </c>
      <c r="J3724">
        <v>47.1</v>
      </c>
      <c r="K3724" t="s">
        <v>24</v>
      </c>
      <c r="L3724">
        <v>0</v>
      </c>
      <c r="M3724">
        <v>3</v>
      </c>
      <c r="N3724" t="s">
        <v>884</v>
      </c>
      <c r="O3724" s="3" t="str">
        <f>TEXT(Ticket_Table[[#This Row],[raised_date]],"YYYY-MM")</f>
        <v>2022-10</v>
      </c>
      <c r="P3724" s="3" t="str">
        <f>IF(Ticket_Table[[#This Row],[resolution_hrs]]&lt;=4,"Fast",IF(Ticket_Table[[#This Row],[resolution_hrs]]&lt;=24,"Normal",IF(Ticket_Table[[#This Row],[resolution_hrs]]&lt;=48,"Slow","Very Slow")))</f>
        <v>Slow</v>
      </c>
      <c r="Q3724" s="3">
        <f>YEAR(Ticket_Table[[#This Row],[raised_date]])</f>
        <v>2022</v>
      </c>
    </row>
    <row r="3725" spans="1:17">
      <c r="A3725" t="s">
        <v>4286</v>
      </c>
      <c r="B3725" t="s">
        <v>216</v>
      </c>
      <c r="C3725" t="s">
        <v>42</v>
      </c>
      <c r="D3725" t="s">
        <v>20</v>
      </c>
      <c r="E3725" t="s">
        <v>37</v>
      </c>
      <c r="F3725" t="s">
        <v>38</v>
      </c>
      <c r="G3725" t="s">
        <v>91</v>
      </c>
      <c r="H3725" s="1">
        <v>45242</v>
      </c>
      <c r="I3725" s="2">
        <v>45242.7083333333</v>
      </c>
      <c r="J3725">
        <v>17</v>
      </c>
      <c r="K3725" t="s">
        <v>24</v>
      </c>
      <c r="L3725">
        <v>2</v>
      </c>
      <c r="M3725">
        <v>4</v>
      </c>
      <c r="N3725" t="s">
        <v>367</v>
      </c>
      <c r="O3725" s="3" t="str">
        <f>TEXT(Ticket_Table[[#This Row],[raised_date]],"YYYY-MM")</f>
        <v>2023-11</v>
      </c>
      <c r="P3725" s="3" t="str">
        <f>IF(Ticket_Table[[#This Row],[resolution_hrs]]&lt;=4,"Fast",IF(Ticket_Table[[#This Row],[resolution_hrs]]&lt;=24,"Normal",IF(Ticket_Table[[#This Row],[resolution_hrs]]&lt;=48,"Slow","Very Slow")))</f>
        <v>Normal</v>
      </c>
      <c r="Q3725" s="3">
        <f>YEAR(Ticket_Table[[#This Row],[raised_date]])</f>
        <v>2023</v>
      </c>
    </row>
    <row r="3726" spans="1:17">
      <c r="A3726" t="s">
        <v>4287</v>
      </c>
      <c r="B3726" t="s">
        <v>447</v>
      </c>
      <c r="C3726" t="s">
        <v>117</v>
      </c>
      <c r="D3726" t="s">
        <v>20</v>
      </c>
      <c r="E3726" t="s">
        <v>166</v>
      </c>
      <c r="F3726" t="s">
        <v>70</v>
      </c>
      <c r="G3726" t="s">
        <v>46</v>
      </c>
      <c r="H3726" s="1">
        <v>45195</v>
      </c>
      <c r="I3726" s="2">
        <v>45196.2541666667</v>
      </c>
      <c r="J3726">
        <v>30.1</v>
      </c>
      <c r="K3726" t="s">
        <v>24</v>
      </c>
      <c r="L3726">
        <v>0</v>
      </c>
      <c r="M3726">
        <v>2</v>
      </c>
      <c r="N3726" t="s">
        <v>304</v>
      </c>
      <c r="O3726" s="3" t="str">
        <f>TEXT(Ticket_Table[[#This Row],[raised_date]],"YYYY-MM")</f>
        <v>2023-09</v>
      </c>
      <c r="P3726" s="3" t="str">
        <f>IF(Ticket_Table[[#This Row],[resolution_hrs]]&lt;=4,"Fast",IF(Ticket_Table[[#This Row],[resolution_hrs]]&lt;=24,"Normal",IF(Ticket_Table[[#This Row],[resolution_hrs]]&lt;=48,"Slow","Very Slow")))</f>
        <v>Slow</v>
      </c>
      <c r="Q3726" s="3">
        <f>YEAR(Ticket_Table[[#This Row],[raised_date]])</f>
        <v>2023</v>
      </c>
    </row>
    <row r="3727" spans="1:17">
      <c r="A3727" t="s">
        <v>4288</v>
      </c>
      <c r="B3727" t="s">
        <v>191</v>
      </c>
      <c r="C3727" t="s">
        <v>68</v>
      </c>
      <c r="D3727" t="s">
        <v>29</v>
      </c>
      <c r="E3727" t="s">
        <v>44</v>
      </c>
      <c r="F3727" t="s">
        <v>70</v>
      </c>
      <c r="G3727" t="s">
        <v>74</v>
      </c>
      <c r="H3727" s="1">
        <v>45112</v>
      </c>
      <c r="I3727" s="2">
        <v>45113.0833333333</v>
      </c>
      <c r="J3727">
        <v>26</v>
      </c>
      <c r="K3727" t="s">
        <v>24</v>
      </c>
      <c r="L3727">
        <v>3</v>
      </c>
      <c r="M3727">
        <v>4</v>
      </c>
      <c r="N3727" t="s">
        <v>853</v>
      </c>
      <c r="O3727" s="3" t="str">
        <f>TEXT(Ticket_Table[[#This Row],[raised_date]],"YYYY-MM")</f>
        <v>2023-07</v>
      </c>
      <c r="P3727" s="3" t="str">
        <f>IF(Ticket_Table[[#This Row],[resolution_hrs]]&lt;=4,"Fast",IF(Ticket_Table[[#This Row],[resolution_hrs]]&lt;=24,"Normal",IF(Ticket_Table[[#This Row],[resolution_hrs]]&lt;=48,"Slow","Very Slow")))</f>
        <v>Slow</v>
      </c>
      <c r="Q3727" s="3">
        <f>YEAR(Ticket_Table[[#This Row],[raised_date]])</f>
        <v>2023</v>
      </c>
    </row>
    <row r="3728" spans="1:17">
      <c r="A3728" t="s">
        <v>4289</v>
      </c>
      <c r="B3728" t="s">
        <v>716</v>
      </c>
      <c r="C3728" t="s">
        <v>19</v>
      </c>
      <c r="D3728" t="s">
        <v>36</v>
      </c>
      <c r="E3728" t="s">
        <v>83</v>
      </c>
      <c r="F3728" t="s">
        <v>70</v>
      </c>
      <c r="G3728" t="s">
        <v>23</v>
      </c>
      <c r="H3728" s="1">
        <v>44357</v>
      </c>
      <c r="I3728" s="2">
        <v>44358.6458333333</v>
      </c>
      <c r="J3728">
        <v>39.5</v>
      </c>
      <c r="K3728" t="s">
        <v>24</v>
      </c>
      <c r="L3728">
        <v>0</v>
      </c>
      <c r="M3728">
        <v>4</v>
      </c>
      <c r="N3728" t="s">
        <v>2204</v>
      </c>
      <c r="O3728" s="3" t="str">
        <f>TEXT(Ticket_Table[[#This Row],[raised_date]],"YYYY-MM")</f>
        <v>2021-06</v>
      </c>
      <c r="P3728" s="3" t="str">
        <f>IF(Ticket_Table[[#This Row],[resolution_hrs]]&lt;=4,"Fast",IF(Ticket_Table[[#This Row],[resolution_hrs]]&lt;=24,"Normal",IF(Ticket_Table[[#This Row],[resolution_hrs]]&lt;=48,"Slow","Very Slow")))</f>
        <v>Slow</v>
      </c>
      <c r="Q3728" s="3">
        <f>YEAR(Ticket_Table[[#This Row],[raised_date]])</f>
        <v>2021</v>
      </c>
    </row>
    <row r="3729" spans="1:17">
      <c r="A3729" t="s">
        <v>4290</v>
      </c>
      <c r="B3729" t="s">
        <v>355</v>
      </c>
      <c r="C3729" t="s">
        <v>140</v>
      </c>
      <c r="D3729" t="s">
        <v>43</v>
      </c>
      <c r="E3729" t="s">
        <v>44</v>
      </c>
      <c r="F3729" t="s">
        <v>38</v>
      </c>
      <c r="G3729" t="s">
        <v>23</v>
      </c>
      <c r="H3729" s="1">
        <v>44977</v>
      </c>
      <c r="I3729" s="2">
        <v>44977.8041666667</v>
      </c>
      <c r="J3729">
        <v>19.3</v>
      </c>
      <c r="K3729" t="s">
        <v>24</v>
      </c>
      <c r="L3729">
        <v>0</v>
      </c>
      <c r="M3729">
        <v>5</v>
      </c>
      <c r="N3729" t="s">
        <v>767</v>
      </c>
      <c r="O3729" s="3" t="str">
        <f>TEXT(Ticket_Table[[#This Row],[raised_date]],"YYYY-MM")</f>
        <v>2023-02</v>
      </c>
      <c r="P3729" s="3" t="str">
        <f>IF(Ticket_Table[[#This Row],[resolution_hrs]]&lt;=4,"Fast",IF(Ticket_Table[[#This Row],[resolution_hrs]]&lt;=24,"Normal",IF(Ticket_Table[[#This Row],[resolution_hrs]]&lt;=48,"Slow","Very Slow")))</f>
        <v>Normal</v>
      </c>
      <c r="Q3729" s="3">
        <f>YEAR(Ticket_Table[[#This Row],[raised_date]])</f>
        <v>2023</v>
      </c>
    </row>
    <row r="3730" spans="1:17">
      <c r="A3730" t="s">
        <v>4291</v>
      </c>
      <c r="B3730" t="s">
        <v>495</v>
      </c>
      <c r="C3730" t="s">
        <v>213</v>
      </c>
      <c r="D3730" t="s">
        <v>29</v>
      </c>
      <c r="E3730" t="s">
        <v>56</v>
      </c>
      <c r="F3730" t="s">
        <v>45</v>
      </c>
      <c r="G3730" t="s">
        <v>23</v>
      </c>
      <c r="H3730" s="1">
        <v>44783</v>
      </c>
      <c r="I3730" s="2">
        <v>44783.2</v>
      </c>
      <c r="J3730">
        <v>4.8</v>
      </c>
      <c r="K3730" t="s">
        <v>32</v>
      </c>
      <c r="L3730">
        <v>2</v>
      </c>
      <c r="M3730">
        <v>3</v>
      </c>
      <c r="N3730" t="s">
        <v>767</v>
      </c>
      <c r="O3730" s="3" t="str">
        <f>TEXT(Ticket_Table[[#This Row],[raised_date]],"YYYY-MM")</f>
        <v>2022-08</v>
      </c>
      <c r="P3730" s="3" t="str">
        <f>IF(Ticket_Table[[#This Row],[resolution_hrs]]&lt;=4,"Fast",IF(Ticket_Table[[#This Row],[resolution_hrs]]&lt;=24,"Normal",IF(Ticket_Table[[#This Row],[resolution_hrs]]&lt;=48,"Slow","Very Slow")))</f>
        <v>Normal</v>
      </c>
      <c r="Q3730" s="3">
        <f>YEAR(Ticket_Table[[#This Row],[raised_date]])</f>
        <v>2022</v>
      </c>
    </row>
    <row r="3731" spans="1:17">
      <c r="A3731" t="s">
        <v>4292</v>
      </c>
      <c r="B3731" t="s">
        <v>1154</v>
      </c>
      <c r="C3731" t="s">
        <v>19</v>
      </c>
      <c r="D3731" t="s">
        <v>29</v>
      </c>
      <c r="E3731" t="s">
        <v>21</v>
      </c>
      <c r="F3731" t="s">
        <v>22</v>
      </c>
      <c r="G3731" t="s">
        <v>23</v>
      </c>
      <c r="H3731" s="1">
        <v>45146</v>
      </c>
      <c r="I3731" s="2">
        <v>45146.5458333333</v>
      </c>
      <c r="J3731">
        <v>13.1</v>
      </c>
      <c r="K3731" t="s">
        <v>24</v>
      </c>
      <c r="L3731">
        <v>1</v>
      </c>
      <c r="M3731">
        <v>4</v>
      </c>
      <c r="N3731" t="s">
        <v>974</v>
      </c>
      <c r="O3731" s="3" t="str">
        <f>TEXT(Ticket_Table[[#This Row],[raised_date]],"YYYY-MM")</f>
        <v>2023-08</v>
      </c>
      <c r="P3731" s="3" t="str">
        <f>IF(Ticket_Table[[#This Row],[resolution_hrs]]&lt;=4,"Fast",IF(Ticket_Table[[#This Row],[resolution_hrs]]&lt;=24,"Normal",IF(Ticket_Table[[#This Row],[resolution_hrs]]&lt;=48,"Slow","Very Slow")))</f>
        <v>Normal</v>
      </c>
      <c r="Q3731" s="3">
        <f>YEAR(Ticket_Table[[#This Row],[raised_date]])</f>
        <v>2023</v>
      </c>
    </row>
    <row r="3732" spans="1:17">
      <c r="A3732" t="s">
        <v>4293</v>
      </c>
      <c r="B3732" t="s">
        <v>389</v>
      </c>
      <c r="C3732" t="s">
        <v>95</v>
      </c>
      <c r="D3732" t="s">
        <v>43</v>
      </c>
      <c r="E3732" t="s">
        <v>83</v>
      </c>
      <c r="F3732" t="s">
        <v>22</v>
      </c>
      <c r="G3732" t="s">
        <v>91</v>
      </c>
      <c r="H3732" s="1">
        <v>44493</v>
      </c>
      <c r="I3732" s="2">
        <v>44493.825</v>
      </c>
      <c r="J3732">
        <v>19.8</v>
      </c>
      <c r="K3732" t="s">
        <v>24</v>
      </c>
      <c r="L3732">
        <v>0</v>
      </c>
      <c r="M3732">
        <v>4</v>
      </c>
      <c r="N3732" t="s">
        <v>253</v>
      </c>
      <c r="O3732" s="3" t="str">
        <f>TEXT(Ticket_Table[[#This Row],[raised_date]],"YYYY-MM")</f>
        <v>2021-10</v>
      </c>
      <c r="P3732" s="3" t="str">
        <f>IF(Ticket_Table[[#This Row],[resolution_hrs]]&lt;=4,"Fast",IF(Ticket_Table[[#This Row],[resolution_hrs]]&lt;=24,"Normal",IF(Ticket_Table[[#This Row],[resolution_hrs]]&lt;=48,"Slow","Very Slow")))</f>
        <v>Normal</v>
      </c>
      <c r="Q3732" s="3">
        <f>YEAR(Ticket_Table[[#This Row],[raised_date]])</f>
        <v>2021</v>
      </c>
    </row>
    <row r="3733" spans="1:17">
      <c r="A3733" t="s">
        <v>4294</v>
      </c>
      <c r="B3733" t="s">
        <v>323</v>
      </c>
      <c r="C3733" t="s">
        <v>102</v>
      </c>
      <c r="D3733" t="s">
        <v>43</v>
      </c>
      <c r="E3733" t="s">
        <v>37</v>
      </c>
      <c r="F3733" t="s">
        <v>45</v>
      </c>
      <c r="G3733" t="s">
        <v>23</v>
      </c>
      <c r="H3733" s="1">
        <v>44540</v>
      </c>
      <c r="I3733" s="2">
        <v>44540.1291666667</v>
      </c>
      <c r="J3733">
        <v>3.1</v>
      </c>
      <c r="K3733" t="s">
        <v>24</v>
      </c>
      <c r="L3733">
        <v>0</v>
      </c>
      <c r="M3733">
        <v>3</v>
      </c>
      <c r="N3733" t="s">
        <v>432</v>
      </c>
      <c r="O3733" s="3" t="str">
        <f>TEXT(Ticket_Table[[#This Row],[raised_date]],"YYYY-MM")</f>
        <v>2021-12</v>
      </c>
      <c r="P3733" s="3" t="str">
        <f>IF(Ticket_Table[[#This Row],[resolution_hrs]]&lt;=4,"Fast",IF(Ticket_Table[[#This Row],[resolution_hrs]]&lt;=24,"Normal",IF(Ticket_Table[[#This Row],[resolution_hrs]]&lt;=48,"Slow","Very Slow")))</f>
        <v>Fast</v>
      </c>
      <c r="Q3733" s="3">
        <f>YEAR(Ticket_Table[[#This Row],[raised_date]])</f>
        <v>2021</v>
      </c>
    </row>
    <row r="3734" spans="1:17">
      <c r="A3734" t="s">
        <v>4295</v>
      </c>
      <c r="B3734" t="s">
        <v>578</v>
      </c>
      <c r="C3734" t="s">
        <v>42</v>
      </c>
      <c r="D3734" t="s">
        <v>29</v>
      </c>
      <c r="E3734" t="s">
        <v>21</v>
      </c>
      <c r="F3734" t="s">
        <v>70</v>
      </c>
      <c r="G3734" t="s">
        <v>23</v>
      </c>
      <c r="H3734" s="1">
        <v>44887</v>
      </c>
      <c r="I3734" s="2">
        <v>44887.5666666667</v>
      </c>
      <c r="J3734">
        <v>13.6</v>
      </c>
      <c r="K3734" t="s">
        <v>24</v>
      </c>
      <c r="L3734">
        <v>1</v>
      </c>
      <c r="M3734">
        <v>5</v>
      </c>
      <c r="N3734" t="s">
        <v>926</v>
      </c>
      <c r="O3734" s="3" t="str">
        <f>TEXT(Ticket_Table[[#This Row],[raised_date]],"YYYY-MM")</f>
        <v>2022-11</v>
      </c>
      <c r="P3734" s="3" t="str">
        <f>IF(Ticket_Table[[#This Row],[resolution_hrs]]&lt;=4,"Fast",IF(Ticket_Table[[#This Row],[resolution_hrs]]&lt;=24,"Normal",IF(Ticket_Table[[#This Row],[resolution_hrs]]&lt;=48,"Slow","Very Slow")))</f>
        <v>Normal</v>
      </c>
      <c r="Q3734" s="3">
        <f>YEAR(Ticket_Table[[#This Row],[raised_date]])</f>
        <v>2022</v>
      </c>
    </row>
    <row r="3735" spans="1:17">
      <c r="A3735" t="s">
        <v>4296</v>
      </c>
      <c r="B3735" t="s">
        <v>581</v>
      </c>
      <c r="C3735" t="s">
        <v>78</v>
      </c>
      <c r="D3735" t="s">
        <v>20</v>
      </c>
      <c r="E3735" t="s">
        <v>106</v>
      </c>
      <c r="F3735" t="s">
        <v>70</v>
      </c>
      <c r="G3735" t="s">
        <v>23</v>
      </c>
      <c r="H3735" s="1">
        <v>45060</v>
      </c>
      <c r="I3735" s="2">
        <v>45061.8</v>
      </c>
      <c r="J3735">
        <v>43.2</v>
      </c>
      <c r="K3735" t="s">
        <v>24</v>
      </c>
      <c r="L3735">
        <v>1</v>
      </c>
      <c r="M3735">
        <v>5</v>
      </c>
      <c r="N3735" t="s">
        <v>1050</v>
      </c>
      <c r="O3735" s="3" t="str">
        <f>TEXT(Ticket_Table[[#This Row],[raised_date]],"YYYY-MM")</f>
        <v>2023-05</v>
      </c>
      <c r="P3735" s="3" t="str">
        <f>IF(Ticket_Table[[#This Row],[resolution_hrs]]&lt;=4,"Fast",IF(Ticket_Table[[#This Row],[resolution_hrs]]&lt;=24,"Normal",IF(Ticket_Table[[#This Row],[resolution_hrs]]&lt;=48,"Slow","Very Slow")))</f>
        <v>Slow</v>
      </c>
      <c r="Q3735" s="3">
        <f>YEAR(Ticket_Table[[#This Row],[raised_date]])</f>
        <v>2023</v>
      </c>
    </row>
    <row r="3736" spans="1:17">
      <c r="A3736" t="s">
        <v>4297</v>
      </c>
      <c r="B3736" t="s">
        <v>1301</v>
      </c>
      <c r="C3736" t="s">
        <v>78</v>
      </c>
      <c r="D3736" t="s">
        <v>90</v>
      </c>
      <c r="E3736" t="s">
        <v>69</v>
      </c>
      <c r="F3736" t="s">
        <v>70</v>
      </c>
      <c r="G3736" t="s">
        <v>23</v>
      </c>
      <c r="H3736" s="1">
        <v>45025</v>
      </c>
      <c r="I3736" s="2">
        <v>45026.6458333333</v>
      </c>
      <c r="J3736">
        <v>39.5</v>
      </c>
      <c r="K3736" t="s">
        <v>24</v>
      </c>
      <c r="L3736">
        <v>1</v>
      </c>
      <c r="M3736">
        <v>4</v>
      </c>
      <c r="N3736" t="s">
        <v>355</v>
      </c>
      <c r="O3736" s="3" t="str">
        <f>TEXT(Ticket_Table[[#This Row],[raised_date]],"YYYY-MM")</f>
        <v>2023-04</v>
      </c>
      <c r="P3736" s="3" t="str">
        <f>IF(Ticket_Table[[#This Row],[resolution_hrs]]&lt;=4,"Fast",IF(Ticket_Table[[#This Row],[resolution_hrs]]&lt;=24,"Normal",IF(Ticket_Table[[#This Row],[resolution_hrs]]&lt;=48,"Slow","Very Slow")))</f>
        <v>Slow</v>
      </c>
      <c r="Q3736" s="3">
        <f>YEAR(Ticket_Table[[#This Row],[raised_date]])</f>
        <v>2023</v>
      </c>
    </row>
    <row r="3737" spans="1:17">
      <c r="A3737" t="s">
        <v>4298</v>
      </c>
      <c r="B3737" t="s">
        <v>1107</v>
      </c>
      <c r="C3737" t="s">
        <v>82</v>
      </c>
      <c r="D3737" t="s">
        <v>90</v>
      </c>
      <c r="E3737" t="s">
        <v>83</v>
      </c>
      <c r="F3737" t="s">
        <v>22</v>
      </c>
      <c r="G3737" t="s">
        <v>74</v>
      </c>
      <c r="H3737" s="1">
        <v>44343</v>
      </c>
      <c r="I3737" s="2">
        <v>44344.7416666667</v>
      </c>
      <c r="J3737">
        <v>41.8</v>
      </c>
      <c r="K3737" t="s">
        <v>24</v>
      </c>
      <c r="L3737">
        <v>1</v>
      </c>
      <c r="M3737">
        <v>4</v>
      </c>
      <c r="N3737" t="s">
        <v>397</v>
      </c>
      <c r="O3737" s="3" t="str">
        <f>TEXT(Ticket_Table[[#This Row],[raised_date]],"YYYY-MM")</f>
        <v>2021-05</v>
      </c>
      <c r="P3737" s="3" t="str">
        <f>IF(Ticket_Table[[#This Row],[resolution_hrs]]&lt;=4,"Fast",IF(Ticket_Table[[#This Row],[resolution_hrs]]&lt;=24,"Normal",IF(Ticket_Table[[#This Row],[resolution_hrs]]&lt;=48,"Slow","Very Slow")))</f>
        <v>Slow</v>
      </c>
      <c r="Q3737" s="3">
        <f>YEAR(Ticket_Table[[#This Row],[raised_date]])</f>
        <v>2021</v>
      </c>
    </row>
    <row r="3738" spans="1:17">
      <c r="A3738" t="s">
        <v>4299</v>
      </c>
      <c r="B3738" t="s">
        <v>468</v>
      </c>
      <c r="C3738" t="s">
        <v>102</v>
      </c>
      <c r="D3738" t="s">
        <v>29</v>
      </c>
      <c r="E3738" t="s">
        <v>106</v>
      </c>
      <c r="F3738" t="s">
        <v>38</v>
      </c>
      <c r="G3738" t="s">
        <v>23</v>
      </c>
      <c r="H3738" s="1">
        <v>44359</v>
      </c>
      <c r="I3738" s="2">
        <v>44360.275</v>
      </c>
      <c r="J3738">
        <v>30.6</v>
      </c>
      <c r="K3738" t="s">
        <v>32</v>
      </c>
      <c r="L3738">
        <v>0</v>
      </c>
      <c r="M3738">
        <v>4</v>
      </c>
      <c r="N3738" t="s">
        <v>521</v>
      </c>
      <c r="O3738" s="3" t="str">
        <f>TEXT(Ticket_Table[[#This Row],[raised_date]],"YYYY-MM")</f>
        <v>2021-06</v>
      </c>
      <c r="P3738" s="3" t="str">
        <f>IF(Ticket_Table[[#This Row],[resolution_hrs]]&lt;=4,"Fast",IF(Ticket_Table[[#This Row],[resolution_hrs]]&lt;=24,"Normal",IF(Ticket_Table[[#This Row],[resolution_hrs]]&lt;=48,"Slow","Very Slow")))</f>
        <v>Slow</v>
      </c>
      <c r="Q3738" s="3">
        <f>YEAR(Ticket_Table[[#This Row],[raised_date]])</f>
        <v>2021</v>
      </c>
    </row>
    <row r="3739" spans="1:17">
      <c r="A3739" t="s">
        <v>4300</v>
      </c>
      <c r="B3739" t="s">
        <v>246</v>
      </c>
      <c r="C3739" t="s">
        <v>117</v>
      </c>
      <c r="D3739" t="s">
        <v>20</v>
      </c>
      <c r="E3739" t="s">
        <v>56</v>
      </c>
      <c r="F3739" t="s">
        <v>38</v>
      </c>
      <c r="G3739" t="s">
        <v>91</v>
      </c>
      <c r="H3739" s="1">
        <v>44528</v>
      </c>
      <c r="I3739" s="2">
        <v>44529.0458333333</v>
      </c>
      <c r="J3739">
        <v>25.1</v>
      </c>
      <c r="K3739" t="s">
        <v>32</v>
      </c>
      <c r="L3739">
        <v>1</v>
      </c>
      <c r="M3739">
        <v>4</v>
      </c>
      <c r="N3739" t="s">
        <v>529</v>
      </c>
      <c r="O3739" s="3" t="str">
        <f>TEXT(Ticket_Table[[#This Row],[raised_date]],"YYYY-MM")</f>
        <v>2021-11</v>
      </c>
      <c r="P3739" s="3" t="str">
        <f>IF(Ticket_Table[[#This Row],[resolution_hrs]]&lt;=4,"Fast",IF(Ticket_Table[[#This Row],[resolution_hrs]]&lt;=24,"Normal",IF(Ticket_Table[[#This Row],[resolution_hrs]]&lt;=48,"Slow","Very Slow")))</f>
        <v>Slow</v>
      </c>
      <c r="Q3739" s="3">
        <f>YEAR(Ticket_Table[[#This Row],[raised_date]])</f>
        <v>2021</v>
      </c>
    </row>
    <row r="3740" spans="1:17">
      <c r="A3740" t="s">
        <v>4301</v>
      </c>
      <c r="B3740" t="s">
        <v>183</v>
      </c>
      <c r="C3740" t="s">
        <v>60</v>
      </c>
      <c r="D3740" t="s">
        <v>43</v>
      </c>
      <c r="E3740" t="s">
        <v>83</v>
      </c>
      <c r="F3740" t="s">
        <v>70</v>
      </c>
      <c r="G3740" t="s">
        <v>23</v>
      </c>
      <c r="H3740" s="1">
        <v>44900</v>
      </c>
      <c r="I3740" s="2">
        <v>44901.3375</v>
      </c>
      <c r="J3740">
        <v>32.1</v>
      </c>
      <c r="K3740" t="s">
        <v>24</v>
      </c>
      <c r="L3740">
        <v>0</v>
      </c>
      <c r="M3740">
        <v>1</v>
      </c>
      <c r="N3740" t="s">
        <v>1243</v>
      </c>
      <c r="O3740" s="3" t="str">
        <f>TEXT(Ticket_Table[[#This Row],[raised_date]],"YYYY-MM")</f>
        <v>2022-12</v>
      </c>
      <c r="P3740" s="3" t="str">
        <f>IF(Ticket_Table[[#This Row],[resolution_hrs]]&lt;=4,"Fast",IF(Ticket_Table[[#This Row],[resolution_hrs]]&lt;=24,"Normal",IF(Ticket_Table[[#This Row],[resolution_hrs]]&lt;=48,"Slow","Very Slow")))</f>
        <v>Slow</v>
      </c>
      <c r="Q3740" s="3">
        <f>YEAR(Ticket_Table[[#This Row],[raised_date]])</f>
        <v>2022</v>
      </c>
    </row>
    <row r="3741" spans="1:17">
      <c r="A3741" t="s">
        <v>4302</v>
      </c>
      <c r="B3741" t="s">
        <v>479</v>
      </c>
      <c r="C3741" t="s">
        <v>78</v>
      </c>
      <c r="D3741" t="s">
        <v>29</v>
      </c>
      <c r="E3741" t="s">
        <v>83</v>
      </c>
      <c r="F3741" t="s">
        <v>70</v>
      </c>
      <c r="G3741" t="s">
        <v>23</v>
      </c>
      <c r="H3741" s="1">
        <v>44664</v>
      </c>
      <c r="I3741" s="2">
        <v>44664.8791666667</v>
      </c>
      <c r="J3741">
        <v>21.1</v>
      </c>
      <c r="K3741" t="s">
        <v>24</v>
      </c>
      <c r="L3741">
        <v>0</v>
      </c>
      <c r="M3741">
        <v>4</v>
      </c>
      <c r="N3741" t="s">
        <v>270</v>
      </c>
      <c r="O3741" s="3" t="str">
        <f>TEXT(Ticket_Table[[#This Row],[raised_date]],"YYYY-MM")</f>
        <v>2022-04</v>
      </c>
      <c r="P3741" s="3" t="str">
        <f>IF(Ticket_Table[[#This Row],[resolution_hrs]]&lt;=4,"Fast",IF(Ticket_Table[[#This Row],[resolution_hrs]]&lt;=24,"Normal",IF(Ticket_Table[[#This Row],[resolution_hrs]]&lt;=48,"Slow","Very Slow")))</f>
        <v>Normal</v>
      </c>
      <c r="Q3741" s="3">
        <f>YEAR(Ticket_Table[[#This Row],[raised_date]])</f>
        <v>2022</v>
      </c>
    </row>
    <row r="3742" spans="1:17">
      <c r="A3742" t="s">
        <v>4303</v>
      </c>
      <c r="B3742" t="s">
        <v>157</v>
      </c>
      <c r="C3742" t="s">
        <v>175</v>
      </c>
      <c r="D3742" t="s">
        <v>36</v>
      </c>
      <c r="E3742" t="s">
        <v>83</v>
      </c>
      <c r="F3742" t="s">
        <v>38</v>
      </c>
      <c r="G3742" t="s">
        <v>74</v>
      </c>
      <c r="H3742" s="1">
        <v>44839</v>
      </c>
      <c r="I3742" s="2">
        <v>44839.9458333333</v>
      </c>
      <c r="J3742">
        <v>22.7</v>
      </c>
      <c r="K3742" t="s">
        <v>24</v>
      </c>
      <c r="L3742">
        <v>0</v>
      </c>
      <c r="M3742">
        <v>4</v>
      </c>
      <c r="N3742" t="s">
        <v>857</v>
      </c>
      <c r="O3742" s="3" t="str">
        <f>TEXT(Ticket_Table[[#This Row],[raised_date]],"YYYY-MM")</f>
        <v>2022-10</v>
      </c>
      <c r="P3742" s="3" t="str">
        <f>IF(Ticket_Table[[#This Row],[resolution_hrs]]&lt;=4,"Fast",IF(Ticket_Table[[#This Row],[resolution_hrs]]&lt;=24,"Normal",IF(Ticket_Table[[#This Row],[resolution_hrs]]&lt;=48,"Slow","Very Slow")))</f>
        <v>Normal</v>
      </c>
      <c r="Q3742" s="3">
        <f>YEAR(Ticket_Table[[#This Row],[raised_date]])</f>
        <v>2022</v>
      </c>
    </row>
    <row r="3743" spans="1:17">
      <c r="A3743" t="s">
        <v>4304</v>
      </c>
      <c r="B3743" t="s">
        <v>355</v>
      </c>
      <c r="C3743" t="s">
        <v>50</v>
      </c>
      <c r="D3743" t="s">
        <v>20</v>
      </c>
      <c r="E3743" t="s">
        <v>166</v>
      </c>
      <c r="F3743" t="s">
        <v>22</v>
      </c>
      <c r="G3743" t="s">
        <v>23</v>
      </c>
      <c r="H3743" s="1">
        <v>44845</v>
      </c>
      <c r="I3743" s="2">
        <v>44849.1666666667</v>
      </c>
      <c r="J3743">
        <v>100</v>
      </c>
      <c r="K3743" t="s">
        <v>32</v>
      </c>
      <c r="L3743">
        <v>0</v>
      </c>
      <c r="M3743">
        <v>4</v>
      </c>
      <c r="N3743" t="s">
        <v>266</v>
      </c>
      <c r="O3743" s="3" t="str">
        <f>TEXT(Ticket_Table[[#This Row],[raised_date]],"YYYY-MM")</f>
        <v>2022-10</v>
      </c>
      <c r="P3743" s="3" t="str">
        <f>IF(Ticket_Table[[#This Row],[resolution_hrs]]&lt;=4,"Fast",IF(Ticket_Table[[#This Row],[resolution_hrs]]&lt;=24,"Normal",IF(Ticket_Table[[#This Row],[resolution_hrs]]&lt;=48,"Slow","Very Slow")))</f>
        <v>Very Slow</v>
      </c>
      <c r="Q3743" s="3">
        <f>YEAR(Ticket_Table[[#This Row],[raised_date]])</f>
        <v>2022</v>
      </c>
    </row>
    <row r="3744" spans="1:17">
      <c r="A3744" t="s">
        <v>4305</v>
      </c>
      <c r="B3744" t="s">
        <v>79</v>
      </c>
      <c r="C3744" t="s">
        <v>78</v>
      </c>
      <c r="D3744" t="s">
        <v>36</v>
      </c>
      <c r="E3744" t="s">
        <v>83</v>
      </c>
      <c r="F3744" t="s">
        <v>38</v>
      </c>
      <c r="G3744" t="s">
        <v>23</v>
      </c>
      <c r="H3744" s="1">
        <v>44793</v>
      </c>
      <c r="I3744" s="2">
        <v>44794.2916666667</v>
      </c>
      <c r="J3744">
        <v>31</v>
      </c>
      <c r="K3744" t="s">
        <v>32</v>
      </c>
      <c r="L3744">
        <v>0</v>
      </c>
      <c r="M3744">
        <v>3</v>
      </c>
      <c r="N3744" t="s">
        <v>675</v>
      </c>
      <c r="O3744" s="3" t="str">
        <f>TEXT(Ticket_Table[[#This Row],[raised_date]],"YYYY-MM")</f>
        <v>2022-08</v>
      </c>
      <c r="P3744" s="3" t="str">
        <f>IF(Ticket_Table[[#This Row],[resolution_hrs]]&lt;=4,"Fast",IF(Ticket_Table[[#This Row],[resolution_hrs]]&lt;=24,"Normal",IF(Ticket_Table[[#This Row],[resolution_hrs]]&lt;=48,"Slow","Very Slow")))</f>
        <v>Slow</v>
      </c>
      <c r="Q3744" s="3">
        <f>YEAR(Ticket_Table[[#This Row],[raised_date]])</f>
        <v>2022</v>
      </c>
    </row>
    <row r="3745" spans="1:17">
      <c r="A3745" t="s">
        <v>4306</v>
      </c>
      <c r="B3745" t="s">
        <v>1502</v>
      </c>
      <c r="C3745" t="s">
        <v>82</v>
      </c>
      <c r="D3745" t="s">
        <v>36</v>
      </c>
      <c r="E3745" t="s">
        <v>166</v>
      </c>
      <c r="F3745" t="s">
        <v>22</v>
      </c>
      <c r="G3745" t="s">
        <v>23</v>
      </c>
      <c r="H3745" s="1">
        <v>44744</v>
      </c>
      <c r="I3745" s="2">
        <v>44748.4791666667</v>
      </c>
      <c r="J3745">
        <v>107.5</v>
      </c>
      <c r="K3745" t="s">
        <v>32</v>
      </c>
      <c r="L3745">
        <v>0</v>
      </c>
      <c r="M3745">
        <v>3</v>
      </c>
      <c r="N3745" t="s">
        <v>255</v>
      </c>
      <c r="O3745" s="3" t="str">
        <f>TEXT(Ticket_Table[[#This Row],[raised_date]],"YYYY-MM")</f>
        <v>2022-07</v>
      </c>
      <c r="P3745" s="3" t="str">
        <f>IF(Ticket_Table[[#This Row],[resolution_hrs]]&lt;=4,"Fast",IF(Ticket_Table[[#This Row],[resolution_hrs]]&lt;=24,"Normal",IF(Ticket_Table[[#This Row],[resolution_hrs]]&lt;=48,"Slow","Very Slow")))</f>
        <v>Very Slow</v>
      </c>
      <c r="Q3745" s="3">
        <f>YEAR(Ticket_Table[[#This Row],[raised_date]])</f>
        <v>2022</v>
      </c>
    </row>
    <row r="3746" spans="1:17">
      <c r="A3746" t="s">
        <v>4307</v>
      </c>
      <c r="B3746" t="s">
        <v>367</v>
      </c>
      <c r="C3746" t="s">
        <v>175</v>
      </c>
      <c r="D3746" t="s">
        <v>29</v>
      </c>
      <c r="E3746" t="s">
        <v>106</v>
      </c>
      <c r="F3746" t="s">
        <v>70</v>
      </c>
      <c r="G3746" t="s">
        <v>23</v>
      </c>
      <c r="H3746" s="1">
        <v>45006</v>
      </c>
      <c r="I3746" s="2">
        <v>45008.425</v>
      </c>
      <c r="J3746">
        <v>58.2</v>
      </c>
      <c r="K3746" t="s">
        <v>32</v>
      </c>
      <c r="L3746">
        <v>0</v>
      </c>
      <c r="M3746">
        <v>4</v>
      </c>
      <c r="N3746" t="s">
        <v>1143</v>
      </c>
      <c r="O3746" s="3" t="str">
        <f>TEXT(Ticket_Table[[#This Row],[raised_date]],"YYYY-MM")</f>
        <v>2023-03</v>
      </c>
      <c r="P3746" s="3" t="str">
        <f>IF(Ticket_Table[[#This Row],[resolution_hrs]]&lt;=4,"Fast",IF(Ticket_Table[[#This Row],[resolution_hrs]]&lt;=24,"Normal",IF(Ticket_Table[[#This Row],[resolution_hrs]]&lt;=48,"Slow","Very Slow")))</f>
        <v>Very Slow</v>
      </c>
      <c r="Q3746" s="3">
        <f>YEAR(Ticket_Table[[#This Row],[raised_date]])</f>
        <v>2023</v>
      </c>
    </row>
    <row r="3747" spans="1:17">
      <c r="A3747" t="s">
        <v>4308</v>
      </c>
      <c r="B3747" t="s">
        <v>423</v>
      </c>
      <c r="C3747" t="s">
        <v>140</v>
      </c>
      <c r="D3747" t="s">
        <v>20</v>
      </c>
      <c r="E3747" t="s">
        <v>37</v>
      </c>
      <c r="F3747" t="s">
        <v>45</v>
      </c>
      <c r="G3747" t="s">
        <v>46</v>
      </c>
      <c r="H3747" s="1">
        <v>44752</v>
      </c>
      <c r="I3747" s="2">
        <v>44752.0625</v>
      </c>
      <c r="J3747">
        <v>1.5</v>
      </c>
      <c r="K3747" t="s">
        <v>24</v>
      </c>
      <c r="L3747">
        <v>0</v>
      </c>
      <c r="M3747">
        <v>3</v>
      </c>
      <c r="N3747" t="s">
        <v>968</v>
      </c>
      <c r="O3747" s="3" t="str">
        <f>TEXT(Ticket_Table[[#This Row],[raised_date]],"YYYY-MM")</f>
        <v>2022-07</v>
      </c>
      <c r="P3747" s="3" t="str">
        <f>IF(Ticket_Table[[#This Row],[resolution_hrs]]&lt;=4,"Fast",IF(Ticket_Table[[#This Row],[resolution_hrs]]&lt;=24,"Normal",IF(Ticket_Table[[#This Row],[resolution_hrs]]&lt;=48,"Slow","Very Slow")))</f>
        <v>Fast</v>
      </c>
      <c r="Q3747" s="3">
        <f>YEAR(Ticket_Table[[#This Row],[raised_date]])</f>
        <v>2022</v>
      </c>
    </row>
    <row r="3748" spans="1:17">
      <c r="A3748" t="s">
        <v>4309</v>
      </c>
      <c r="B3748" t="s">
        <v>126</v>
      </c>
      <c r="C3748" t="s">
        <v>213</v>
      </c>
      <c r="D3748" t="s">
        <v>36</v>
      </c>
      <c r="E3748" t="s">
        <v>166</v>
      </c>
      <c r="F3748" t="s">
        <v>38</v>
      </c>
      <c r="G3748" t="s">
        <v>31</v>
      </c>
      <c r="H3748" s="1">
        <v>45108</v>
      </c>
      <c r="I3748" s="2">
        <v>45108.9875</v>
      </c>
      <c r="J3748">
        <v>23.7</v>
      </c>
      <c r="K3748" t="s">
        <v>24</v>
      </c>
      <c r="L3748">
        <v>0</v>
      </c>
      <c r="M3748">
        <v>4</v>
      </c>
      <c r="N3748" t="s">
        <v>800</v>
      </c>
      <c r="O3748" s="3" t="str">
        <f>TEXT(Ticket_Table[[#This Row],[raised_date]],"YYYY-MM")</f>
        <v>2023-07</v>
      </c>
      <c r="P3748" s="3" t="str">
        <f>IF(Ticket_Table[[#This Row],[resolution_hrs]]&lt;=4,"Fast",IF(Ticket_Table[[#This Row],[resolution_hrs]]&lt;=24,"Normal",IF(Ticket_Table[[#This Row],[resolution_hrs]]&lt;=48,"Slow","Very Slow")))</f>
        <v>Normal</v>
      </c>
      <c r="Q3748" s="3">
        <f>YEAR(Ticket_Table[[#This Row],[raised_date]])</f>
        <v>2023</v>
      </c>
    </row>
    <row r="3749" spans="1:17">
      <c r="A3749" t="s">
        <v>4310</v>
      </c>
      <c r="B3749" t="s">
        <v>334</v>
      </c>
      <c r="C3749" t="s">
        <v>28</v>
      </c>
      <c r="D3749" t="s">
        <v>20</v>
      </c>
      <c r="E3749" t="s">
        <v>166</v>
      </c>
      <c r="F3749" t="s">
        <v>70</v>
      </c>
      <c r="G3749" t="s">
        <v>23</v>
      </c>
      <c r="H3749" s="1">
        <v>44940</v>
      </c>
      <c r="I3749" s="2">
        <v>44941.8666666667</v>
      </c>
      <c r="J3749">
        <v>44.8</v>
      </c>
      <c r="K3749" t="s">
        <v>24</v>
      </c>
      <c r="L3749">
        <v>0</v>
      </c>
      <c r="M3749">
        <v>3</v>
      </c>
      <c r="N3749" t="s">
        <v>1337</v>
      </c>
      <c r="O3749" s="3" t="str">
        <f>TEXT(Ticket_Table[[#This Row],[raised_date]],"YYYY-MM")</f>
        <v>2023-01</v>
      </c>
      <c r="P3749" s="3" t="str">
        <f>IF(Ticket_Table[[#This Row],[resolution_hrs]]&lt;=4,"Fast",IF(Ticket_Table[[#This Row],[resolution_hrs]]&lt;=24,"Normal",IF(Ticket_Table[[#This Row],[resolution_hrs]]&lt;=48,"Slow","Very Slow")))</f>
        <v>Slow</v>
      </c>
      <c r="Q3749" s="3">
        <f>YEAR(Ticket_Table[[#This Row],[raised_date]])</f>
        <v>2023</v>
      </c>
    </row>
    <row r="3750" spans="1:17">
      <c r="A3750" t="s">
        <v>4311</v>
      </c>
      <c r="B3750" t="s">
        <v>258</v>
      </c>
      <c r="C3750" t="s">
        <v>64</v>
      </c>
      <c r="D3750" t="s">
        <v>90</v>
      </c>
      <c r="E3750" t="s">
        <v>83</v>
      </c>
      <c r="F3750" t="s">
        <v>38</v>
      </c>
      <c r="G3750" t="s">
        <v>23</v>
      </c>
      <c r="H3750" s="1">
        <v>45263</v>
      </c>
      <c r="I3750" s="2">
        <v>45263.6416666667</v>
      </c>
      <c r="J3750">
        <v>15.4</v>
      </c>
      <c r="K3750" t="s">
        <v>24</v>
      </c>
      <c r="L3750">
        <v>0</v>
      </c>
      <c r="M3750">
        <v>4</v>
      </c>
      <c r="N3750" t="s">
        <v>350</v>
      </c>
      <c r="O3750" s="3" t="str">
        <f>TEXT(Ticket_Table[[#This Row],[raised_date]],"YYYY-MM")</f>
        <v>2023-12</v>
      </c>
      <c r="P3750" s="3" t="str">
        <f>IF(Ticket_Table[[#This Row],[resolution_hrs]]&lt;=4,"Fast",IF(Ticket_Table[[#This Row],[resolution_hrs]]&lt;=24,"Normal",IF(Ticket_Table[[#This Row],[resolution_hrs]]&lt;=48,"Slow","Very Slow")))</f>
        <v>Normal</v>
      </c>
      <c r="Q3750" s="3">
        <f>YEAR(Ticket_Table[[#This Row],[raised_date]])</f>
        <v>2023</v>
      </c>
    </row>
    <row r="3751" spans="1:17">
      <c r="A3751" t="s">
        <v>4312</v>
      </c>
      <c r="B3751" t="s">
        <v>135</v>
      </c>
      <c r="C3751" t="s">
        <v>117</v>
      </c>
      <c r="D3751" t="s">
        <v>36</v>
      </c>
      <c r="E3751" t="s">
        <v>37</v>
      </c>
      <c r="F3751" t="s">
        <v>70</v>
      </c>
      <c r="G3751" t="s">
        <v>31</v>
      </c>
      <c r="H3751" s="1">
        <v>45119</v>
      </c>
      <c r="I3751" s="2">
        <v>45120.5083333333</v>
      </c>
      <c r="J3751">
        <v>36.2</v>
      </c>
      <c r="K3751" t="s">
        <v>24</v>
      </c>
      <c r="L3751">
        <v>1</v>
      </c>
      <c r="M3751">
        <v>5</v>
      </c>
      <c r="N3751" t="s">
        <v>767</v>
      </c>
      <c r="O3751" s="3" t="str">
        <f>TEXT(Ticket_Table[[#This Row],[raised_date]],"YYYY-MM")</f>
        <v>2023-07</v>
      </c>
      <c r="P3751" s="3" t="str">
        <f>IF(Ticket_Table[[#This Row],[resolution_hrs]]&lt;=4,"Fast",IF(Ticket_Table[[#This Row],[resolution_hrs]]&lt;=24,"Normal",IF(Ticket_Table[[#This Row],[resolution_hrs]]&lt;=48,"Slow","Very Slow")))</f>
        <v>Slow</v>
      </c>
      <c r="Q3751" s="3">
        <f>YEAR(Ticket_Table[[#This Row],[raised_date]])</f>
        <v>2023</v>
      </c>
    </row>
    <row r="3752" spans="1:17">
      <c r="A3752" t="s">
        <v>4313</v>
      </c>
      <c r="B3752" t="s">
        <v>94</v>
      </c>
      <c r="C3752" t="s">
        <v>64</v>
      </c>
      <c r="D3752" t="s">
        <v>36</v>
      </c>
      <c r="E3752" t="s">
        <v>83</v>
      </c>
      <c r="F3752" t="s">
        <v>22</v>
      </c>
      <c r="G3752" t="s">
        <v>74</v>
      </c>
      <c r="H3752" s="1">
        <v>45044</v>
      </c>
      <c r="I3752" s="2">
        <v>45047.3916666667</v>
      </c>
      <c r="J3752">
        <v>81.4</v>
      </c>
      <c r="K3752" t="s">
        <v>32</v>
      </c>
      <c r="L3752">
        <v>0</v>
      </c>
      <c r="M3752">
        <v>5</v>
      </c>
      <c r="N3752" t="s">
        <v>141</v>
      </c>
      <c r="O3752" s="3" t="str">
        <f>TEXT(Ticket_Table[[#This Row],[raised_date]],"YYYY-MM")</f>
        <v>2023-04</v>
      </c>
      <c r="P3752" s="3" t="str">
        <f>IF(Ticket_Table[[#This Row],[resolution_hrs]]&lt;=4,"Fast",IF(Ticket_Table[[#This Row],[resolution_hrs]]&lt;=24,"Normal",IF(Ticket_Table[[#This Row],[resolution_hrs]]&lt;=48,"Slow","Very Slow")))</f>
        <v>Very Slow</v>
      </c>
      <c r="Q3752" s="3">
        <f>YEAR(Ticket_Table[[#This Row],[raised_date]])</f>
        <v>2023</v>
      </c>
    </row>
    <row r="3753" spans="1:17">
      <c r="A3753" t="s">
        <v>4314</v>
      </c>
      <c r="B3753" t="s">
        <v>716</v>
      </c>
      <c r="C3753" t="s">
        <v>55</v>
      </c>
      <c r="D3753" t="s">
        <v>20</v>
      </c>
      <c r="E3753" t="s">
        <v>106</v>
      </c>
      <c r="F3753" t="s">
        <v>45</v>
      </c>
      <c r="G3753" t="s">
        <v>31</v>
      </c>
      <c r="H3753" s="1">
        <v>44539</v>
      </c>
      <c r="I3753" s="2">
        <v>44539.2333333333</v>
      </c>
      <c r="J3753">
        <v>5.6</v>
      </c>
      <c r="K3753" t="s">
        <v>32</v>
      </c>
      <c r="L3753">
        <v>0</v>
      </c>
      <c r="M3753">
        <v>3</v>
      </c>
      <c r="N3753" t="s">
        <v>680</v>
      </c>
      <c r="O3753" s="3" t="str">
        <f>TEXT(Ticket_Table[[#This Row],[raised_date]],"YYYY-MM")</f>
        <v>2021-12</v>
      </c>
      <c r="P3753" s="3" t="str">
        <f>IF(Ticket_Table[[#This Row],[resolution_hrs]]&lt;=4,"Fast",IF(Ticket_Table[[#This Row],[resolution_hrs]]&lt;=24,"Normal",IF(Ticket_Table[[#This Row],[resolution_hrs]]&lt;=48,"Slow","Very Slow")))</f>
        <v>Normal</v>
      </c>
      <c r="Q3753" s="3">
        <f>YEAR(Ticket_Table[[#This Row],[raised_date]])</f>
        <v>2021</v>
      </c>
    </row>
    <row r="3754" spans="1:17">
      <c r="A3754" t="s">
        <v>4315</v>
      </c>
      <c r="B3754" t="s">
        <v>620</v>
      </c>
      <c r="C3754" t="s">
        <v>261</v>
      </c>
      <c r="D3754" t="s">
        <v>90</v>
      </c>
      <c r="E3754" t="s">
        <v>83</v>
      </c>
      <c r="F3754" t="s">
        <v>38</v>
      </c>
      <c r="G3754" t="s">
        <v>23</v>
      </c>
      <c r="H3754" s="1">
        <v>44573</v>
      </c>
      <c r="I3754" s="2">
        <v>44573.1875</v>
      </c>
      <c r="J3754">
        <v>4.5</v>
      </c>
      <c r="K3754" t="s">
        <v>24</v>
      </c>
      <c r="L3754">
        <v>2</v>
      </c>
      <c r="M3754">
        <v>3</v>
      </c>
      <c r="N3754" t="s">
        <v>924</v>
      </c>
      <c r="O3754" s="3" t="str">
        <f>TEXT(Ticket_Table[[#This Row],[raised_date]],"YYYY-MM")</f>
        <v>2022-01</v>
      </c>
      <c r="P3754" s="3" t="str">
        <f>IF(Ticket_Table[[#This Row],[resolution_hrs]]&lt;=4,"Fast",IF(Ticket_Table[[#This Row],[resolution_hrs]]&lt;=24,"Normal",IF(Ticket_Table[[#This Row],[resolution_hrs]]&lt;=48,"Slow","Very Slow")))</f>
        <v>Normal</v>
      </c>
      <c r="Q3754" s="3">
        <f>YEAR(Ticket_Table[[#This Row],[raised_date]])</f>
        <v>2022</v>
      </c>
    </row>
    <row r="3755" spans="1:17">
      <c r="A3755" t="s">
        <v>4316</v>
      </c>
      <c r="B3755" t="s">
        <v>65</v>
      </c>
      <c r="C3755" t="s">
        <v>50</v>
      </c>
      <c r="D3755" t="s">
        <v>36</v>
      </c>
      <c r="E3755" t="s">
        <v>51</v>
      </c>
      <c r="F3755" t="s">
        <v>70</v>
      </c>
      <c r="G3755" t="s">
        <v>23</v>
      </c>
      <c r="H3755" s="1">
        <v>44244</v>
      </c>
      <c r="I3755" s="2">
        <v>44245.3541666667</v>
      </c>
      <c r="J3755">
        <v>32.5</v>
      </c>
      <c r="K3755" t="s">
        <v>24</v>
      </c>
      <c r="L3755">
        <v>0</v>
      </c>
      <c r="M3755">
        <v>5</v>
      </c>
      <c r="N3755" t="s">
        <v>423</v>
      </c>
      <c r="O3755" s="3" t="str">
        <f>TEXT(Ticket_Table[[#This Row],[raised_date]],"YYYY-MM")</f>
        <v>2021-02</v>
      </c>
      <c r="P3755" s="3" t="str">
        <f>IF(Ticket_Table[[#This Row],[resolution_hrs]]&lt;=4,"Fast",IF(Ticket_Table[[#This Row],[resolution_hrs]]&lt;=24,"Normal",IF(Ticket_Table[[#This Row],[resolution_hrs]]&lt;=48,"Slow","Very Slow")))</f>
        <v>Slow</v>
      </c>
      <c r="Q3755" s="3">
        <f>YEAR(Ticket_Table[[#This Row],[raised_date]])</f>
        <v>2021</v>
      </c>
    </row>
    <row r="3756" spans="1:17">
      <c r="A3756" t="s">
        <v>4317</v>
      </c>
      <c r="B3756" t="s">
        <v>462</v>
      </c>
      <c r="C3756" t="s">
        <v>78</v>
      </c>
      <c r="D3756" t="s">
        <v>29</v>
      </c>
      <c r="E3756" t="s">
        <v>30</v>
      </c>
      <c r="F3756" t="s">
        <v>70</v>
      </c>
      <c r="G3756" t="s">
        <v>23</v>
      </c>
      <c r="H3756" s="1">
        <v>44453</v>
      </c>
      <c r="I3756" s="2">
        <v>44454.7625</v>
      </c>
      <c r="J3756">
        <v>42.3</v>
      </c>
      <c r="K3756" t="s">
        <v>24</v>
      </c>
      <c r="L3756">
        <v>0</v>
      </c>
      <c r="M3756">
        <v>5</v>
      </c>
      <c r="N3756" t="s">
        <v>266</v>
      </c>
      <c r="O3756" s="3" t="str">
        <f>TEXT(Ticket_Table[[#This Row],[raised_date]],"YYYY-MM")</f>
        <v>2021-09</v>
      </c>
      <c r="P3756" s="3" t="str">
        <f>IF(Ticket_Table[[#This Row],[resolution_hrs]]&lt;=4,"Fast",IF(Ticket_Table[[#This Row],[resolution_hrs]]&lt;=24,"Normal",IF(Ticket_Table[[#This Row],[resolution_hrs]]&lt;=48,"Slow","Very Slow")))</f>
        <v>Slow</v>
      </c>
      <c r="Q3756" s="3">
        <f>YEAR(Ticket_Table[[#This Row],[raised_date]])</f>
        <v>2021</v>
      </c>
    </row>
    <row r="3757" spans="1:17">
      <c r="A3757" t="s">
        <v>4318</v>
      </c>
      <c r="B3757" t="s">
        <v>120</v>
      </c>
      <c r="C3757" t="s">
        <v>201</v>
      </c>
      <c r="D3757" t="s">
        <v>20</v>
      </c>
      <c r="E3757" t="s">
        <v>106</v>
      </c>
      <c r="F3757" t="s">
        <v>22</v>
      </c>
      <c r="G3757" t="s">
        <v>23</v>
      </c>
      <c r="H3757" s="1">
        <v>44677</v>
      </c>
      <c r="I3757" s="2">
        <v>44677.1875</v>
      </c>
      <c r="J3757">
        <v>4.5</v>
      </c>
      <c r="K3757" t="s">
        <v>24</v>
      </c>
      <c r="L3757">
        <v>0</v>
      </c>
      <c r="M3757">
        <v>3</v>
      </c>
      <c r="N3757" t="s">
        <v>176</v>
      </c>
      <c r="O3757" s="3" t="str">
        <f>TEXT(Ticket_Table[[#This Row],[raised_date]],"YYYY-MM")</f>
        <v>2022-04</v>
      </c>
      <c r="P3757" s="3" t="str">
        <f>IF(Ticket_Table[[#This Row],[resolution_hrs]]&lt;=4,"Fast",IF(Ticket_Table[[#This Row],[resolution_hrs]]&lt;=24,"Normal",IF(Ticket_Table[[#This Row],[resolution_hrs]]&lt;=48,"Slow","Very Slow")))</f>
        <v>Normal</v>
      </c>
      <c r="Q3757" s="3">
        <f>YEAR(Ticket_Table[[#This Row],[raised_date]])</f>
        <v>2022</v>
      </c>
    </row>
    <row r="3758" spans="1:17">
      <c r="A3758" t="s">
        <v>4319</v>
      </c>
      <c r="B3758" t="s">
        <v>101</v>
      </c>
      <c r="C3758" t="s">
        <v>60</v>
      </c>
      <c r="D3758" t="s">
        <v>20</v>
      </c>
      <c r="E3758" t="s">
        <v>44</v>
      </c>
      <c r="F3758" t="s">
        <v>22</v>
      </c>
      <c r="G3758" t="s">
        <v>74</v>
      </c>
      <c r="H3758" s="1">
        <v>44712</v>
      </c>
      <c r="I3758" s="2">
        <v>44713.3333333333</v>
      </c>
      <c r="J3758">
        <v>32</v>
      </c>
      <c r="K3758" t="s">
        <v>24</v>
      </c>
      <c r="L3758">
        <v>1</v>
      </c>
      <c r="M3758">
        <v>5</v>
      </c>
      <c r="N3758" t="s">
        <v>716</v>
      </c>
      <c r="O3758" s="3" t="str">
        <f>TEXT(Ticket_Table[[#This Row],[raised_date]],"YYYY-MM")</f>
        <v>2022-05</v>
      </c>
      <c r="P3758" s="3" t="str">
        <f>IF(Ticket_Table[[#This Row],[resolution_hrs]]&lt;=4,"Fast",IF(Ticket_Table[[#This Row],[resolution_hrs]]&lt;=24,"Normal",IF(Ticket_Table[[#This Row],[resolution_hrs]]&lt;=48,"Slow","Very Slow")))</f>
        <v>Slow</v>
      </c>
      <c r="Q3758" s="3">
        <f>YEAR(Ticket_Table[[#This Row],[raised_date]])</f>
        <v>2022</v>
      </c>
    </row>
    <row r="3759" spans="1:17">
      <c r="A3759" t="s">
        <v>4320</v>
      </c>
      <c r="B3759" t="s">
        <v>1013</v>
      </c>
      <c r="C3759" t="s">
        <v>55</v>
      </c>
      <c r="D3759" t="s">
        <v>36</v>
      </c>
      <c r="E3759" t="s">
        <v>21</v>
      </c>
      <c r="F3759" t="s">
        <v>70</v>
      </c>
      <c r="G3759" t="s">
        <v>31</v>
      </c>
      <c r="H3759" s="1">
        <v>44360</v>
      </c>
      <c r="I3759" s="2">
        <v>44361.2875</v>
      </c>
      <c r="J3759">
        <v>30.9</v>
      </c>
      <c r="K3759" t="s">
        <v>24</v>
      </c>
      <c r="L3759">
        <v>1</v>
      </c>
      <c r="M3759">
        <v>3</v>
      </c>
      <c r="N3759" t="s">
        <v>1019</v>
      </c>
      <c r="O3759" s="3" t="str">
        <f>TEXT(Ticket_Table[[#This Row],[raised_date]],"YYYY-MM")</f>
        <v>2021-06</v>
      </c>
      <c r="P3759" s="3" t="str">
        <f>IF(Ticket_Table[[#This Row],[resolution_hrs]]&lt;=4,"Fast",IF(Ticket_Table[[#This Row],[resolution_hrs]]&lt;=24,"Normal",IF(Ticket_Table[[#This Row],[resolution_hrs]]&lt;=48,"Slow","Very Slow")))</f>
        <v>Slow</v>
      </c>
      <c r="Q3759" s="3">
        <f>YEAR(Ticket_Table[[#This Row],[raised_date]])</f>
        <v>2021</v>
      </c>
    </row>
    <row r="3760" spans="1:17">
      <c r="A3760" t="s">
        <v>4321</v>
      </c>
      <c r="B3760" t="s">
        <v>1301</v>
      </c>
      <c r="C3760" t="s">
        <v>261</v>
      </c>
      <c r="D3760" t="s">
        <v>90</v>
      </c>
      <c r="E3760" t="s">
        <v>21</v>
      </c>
      <c r="F3760" t="s">
        <v>38</v>
      </c>
      <c r="G3760" t="s">
        <v>31</v>
      </c>
      <c r="H3760" s="1">
        <v>44628</v>
      </c>
      <c r="I3760" s="2">
        <v>44628.3666666667</v>
      </c>
      <c r="J3760">
        <v>8.8</v>
      </c>
      <c r="K3760" t="s">
        <v>24</v>
      </c>
      <c r="L3760">
        <v>0</v>
      </c>
      <c r="M3760">
        <v>4</v>
      </c>
      <c r="N3760" t="s">
        <v>337</v>
      </c>
      <c r="O3760" s="3" t="str">
        <f>TEXT(Ticket_Table[[#This Row],[raised_date]],"YYYY-MM")</f>
        <v>2022-03</v>
      </c>
      <c r="P3760" s="3" t="str">
        <f>IF(Ticket_Table[[#This Row],[resolution_hrs]]&lt;=4,"Fast",IF(Ticket_Table[[#This Row],[resolution_hrs]]&lt;=24,"Normal",IF(Ticket_Table[[#This Row],[resolution_hrs]]&lt;=48,"Slow","Very Slow")))</f>
        <v>Normal</v>
      </c>
      <c r="Q3760" s="3">
        <f>YEAR(Ticket_Table[[#This Row],[raised_date]])</f>
        <v>2022</v>
      </c>
    </row>
    <row r="3761" spans="1:17">
      <c r="A3761" t="s">
        <v>4322</v>
      </c>
      <c r="B3761" t="s">
        <v>419</v>
      </c>
      <c r="C3761" t="s">
        <v>50</v>
      </c>
      <c r="D3761" t="s">
        <v>36</v>
      </c>
      <c r="E3761" t="s">
        <v>37</v>
      </c>
      <c r="F3761" t="s">
        <v>70</v>
      </c>
      <c r="G3761" t="s">
        <v>31</v>
      </c>
      <c r="H3761" s="1">
        <v>44538</v>
      </c>
      <c r="I3761" s="2">
        <v>44539.3875</v>
      </c>
      <c r="J3761">
        <v>33.3</v>
      </c>
      <c r="K3761" t="s">
        <v>24</v>
      </c>
      <c r="L3761">
        <v>1</v>
      </c>
      <c r="M3761">
        <v>1</v>
      </c>
      <c r="N3761" t="s">
        <v>1533</v>
      </c>
      <c r="O3761" s="3" t="str">
        <f>TEXT(Ticket_Table[[#This Row],[raised_date]],"YYYY-MM")</f>
        <v>2021-12</v>
      </c>
      <c r="P3761" s="3" t="str">
        <f>IF(Ticket_Table[[#This Row],[resolution_hrs]]&lt;=4,"Fast",IF(Ticket_Table[[#This Row],[resolution_hrs]]&lt;=24,"Normal",IF(Ticket_Table[[#This Row],[resolution_hrs]]&lt;=48,"Slow","Very Slow")))</f>
        <v>Slow</v>
      </c>
      <c r="Q3761" s="3">
        <f>YEAR(Ticket_Table[[#This Row],[raised_date]])</f>
        <v>2021</v>
      </c>
    </row>
    <row r="3762" spans="1:17">
      <c r="A3762" t="s">
        <v>4323</v>
      </c>
      <c r="B3762" t="s">
        <v>154</v>
      </c>
      <c r="C3762" t="s">
        <v>55</v>
      </c>
      <c r="D3762" t="s">
        <v>43</v>
      </c>
      <c r="E3762" t="s">
        <v>51</v>
      </c>
      <c r="F3762" t="s">
        <v>38</v>
      </c>
      <c r="G3762" t="s">
        <v>31</v>
      </c>
      <c r="H3762" s="1">
        <v>45010</v>
      </c>
      <c r="I3762" s="2">
        <v>45010.5958333333</v>
      </c>
      <c r="J3762">
        <v>14.3</v>
      </c>
      <c r="K3762" t="s">
        <v>24</v>
      </c>
      <c r="L3762">
        <v>1</v>
      </c>
      <c r="M3762">
        <v>5</v>
      </c>
      <c r="N3762" t="s">
        <v>588</v>
      </c>
      <c r="O3762" s="3" t="str">
        <f>TEXT(Ticket_Table[[#This Row],[raised_date]],"YYYY-MM")</f>
        <v>2023-03</v>
      </c>
      <c r="P3762" s="3" t="str">
        <f>IF(Ticket_Table[[#This Row],[resolution_hrs]]&lt;=4,"Fast",IF(Ticket_Table[[#This Row],[resolution_hrs]]&lt;=24,"Normal",IF(Ticket_Table[[#This Row],[resolution_hrs]]&lt;=48,"Slow","Very Slow")))</f>
        <v>Normal</v>
      </c>
      <c r="Q3762" s="3">
        <f>YEAR(Ticket_Table[[#This Row],[raised_date]])</f>
        <v>2023</v>
      </c>
    </row>
    <row r="3763" spans="1:17">
      <c r="A3763" t="s">
        <v>4324</v>
      </c>
      <c r="B3763" t="s">
        <v>676</v>
      </c>
      <c r="C3763" t="s">
        <v>287</v>
      </c>
      <c r="D3763" t="s">
        <v>36</v>
      </c>
      <c r="E3763" t="s">
        <v>166</v>
      </c>
      <c r="F3763" t="s">
        <v>22</v>
      </c>
      <c r="G3763" t="s">
        <v>31</v>
      </c>
      <c r="H3763" s="1">
        <v>44407</v>
      </c>
      <c r="I3763" s="2">
        <v>44407.9125</v>
      </c>
      <c r="J3763">
        <v>21.9</v>
      </c>
      <c r="K3763" t="s">
        <v>24</v>
      </c>
      <c r="L3763">
        <v>0</v>
      </c>
      <c r="M3763">
        <v>4</v>
      </c>
      <c r="N3763" t="s">
        <v>595</v>
      </c>
      <c r="O3763" s="3" t="str">
        <f>TEXT(Ticket_Table[[#This Row],[raised_date]],"YYYY-MM")</f>
        <v>2021-07</v>
      </c>
      <c r="P3763" s="3" t="str">
        <f>IF(Ticket_Table[[#This Row],[resolution_hrs]]&lt;=4,"Fast",IF(Ticket_Table[[#This Row],[resolution_hrs]]&lt;=24,"Normal",IF(Ticket_Table[[#This Row],[resolution_hrs]]&lt;=48,"Slow","Very Slow")))</f>
        <v>Normal</v>
      </c>
      <c r="Q3763" s="3">
        <f>YEAR(Ticket_Table[[#This Row],[raised_date]])</f>
        <v>2021</v>
      </c>
    </row>
    <row r="3764" spans="1:17">
      <c r="A3764" t="s">
        <v>4325</v>
      </c>
      <c r="B3764" t="s">
        <v>1291</v>
      </c>
      <c r="C3764" t="s">
        <v>28</v>
      </c>
      <c r="D3764" t="s">
        <v>43</v>
      </c>
      <c r="E3764" t="s">
        <v>51</v>
      </c>
      <c r="F3764" t="s">
        <v>70</v>
      </c>
      <c r="G3764" t="s">
        <v>23</v>
      </c>
      <c r="H3764" s="1">
        <v>44392</v>
      </c>
      <c r="I3764" s="2">
        <v>44393.4291666667</v>
      </c>
      <c r="J3764">
        <v>34.3</v>
      </c>
      <c r="K3764" t="s">
        <v>24</v>
      </c>
      <c r="L3764">
        <v>0</v>
      </c>
      <c r="M3764">
        <v>3</v>
      </c>
      <c r="N3764" t="s">
        <v>552</v>
      </c>
      <c r="O3764" s="3" t="str">
        <f>TEXT(Ticket_Table[[#This Row],[raised_date]],"YYYY-MM")</f>
        <v>2021-07</v>
      </c>
      <c r="P3764" s="3" t="str">
        <f>IF(Ticket_Table[[#This Row],[resolution_hrs]]&lt;=4,"Fast",IF(Ticket_Table[[#This Row],[resolution_hrs]]&lt;=24,"Normal",IF(Ticket_Table[[#This Row],[resolution_hrs]]&lt;=48,"Slow","Very Slow")))</f>
        <v>Slow</v>
      </c>
      <c r="Q3764" s="3">
        <f>YEAR(Ticket_Table[[#This Row],[raised_date]])</f>
        <v>2021</v>
      </c>
    </row>
    <row r="3765" spans="1:17">
      <c r="A3765" t="s">
        <v>4326</v>
      </c>
      <c r="B3765" t="s">
        <v>275</v>
      </c>
      <c r="C3765" t="s">
        <v>175</v>
      </c>
      <c r="D3765" t="s">
        <v>29</v>
      </c>
      <c r="E3765" t="s">
        <v>30</v>
      </c>
      <c r="F3765" t="s">
        <v>22</v>
      </c>
      <c r="G3765" t="s">
        <v>31</v>
      </c>
      <c r="H3765" s="1">
        <v>44327</v>
      </c>
      <c r="I3765" s="2">
        <v>44327.5958333333</v>
      </c>
      <c r="J3765">
        <v>14.3</v>
      </c>
      <c r="K3765" t="s">
        <v>24</v>
      </c>
      <c r="L3765">
        <v>1</v>
      </c>
      <c r="M3765">
        <v>4</v>
      </c>
      <c r="N3765" t="s">
        <v>420</v>
      </c>
      <c r="O3765" s="3" t="str">
        <f>TEXT(Ticket_Table[[#This Row],[raised_date]],"YYYY-MM")</f>
        <v>2021-05</v>
      </c>
      <c r="P3765" s="3" t="str">
        <f>IF(Ticket_Table[[#This Row],[resolution_hrs]]&lt;=4,"Fast",IF(Ticket_Table[[#This Row],[resolution_hrs]]&lt;=24,"Normal",IF(Ticket_Table[[#This Row],[resolution_hrs]]&lt;=48,"Slow","Very Slow")))</f>
        <v>Normal</v>
      </c>
      <c r="Q3765" s="3">
        <f>YEAR(Ticket_Table[[#This Row],[raised_date]])</f>
        <v>2021</v>
      </c>
    </row>
    <row r="3766" spans="1:17">
      <c r="A3766" t="s">
        <v>4327</v>
      </c>
      <c r="B3766" t="s">
        <v>337</v>
      </c>
      <c r="C3766" t="s">
        <v>60</v>
      </c>
      <c r="D3766" t="s">
        <v>20</v>
      </c>
      <c r="E3766" t="s">
        <v>106</v>
      </c>
      <c r="F3766" t="s">
        <v>70</v>
      </c>
      <c r="G3766" t="s">
        <v>74</v>
      </c>
      <c r="H3766" s="1">
        <v>45166</v>
      </c>
      <c r="I3766" s="2">
        <v>45168.9041666667</v>
      </c>
      <c r="J3766">
        <v>69.7</v>
      </c>
      <c r="K3766" t="s">
        <v>32</v>
      </c>
      <c r="L3766">
        <v>0</v>
      </c>
      <c r="M3766">
        <v>3</v>
      </c>
      <c r="N3766" t="s">
        <v>708</v>
      </c>
      <c r="O3766" s="3" t="str">
        <f>TEXT(Ticket_Table[[#This Row],[raised_date]],"YYYY-MM")</f>
        <v>2023-08</v>
      </c>
      <c r="P3766" s="3" t="str">
        <f>IF(Ticket_Table[[#This Row],[resolution_hrs]]&lt;=4,"Fast",IF(Ticket_Table[[#This Row],[resolution_hrs]]&lt;=24,"Normal",IF(Ticket_Table[[#This Row],[resolution_hrs]]&lt;=48,"Slow","Very Slow")))</f>
        <v>Very Slow</v>
      </c>
      <c r="Q3766" s="3">
        <f>YEAR(Ticket_Table[[#This Row],[raised_date]])</f>
        <v>2023</v>
      </c>
    </row>
    <row r="3767" spans="1:17">
      <c r="A3767" t="s">
        <v>4328</v>
      </c>
      <c r="B3767" t="s">
        <v>272</v>
      </c>
      <c r="C3767" t="s">
        <v>102</v>
      </c>
      <c r="D3767" t="s">
        <v>20</v>
      </c>
      <c r="E3767" t="s">
        <v>37</v>
      </c>
      <c r="F3767" t="s">
        <v>22</v>
      </c>
      <c r="G3767" t="s">
        <v>31</v>
      </c>
      <c r="H3767" s="1">
        <v>44307</v>
      </c>
      <c r="I3767" s="2">
        <v>44311.1166666667</v>
      </c>
      <c r="J3767">
        <v>98.8</v>
      </c>
      <c r="K3767" t="s">
        <v>32</v>
      </c>
      <c r="L3767">
        <v>0</v>
      </c>
      <c r="M3767">
        <v>2</v>
      </c>
      <c r="N3767" t="s">
        <v>233</v>
      </c>
      <c r="O3767" s="3" t="str">
        <f>TEXT(Ticket_Table[[#This Row],[raised_date]],"YYYY-MM")</f>
        <v>2021-04</v>
      </c>
      <c r="P3767" s="3" t="str">
        <f>IF(Ticket_Table[[#This Row],[resolution_hrs]]&lt;=4,"Fast",IF(Ticket_Table[[#This Row],[resolution_hrs]]&lt;=24,"Normal",IF(Ticket_Table[[#This Row],[resolution_hrs]]&lt;=48,"Slow","Very Slow")))</f>
        <v>Very Slow</v>
      </c>
      <c r="Q3767" s="3">
        <f>YEAR(Ticket_Table[[#This Row],[raised_date]])</f>
        <v>2021</v>
      </c>
    </row>
    <row r="3768" spans="1:17">
      <c r="A3768" t="s">
        <v>4329</v>
      </c>
      <c r="B3768" t="s">
        <v>1011</v>
      </c>
      <c r="C3768" t="s">
        <v>175</v>
      </c>
      <c r="D3768" t="s">
        <v>90</v>
      </c>
      <c r="E3768" t="s">
        <v>51</v>
      </c>
      <c r="F3768" t="s">
        <v>45</v>
      </c>
      <c r="G3768" t="s">
        <v>31</v>
      </c>
      <c r="H3768" s="1">
        <v>44250</v>
      </c>
      <c r="I3768" s="2">
        <v>44250.1291666667</v>
      </c>
      <c r="J3768">
        <v>3.1</v>
      </c>
      <c r="K3768" t="s">
        <v>24</v>
      </c>
      <c r="L3768">
        <v>0</v>
      </c>
      <c r="M3768">
        <v>4</v>
      </c>
      <c r="N3768" t="s">
        <v>767</v>
      </c>
      <c r="O3768" s="3" t="str">
        <f>TEXT(Ticket_Table[[#This Row],[raised_date]],"YYYY-MM")</f>
        <v>2021-02</v>
      </c>
      <c r="P3768" s="3" t="str">
        <f>IF(Ticket_Table[[#This Row],[resolution_hrs]]&lt;=4,"Fast",IF(Ticket_Table[[#This Row],[resolution_hrs]]&lt;=24,"Normal",IF(Ticket_Table[[#This Row],[resolution_hrs]]&lt;=48,"Slow","Very Slow")))</f>
        <v>Fast</v>
      </c>
      <c r="Q3768" s="3">
        <f>YEAR(Ticket_Table[[#This Row],[raised_date]])</f>
        <v>2021</v>
      </c>
    </row>
    <row r="3769" spans="1:17">
      <c r="A3769" t="s">
        <v>4330</v>
      </c>
      <c r="B3769" t="s">
        <v>744</v>
      </c>
      <c r="C3769" t="s">
        <v>175</v>
      </c>
      <c r="D3769" t="s">
        <v>36</v>
      </c>
      <c r="E3769" t="s">
        <v>56</v>
      </c>
      <c r="F3769" t="s">
        <v>22</v>
      </c>
      <c r="G3769" t="s">
        <v>74</v>
      </c>
      <c r="H3769" s="1">
        <v>45010</v>
      </c>
      <c r="I3769" s="2">
        <v>45013.7</v>
      </c>
      <c r="J3769">
        <v>88.8</v>
      </c>
      <c r="K3769" t="s">
        <v>32</v>
      </c>
      <c r="L3769">
        <v>0</v>
      </c>
      <c r="M3769">
        <v>4</v>
      </c>
      <c r="N3769" t="s">
        <v>423</v>
      </c>
      <c r="O3769" s="3" t="str">
        <f>TEXT(Ticket_Table[[#This Row],[raised_date]],"YYYY-MM")</f>
        <v>2023-03</v>
      </c>
      <c r="P3769" s="3" t="str">
        <f>IF(Ticket_Table[[#This Row],[resolution_hrs]]&lt;=4,"Fast",IF(Ticket_Table[[#This Row],[resolution_hrs]]&lt;=24,"Normal",IF(Ticket_Table[[#This Row],[resolution_hrs]]&lt;=48,"Slow","Very Slow")))</f>
        <v>Very Slow</v>
      </c>
      <c r="Q3769" s="3">
        <f>YEAR(Ticket_Table[[#This Row],[raised_date]])</f>
        <v>2023</v>
      </c>
    </row>
    <row r="3770" spans="1:17">
      <c r="A3770" t="s">
        <v>4331</v>
      </c>
      <c r="B3770" t="s">
        <v>1833</v>
      </c>
      <c r="C3770" t="s">
        <v>117</v>
      </c>
      <c r="D3770" t="s">
        <v>29</v>
      </c>
      <c r="E3770" t="s">
        <v>166</v>
      </c>
      <c r="F3770" t="s">
        <v>45</v>
      </c>
      <c r="G3770" t="s">
        <v>23</v>
      </c>
      <c r="H3770" s="1">
        <v>45270</v>
      </c>
      <c r="I3770" s="2">
        <v>45270.1875</v>
      </c>
      <c r="J3770">
        <v>4.5</v>
      </c>
      <c r="K3770" t="s">
        <v>32</v>
      </c>
      <c r="L3770">
        <v>0</v>
      </c>
      <c r="M3770">
        <v>2</v>
      </c>
      <c r="N3770" t="s">
        <v>57</v>
      </c>
      <c r="O3770" s="3" t="str">
        <f>TEXT(Ticket_Table[[#This Row],[raised_date]],"YYYY-MM")</f>
        <v>2023-12</v>
      </c>
      <c r="P3770" s="3" t="str">
        <f>IF(Ticket_Table[[#This Row],[resolution_hrs]]&lt;=4,"Fast",IF(Ticket_Table[[#This Row],[resolution_hrs]]&lt;=24,"Normal",IF(Ticket_Table[[#This Row],[resolution_hrs]]&lt;=48,"Slow","Very Slow")))</f>
        <v>Normal</v>
      </c>
      <c r="Q3770" s="3">
        <f>YEAR(Ticket_Table[[#This Row],[raised_date]])</f>
        <v>2023</v>
      </c>
    </row>
    <row r="3771" spans="1:17">
      <c r="A3771" t="s">
        <v>4332</v>
      </c>
      <c r="B3771" t="s">
        <v>96</v>
      </c>
      <c r="C3771" t="s">
        <v>42</v>
      </c>
      <c r="D3771" t="s">
        <v>43</v>
      </c>
      <c r="E3771" t="s">
        <v>51</v>
      </c>
      <c r="F3771" t="s">
        <v>70</v>
      </c>
      <c r="G3771" t="s">
        <v>31</v>
      </c>
      <c r="H3771" s="1">
        <v>44367</v>
      </c>
      <c r="I3771" s="2">
        <v>44369.2333333333</v>
      </c>
      <c r="J3771">
        <v>53.6</v>
      </c>
      <c r="K3771" t="s">
        <v>32</v>
      </c>
      <c r="L3771">
        <v>0</v>
      </c>
      <c r="M3771">
        <v>4</v>
      </c>
      <c r="N3771" t="s">
        <v>337</v>
      </c>
      <c r="O3771" s="3" t="str">
        <f>TEXT(Ticket_Table[[#This Row],[raised_date]],"YYYY-MM")</f>
        <v>2021-06</v>
      </c>
      <c r="P3771" s="3" t="str">
        <f>IF(Ticket_Table[[#This Row],[resolution_hrs]]&lt;=4,"Fast",IF(Ticket_Table[[#This Row],[resolution_hrs]]&lt;=24,"Normal",IF(Ticket_Table[[#This Row],[resolution_hrs]]&lt;=48,"Slow","Very Slow")))</f>
        <v>Very Slow</v>
      </c>
      <c r="Q3771" s="3">
        <f>YEAR(Ticket_Table[[#This Row],[raised_date]])</f>
        <v>2021</v>
      </c>
    </row>
    <row r="3772" spans="1:17">
      <c r="A3772" t="s">
        <v>4333</v>
      </c>
      <c r="B3772" t="s">
        <v>267</v>
      </c>
      <c r="C3772" t="s">
        <v>140</v>
      </c>
      <c r="D3772" t="s">
        <v>90</v>
      </c>
      <c r="E3772" t="s">
        <v>37</v>
      </c>
      <c r="F3772" t="s">
        <v>45</v>
      </c>
      <c r="G3772" t="s">
        <v>46</v>
      </c>
      <c r="H3772" s="1">
        <v>44409</v>
      </c>
      <c r="I3772" s="2">
        <v>44409.0416666667</v>
      </c>
      <c r="J3772">
        <v>1</v>
      </c>
      <c r="K3772" t="s">
        <v>24</v>
      </c>
      <c r="L3772">
        <v>0</v>
      </c>
      <c r="M3772">
        <v>4</v>
      </c>
      <c r="N3772" t="s">
        <v>194</v>
      </c>
      <c r="O3772" s="3" t="str">
        <f>TEXT(Ticket_Table[[#This Row],[raised_date]],"YYYY-MM")</f>
        <v>2021-08</v>
      </c>
      <c r="P3772" s="3" t="str">
        <f>IF(Ticket_Table[[#This Row],[resolution_hrs]]&lt;=4,"Fast",IF(Ticket_Table[[#This Row],[resolution_hrs]]&lt;=24,"Normal",IF(Ticket_Table[[#This Row],[resolution_hrs]]&lt;=48,"Slow","Very Slow")))</f>
        <v>Fast</v>
      </c>
      <c r="Q3772" s="3">
        <f>YEAR(Ticket_Table[[#This Row],[raised_date]])</f>
        <v>2021</v>
      </c>
    </row>
    <row r="3773" spans="1:17">
      <c r="A3773" t="s">
        <v>4334</v>
      </c>
      <c r="B3773" t="s">
        <v>273</v>
      </c>
      <c r="C3773" t="s">
        <v>140</v>
      </c>
      <c r="D3773" t="s">
        <v>29</v>
      </c>
      <c r="E3773" t="s">
        <v>56</v>
      </c>
      <c r="F3773" t="s">
        <v>70</v>
      </c>
      <c r="G3773" t="s">
        <v>23</v>
      </c>
      <c r="H3773" s="1">
        <v>44734</v>
      </c>
      <c r="I3773" s="2">
        <v>44735.15</v>
      </c>
      <c r="J3773">
        <v>27.6</v>
      </c>
      <c r="K3773" t="s">
        <v>24</v>
      </c>
      <c r="L3773">
        <v>2</v>
      </c>
      <c r="M3773">
        <v>4</v>
      </c>
      <c r="N3773" t="s">
        <v>110</v>
      </c>
      <c r="O3773" s="3" t="str">
        <f>TEXT(Ticket_Table[[#This Row],[raised_date]],"YYYY-MM")</f>
        <v>2022-06</v>
      </c>
      <c r="P3773" s="3" t="str">
        <f>IF(Ticket_Table[[#This Row],[resolution_hrs]]&lt;=4,"Fast",IF(Ticket_Table[[#This Row],[resolution_hrs]]&lt;=24,"Normal",IF(Ticket_Table[[#This Row],[resolution_hrs]]&lt;=48,"Slow","Very Slow")))</f>
        <v>Slow</v>
      </c>
      <c r="Q3773" s="3">
        <f>YEAR(Ticket_Table[[#This Row],[raised_date]])</f>
        <v>2022</v>
      </c>
    </row>
    <row r="3774" spans="1:17">
      <c r="A3774" t="s">
        <v>4335</v>
      </c>
      <c r="B3774" t="s">
        <v>917</v>
      </c>
      <c r="C3774" t="s">
        <v>95</v>
      </c>
      <c r="D3774" t="s">
        <v>29</v>
      </c>
      <c r="E3774" t="s">
        <v>44</v>
      </c>
      <c r="F3774" t="s">
        <v>45</v>
      </c>
      <c r="G3774" t="s">
        <v>23</v>
      </c>
      <c r="H3774" s="1">
        <v>44515</v>
      </c>
      <c r="I3774" s="2">
        <v>44515.0875</v>
      </c>
      <c r="J3774">
        <v>2.1</v>
      </c>
      <c r="K3774" t="s">
        <v>24</v>
      </c>
      <c r="L3774">
        <v>0</v>
      </c>
      <c r="M3774">
        <v>3</v>
      </c>
      <c r="N3774" t="s">
        <v>506</v>
      </c>
      <c r="O3774" s="3" t="str">
        <f>TEXT(Ticket_Table[[#This Row],[raised_date]],"YYYY-MM")</f>
        <v>2021-11</v>
      </c>
      <c r="P3774" s="3" t="str">
        <f>IF(Ticket_Table[[#This Row],[resolution_hrs]]&lt;=4,"Fast",IF(Ticket_Table[[#This Row],[resolution_hrs]]&lt;=24,"Normal",IF(Ticket_Table[[#This Row],[resolution_hrs]]&lt;=48,"Slow","Very Slow")))</f>
        <v>Fast</v>
      </c>
      <c r="Q3774" s="3">
        <f>YEAR(Ticket_Table[[#This Row],[raised_date]])</f>
        <v>2021</v>
      </c>
    </row>
    <row r="3775" spans="1:17">
      <c r="A3775" t="s">
        <v>4336</v>
      </c>
      <c r="B3775" t="s">
        <v>264</v>
      </c>
      <c r="C3775" t="s">
        <v>19</v>
      </c>
      <c r="D3775" t="s">
        <v>43</v>
      </c>
      <c r="E3775" t="s">
        <v>106</v>
      </c>
      <c r="F3775" t="s">
        <v>22</v>
      </c>
      <c r="G3775" t="s">
        <v>23</v>
      </c>
      <c r="H3775" s="1">
        <v>44369</v>
      </c>
      <c r="I3775" s="2">
        <v>44370.3041666667</v>
      </c>
      <c r="J3775">
        <v>31.3</v>
      </c>
      <c r="K3775" t="s">
        <v>24</v>
      </c>
      <c r="L3775">
        <v>0</v>
      </c>
      <c r="M3775">
        <v>1</v>
      </c>
      <c r="N3775" t="s">
        <v>75</v>
      </c>
      <c r="O3775" s="3" t="str">
        <f>TEXT(Ticket_Table[[#This Row],[raised_date]],"YYYY-MM")</f>
        <v>2021-06</v>
      </c>
      <c r="P3775" s="3" t="str">
        <f>IF(Ticket_Table[[#This Row],[resolution_hrs]]&lt;=4,"Fast",IF(Ticket_Table[[#This Row],[resolution_hrs]]&lt;=24,"Normal",IF(Ticket_Table[[#This Row],[resolution_hrs]]&lt;=48,"Slow","Very Slow")))</f>
        <v>Slow</v>
      </c>
      <c r="Q3775" s="3">
        <f>YEAR(Ticket_Table[[#This Row],[raised_date]])</f>
        <v>2021</v>
      </c>
    </row>
    <row r="3776" spans="1:17">
      <c r="A3776" t="s">
        <v>4337</v>
      </c>
      <c r="B3776" t="s">
        <v>129</v>
      </c>
      <c r="C3776" t="s">
        <v>261</v>
      </c>
      <c r="D3776" t="s">
        <v>43</v>
      </c>
      <c r="E3776" t="s">
        <v>106</v>
      </c>
      <c r="F3776" t="s">
        <v>38</v>
      </c>
      <c r="G3776" t="s">
        <v>74</v>
      </c>
      <c r="H3776" s="1">
        <v>44995</v>
      </c>
      <c r="I3776" s="2">
        <v>44996.325</v>
      </c>
      <c r="J3776">
        <v>31.8</v>
      </c>
      <c r="K3776" t="s">
        <v>32</v>
      </c>
      <c r="L3776">
        <v>2</v>
      </c>
      <c r="M3776">
        <v>3</v>
      </c>
      <c r="N3776" t="s">
        <v>361</v>
      </c>
      <c r="O3776" s="3" t="str">
        <f>TEXT(Ticket_Table[[#This Row],[raised_date]],"YYYY-MM")</f>
        <v>2023-03</v>
      </c>
      <c r="P3776" s="3" t="str">
        <f>IF(Ticket_Table[[#This Row],[resolution_hrs]]&lt;=4,"Fast",IF(Ticket_Table[[#This Row],[resolution_hrs]]&lt;=24,"Normal",IF(Ticket_Table[[#This Row],[resolution_hrs]]&lt;=48,"Slow","Very Slow")))</f>
        <v>Slow</v>
      </c>
      <c r="Q3776" s="3">
        <f>YEAR(Ticket_Table[[#This Row],[raised_date]])</f>
        <v>2023</v>
      </c>
    </row>
    <row r="3777" spans="1:17">
      <c r="A3777" t="s">
        <v>4338</v>
      </c>
      <c r="B3777" t="s">
        <v>57</v>
      </c>
      <c r="C3777" t="s">
        <v>95</v>
      </c>
      <c r="D3777" t="s">
        <v>20</v>
      </c>
      <c r="E3777" t="s">
        <v>44</v>
      </c>
      <c r="F3777" t="s">
        <v>45</v>
      </c>
      <c r="G3777" t="s">
        <v>23</v>
      </c>
      <c r="H3777" s="1">
        <v>44830</v>
      </c>
      <c r="I3777" s="2">
        <v>44830.0958333333</v>
      </c>
      <c r="J3777">
        <v>2.3</v>
      </c>
      <c r="K3777" t="s">
        <v>24</v>
      </c>
      <c r="L3777">
        <v>1</v>
      </c>
      <c r="M3777">
        <v>3</v>
      </c>
      <c r="N3777" t="s">
        <v>614</v>
      </c>
      <c r="O3777" s="3" t="str">
        <f>TEXT(Ticket_Table[[#This Row],[raised_date]],"YYYY-MM")</f>
        <v>2022-09</v>
      </c>
      <c r="P3777" s="3" t="str">
        <f>IF(Ticket_Table[[#This Row],[resolution_hrs]]&lt;=4,"Fast",IF(Ticket_Table[[#This Row],[resolution_hrs]]&lt;=24,"Normal",IF(Ticket_Table[[#This Row],[resolution_hrs]]&lt;=48,"Slow","Very Slow")))</f>
        <v>Fast</v>
      </c>
      <c r="Q3777" s="3">
        <f>YEAR(Ticket_Table[[#This Row],[raised_date]])</f>
        <v>2022</v>
      </c>
    </row>
    <row r="3778" spans="1:17">
      <c r="A3778" t="s">
        <v>4339</v>
      </c>
      <c r="B3778" t="s">
        <v>275</v>
      </c>
      <c r="C3778" t="s">
        <v>28</v>
      </c>
      <c r="D3778" t="s">
        <v>36</v>
      </c>
      <c r="E3778" t="s">
        <v>83</v>
      </c>
      <c r="F3778" t="s">
        <v>22</v>
      </c>
      <c r="G3778" t="s">
        <v>23</v>
      </c>
      <c r="H3778" s="1">
        <v>44666</v>
      </c>
      <c r="I3778" s="2">
        <v>44669.7791666667</v>
      </c>
      <c r="J3778">
        <v>90.7</v>
      </c>
      <c r="K3778" t="s">
        <v>32</v>
      </c>
      <c r="L3778">
        <v>0</v>
      </c>
      <c r="M3778">
        <v>4</v>
      </c>
      <c r="N3778" t="s">
        <v>621</v>
      </c>
      <c r="O3778" s="3" t="str">
        <f>TEXT(Ticket_Table[[#This Row],[raised_date]],"YYYY-MM")</f>
        <v>2022-04</v>
      </c>
      <c r="P3778" s="3" t="str">
        <f>IF(Ticket_Table[[#This Row],[resolution_hrs]]&lt;=4,"Fast",IF(Ticket_Table[[#This Row],[resolution_hrs]]&lt;=24,"Normal",IF(Ticket_Table[[#This Row],[resolution_hrs]]&lt;=48,"Slow","Very Slow")))</f>
        <v>Very Slow</v>
      </c>
      <c r="Q3778" s="3">
        <f>YEAR(Ticket_Table[[#This Row],[raised_date]])</f>
        <v>2022</v>
      </c>
    </row>
    <row r="3779" spans="1:17">
      <c r="A3779" t="s">
        <v>4340</v>
      </c>
      <c r="B3779" t="s">
        <v>378</v>
      </c>
      <c r="C3779" t="s">
        <v>82</v>
      </c>
      <c r="D3779" t="s">
        <v>90</v>
      </c>
      <c r="E3779" t="s">
        <v>21</v>
      </c>
      <c r="F3779" t="s">
        <v>22</v>
      </c>
      <c r="G3779" t="s">
        <v>31</v>
      </c>
      <c r="H3779" s="1">
        <v>44703</v>
      </c>
      <c r="I3779" s="2">
        <v>44706.5875</v>
      </c>
      <c r="J3779">
        <v>86.1</v>
      </c>
      <c r="K3779" t="s">
        <v>32</v>
      </c>
      <c r="L3779">
        <v>0</v>
      </c>
      <c r="M3779">
        <v>5</v>
      </c>
      <c r="N3779" t="s">
        <v>277</v>
      </c>
      <c r="O3779" s="3" t="str">
        <f>TEXT(Ticket_Table[[#This Row],[raised_date]],"YYYY-MM")</f>
        <v>2022-05</v>
      </c>
      <c r="P3779" s="3" t="str">
        <f>IF(Ticket_Table[[#This Row],[resolution_hrs]]&lt;=4,"Fast",IF(Ticket_Table[[#This Row],[resolution_hrs]]&lt;=24,"Normal",IF(Ticket_Table[[#This Row],[resolution_hrs]]&lt;=48,"Slow","Very Slow")))</f>
        <v>Very Slow</v>
      </c>
      <c r="Q3779" s="3">
        <f>YEAR(Ticket_Table[[#This Row],[raised_date]])</f>
        <v>2022</v>
      </c>
    </row>
    <row r="3780" spans="1:17">
      <c r="A3780" t="s">
        <v>4341</v>
      </c>
      <c r="B3780" t="s">
        <v>57</v>
      </c>
      <c r="C3780" t="s">
        <v>117</v>
      </c>
      <c r="D3780" t="s">
        <v>36</v>
      </c>
      <c r="E3780" t="s">
        <v>56</v>
      </c>
      <c r="F3780" t="s">
        <v>70</v>
      </c>
      <c r="G3780" t="s">
        <v>23</v>
      </c>
      <c r="H3780" s="1">
        <v>44778</v>
      </c>
      <c r="I3780" s="2">
        <v>44779.2666666667</v>
      </c>
      <c r="J3780">
        <v>30.4</v>
      </c>
      <c r="K3780" t="s">
        <v>24</v>
      </c>
      <c r="L3780">
        <v>0</v>
      </c>
      <c r="M3780">
        <v>3</v>
      </c>
      <c r="N3780" t="s">
        <v>464</v>
      </c>
      <c r="O3780" s="3" t="str">
        <f>TEXT(Ticket_Table[[#This Row],[raised_date]],"YYYY-MM")</f>
        <v>2022-08</v>
      </c>
      <c r="P3780" s="3" t="str">
        <f>IF(Ticket_Table[[#This Row],[resolution_hrs]]&lt;=4,"Fast",IF(Ticket_Table[[#This Row],[resolution_hrs]]&lt;=24,"Normal",IF(Ticket_Table[[#This Row],[resolution_hrs]]&lt;=48,"Slow","Very Slow")))</f>
        <v>Slow</v>
      </c>
      <c r="Q3780" s="3">
        <f>YEAR(Ticket_Table[[#This Row],[raised_date]])</f>
        <v>2022</v>
      </c>
    </row>
    <row r="3781" spans="1:17">
      <c r="A3781" t="s">
        <v>4342</v>
      </c>
      <c r="B3781" t="s">
        <v>420</v>
      </c>
      <c r="C3781" t="s">
        <v>78</v>
      </c>
      <c r="D3781" t="s">
        <v>90</v>
      </c>
      <c r="E3781" t="s">
        <v>166</v>
      </c>
      <c r="F3781" t="s">
        <v>45</v>
      </c>
      <c r="G3781" t="s">
        <v>23</v>
      </c>
      <c r="H3781" s="1">
        <v>45104</v>
      </c>
      <c r="I3781" s="2">
        <v>45104.0916666667</v>
      </c>
      <c r="J3781">
        <v>2.2</v>
      </c>
      <c r="K3781" t="s">
        <v>24</v>
      </c>
      <c r="L3781">
        <v>2</v>
      </c>
      <c r="M3781">
        <v>4</v>
      </c>
      <c r="N3781" t="s">
        <v>424</v>
      </c>
      <c r="O3781" s="3" t="str">
        <f>TEXT(Ticket_Table[[#This Row],[raised_date]],"YYYY-MM")</f>
        <v>2023-06</v>
      </c>
      <c r="P3781" s="3" t="str">
        <f>IF(Ticket_Table[[#This Row],[resolution_hrs]]&lt;=4,"Fast",IF(Ticket_Table[[#This Row],[resolution_hrs]]&lt;=24,"Normal",IF(Ticket_Table[[#This Row],[resolution_hrs]]&lt;=48,"Slow","Very Slow")))</f>
        <v>Fast</v>
      </c>
      <c r="Q3781" s="3">
        <f>YEAR(Ticket_Table[[#This Row],[raised_date]])</f>
        <v>2023</v>
      </c>
    </row>
    <row r="3782" spans="1:17">
      <c r="A3782" t="s">
        <v>4343</v>
      </c>
      <c r="B3782" t="s">
        <v>186</v>
      </c>
      <c r="C3782" t="s">
        <v>60</v>
      </c>
      <c r="D3782" t="s">
        <v>29</v>
      </c>
      <c r="E3782" t="s">
        <v>51</v>
      </c>
      <c r="F3782" t="s">
        <v>70</v>
      </c>
      <c r="G3782" t="s">
        <v>23</v>
      </c>
      <c r="H3782" s="1">
        <v>44455</v>
      </c>
      <c r="I3782" s="2">
        <v>44457.7041666667</v>
      </c>
      <c r="J3782">
        <v>64.9</v>
      </c>
      <c r="K3782" t="s">
        <v>32</v>
      </c>
      <c r="L3782">
        <v>0</v>
      </c>
      <c r="M3782">
        <v>2</v>
      </c>
      <c r="N3782" t="s">
        <v>1226</v>
      </c>
      <c r="O3782" s="3" t="str">
        <f>TEXT(Ticket_Table[[#This Row],[raised_date]],"YYYY-MM")</f>
        <v>2021-09</v>
      </c>
      <c r="P3782" s="3" t="str">
        <f>IF(Ticket_Table[[#This Row],[resolution_hrs]]&lt;=4,"Fast",IF(Ticket_Table[[#This Row],[resolution_hrs]]&lt;=24,"Normal",IF(Ticket_Table[[#This Row],[resolution_hrs]]&lt;=48,"Slow","Very Slow")))</f>
        <v>Very Slow</v>
      </c>
      <c r="Q3782" s="3">
        <f>YEAR(Ticket_Table[[#This Row],[raised_date]])</f>
        <v>2021</v>
      </c>
    </row>
    <row r="3783" spans="1:17">
      <c r="A3783" t="s">
        <v>4344</v>
      </c>
      <c r="B3783" t="s">
        <v>206</v>
      </c>
      <c r="C3783" t="s">
        <v>117</v>
      </c>
      <c r="D3783" t="s">
        <v>43</v>
      </c>
      <c r="E3783" t="s">
        <v>30</v>
      </c>
      <c r="F3783" t="s">
        <v>70</v>
      </c>
      <c r="G3783" t="s">
        <v>46</v>
      </c>
      <c r="H3783" s="1">
        <v>44465</v>
      </c>
      <c r="I3783" s="2">
        <v>44466.2666666667</v>
      </c>
      <c r="J3783">
        <v>30.4</v>
      </c>
      <c r="K3783" t="s">
        <v>24</v>
      </c>
      <c r="L3783">
        <v>0</v>
      </c>
      <c r="M3783">
        <v>3</v>
      </c>
      <c r="N3783" t="s">
        <v>1164</v>
      </c>
      <c r="O3783" s="3" t="str">
        <f>TEXT(Ticket_Table[[#This Row],[raised_date]],"YYYY-MM")</f>
        <v>2021-09</v>
      </c>
      <c r="P3783" s="3" t="str">
        <f>IF(Ticket_Table[[#This Row],[resolution_hrs]]&lt;=4,"Fast",IF(Ticket_Table[[#This Row],[resolution_hrs]]&lt;=24,"Normal",IF(Ticket_Table[[#This Row],[resolution_hrs]]&lt;=48,"Slow","Very Slow")))</f>
        <v>Slow</v>
      </c>
      <c r="Q3783" s="3">
        <f>YEAR(Ticket_Table[[#This Row],[raised_date]])</f>
        <v>2021</v>
      </c>
    </row>
    <row r="3784" spans="1:17">
      <c r="A3784" t="s">
        <v>4345</v>
      </c>
      <c r="B3784" t="s">
        <v>616</v>
      </c>
      <c r="C3784" t="s">
        <v>117</v>
      </c>
      <c r="D3784" t="s">
        <v>43</v>
      </c>
      <c r="E3784" t="s">
        <v>21</v>
      </c>
      <c r="F3784" t="s">
        <v>22</v>
      </c>
      <c r="G3784" t="s">
        <v>91</v>
      </c>
      <c r="H3784" s="1">
        <v>45275</v>
      </c>
      <c r="I3784" s="2">
        <v>45275.1125</v>
      </c>
      <c r="J3784">
        <v>2.7</v>
      </c>
      <c r="K3784" t="s">
        <v>24</v>
      </c>
      <c r="L3784">
        <v>1</v>
      </c>
      <c r="M3784">
        <v>4</v>
      </c>
      <c r="N3784" t="s">
        <v>1112</v>
      </c>
      <c r="O3784" s="3" t="str">
        <f>TEXT(Ticket_Table[[#This Row],[raised_date]],"YYYY-MM")</f>
        <v>2023-12</v>
      </c>
      <c r="P3784" s="3" t="str">
        <f>IF(Ticket_Table[[#This Row],[resolution_hrs]]&lt;=4,"Fast",IF(Ticket_Table[[#This Row],[resolution_hrs]]&lt;=24,"Normal",IF(Ticket_Table[[#This Row],[resolution_hrs]]&lt;=48,"Slow","Very Slow")))</f>
        <v>Fast</v>
      </c>
      <c r="Q3784" s="3">
        <f>YEAR(Ticket_Table[[#This Row],[raised_date]])</f>
        <v>2023</v>
      </c>
    </row>
    <row r="3785" spans="1:17">
      <c r="A3785" t="s">
        <v>4346</v>
      </c>
      <c r="B3785" t="s">
        <v>52</v>
      </c>
      <c r="C3785" t="s">
        <v>55</v>
      </c>
      <c r="D3785" t="s">
        <v>29</v>
      </c>
      <c r="E3785" t="s">
        <v>37</v>
      </c>
      <c r="F3785" t="s">
        <v>22</v>
      </c>
      <c r="G3785" t="s">
        <v>31</v>
      </c>
      <c r="H3785" s="1">
        <v>44546</v>
      </c>
      <c r="I3785" s="2">
        <v>44546.725</v>
      </c>
      <c r="J3785">
        <v>17.4</v>
      </c>
      <c r="K3785" t="s">
        <v>24</v>
      </c>
      <c r="L3785">
        <v>0</v>
      </c>
      <c r="M3785">
        <v>4</v>
      </c>
      <c r="N3785" t="s">
        <v>126</v>
      </c>
      <c r="O3785" s="3" t="str">
        <f>TEXT(Ticket_Table[[#This Row],[raised_date]],"YYYY-MM")</f>
        <v>2021-12</v>
      </c>
      <c r="P3785" s="3" t="str">
        <f>IF(Ticket_Table[[#This Row],[resolution_hrs]]&lt;=4,"Fast",IF(Ticket_Table[[#This Row],[resolution_hrs]]&lt;=24,"Normal",IF(Ticket_Table[[#This Row],[resolution_hrs]]&lt;=48,"Slow","Very Slow")))</f>
        <v>Normal</v>
      </c>
      <c r="Q3785" s="3">
        <f>YEAR(Ticket_Table[[#This Row],[raised_date]])</f>
        <v>2021</v>
      </c>
    </row>
    <row r="3786" spans="1:17">
      <c r="A3786" t="s">
        <v>4347</v>
      </c>
      <c r="B3786" t="s">
        <v>1022</v>
      </c>
      <c r="C3786" t="s">
        <v>78</v>
      </c>
      <c r="D3786" t="s">
        <v>29</v>
      </c>
      <c r="E3786" t="s">
        <v>83</v>
      </c>
      <c r="F3786" t="s">
        <v>38</v>
      </c>
      <c r="G3786" t="s">
        <v>23</v>
      </c>
      <c r="H3786" s="1">
        <v>44255</v>
      </c>
      <c r="I3786" s="2">
        <v>44255.5875</v>
      </c>
      <c r="J3786">
        <v>14.1</v>
      </c>
      <c r="K3786" t="s">
        <v>24</v>
      </c>
      <c r="L3786">
        <v>1</v>
      </c>
      <c r="M3786">
        <v>5</v>
      </c>
      <c r="N3786" t="s">
        <v>666</v>
      </c>
      <c r="O3786" s="3" t="str">
        <f>TEXT(Ticket_Table[[#This Row],[raised_date]],"YYYY-MM")</f>
        <v>2021-02</v>
      </c>
      <c r="P3786" s="3" t="str">
        <f>IF(Ticket_Table[[#This Row],[resolution_hrs]]&lt;=4,"Fast",IF(Ticket_Table[[#This Row],[resolution_hrs]]&lt;=24,"Normal",IF(Ticket_Table[[#This Row],[resolution_hrs]]&lt;=48,"Slow","Very Slow")))</f>
        <v>Normal</v>
      </c>
      <c r="Q3786" s="3">
        <f>YEAR(Ticket_Table[[#This Row],[raised_date]])</f>
        <v>2021</v>
      </c>
    </row>
    <row r="3787" spans="1:17">
      <c r="A3787" t="s">
        <v>4348</v>
      </c>
      <c r="B3787" t="s">
        <v>367</v>
      </c>
      <c r="C3787" t="s">
        <v>64</v>
      </c>
      <c r="D3787" t="s">
        <v>90</v>
      </c>
      <c r="E3787" t="s">
        <v>166</v>
      </c>
      <c r="F3787" t="s">
        <v>22</v>
      </c>
      <c r="G3787" t="s">
        <v>23</v>
      </c>
      <c r="H3787" s="1">
        <v>44268</v>
      </c>
      <c r="I3787" s="2">
        <v>44271.6833333333</v>
      </c>
      <c r="J3787">
        <v>88.4</v>
      </c>
      <c r="K3787" t="s">
        <v>32</v>
      </c>
      <c r="L3787">
        <v>0</v>
      </c>
      <c r="M3787">
        <v>4</v>
      </c>
      <c r="N3787" t="s">
        <v>685</v>
      </c>
      <c r="O3787" s="3" t="str">
        <f>TEXT(Ticket_Table[[#This Row],[raised_date]],"YYYY-MM")</f>
        <v>2021-03</v>
      </c>
      <c r="P3787" s="3" t="str">
        <f>IF(Ticket_Table[[#This Row],[resolution_hrs]]&lt;=4,"Fast",IF(Ticket_Table[[#This Row],[resolution_hrs]]&lt;=24,"Normal",IF(Ticket_Table[[#This Row],[resolution_hrs]]&lt;=48,"Slow","Very Slow")))</f>
        <v>Very Slow</v>
      </c>
      <c r="Q3787" s="3">
        <f>YEAR(Ticket_Table[[#This Row],[raised_date]])</f>
        <v>2021</v>
      </c>
    </row>
    <row r="3788" spans="1:17">
      <c r="A3788" t="s">
        <v>4349</v>
      </c>
      <c r="B3788" t="s">
        <v>1154</v>
      </c>
      <c r="C3788" t="s">
        <v>68</v>
      </c>
      <c r="D3788" t="s">
        <v>29</v>
      </c>
      <c r="E3788" t="s">
        <v>30</v>
      </c>
      <c r="F3788" t="s">
        <v>70</v>
      </c>
      <c r="G3788" t="s">
        <v>23</v>
      </c>
      <c r="H3788" s="1">
        <v>44927</v>
      </c>
      <c r="I3788" s="2">
        <v>44929.4666666667</v>
      </c>
      <c r="J3788">
        <v>59.2</v>
      </c>
      <c r="K3788" t="s">
        <v>32</v>
      </c>
      <c r="L3788">
        <v>0</v>
      </c>
      <c r="M3788">
        <v>1</v>
      </c>
      <c r="N3788" t="s">
        <v>1019</v>
      </c>
      <c r="O3788" s="3" t="str">
        <f>TEXT(Ticket_Table[[#This Row],[raised_date]],"YYYY-MM")</f>
        <v>2023-01</v>
      </c>
      <c r="P3788" s="3" t="str">
        <f>IF(Ticket_Table[[#This Row],[resolution_hrs]]&lt;=4,"Fast",IF(Ticket_Table[[#This Row],[resolution_hrs]]&lt;=24,"Normal",IF(Ticket_Table[[#This Row],[resolution_hrs]]&lt;=48,"Slow","Very Slow")))</f>
        <v>Very Slow</v>
      </c>
      <c r="Q3788" s="3">
        <f>YEAR(Ticket_Table[[#This Row],[raised_date]])</f>
        <v>2023</v>
      </c>
    </row>
    <row r="3789" spans="1:17">
      <c r="A3789" t="s">
        <v>4350</v>
      </c>
      <c r="B3789" t="s">
        <v>487</v>
      </c>
      <c r="C3789" t="s">
        <v>213</v>
      </c>
      <c r="D3789" t="s">
        <v>90</v>
      </c>
      <c r="E3789" t="s">
        <v>30</v>
      </c>
      <c r="F3789" t="s">
        <v>45</v>
      </c>
      <c r="G3789" t="s">
        <v>23</v>
      </c>
      <c r="H3789" s="1">
        <v>44863</v>
      </c>
      <c r="I3789" s="2">
        <v>44863.1666666667</v>
      </c>
      <c r="J3789">
        <v>4</v>
      </c>
      <c r="K3789" t="s">
        <v>24</v>
      </c>
      <c r="L3789">
        <v>0</v>
      </c>
      <c r="M3789">
        <v>4</v>
      </c>
      <c r="N3789" t="s">
        <v>599</v>
      </c>
      <c r="O3789" s="3" t="str">
        <f>TEXT(Ticket_Table[[#This Row],[raised_date]],"YYYY-MM")</f>
        <v>2022-10</v>
      </c>
      <c r="P3789" s="3" t="str">
        <f>IF(Ticket_Table[[#This Row],[resolution_hrs]]&lt;=4,"Fast",IF(Ticket_Table[[#This Row],[resolution_hrs]]&lt;=24,"Normal",IF(Ticket_Table[[#This Row],[resolution_hrs]]&lt;=48,"Slow","Very Slow")))</f>
        <v>Fast</v>
      </c>
      <c r="Q3789" s="3">
        <f>YEAR(Ticket_Table[[#This Row],[raised_date]])</f>
        <v>2022</v>
      </c>
    </row>
    <row r="3790" spans="1:17">
      <c r="A3790" t="s">
        <v>4351</v>
      </c>
      <c r="B3790" t="s">
        <v>600</v>
      </c>
      <c r="C3790" t="s">
        <v>42</v>
      </c>
      <c r="D3790" t="s">
        <v>36</v>
      </c>
      <c r="E3790" t="s">
        <v>166</v>
      </c>
      <c r="F3790" t="s">
        <v>22</v>
      </c>
      <c r="G3790" t="s">
        <v>74</v>
      </c>
      <c r="H3790" s="1">
        <v>45172</v>
      </c>
      <c r="I3790" s="2">
        <v>45173.5375</v>
      </c>
      <c r="J3790">
        <v>36.9</v>
      </c>
      <c r="K3790" t="s">
        <v>24</v>
      </c>
      <c r="L3790">
        <v>0</v>
      </c>
      <c r="M3790">
        <v>5</v>
      </c>
      <c r="N3790" t="s">
        <v>277</v>
      </c>
      <c r="O3790" s="3" t="str">
        <f>TEXT(Ticket_Table[[#This Row],[raised_date]],"YYYY-MM")</f>
        <v>2023-09</v>
      </c>
      <c r="P3790" s="3" t="str">
        <f>IF(Ticket_Table[[#This Row],[resolution_hrs]]&lt;=4,"Fast",IF(Ticket_Table[[#This Row],[resolution_hrs]]&lt;=24,"Normal",IF(Ticket_Table[[#This Row],[resolution_hrs]]&lt;=48,"Slow","Very Slow")))</f>
        <v>Slow</v>
      </c>
      <c r="Q3790" s="3">
        <f>YEAR(Ticket_Table[[#This Row],[raised_date]])</f>
        <v>2023</v>
      </c>
    </row>
    <row r="3791" spans="1:17">
      <c r="A3791" t="s">
        <v>4352</v>
      </c>
      <c r="B3791" t="s">
        <v>549</v>
      </c>
      <c r="C3791" t="s">
        <v>95</v>
      </c>
      <c r="D3791" t="s">
        <v>43</v>
      </c>
      <c r="E3791" t="s">
        <v>83</v>
      </c>
      <c r="F3791" t="s">
        <v>38</v>
      </c>
      <c r="G3791" t="s">
        <v>23</v>
      </c>
      <c r="H3791" s="1">
        <v>45153</v>
      </c>
      <c r="I3791" s="2">
        <v>45154.4416666667</v>
      </c>
      <c r="J3791">
        <v>34.6</v>
      </c>
      <c r="K3791" t="s">
        <v>32</v>
      </c>
      <c r="L3791">
        <v>1</v>
      </c>
      <c r="M3791">
        <v>4</v>
      </c>
      <c r="N3791" t="s">
        <v>317</v>
      </c>
      <c r="O3791" s="3" t="str">
        <f>TEXT(Ticket_Table[[#This Row],[raised_date]],"YYYY-MM")</f>
        <v>2023-08</v>
      </c>
      <c r="P3791" s="3" t="str">
        <f>IF(Ticket_Table[[#This Row],[resolution_hrs]]&lt;=4,"Fast",IF(Ticket_Table[[#This Row],[resolution_hrs]]&lt;=24,"Normal",IF(Ticket_Table[[#This Row],[resolution_hrs]]&lt;=48,"Slow","Very Slow")))</f>
        <v>Slow</v>
      </c>
      <c r="Q3791" s="3">
        <f>YEAR(Ticket_Table[[#This Row],[raised_date]])</f>
        <v>2023</v>
      </c>
    </row>
    <row r="3792" spans="1:17">
      <c r="A3792" t="s">
        <v>4353</v>
      </c>
      <c r="B3792" t="s">
        <v>307</v>
      </c>
      <c r="C3792" t="s">
        <v>261</v>
      </c>
      <c r="D3792" t="s">
        <v>43</v>
      </c>
      <c r="E3792" t="s">
        <v>37</v>
      </c>
      <c r="F3792" t="s">
        <v>22</v>
      </c>
      <c r="G3792" t="s">
        <v>91</v>
      </c>
      <c r="H3792" s="1">
        <v>44754</v>
      </c>
      <c r="I3792" s="2">
        <v>44758.4666666667</v>
      </c>
      <c r="J3792">
        <v>107.2</v>
      </c>
      <c r="K3792" t="s">
        <v>32</v>
      </c>
      <c r="L3792">
        <v>1</v>
      </c>
      <c r="M3792">
        <v>5</v>
      </c>
      <c r="N3792" t="s">
        <v>760</v>
      </c>
      <c r="O3792" s="3" t="str">
        <f>TEXT(Ticket_Table[[#This Row],[raised_date]],"YYYY-MM")</f>
        <v>2022-07</v>
      </c>
      <c r="P3792" s="3" t="str">
        <f>IF(Ticket_Table[[#This Row],[resolution_hrs]]&lt;=4,"Fast",IF(Ticket_Table[[#This Row],[resolution_hrs]]&lt;=24,"Normal",IF(Ticket_Table[[#This Row],[resolution_hrs]]&lt;=48,"Slow","Very Slow")))</f>
        <v>Very Slow</v>
      </c>
      <c r="Q3792" s="3">
        <f>YEAR(Ticket_Table[[#This Row],[raised_date]])</f>
        <v>2022</v>
      </c>
    </row>
    <row r="3793" spans="1:17">
      <c r="A3793" t="s">
        <v>4354</v>
      </c>
      <c r="B3793" t="s">
        <v>556</v>
      </c>
      <c r="C3793" t="s">
        <v>287</v>
      </c>
      <c r="D3793" t="s">
        <v>43</v>
      </c>
      <c r="E3793" t="s">
        <v>44</v>
      </c>
      <c r="F3793" t="s">
        <v>70</v>
      </c>
      <c r="G3793" t="s">
        <v>46</v>
      </c>
      <c r="H3793" s="1">
        <v>45108</v>
      </c>
      <c r="I3793" s="2">
        <v>45108.7583333333</v>
      </c>
      <c r="J3793">
        <v>18.2</v>
      </c>
      <c r="K3793" t="s">
        <v>24</v>
      </c>
      <c r="L3793">
        <v>1</v>
      </c>
      <c r="M3793">
        <v>1</v>
      </c>
      <c r="N3793" t="s">
        <v>464</v>
      </c>
      <c r="O3793" s="3" t="str">
        <f>TEXT(Ticket_Table[[#This Row],[raised_date]],"YYYY-MM")</f>
        <v>2023-07</v>
      </c>
      <c r="P3793" s="3" t="str">
        <f>IF(Ticket_Table[[#This Row],[resolution_hrs]]&lt;=4,"Fast",IF(Ticket_Table[[#This Row],[resolution_hrs]]&lt;=24,"Normal",IF(Ticket_Table[[#This Row],[resolution_hrs]]&lt;=48,"Slow","Very Slow")))</f>
        <v>Normal</v>
      </c>
      <c r="Q3793" s="3">
        <f>YEAR(Ticket_Table[[#This Row],[raised_date]])</f>
        <v>2023</v>
      </c>
    </row>
    <row r="3794" spans="1:17">
      <c r="A3794" t="s">
        <v>4355</v>
      </c>
      <c r="B3794" t="s">
        <v>471</v>
      </c>
      <c r="C3794" t="s">
        <v>68</v>
      </c>
      <c r="D3794" t="s">
        <v>36</v>
      </c>
      <c r="E3794" t="s">
        <v>21</v>
      </c>
      <c r="F3794" t="s">
        <v>22</v>
      </c>
      <c r="G3794" t="s">
        <v>23</v>
      </c>
      <c r="H3794" s="1">
        <v>44473</v>
      </c>
      <c r="I3794" s="2">
        <v>44477.3833333333</v>
      </c>
      <c r="J3794">
        <v>105.2</v>
      </c>
      <c r="K3794" t="s">
        <v>32</v>
      </c>
      <c r="L3794">
        <v>0</v>
      </c>
      <c r="M3794">
        <v>5</v>
      </c>
      <c r="N3794" t="s">
        <v>790</v>
      </c>
      <c r="O3794" s="3" t="str">
        <f>TEXT(Ticket_Table[[#This Row],[raised_date]],"YYYY-MM")</f>
        <v>2021-10</v>
      </c>
      <c r="P3794" s="3" t="str">
        <f>IF(Ticket_Table[[#This Row],[resolution_hrs]]&lt;=4,"Fast",IF(Ticket_Table[[#This Row],[resolution_hrs]]&lt;=24,"Normal",IF(Ticket_Table[[#This Row],[resolution_hrs]]&lt;=48,"Slow","Very Slow")))</f>
        <v>Very Slow</v>
      </c>
      <c r="Q3794" s="3">
        <f>YEAR(Ticket_Table[[#This Row],[raised_date]])</f>
        <v>2021</v>
      </c>
    </row>
    <row r="3795" spans="1:17">
      <c r="A3795" t="s">
        <v>4356</v>
      </c>
      <c r="B3795" t="s">
        <v>329</v>
      </c>
      <c r="C3795" t="s">
        <v>28</v>
      </c>
      <c r="D3795" t="s">
        <v>36</v>
      </c>
      <c r="E3795" t="s">
        <v>69</v>
      </c>
      <c r="F3795" t="s">
        <v>38</v>
      </c>
      <c r="G3795" t="s">
        <v>74</v>
      </c>
      <c r="H3795" s="1">
        <v>44559</v>
      </c>
      <c r="I3795" s="2">
        <v>44559.3208333333</v>
      </c>
      <c r="J3795">
        <v>7.7</v>
      </c>
      <c r="K3795" t="s">
        <v>24</v>
      </c>
      <c r="L3795">
        <v>0</v>
      </c>
      <c r="M3795">
        <v>3</v>
      </c>
      <c r="N3795" t="s">
        <v>1129</v>
      </c>
      <c r="O3795" s="3" t="str">
        <f>TEXT(Ticket_Table[[#This Row],[raised_date]],"YYYY-MM")</f>
        <v>2021-12</v>
      </c>
      <c r="P3795" s="3" t="str">
        <f>IF(Ticket_Table[[#This Row],[resolution_hrs]]&lt;=4,"Fast",IF(Ticket_Table[[#This Row],[resolution_hrs]]&lt;=24,"Normal",IF(Ticket_Table[[#This Row],[resolution_hrs]]&lt;=48,"Slow","Very Slow")))</f>
        <v>Normal</v>
      </c>
      <c r="Q3795" s="3">
        <f>YEAR(Ticket_Table[[#This Row],[raised_date]])</f>
        <v>2021</v>
      </c>
    </row>
    <row r="3796" spans="1:17">
      <c r="A3796" t="s">
        <v>4357</v>
      </c>
      <c r="B3796" t="s">
        <v>599</v>
      </c>
      <c r="C3796" t="s">
        <v>64</v>
      </c>
      <c r="D3796" t="s">
        <v>20</v>
      </c>
      <c r="E3796" t="s">
        <v>69</v>
      </c>
      <c r="F3796" t="s">
        <v>70</v>
      </c>
      <c r="G3796" t="s">
        <v>46</v>
      </c>
      <c r="H3796" s="1">
        <v>45132</v>
      </c>
      <c r="I3796" s="2">
        <v>45133.95</v>
      </c>
      <c r="J3796">
        <v>46.8</v>
      </c>
      <c r="K3796" t="s">
        <v>24</v>
      </c>
      <c r="L3796">
        <v>0</v>
      </c>
      <c r="M3796">
        <v>4</v>
      </c>
      <c r="N3796" t="s">
        <v>970</v>
      </c>
      <c r="O3796" s="3" t="str">
        <f>TEXT(Ticket_Table[[#This Row],[raised_date]],"YYYY-MM")</f>
        <v>2023-07</v>
      </c>
      <c r="P3796" s="3" t="str">
        <f>IF(Ticket_Table[[#This Row],[resolution_hrs]]&lt;=4,"Fast",IF(Ticket_Table[[#This Row],[resolution_hrs]]&lt;=24,"Normal",IF(Ticket_Table[[#This Row],[resolution_hrs]]&lt;=48,"Slow","Very Slow")))</f>
        <v>Slow</v>
      </c>
      <c r="Q3796" s="3">
        <f>YEAR(Ticket_Table[[#This Row],[raised_date]])</f>
        <v>2023</v>
      </c>
    </row>
    <row r="3797" spans="1:17">
      <c r="A3797" t="s">
        <v>4358</v>
      </c>
      <c r="B3797" t="s">
        <v>886</v>
      </c>
      <c r="C3797" t="s">
        <v>102</v>
      </c>
      <c r="D3797" t="s">
        <v>90</v>
      </c>
      <c r="E3797" t="s">
        <v>83</v>
      </c>
      <c r="F3797" t="s">
        <v>70</v>
      </c>
      <c r="G3797" t="s">
        <v>23</v>
      </c>
      <c r="H3797" s="1">
        <v>45087</v>
      </c>
      <c r="I3797" s="2">
        <v>45089.4916666667</v>
      </c>
      <c r="J3797">
        <v>59.8</v>
      </c>
      <c r="K3797" t="s">
        <v>32</v>
      </c>
      <c r="L3797">
        <v>0</v>
      </c>
      <c r="M3797">
        <v>4</v>
      </c>
      <c r="N3797" t="s">
        <v>1050</v>
      </c>
      <c r="O3797" s="3" t="str">
        <f>TEXT(Ticket_Table[[#This Row],[raised_date]],"YYYY-MM")</f>
        <v>2023-06</v>
      </c>
      <c r="P3797" s="3" t="str">
        <f>IF(Ticket_Table[[#This Row],[resolution_hrs]]&lt;=4,"Fast",IF(Ticket_Table[[#This Row],[resolution_hrs]]&lt;=24,"Normal",IF(Ticket_Table[[#This Row],[resolution_hrs]]&lt;=48,"Slow","Very Slow")))</f>
        <v>Very Slow</v>
      </c>
      <c r="Q3797" s="3">
        <f>YEAR(Ticket_Table[[#This Row],[raised_date]])</f>
        <v>2023</v>
      </c>
    </row>
    <row r="3798" spans="1:17">
      <c r="A3798" t="s">
        <v>4359</v>
      </c>
      <c r="B3798" t="s">
        <v>135</v>
      </c>
      <c r="C3798" t="s">
        <v>82</v>
      </c>
      <c r="D3798" t="s">
        <v>90</v>
      </c>
      <c r="E3798" t="s">
        <v>30</v>
      </c>
      <c r="F3798" t="s">
        <v>70</v>
      </c>
      <c r="G3798" t="s">
        <v>23</v>
      </c>
      <c r="H3798" s="1">
        <v>45269</v>
      </c>
      <c r="I3798" s="2">
        <v>45271.4125</v>
      </c>
      <c r="J3798">
        <v>57.9</v>
      </c>
      <c r="K3798" t="s">
        <v>32</v>
      </c>
      <c r="L3798">
        <v>0</v>
      </c>
      <c r="M3798">
        <v>3</v>
      </c>
      <c r="N3798" t="s">
        <v>280</v>
      </c>
      <c r="O3798" s="3" t="str">
        <f>TEXT(Ticket_Table[[#This Row],[raised_date]],"YYYY-MM")</f>
        <v>2023-12</v>
      </c>
      <c r="P3798" s="3" t="str">
        <f>IF(Ticket_Table[[#This Row],[resolution_hrs]]&lt;=4,"Fast",IF(Ticket_Table[[#This Row],[resolution_hrs]]&lt;=24,"Normal",IF(Ticket_Table[[#This Row],[resolution_hrs]]&lt;=48,"Slow","Very Slow")))</f>
        <v>Very Slow</v>
      </c>
      <c r="Q3798" s="3">
        <f>YEAR(Ticket_Table[[#This Row],[raised_date]])</f>
        <v>2023</v>
      </c>
    </row>
    <row r="3799" spans="1:17">
      <c r="A3799" t="s">
        <v>4360</v>
      </c>
      <c r="B3799" t="s">
        <v>349</v>
      </c>
      <c r="C3799" t="s">
        <v>64</v>
      </c>
      <c r="D3799" t="s">
        <v>20</v>
      </c>
      <c r="E3799" t="s">
        <v>51</v>
      </c>
      <c r="F3799" t="s">
        <v>22</v>
      </c>
      <c r="G3799" t="s">
        <v>31</v>
      </c>
      <c r="H3799" s="1">
        <v>45290</v>
      </c>
      <c r="I3799" s="2">
        <v>45292.6166666667</v>
      </c>
      <c r="J3799">
        <v>62.8</v>
      </c>
      <c r="K3799" t="s">
        <v>24</v>
      </c>
      <c r="L3799">
        <v>1</v>
      </c>
      <c r="M3799">
        <v>5</v>
      </c>
      <c r="N3799" t="s">
        <v>716</v>
      </c>
      <c r="O3799" s="3" t="str">
        <f>TEXT(Ticket_Table[[#This Row],[raised_date]],"YYYY-MM")</f>
        <v>2023-12</v>
      </c>
      <c r="P3799" s="3" t="str">
        <f>IF(Ticket_Table[[#This Row],[resolution_hrs]]&lt;=4,"Fast",IF(Ticket_Table[[#This Row],[resolution_hrs]]&lt;=24,"Normal",IF(Ticket_Table[[#This Row],[resolution_hrs]]&lt;=48,"Slow","Very Slow")))</f>
        <v>Very Slow</v>
      </c>
      <c r="Q3799" s="3">
        <f>YEAR(Ticket_Table[[#This Row],[raised_date]])</f>
        <v>2023</v>
      </c>
    </row>
    <row r="3800" spans="1:17">
      <c r="A3800" t="s">
        <v>4361</v>
      </c>
      <c r="B3800" t="s">
        <v>403</v>
      </c>
      <c r="C3800" t="s">
        <v>201</v>
      </c>
      <c r="D3800" t="s">
        <v>43</v>
      </c>
      <c r="E3800" t="s">
        <v>44</v>
      </c>
      <c r="F3800" t="s">
        <v>38</v>
      </c>
      <c r="G3800" t="s">
        <v>23</v>
      </c>
      <c r="H3800" s="1">
        <v>44831</v>
      </c>
      <c r="I3800" s="2">
        <v>44831.2291666667</v>
      </c>
      <c r="J3800">
        <v>5.5</v>
      </c>
      <c r="K3800" t="s">
        <v>24</v>
      </c>
      <c r="L3800">
        <v>0</v>
      </c>
      <c r="M3800">
        <v>2</v>
      </c>
      <c r="N3800" t="s">
        <v>350</v>
      </c>
      <c r="O3800" s="3" t="str">
        <f>TEXT(Ticket_Table[[#This Row],[raised_date]],"YYYY-MM")</f>
        <v>2022-09</v>
      </c>
      <c r="P3800" s="3" t="str">
        <f>IF(Ticket_Table[[#This Row],[resolution_hrs]]&lt;=4,"Fast",IF(Ticket_Table[[#This Row],[resolution_hrs]]&lt;=24,"Normal",IF(Ticket_Table[[#This Row],[resolution_hrs]]&lt;=48,"Slow","Very Slow")))</f>
        <v>Normal</v>
      </c>
      <c r="Q3800" s="3">
        <f>YEAR(Ticket_Table[[#This Row],[raised_date]])</f>
        <v>2022</v>
      </c>
    </row>
    <row r="3801" spans="1:17">
      <c r="A3801" t="s">
        <v>4362</v>
      </c>
      <c r="B3801" t="s">
        <v>735</v>
      </c>
      <c r="C3801" t="s">
        <v>95</v>
      </c>
      <c r="D3801" t="s">
        <v>90</v>
      </c>
      <c r="E3801" t="s">
        <v>44</v>
      </c>
      <c r="F3801" t="s">
        <v>70</v>
      </c>
      <c r="G3801" t="s">
        <v>46</v>
      </c>
      <c r="H3801" s="1">
        <v>44908</v>
      </c>
      <c r="I3801" s="2">
        <v>44909.925</v>
      </c>
      <c r="J3801">
        <v>46.2</v>
      </c>
      <c r="K3801" t="s">
        <v>24</v>
      </c>
      <c r="L3801">
        <v>0</v>
      </c>
      <c r="M3801">
        <v>3</v>
      </c>
      <c r="N3801" t="s">
        <v>780</v>
      </c>
      <c r="O3801" s="3" t="str">
        <f>TEXT(Ticket_Table[[#This Row],[raised_date]],"YYYY-MM")</f>
        <v>2022-12</v>
      </c>
      <c r="P3801" s="3" t="str">
        <f>IF(Ticket_Table[[#This Row],[resolution_hrs]]&lt;=4,"Fast",IF(Ticket_Table[[#This Row],[resolution_hrs]]&lt;=24,"Normal",IF(Ticket_Table[[#This Row],[resolution_hrs]]&lt;=48,"Slow","Very Slow")))</f>
        <v>Slow</v>
      </c>
      <c r="Q3801" s="3">
        <f>YEAR(Ticket_Table[[#This Row],[raised_date]])</f>
        <v>2022</v>
      </c>
    </row>
    <row r="3802" spans="1:17">
      <c r="A3802" t="s">
        <v>4363</v>
      </c>
      <c r="B3802" t="s">
        <v>256</v>
      </c>
      <c r="C3802" t="s">
        <v>55</v>
      </c>
      <c r="D3802" t="s">
        <v>90</v>
      </c>
      <c r="E3802" t="s">
        <v>83</v>
      </c>
      <c r="F3802" t="s">
        <v>38</v>
      </c>
      <c r="G3802" t="s">
        <v>23</v>
      </c>
      <c r="H3802" s="1">
        <v>45183</v>
      </c>
      <c r="I3802" s="2">
        <v>45184.4666666667</v>
      </c>
      <c r="J3802">
        <v>35.2</v>
      </c>
      <c r="K3802" t="s">
        <v>32</v>
      </c>
      <c r="L3802">
        <v>1</v>
      </c>
      <c r="M3802">
        <v>5</v>
      </c>
      <c r="N3802" t="s">
        <v>810</v>
      </c>
      <c r="O3802" s="3" t="str">
        <f>TEXT(Ticket_Table[[#This Row],[raised_date]],"YYYY-MM")</f>
        <v>2023-09</v>
      </c>
      <c r="P3802" s="3" t="str">
        <f>IF(Ticket_Table[[#This Row],[resolution_hrs]]&lt;=4,"Fast",IF(Ticket_Table[[#This Row],[resolution_hrs]]&lt;=24,"Normal",IF(Ticket_Table[[#This Row],[resolution_hrs]]&lt;=48,"Slow","Very Slow")))</f>
        <v>Slow</v>
      </c>
      <c r="Q3802" s="3">
        <f>YEAR(Ticket_Table[[#This Row],[raised_date]])</f>
        <v>2023</v>
      </c>
    </row>
    <row r="3803" spans="1:17">
      <c r="A3803" t="s">
        <v>4364</v>
      </c>
      <c r="B3803" t="s">
        <v>616</v>
      </c>
      <c r="C3803" t="s">
        <v>213</v>
      </c>
      <c r="D3803" t="s">
        <v>43</v>
      </c>
      <c r="E3803" t="s">
        <v>37</v>
      </c>
      <c r="F3803" t="s">
        <v>22</v>
      </c>
      <c r="G3803" t="s">
        <v>31</v>
      </c>
      <c r="H3803" s="1">
        <v>44662</v>
      </c>
      <c r="I3803" s="2">
        <v>44662.8166666667</v>
      </c>
      <c r="J3803">
        <v>19.6</v>
      </c>
      <c r="K3803" t="s">
        <v>24</v>
      </c>
      <c r="L3803">
        <v>0</v>
      </c>
      <c r="M3803">
        <v>2</v>
      </c>
      <c r="N3803" t="s">
        <v>707</v>
      </c>
      <c r="O3803" s="3" t="str">
        <f>TEXT(Ticket_Table[[#This Row],[raised_date]],"YYYY-MM")</f>
        <v>2022-04</v>
      </c>
      <c r="P3803" s="3" t="str">
        <f>IF(Ticket_Table[[#This Row],[resolution_hrs]]&lt;=4,"Fast",IF(Ticket_Table[[#This Row],[resolution_hrs]]&lt;=24,"Normal",IF(Ticket_Table[[#This Row],[resolution_hrs]]&lt;=48,"Slow","Very Slow")))</f>
        <v>Normal</v>
      </c>
      <c r="Q3803" s="3">
        <f>YEAR(Ticket_Table[[#This Row],[raised_date]])</f>
        <v>2022</v>
      </c>
    </row>
    <row r="3804" spans="1:17">
      <c r="A3804" t="s">
        <v>4365</v>
      </c>
      <c r="B3804" t="s">
        <v>35</v>
      </c>
      <c r="C3804" t="s">
        <v>261</v>
      </c>
      <c r="D3804" t="s">
        <v>29</v>
      </c>
      <c r="E3804" t="s">
        <v>83</v>
      </c>
      <c r="F3804" t="s">
        <v>38</v>
      </c>
      <c r="G3804" t="s">
        <v>74</v>
      </c>
      <c r="H3804" s="1">
        <v>44380</v>
      </c>
      <c r="I3804" s="2">
        <v>44381.3583333333</v>
      </c>
      <c r="J3804">
        <v>32.6</v>
      </c>
      <c r="K3804" t="s">
        <v>32</v>
      </c>
      <c r="L3804">
        <v>0</v>
      </c>
      <c r="M3804">
        <v>3</v>
      </c>
      <c r="N3804" t="s">
        <v>464</v>
      </c>
      <c r="O3804" s="3" t="str">
        <f>TEXT(Ticket_Table[[#This Row],[raised_date]],"YYYY-MM")</f>
        <v>2021-07</v>
      </c>
      <c r="P3804" s="3" t="str">
        <f>IF(Ticket_Table[[#This Row],[resolution_hrs]]&lt;=4,"Fast",IF(Ticket_Table[[#This Row],[resolution_hrs]]&lt;=24,"Normal",IF(Ticket_Table[[#This Row],[resolution_hrs]]&lt;=48,"Slow","Very Slow")))</f>
        <v>Slow</v>
      </c>
      <c r="Q3804" s="3">
        <f>YEAR(Ticket_Table[[#This Row],[raised_date]])</f>
        <v>2021</v>
      </c>
    </row>
    <row r="3805" spans="1:17">
      <c r="A3805" t="s">
        <v>4366</v>
      </c>
      <c r="B3805" t="s">
        <v>374</v>
      </c>
      <c r="C3805" t="s">
        <v>102</v>
      </c>
      <c r="D3805" t="s">
        <v>29</v>
      </c>
      <c r="E3805" t="s">
        <v>51</v>
      </c>
      <c r="F3805" t="s">
        <v>22</v>
      </c>
      <c r="G3805" t="s">
        <v>23</v>
      </c>
      <c r="H3805" s="1">
        <v>45101</v>
      </c>
      <c r="I3805" s="2">
        <v>45103.3458333333</v>
      </c>
      <c r="J3805">
        <v>56.3</v>
      </c>
      <c r="K3805" t="s">
        <v>24</v>
      </c>
      <c r="L3805">
        <v>0</v>
      </c>
      <c r="M3805">
        <v>4</v>
      </c>
      <c r="N3805" t="s">
        <v>152</v>
      </c>
      <c r="O3805" s="3" t="str">
        <f>TEXT(Ticket_Table[[#This Row],[raised_date]],"YYYY-MM")</f>
        <v>2023-06</v>
      </c>
      <c r="P3805" s="3" t="str">
        <f>IF(Ticket_Table[[#This Row],[resolution_hrs]]&lt;=4,"Fast",IF(Ticket_Table[[#This Row],[resolution_hrs]]&lt;=24,"Normal",IF(Ticket_Table[[#This Row],[resolution_hrs]]&lt;=48,"Slow","Very Slow")))</f>
        <v>Very Slow</v>
      </c>
      <c r="Q3805" s="3">
        <f>YEAR(Ticket_Table[[#This Row],[raised_date]])</f>
        <v>2023</v>
      </c>
    </row>
    <row r="3806" spans="1:17">
      <c r="A3806" t="s">
        <v>4367</v>
      </c>
      <c r="B3806" t="s">
        <v>776</v>
      </c>
      <c r="C3806" t="s">
        <v>95</v>
      </c>
      <c r="D3806" t="s">
        <v>20</v>
      </c>
      <c r="E3806" t="s">
        <v>106</v>
      </c>
      <c r="F3806" t="s">
        <v>70</v>
      </c>
      <c r="G3806" t="s">
        <v>31</v>
      </c>
      <c r="H3806" s="1">
        <v>44827</v>
      </c>
      <c r="I3806" s="2">
        <v>44828.3375</v>
      </c>
      <c r="J3806">
        <v>32.1</v>
      </c>
      <c r="K3806" t="s">
        <v>24</v>
      </c>
      <c r="L3806">
        <v>2</v>
      </c>
      <c r="M3806">
        <v>4</v>
      </c>
      <c r="N3806" t="s">
        <v>458</v>
      </c>
      <c r="O3806" s="3" t="str">
        <f>TEXT(Ticket_Table[[#This Row],[raised_date]],"YYYY-MM")</f>
        <v>2022-09</v>
      </c>
      <c r="P3806" s="3" t="str">
        <f>IF(Ticket_Table[[#This Row],[resolution_hrs]]&lt;=4,"Fast",IF(Ticket_Table[[#This Row],[resolution_hrs]]&lt;=24,"Normal",IF(Ticket_Table[[#This Row],[resolution_hrs]]&lt;=48,"Slow","Very Slow")))</f>
        <v>Slow</v>
      </c>
      <c r="Q3806" s="3">
        <f>YEAR(Ticket_Table[[#This Row],[raised_date]])</f>
        <v>2022</v>
      </c>
    </row>
    <row r="3807" spans="1:17">
      <c r="A3807" t="s">
        <v>4368</v>
      </c>
      <c r="B3807" t="s">
        <v>1063</v>
      </c>
      <c r="C3807" t="s">
        <v>68</v>
      </c>
      <c r="D3807" t="s">
        <v>36</v>
      </c>
      <c r="E3807" t="s">
        <v>69</v>
      </c>
      <c r="F3807" t="s">
        <v>22</v>
      </c>
      <c r="G3807" t="s">
        <v>46</v>
      </c>
      <c r="H3807" s="1">
        <v>44946</v>
      </c>
      <c r="I3807" s="2">
        <v>44946.4875</v>
      </c>
      <c r="J3807">
        <v>11.7</v>
      </c>
      <c r="K3807" t="s">
        <v>24</v>
      </c>
      <c r="L3807">
        <v>0</v>
      </c>
      <c r="M3807">
        <v>5</v>
      </c>
      <c r="N3807" t="s">
        <v>352</v>
      </c>
      <c r="O3807" s="3" t="str">
        <f>TEXT(Ticket_Table[[#This Row],[raised_date]],"YYYY-MM")</f>
        <v>2023-01</v>
      </c>
      <c r="P3807" s="3" t="str">
        <f>IF(Ticket_Table[[#This Row],[resolution_hrs]]&lt;=4,"Fast",IF(Ticket_Table[[#This Row],[resolution_hrs]]&lt;=24,"Normal",IF(Ticket_Table[[#This Row],[resolution_hrs]]&lt;=48,"Slow","Very Slow")))</f>
        <v>Normal</v>
      </c>
      <c r="Q3807" s="3">
        <f>YEAR(Ticket_Table[[#This Row],[raised_date]])</f>
        <v>2023</v>
      </c>
    </row>
    <row r="3808" spans="1:17">
      <c r="A3808" t="s">
        <v>4369</v>
      </c>
      <c r="B3808" t="s">
        <v>167</v>
      </c>
      <c r="C3808" t="s">
        <v>42</v>
      </c>
      <c r="D3808" t="s">
        <v>90</v>
      </c>
      <c r="E3808" t="s">
        <v>83</v>
      </c>
      <c r="F3808" t="s">
        <v>38</v>
      </c>
      <c r="G3808" t="s">
        <v>31</v>
      </c>
      <c r="H3808" s="1">
        <v>45041</v>
      </c>
      <c r="I3808" s="2">
        <v>45042.2083333333</v>
      </c>
      <c r="J3808">
        <v>29</v>
      </c>
      <c r="K3808" t="s">
        <v>32</v>
      </c>
      <c r="L3808">
        <v>0</v>
      </c>
      <c r="M3808">
        <v>4</v>
      </c>
      <c r="N3808" t="s">
        <v>331</v>
      </c>
      <c r="O3808" s="3" t="str">
        <f>TEXT(Ticket_Table[[#This Row],[raised_date]],"YYYY-MM")</f>
        <v>2023-04</v>
      </c>
      <c r="P3808" s="3" t="str">
        <f>IF(Ticket_Table[[#This Row],[resolution_hrs]]&lt;=4,"Fast",IF(Ticket_Table[[#This Row],[resolution_hrs]]&lt;=24,"Normal",IF(Ticket_Table[[#This Row],[resolution_hrs]]&lt;=48,"Slow","Very Slow")))</f>
        <v>Slow</v>
      </c>
      <c r="Q3808" s="3">
        <f>YEAR(Ticket_Table[[#This Row],[raised_date]])</f>
        <v>2023</v>
      </c>
    </row>
    <row r="3809" spans="1:17">
      <c r="A3809" t="s">
        <v>4370</v>
      </c>
      <c r="B3809" t="s">
        <v>376</v>
      </c>
      <c r="C3809" t="s">
        <v>55</v>
      </c>
      <c r="D3809" t="s">
        <v>90</v>
      </c>
      <c r="E3809" t="s">
        <v>44</v>
      </c>
      <c r="F3809" t="s">
        <v>22</v>
      </c>
      <c r="G3809" t="s">
        <v>23</v>
      </c>
      <c r="H3809" s="1">
        <v>44729</v>
      </c>
      <c r="I3809" s="2">
        <v>44731.2916666667</v>
      </c>
      <c r="J3809">
        <v>55</v>
      </c>
      <c r="K3809" t="s">
        <v>24</v>
      </c>
      <c r="L3809">
        <v>2</v>
      </c>
      <c r="M3809">
        <v>5</v>
      </c>
      <c r="N3809" t="s">
        <v>253</v>
      </c>
      <c r="O3809" s="3" t="str">
        <f>TEXT(Ticket_Table[[#This Row],[raised_date]],"YYYY-MM")</f>
        <v>2022-06</v>
      </c>
      <c r="P3809" s="3" t="str">
        <f>IF(Ticket_Table[[#This Row],[resolution_hrs]]&lt;=4,"Fast",IF(Ticket_Table[[#This Row],[resolution_hrs]]&lt;=24,"Normal",IF(Ticket_Table[[#This Row],[resolution_hrs]]&lt;=48,"Slow","Very Slow")))</f>
        <v>Very Slow</v>
      </c>
      <c r="Q3809" s="3">
        <f>YEAR(Ticket_Table[[#This Row],[raised_date]])</f>
        <v>2022</v>
      </c>
    </row>
    <row r="3810" spans="1:17">
      <c r="A3810" t="s">
        <v>4371</v>
      </c>
      <c r="B3810" t="s">
        <v>646</v>
      </c>
      <c r="C3810" t="s">
        <v>201</v>
      </c>
      <c r="D3810" t="s">
        <v>20</v>
      </c>
      <c r="E3810" t="s">
        <v>37</v>
      </c>
      <c r="F3810" t="s">
        <v>38</v>
      </c>
      <c r="G3810" t="s">
        <v>46</v>
      </c>
      <c r="H3810" s="1">
        <v>44515</v>
      </c>
      <c r="I3810" s="2">
        <v>44515.9625</v>
      </c>
      <c r="J3810">
        <v>23.1</v>
      </c>
      <c r="K3810" t="s">
        <v>24</v>
      </c>
      <c r="L3810">
        <v>1</v>
      </c>
      <c r="M3810">
        <v>5</v>
      </c>
      <c r="N3810" t="s">
        <v>595</v>
      </c>
      <c r="O3810" s="3" t="str">
        <f>TEXT(Ticket_Table[[#This Row],[raised_date]],"YYYY-MM")</f>
        <v>2021-11</v>
      </c>
      <c r="P3810" s="3" t="str">
        <f>IF(Ticket_Table[[#This Row],[resolution_hrs]]&lt;=4,"Fast",IF(Ticket_Table[[#This Row],[resolution_hrs]]&lt;=24,"Normal",IF(Ticket_Table[[#This Row],[resolution_hrs]]&lt;=48,"Slow","Very Slow")))</f>
        <v>Normal</v>
      </c>
      <c r="Q3810" s="3">
        <f>YEAR(Ticket_Table[[#This Row],[raised_date]])</f>
        <v>2021</v>
      </c>
    </row>
    <row r="3811" spans="1:17">
      <c r="A3811" t="s">
        <v>4372</v>
      </c>
      <c r="B3811" t="s">
        <v>491</v>
      </c>
      <c r="C3811" t="s">
        <v>213</v>
      </c>
      <c r="D3811" t="s">
        <v>20</v>
      </c>
      <c r="E3811" t="s">
        <v>69</v>
      </c>
      <c r="F3811" t="s">
        <v>38</v>
      </c>
      <c r="G3811" t="s">
        <v>23</v>
      </c>
      <c r="H3811" s="1">
        <v>44818</v>
      </c>
      <c r="I3811" s="2">
        <v>44819.1833333333</v>
      </c>
      <c r="J3811">
        <v>28.4</v>
      </c>
      <c r="K3811" t="s">
        <v>32</v>
      </c>
      <c r="L3811">
        <v>1</v>
      </c>
      <c r="M3811">
        <v>4</v>
      </c>
      <c r="N3811" t="s">
        <v>1191</v>
      </c>
      <c r="O3811" s="3" t="str">
        <f>TEXT(Ticket_Table[[#This Row],[raised_date]],"YYYY-MM")</f>
        <v>2022-09</v>
      </c>
      <c r="P3811" s="3" t="str">
        <f>IF(Ticket_Table[[#This Row],[resolution_hrs]]&lt;=4,"Fast",IF(Ticket_Table[[#This Row],[resolution_hrs]]&lt;=24,"Normal",IF(Ticket_Table[[#This Row],[resolution_hrs]]&lt;=48,"Slow","Very Slow")))</f>
        <v>Slow</v>
      </c>
      <c r="Q3811" s="3">
        <f>YEAR(Ticket_Table[[#This Row],[raised_date]])</f>
        <v>2022</v>
      </c>
    </row>
    <row r="3812" spans="1:17">
      <c r="A3812" t="s">
        <v>4373</v>
      </c>
      <c r="B3812" t="s">
        <v>264</v>
      </c>
      <c r="C3812" t="s">
        <v>140</v>
      </c>
      <c r="D3812" t="s">
        <v>90</v>
      </c>
      <c r="E3812" t="s">
        <v>56</v>
      </c>
      <c r="F3812" t="s">
        <v>22</v>
      </c>
      <c r="G3812" t="s">
        <v>46</v>
      </c>
      <c r="H3812" s="1">
        <v>44218</v>
      </c>
      <c r="I3812" s="2">
        <v>44221.8</v>
      </c>
      <c r="J3812">
        <v>91.2</v>
      </c>
      <c r="K3812" t="s">
        <v>32</v>
      </c>
      <c r="L3812">
        <v>0</v>
      </c>
      <c r="M3812">
        <v>3</v>
      </c>
      <c r="N3812" t="s">
        <v>176</v>
      </c>
      <c r="O3812" s="3" t="str">
        <f>TEXT(Ticket_Table[[#This Row],[raised_date]],"YYYY-MM")</f>
        <v>2021-01</v>
      </c>
      <c r="P3812" s="3" t="str">
        <f>IF(Ticket_Table[[#This Row],[resolution_hrs]]&lt;=4,"Fast",IF(Ticket_Table[[#This Row],[resolution_hrs]]&lt;=24,"Normal",IF(Ticket_Table[[#This Row],[resolution_hrs]]&lt;=48,"Slow","Very Slow")))</f>
        <v>Very Slow</v>
      </c>
      <c r="Q3812" s="3">
        <f>YEAR(Ticket_Table[[#This Row],[raised_date]])</f>
        <v>2021</v>
      </c>
    </row>
    <row r="3813" spans="1:17">
      <c r="A3813" t="s">
        <v>4374</v>
      </c>
      <c r="B3813" t="s">
        <v>148</v>
      </c>
      <c r="C3813" t="s">
        <v>133</v>
      </c>
      <c r="D3813" t="s">
        <v>43</v>
      </c>
      <c r="E3813" t="s">
        <v>166</v>
      </c>
      <c r="F3813" t="s">
        <v>70</v>
      </c>
      <c r="G3813" t="s">
        <v>31</v>
      </c>
      <c r="H3813" s="1">
        <v>44197</v>
      </c>
      <c r="I3813" s="2">
        <v>44198.8958333333</v>
      </c>
      <c r="J3813">
        <v>45.5</v>
      </c>
      <c r="K3813" t="s">
        <v>24</v>
      </c>
      <c r="L3813">
        <v>1</v>
      </c>
      <c r="M3813">
        <v>4</v>
      </c>
      <c r="N3813" t="s">
        <v>132</v>
      </c>
      <c r="O3813" s="3" t="str">
        <f>TEXT(Ticket_Table[[#This Row],[raised_date]],"YYYY-MM")</f>
        <v>2021-01</v>
      </c>
      <c r="P3813" s="3" t="str">
        <f>IF(Ticket_Table[[#This Row],[resolution_hrs]]&lt;=4,"Fast",IF(Ticket_Table[[#This Row],[resolution_hrs]]&lt;=24,"Normal",IF(Ticket_Table[[#This Row],[resolution_hrs]]&lt;=48,"Slow","Very Slow")))</f>
        <v>Slow</v>
      </c>
      <c r="Q3813" s="3">
        <f>YEAR(Ticket_Table[[#This Row],[raised_date]])</f>
        <v>2021</v>
      </c>
    </row>
    <row r="3814" spans="1:17">
      <c r="A3814" t="s">
        <v>4375</v>
      </c>
      <c r="B3814" t="s">
        <v>676</v>
      </c>
      <c r="C3814" t="s">
        <v>78</v>
      </c>
      <c r="D3814" t="s">
        <v>43</v>
      </c>
      <c r="E3814" t="s">
        <v>44</v>
      </c>
      <c r="F3814" t="s">
        <v>22</v>
      </c>
      <c r="G3814" t="s">
        <v>23</v>
      </c>
      <c r="H3814" s="1">
        <v>45268</v>
      </c>
      <c r="I3814" s="2">
        <v>45269.2</v>
      </c>
      <c r="J3814">
        <v>28.8</v>
      </c>
      <c r="K3814" t="s">
        <v>24</v>
      </c>
      <c r="L3814">
        <v>0</v>
      </c>
      <c r="M3814">
        <v>3</v>
      </c>
      <c r="N3814" t="s">
        <v>512</v>
      </c>
      <c r="O3814" s="3" t="str">
        <f>TEXT(Ticket_Table[[#This Row],[raised_date]],"YYYY-MM")</f>
        <v>2023-12</v>
      </c>
      <c r="P3814" s="3" t="str">
        <f>IF(Ticket_Table[[#This Row],[resolution_hrs]]&lt;=4,"Fast",IF(Ticket_Table[[#This Row],[resolution_hrs]]&lt;=24,"Normal",IF(Ticket_Table[[#This Row],[resolution_hrs]]&lt;=48,"Slow","Very Slow")))</f>
        <v>Slow</v>
      </c>
      <c r="Q3814" s="3">
        <f>YEAR(Ticket_Table[[#This Row],[raised_date]])</f>
        <v>2023</v>
      </c>
    </row>
    <row r="3815" spans="1:17">
      <c r="A3815" t="s">
        <v>4376</v>
      </c>
      <c r="B3815" t="s">
        <v>253</v>
      </c>
      <c r="C3815" t="s">
        <v>117</v>
      </c>
      <c r="D3815" t="s">
        <v>36</v>
      </c>
      <c r="E3815" t="s">
        <v>56</v>
      </c>
      <c r="F3815" t="s">
        <v>70</v>
      </c>
      <c r="G3815" t="s">
        <v>46</v>
      </c>
      <c r="H3815" s="1">
        <v>44476</v>
      </c>
      <c r="I3815" s="2">
        <v>44477.6791666667</v>
      </c>
      <c r="J3815">
        <v>40.3</v>
      </c>
      <c r="K3815" t="s">
        <v>24</v>
      </c>
      <c r="L3815">
        <v>0</v>
      </c>
      <c r="M3815">
        <v>2</v>
      </c>
      <c r="N3815" t="s">
        <v>79</v>
      </c>
      <c r="O3815" s="3" t="str">
        <f>TEXT(Ticket_Table[[#This Row],[raised_date]],"YYYY-MM")</f>
        <v>2021-10</v>
      </c>
      <c r="P3815" s="3" t="str">
        <f>IF(Ticket_Table[[#This Row],[resolution_hrs]]&lt;=4,"Fast",IF(Ticket_Table[[#This Row],[resolution_hrs]]&lt;=24,"Normal",IF(Ticket_Table[[#This Row],[resolution_hrs]]&lt;=48,"Slow","Very Slow")))</f>
        <v>Slow</v>
      </c>
      <c r="Q3815" s="3">
        <f>YEAR(Ticket_Table[[#This Row],[raised_date]])</f>
        <v>2021</v>
      </c>
    </row>
    <row r="3816" spans="1:17">
      <c r="A3816" t="s">
        <v>4377</v>
      </c>
      <c r="B3816" t="s">
        <v>710</v>
      </c>
      <c r="C3816" t="s">
        <v>82</v>
      </c>
      <c r="D3816" t="s">
        <v>90</v>
      </c>
      <c r="E3816" t="s">
        <v>37</v>
      </c>
      <c r="F3816" t="s">
        <v>38</v>
      </c>
      <c r="G3816" t="s">
        <v>31</v>
      </c>
      <c r="H3816" s="1">
        <v>44901</v>
      </c>
      <c r="I3816" s="2">
        <v>44902.425</v>
      </c>
      <c r="J3816">
        <v>34.2</v>
      </c>
      <c r="K3816" t="s">
        <v>32</v>
      </c>
      <c r="L3816">
        <v>0</v>
      </c>
      <c r="M3816">
        <v>4</v>
      </c>
      <c r="N3816" t="s">
        <v>327</v>
      </c>
      <c r="O3816" s="3" t="str">
        <f>TEXT(Ticket_Table[[#This Row],[raised_date]],"YYYY-MM")</f>
        <v>2022-12</v>
      </c>
      <c r="P3816" s="3" t="str">
        <f>IF(Ticket_Table[[#This Row],[resolution_hrs]]&lt;=4,"Fast",IF(Ticket_Table[[#This Row],[resolution_hrs]]&lt;=24,"Normal",IF(Ticket_Table[[#This Row],[resolution_hrs]]&lt;=48,"Slow","Very Slow")))</f>
        <v>Slow</v>
      </c>
      <c r="Q3816" s="3">
        <f>YEAR(Ticket_Table[[#This Row],[raised_date]])</f>
        <v>2022</v>
      </c>
    </row>
    <row r="3817" spans="1:17">
      <c r="A3817" t="s">
        <v>4378</v>
      </c>
      <c r="B3817" t="s">
        <v>112</v>
      </c>
      <c r="C3817" t="s">
        <v>78</v>
      </c>
      <c r="D3817" t="s">
        <v>90</v>
      </c>
      <c r="E3817" t="s">
        <v>44</v>
      </c>
      <c r="F3817" t="s">
        <v>38</v>
      </c>
      <c r="G3817" t="s">
        <v>31</v>
      </c>
      <c r="H3817" s="1">
        <v>44784</v>
      </c>
      <c r="I3817" s="2">
        <v>44784.3375</v>
      </c>
      <c r="J3817">
        <v>8.1</v>
      </c>
      <c r="K3817" t="s">
        <v>24</v>
      </c>
      <c r="L3817">
        <v>1</v>
      </c>
      <c r="M3817">
        <v>5</v>
      </c>
      <c r="N3817" t="s">
        <v>542</v>
      </c>
      <c r="O3817" s="3" t="str">
        <f>TEXT(Ticket_Table[[#This Row],[raised_date]],"YYYY-MM")</f>
        <v>2022-08</v>
      </c>
      <c r="P3817" s="3" t="str">
        <f>IF(Ticket_Table[[#This Row],[resolution_hrs]]&lt;=4,"Fast",IF(Ticket_Table[[#This Row],[resolution_hrs]]&lt;=24,"Normal",IF(Ticket_Table[[#This Row],[resolution_hrs]]&lt;=48,"Slow","Very Slow")))</f>
        <v>Normal</v>
      </c>
      <c r="Q3817" s="3">
        <f>YEAR(Ticket_Table[[#This Row],[raised_date]])</f>
        <v>2022</v>
      </c>
    </row>
    <row r="3818" spans="1:17">
      <c r="A3818" t="s">
        <v>4379</v>
      </c>
      <c r="B3818" t="s">
        <v>608</v>
      </c>
      <c r="C3818" t="s">
        <v>82</v>
      </c>
      <c r="D3818" t="s">
        <v>90</v>
      </c>
      <c r="E3818" t="s">
        <v>83</v>
      </c>
      <c r="F3818" t="s">
        <v>70</v>
      </c>
      <c r="G3818" t="s">
        <v>23</v>
      </c>
      <c r="H3818" s="1">
        <v>45157</v>
      </c>
      <c r="I3818" s="2">
        <v>45157.3166666667</v>
      </c>
      <c r="J3818">
        <v>7.6</v>
      </c>
      <c r="K3818" t="s">
        <v>24</v>
      </c>
      <c r="L3818">
        <v>0</v>
      </c>
      <c r="M3818">
        <v>4</v>
      </c>
      <c r="N3818" t="s">
        <v>703</v>
      </c>
      <c r="O3818" s="3" t="str">
        <f>TEXT(Ticket_Table[[#This Row],[raised_date]],"YYYY-MM")</f>
        <v>2023-08</v>
      </c>
      <c r="P3818" s="3" t="str">
        <f>IF(Ticket_Table[[#This Row],[resolution_hrs]]&lt;=4,"Fast",IF(Ticket_Table[[#This Row],[resolution_hrs]]&lt;=24,"Normal",IF(Ticket_Table[[#This Row],[resolution_hrs]]&lt;=48,"Slow","Very Slow")))</f>
        <v>Normal</v>
      </c>
      <c r="Q3818" s="3">
        <f>YEAR(Ticket_Table[[#This Row],[raised_date]])</f>
        <v>2023</v>
      </c>
    </row>
    <row r="3819" spans="1:17">
      <c r="A3819" t="s">
        <v>4380</v>
      </c>
      <c r="B3819" t="s">
        <v>235</v>
      </c>
      <c r="C3819" t="s">
        <v>117</v>
      </c>
      <c r="D3819" t="s">
        <v>90</v>
      </c>
      <c r="E3819" t="s">
        <v>44</v>
      </c>
      <c r="F3819" t="s">
        <v>22</v>
      </c>
      <c r="G3819" t="s">
        <v>23</v>
      </c>
      <c r="H3819" s="1">
        <v>45292</v>
      </c>
      <c r="I3819" s="2">
        <v>45293.9916666667</v>
      </c>
      <c r="J3819">
        <v>47.8</v>
      </c>
      <c r="K3819" t="s">
        <v>24</v>
      </c>
      <c r="L3819">
        <v>0</v>
      </c>
      <c r="M3819">
        <v>3</v>
      </c>
      <c r="N3819" t="s">
        <v>523</v>
      </c>
      <c r="O3819" s="3" t="str">
        <f>TEXT(Ticket_Table[[#This Row],[raised_date]],"YYYY-MM")</f>
        <v>2024-01</v>
      </c>
      <c r="P3819" s="3" t="str">
        <f>IF(Ticket_Table[[#This Row],[resolution_hrs]]&lt;=4,"Fast",IF(Ticket_Table[[#This Row],[resolution_hrs]]&lt;=24,"Normal",IF(Ticket_Table[[#This Row],[resolution_hrs]]&lt;=48,"Slow","Very Slow")))</f>
        <v>Slow</v>
      </c>
      <c r="Q3819" s="3">
        <f>YEAR(Ticket_Table[[#This Row],[raised_date]])</f>
        <v>2024</v>
      </c>
    </row>
    <row r="3820" spans="1:17">
      <c r="A3820" t="s">
        <v>4381</v>
      </c>
      <c r="B3820" t="s">
        <v>744</v>
      </c>
      <c r="C3820" t="s">
        <v>64</v>
      </c>
      <c r="D3820" t="s">
        <v>20</v>
      </c>
      <c r="E3820" t="s">
        <v>37</v>
      </c>
      <c r="F3820" t="s">
        <v>70</v>
      </c>
      <c r="G3820" t="s">
        <v>46</v>
      </c>
      <c r="H3820" s="1">
        <v>44214</v>
      </c>
      <c r="I3820" s="2">
        <v>44215.9041666667</v>
      </c>
      <c r="J3820">
        <v>45.7</v>
      </c>
      <c r="K3820" t="s">
        <v>24</v>
      </c>
      <c r="L3820">
        <v>0</v>
      </c>
      <c r="M3820">
        <v>4</v>
      </c>
      <c r="N3820" t="s">
        <v>794</v>
      </c>
      <c r="O3820" s="3" t="str">
        <f>TEXT(Ticket_Table[[#This Row],[raised_date]],"YYYY-MM")</f>
        <v>2021-01</v>
      </c>
      <c r="P3820" s="3" t="str">
        <f>IF(Ticket_Table[[#This Row],[resolution_hrs]]&lt;=4,"Fast",IF(Ticket_Table[[#This Row],[resolution_hrs]]&lt;=24,"Normal",IF(Ticket_Table[[#This Row],[resolution_hrs]]&lt;=48,"Slow","Very Slow")))</f>
        <v>Slow</v>
      </c>
      <c r="Q3820" s="3">
        <f>YEAR(Ticket_Table[[#This Row],[raised_date]])</f>
        <v>2021</v>
      </c>
    </row>
    <row r="3821" spans="1:17">
      <c r="A3821" t="s">
        <v>4382</v>
      </c>
      <c r="B3821" t="s">
        <v>640</v>
      </c>
      <c r="C3821" t="s">
        <v>287</v>
      </c>
      <c r="D3821" t="s">
        <v>29</v>
      </c>
      <c r="E3821" t="s">
        <v>44</v>
      </c>
      <c r="F3821" t="s">
        <v>22</v>
      </c>
      <c r="G3821" t="s">
        <v>31</v>
      </c>
      <c r="H3821" s="1">
        <v>45204</v>
      </c>
      <c r="I3821" s="2">
        <v>45206.6875</v>
      </c>
      <c r="J3821">
        <v>64.5</v>
      </c>
      <c r="K3821" t="s">
        <v>24</v>
      </c>
      <c r="L3821">
        <v>0</v>
      </c>
      <c r="M3821">
        <v>3</v>
      </c>
      <c r="N3821" t="s">
        <v>138</v>
      </c>
      <c r="O3821" s="3" t="str">
        <f>TEXT(Ticket_Table[[#This Row],[raised_date]],"YYYY-MM")</f>
        <v>2023-10</v>
      </c>
      <c r="P3821" s="3" t="str">
        <f>IF(Ticket_Table[[#This Row],[resolution_hrs]]&lt;=4,"Fast",IF(Ticket_Table[[#This Row],[resolution_hrs]]&lt;=24,"Normal",IF(Ticket_Table[[#This Row],[resolution_hrs]]&lt;=48,"Slow","Very Slow")))</f>
        <v>Very Slow</v>
      </c>
      <c r="Q3821" s="3">
        <f>YEAR(Ticket_Table[[#This Row],[raised_date]])</f>
        <v>2023</v>
      </c>
    </row>
    <row r="3822" spans="1:17">
      <c r="A3822" t="s">
        <v>4383</v>
      </c>
      <c r="B3822" t="s">
        <v>223</v>
      </c>
      <c r="C3822" t="s">
        <v>55</v>
      </c>
      <c r="D3822" t="s">
        <v>90</v>
      </c>
      <c r="E3822" t="s">
        <v>51</v>
      </c>
      <c r="F3822" t="s">
        <v>38</v>
      </c>
      <c r="G3822" t="s">
        <v>31</v>
      </c>
      <c r="H3822" s="1">
        <v>45174</v>
      </c>
      <c r="I3822" s="2">
        <v>45174.0833333333</v>
      </c>
      <c r="J3822">
        <v>2</v>
      </c>
      <c r="K3822" t="s">
        <v>24</v>
      </c>
      <c r="L3822">
        <v>0</v>
      </c>
      <c r="M3822">
        <v>3</v>
      </c>
      <c r="N3822" t="s">
        <v>145</v>
      </c>
      <c r="O3822" s="3" t="str">
        <f>TEXT(Ticket_Table[[#This Row],[raised_date]],"YYYY-MM")</f>
        <v>2023-09</v>
      </c>
      <c r="P3822" s="3" t="str">
        <f>IF(Ticket_Table[[#This Row],[resolution_hrs]]&lt;=4,"Fast",IF(Ticket_Table[[#This Row],[resolution_hrs]]&lt;=24,"Normal",IF(Ticket_Table[[#This Row],[resolution_hrs]]&lt;=48,"Slow","Very Slow")))</f>
        <v>Fast</v>
      </c>
      <c r="Q3822" s="3">
        <f>YEAR(Ticket_Table[[#This Row],[raised_date]])</f>
        <v>2023</v>
      </c>
    </row>
    <row r="3823" spans="1:17">
      <c r="A3823" t="s">
        <v>4384</v>
      </c>
      <c r="B3823" t="s">
        <v>627</v>
      </c>
      <c r="C3823" t="s">
        <v>213</v>
      </c>
      <c r="D3823" t="s">
        <v>29</v>
      </c>
      <c r="E3823" t="s">
        <v>30</v>
      </c>
      <c r="F3823" t="s">
        <v>70</v>
      </c>
      <c r="G3823" t="s">
        <v>46</v>
      </c>
      <c r="H3823" s="1">
        <v>44810</v>
      </c>
      <c r="I3823" s="2">
        <v>44812.1333333333</v>
      </c>
      <c r="J3823">
        <v>51.2</v>
      </c>
      <c r="K3823" t="s">
        <v>32</v>
      </c>
      <c r="L3823">
        <v>0</v>
      </c>
      <c r="M3823">
        <v>4</v>
      </c>
      <c r="N3823" t="s">
        <v>47</v>
      </c>
      <c r="O3823" s="3" t="str">
        <f>TEXT(Ticket_Table[[#This Row],[raised_date]],"YYYY-MM")</f>
        <v>2022-09</v>
      </c>
      <c r="P3823" s="3" t="str">
        <f>IF(Ticket_Table[[#This Row],[resolution_hrs]]&lt;=4,"Fast",IF(Ticket_Table[[#This Row],[resolution_hrs]]&lt;=24,"Normal",IF(Ticket_Table[[#This Row],[resolution_hrs]]&lt;=48,"Slow","Very Slow")))</f>
        <v>Very Slow</v>
      </c>
      <c r="Q3823" s="3">
        <f>YEAR(Ticket_Table[[#This Row],[raised_date]])</f>
        <v>2022</v>
      </c>
    </row>
    <row r="3824" spans="1:17">
      <c r="A3824" t="s">
        <v>4385</v>
      </c>
      <c r="B3824" t="s">
        <v>985</v>
      </c>
      <c r="C3824" t="s">
        <v>64</v>
      </c>
      <c r="D3824" t="s">
        <v>43</v>
      </c>
      <c r="E3824" t="s">
        <v>56</v>
      </c>
      <c r="F3824" t="s">
        <v>38</v>
      </c>
      <c r="G3824" t="s">
        <v>23</v>
      </c>
      <c r="H3824" s="1">
        <v>44215</v>
      </c>
      <c r="I3824" s="2">
        <v>44216.3833333333</v>
      </c>
      <c r="J3824">
        <v>33.2</v>
      </c>
      <c r="K3824" t="s">
        <v>32</v>
      </c>
      <c r="L3824">
        <v>1</v>
      </c>
      <c r="M3824">
        <v>3</v>
      </c>
      <c r="N3824" t="s">
        <v>656</v>
      </c>
      <c r="O3824" s="3" t="str">
        <f>TEXT(Ticket_Table[[#This Row],[raised_date]],"YYYY-MM")</f>
        <v>2021-01</v>
      </c>
      <c r="P3824" s="3" t="str">
        <f>IF(Ticket_Table[[#This Row],[resolution_hrs]]&lt;=4,"Fast",IF(Ticket_Table[[#This Row],[resolution_hrs]]&lt;=24,"Normal",IF(Ticket_Table[[#This Row],[resolution_hrs]]&lt;=48,"Slow","Very Slow")))</f>
        <v>Slow</v>
      </c>
      <c r="Q3824" s="3">
        <f>YEAR(Ticket_Table[[#This Row],[raised_date]])</f>
        <v>2021</v>
      </c>
    </row>
    <row r="3825" spans="1:17">
      <c r="A3825" t="s">
        <v>4386</v>
      </c>
      <c r="B3825" t="s">
        <v>423</v>
      </c>
      <c r="C3825" t="s">
        <v>68</v>
      </c>
      <c r="D3825" t="s">
        <v>36</v>
      </c>
      <c r="E3825" t="s">
        <v>106</v>
      </c>
      <c r="F3825" t="s">
        <v>22</v>
      </c>
      <c r="G3825" t="s">
        <v>23</v>
      </c>
      <c r="H3825" s="1">
        <v>45078</v>
      </c>
      <c r="I3825" s="2">
        <v>45078.3916666667</v>
      </c>
      <c r="J3825">
        <v>9.4</v>
      </c>
      <c r="K3825" t="s">
        <v>24</v>
      </c>
      <c r="L3825">
        <v>0</v>
      </c>
      <c r="M3825">
        <v>3</v>
      </c>
      <c r="N3825" t="s">
        <v>320</v>
      </c>
      <c r="O3825" s="3" t="str">
        <f>TEXT(Ticket_Table[[#This Row],[raised_date]],"YYYY-MM")</f>
        <v>2023-06</v>
      </c>
      <c r="P3825" s="3" t="str">
        <f>IF(Ticket_Table[[#This Row],[resolution_hrs]]&lt;=4,"Fast",IF(Ticket_Table[[#This Row],[resolution_hrs]]&lt;=24,"Normal",IF(Ticket_Table[[#This Row],[resolution_hrs]]&lt;=48,"Slow","Very Slow")))</f>
        <v>Normal</v>
      </c>
      <c r="Q3825" s="3">
        <f>YEAR(Ticket_Table[[#This Row],[raised_date]])</f>
        <v>2023</v>
      </c>
    </row>
    <row r="3826" spans="1:17">
      <c r="A3826" t="s">
        <v>4387</v>
      </c>
      <c r="B3826" t="s">
        <v>94</v>
      </c>
      <c r="C3826" t="s">
        <v>201</v>
      </c>
      <c r="D3826" t="s">
        <v>43</v>
      </c>
      <c r="E3826" t="s">
        <v>30</v>
      </c>
      <c r="F3826" t="s">
        <v>70</v>
      </c>
      <c r="G3826" t="s">
        <v>23</v>
      </c>
      <c r="H3826" s="1">
        <v>44796</v>
      </c>
      <c r="I3826" s="2">
        <v>44797.175</v>
      </c>
      <c r="J3826">
        <v>28.2</v>
      </c>
      <c r="K3826" t="s">
        <v>24</v>
      </c>
      <c r="L3826">
        <v>1</v>
      </c>
      <c r="M3826">
        <v>5</v>
      </c>
      <c r="N3826" t="s">
        <v>696</v>
      </c>
      <c r="O3826" s="3" t="str">
        <f>TEXT(Ticket_Table[[#This Row],[raised_date]],"YYYY-MM")</f>
        <v>2022-08</v>
      </c>
      <c r="P3826" s="3" t="str">
        <f>IF(Ticket_Table[[#This Row],[resolution_hrs]]&lt;=4,"Fast",IF(Ticket_Table[[#This Row],[resolution_hrs]]&lt;=24,"Normal",IF(Ticket_Table[[#This Row],[resolution_hrs]]&lt;=48,"Slow","Very Slow")))</f>
        <v>Slow</v>
      </c>
      <c r="Q3826" s="3">
        <f>YEAR(Ticket_Table[[#This Row],[raised_date]])</f>
        <v>2022</v>
      </c>
    </row>
    <row r="3827" spans="1:17">
      <c r="A3827" t="s">
        <v>4388</v>
      </c>
      <c r="B3827" t="s">
        <v>937</v>
      </c>
      <c r="C3827" t="s">
        <v>82</v>
      </c>
      <c r="D3827" t="s">
        <v>90</v>
      </c>
      <c r="E3827" t="s">
        <v>37</v>
      </c>
      <c r="F3827" t="s">
        <v>70</v>
      </c>
      <c r="G3827" t="s">
        <v>31</v>
      </c>
      <c r="H3827" s="1">
        <v>44670</v>
      </c>
      <c r="I3827" s="2">
        <v>44672.2375</v>
      </c>
      <c r="J3827">
        <v>53.7</v>
      </c>
      <c r="K3827" t="s">
        <v>32</v>
      </c>
      <c r="L3827">
        <v>0</v>
      </c>
      <c r="M3827">
        <v>4</v>
      </c>
      <c r="N3827" t="s">
        <v>347</v>
      </c>
      <c r="O3827" s="3" t="str">
        <f>TEXT(Ticket_Table[[#This Row],[raised_date]],"YYYY-MM")</f>
        <v>2022-04</v>
      </c>
      <c r="P3827" s="3" t="str">
        <f>IF(Ticket_Table[[#This Row],[resolution_hrs]]&lt;=4,"Fast",IF(Ticket_Table[[#This Row],[resolution_hrs]]&lt;=24,"Normal",IF(Ticket_Table[[#This Row],[resolution_hrs]]&lt;=48,"Slow","Very Slow")))</f>
        <v>Very Slow</v>
      </c>
      <c r="Q3827" s="3">
        <f>YEAR(Ticket_Table[[#This Row],[raised_date]])</f>
        <v>2022</v>
      </c>
    </row>
    <row r="3828" spans="1:17">
      <c r="A3828" t="s">
        <v>4389</v>
      </c>
      <c r="B3828" t="s">
        <v>708</v>
      </c>
      <c r="C3828" t="s">
        <v>117</v>
      </c>
      <c r="D3828" t="s">
        <v>43</v>
      </c>
      <c r="E3828" t="s">
        <v>69</v>
      </c>
      <c r="F3828" t="s">
        <v>22</v>
      </c>
      <c r="G3828" t="s">
        <v>74</v>
      </c>
      <c r="H3828" s="1">
        <v>44211</v>
      </c>
      <c r="I3828" s="2">
        <v>44211.625</v>
      </c>
      <c r="J3828">
        <v>15</v>
      </c>
      <c r="K3828" t="s">
        <v>24</v>
      </c>
      <c r="L3828">
        <v>0</v>
      </c>
      <c r="M3828">
        <v>2</v>
      </c>
      <c r="N3828" t="s">
        <v>96</v>
      </c>
      <c r="O3828" s="3" t="str">
        <f>TEXT(Ticket_Table[[#This Row],[raised_date]],"YYYY-MM")</f>
        <v>2021-01</v>
      </c>
      <c r="P3828" s="3" t="str">
        <f>IF(Ticket_Table[[#This Row],[resolution_hrs]]&lt;=4,"Fast",IF(Ticket_Table[[#This Row],[resolution_hrs]]&lt;=24,"Normal",IF(Ticket_Table[[#This Row],[resolution_hrs]]&lt;=48,"Slow","Very Slow")))</f>
        <v>Normal</v>
      </c>
      <c r="Q3828" s="3">
        <f>YEAR(Ticket_Table[[#This Row],[raised_date]])</f>
        <v>2021</v>
      </c>
    </row>
    <row r="3829" spans="1:17">
      <c r="A3829" t="s">
        <v>4390</v>
      </c>
      <c r="B3829" t="s">
        <v>334</v>
      </c>
      <c r="C3829" t="s">
        <v>60</v>
      </c>
      <c r="D3829" t="s">
        <v>20</v>
      </c>
      <c r="E3829" t="s">
        <v>51</v>
      </c>
      <c r="F3829" t="s">
        <v>70</v>
      </c>
      <c r="G3829" t="s">
        <v>46</v>
      </c>
      <c r="H3829" s="1">
        <v>44962</v>
      </c>
      <c r="I3829" s="2">
        <v>44963.3833333333</v>
      </c>
      <c r="J3829">
        <v>33.2</v>
      </c>
      <c r="K3829" t="s">
        <v>24</v>
      </c>
      <c r="L3829">
        <v>0</v>
      </c>
      <c r="M3829">
        <v>4</v>
      </c>
      <c r="N3829" t="s">
        <v>566</v>
      </c>
      <c r="O3829" s="3" t="str">
        <f>TEXT(Ticket_Table[[#This Row],[raised_date]],"YYYY-MM")</f>
        <v>2023-02</v>
      </c>
      <c r="P3829" s="3" t="str">
        <f>IF(Ticket_Table[[#This Row],[resolution_hrs]]&lt;=4,"Fast",IF(Ticket_Table[[#This Row],[resolution_hrs]]&lt;=24,"Normal",IF(Ticket_Table[[#This Row],[resolution_hrs]]&lt;=48,"Slow","Very Slow")))</f>
        <v>Slow</v>
      </c>
      <c r="Q3829" s="3">
        <f>YEAR(Ticket_Table[[#This Row],[raised_date]])</f>
        <v>2023</v>
      </c>
    </row>
    <row r="3830" spans="1:17">
      <c r="A3830" t="s">
        <v>4391</v>
      </c>
      <c r="B3830" t="s">
        <v>733</v>
      </c>
      <c r="C3830" t="s">
        <v>82</v>
      </c>
      <c r="D3830" t="s">
        <v>29</v>
      </c>
      <c r="E3830" t="s">
        <v>56</v>
      </c>
      <c r="F3830" t="s">
        <v>38</v>
      </c>
      <c r="G3830" t="s">
        <v>74</v>
      </c>
      <c r="H3830" s="1">
        <v>44583</v>
      </c>
      <c r="I3830" s="2">
        <v>44583.9625</v>
      </c>
      <c r="J3830">
        <v>23.1</v>
      </c>
      <c r="K3830" t="s">
        <v>24</v>
      </c>
      <c r="L3830">
        <v>1</v>
      </c>
      <c r="M3830">
        <v>2</v>
      </c>
      <c r="N3830" t="s">
        <v>544</v>
      </c>
      <c r="O3830" s="3" t="str">
        <f>TEXT(Ticket_Table[[#This Row],[raised_date]],"YYYY-MM")</f>
        <v>2022-01</v>
      </c>
      <c r="P3830" s="3" t="str">
        <f>IF(Ticket_Table[[#This Row],[resolution_hrs]]&lt;=4,"Fast",IF(Ticket_Table[[#This Row],[resolution_hrs]]&lt;=24,"Normal",IF(Ticket_Table[[#This Row],[resolution_hrs]]&lt;=48,"Slow","Very Slow")))</f>
        <v>Normal</v>
      </c>
      <c r="Q3830" s="3">
        <f>YEAR(Ticket_Table[[#This Row],[raised_date]])</f>
        <v>2022</v>
      </c>
    </row>
    <row r="3831" spans="1:17">
      <c r="A3831" t="s">
        <v>4392</v>
      </c>
      <c r="B3831" t="s">
        <v>653</v>
      </c>
      <c r="C3831" t="s">
        <v>68</v>
      </c>
      <c r="D3831" t="s">
        <v>90</v>
      </c>
      <c r="E3831" t="s">
        <v>37</v>
      </c>
      <c r="F3831" t="s">
        <v>38</v>
      </c>
      <c r="G3831" t="s">
        <v>23</v>
      </c>
      <c r="H3831" s="1">
        <v>45040</v>
      </c>
      <c r="I3831" s="2">
        <v>45040.5625</v>
      </c>
      <c r="J3831">
        <v>13.5</v>
      </c>
      <c r="K3831" t="s">
        <v>24</v>
      </c>
      <c r="L3831">
        <v>0</v>
      </c>
      <c r="M3831">
        <v>5</v>
      </c>
      <c r="N3831" t="s">
        <v>1025</v>
      </c>
      <c r="O3831" s="3" t="str">
        <f>TEXT(Ticket_Table[[#This Row],[raised_date]],"YYYY-MM")</f>
        <v>2023-04</v>
      </c>
      <c r="P3831" s="3" t="str">
        <f>IF(Ticket_Table[[#This Row],[resolution_hrs]]&lt;=4,"Fast",IF(Ticket_Table[[#This Row],[resolution_hrs]]&lt;=24,"Normal",IF(Ticket_Table[[#This Row],[resolution_hrs]]&lt;=48,"Slow","Very Slow")))</f>
        <v>Normal</v>
      </c>
      <c r="Q3831" s="3">
        <f>YEAR(Ticket_Table[[#This Row],[raised_date]])</f>
        <v>2023</v>
      </c>
    </row>
    <row r="3832" spans="1:17">
      <c r="A3832" t="s">
        <v>4393</v>
      </c>
      <c r="B3832" t="s">
        <v>985</v>
      </c>
      <c r="C3832" t="s">
        <v>213</v>
      </c>
      <c r="D3832" t="s">
        <v>20</v>
      </c>
      <c r="E3832" t="s">
        <v>56</v>
      </c>
      <c r="F3832" t="s">
        <v>70</v>
      </c>
      <c r="G3832" t="s">
        <v>23</v>
      </c>
      <c r="H3832" s="1">
        <v>45092</v>
      </c>
      <c r="I3832" s="2">
        <v>45092.75</v>
      </c>
      <c r="J3832">
        <v>18</v>
      </c>
      <c r="K3832" t="s">
        <v>24</v>
      </c>
      <c r="L3832">
        <v>0</v>
      </c>
      <c r="M3832">
        <v>3</v>
      </c>
      <c r="N3832" t="s">
        <v>89</v>
      </c>
      <c r="O3832" s="3" t="str">
        <f>TEXT(Ticket_Table[[#This Row],[raised_date]],"YYYY-MM")</f>
        <v>2023-06</v>
      </c>
      <c r="P3832" s="3" t="str">
        <f>IF(Ticket_Table[[#This Row],[resolution_hrs]]&lt;=4,"Fast",IF(Ticket_Table[[#This Row],[resolution_hrs]]&lt;=24,"Normal",IF(Ticket_Table[[#This Row],[resolution_hrs]]&lt;=48,"Slow","Very Slow")))</f>
        <v>Normal</v>
      </c>
      <c r="Q3832" s="3">
        <f>YEAR(Ticket_Table[[#This Row],[raised_date]])</f>
        <v>2023</v>
      </c>
    </row>
    <row r="3833" spans="1:17">
      <c r="A3833" t="s">
        <v>4394</v>
      </c>
      <c r="B3833" t="s">
        <v>352</v>
      </c>
      <c r="C3833" t="s">
        <v>201</v>
      </c>
      <c r="D3833" t="s">
        <v>29</v>
      </c>
      <c r="E3833" t="s">
        <v>44</v>
      </c>
      <c r="F3833" t="s">
        <v>70</v>
      </c>
      <c r="G3833" t="s">
        <v>31</v>
      </c>
      <c r="H3833" s="1">
        <v>45005</v>
      </c>
      <c r="I3833" s="2">
        <v>45007.7</v>
      </c>
      <c r="J3833">
        <v>64.8</v>
      </c>
      <c r="K3833" t="s">
        <v>32</v>
      </c>
      <c r="L3833">
        <v>0</v>
      </c>
      <c r="M3833">
        <v>5</v>
      </c>
      <c r="N3833" t="s">
        <v>556</v>
      </c>
      <c r="O3833" s="3" t="str">
        <f>TEXT(Ticket_Table[[#This Row],[raised_date]],"YYYY-MM")</f>
        <v>2023-03</v>
      </c>
      <c r="P3833" s="3" t="str">
        <f>IF(Ticket_Table[[#This Row],[resolution_hrs]]&lt;=4,"Fast",IF(Ticket_Table[[#This Row],[resolution_hrs]]&lt;=24,"Normal",IF(Ticket_Table[[#This Row],[resolution_hrs]]&lt;=48,"Slow","Very Slow")))</f>
        <v>Very Slow</v>
      </c>
      <c r="Q3833" s="3">
        <f>YEAR(Ticket_Table[[#This Row],[raised_date]])</f>
        <v>2023</v>
      </c>
    </row>
    <row r="3834" spans="1:17">
      <c r="A3834" t="s">
        <v>4395</v>
      </c>
      <c r="B3834" t="s">
        <v>671</v>
      </c>
      <c r="C3834" t="s">
        <v>50</v>
      </c>
      <c r="D3834" t="s">
        <v>20</v>
      </c>
      <c r="E3834" t="s">
        <v>21</v>
      </c>
      <c r="F3834" t="s">
        <v>22</v>
      </c>
      <c r="G3834" t="s">
        <v>31</v>
      </c>
      <c r="H3834" s="1">
        <v>44708</v>
      </c>
      <c r="I3834" s="2">
        <v>44709.3666666667</v>
      </c>
      <c r="J3834">
        <v>32.8</v>
      </c>
      <c r="K3834" t="s">
        <v>24</v>
      </c>
      <c r="L3834">
        <v>3</v>
      </c>
      <c r="M3834">
        <v>5</v>
      </c>
      <c r="N3834" t="s">
        <v>730</v>
      </c>
      <c r="O3834" s="3" t="str">
        <f>TEXT(Ticket_Table[[#This Row],[raised_date]],"YYYY-MM")</f>
        <v>2022-05</v>
      </c>
      <c r="P3834" s="3" t="str">
        <f>IF(Ticket_Table[[#This Row],[resolution_hrs]]&lt;=4,"Fast",IF(Ticket_Table[[#This Row],[resolution_hrs]]&lt;=24,"Normal",IF(Ticket_Table[[#This Row],[resolution_hrs]]&lt;=48,"Slow","Very Slow")))</f>
        <v>Slow</v>
      </c>
      <c r="Q3834" s="3">
        <f>YEAR(Ticket_Table[[#This Row],[raised_date]])</f>
        <v>2022</v>
      </c>
    </row>
    <row r="3835" spans="1:17">
      <c r="A3835" t="s">
        <v>4396</v>
      </c>
      <c r="B3835" t="s">
        <v>212</v>
      </c>
      <c r="C3835" t="s">
        <v>42</v>
      </c>
      <c r="D3835" t="s">
        <v>43</v>
      </c>
      <c r="E3835" t="s">
        <v>83</v>
      </c>
      <c r="F3835" t="s">
        <v>38</v>
      </c>
      <c r="G3835" t="s">
        <v>74</v>
      </c>
      <c r="H3835" s="1">
        <v>44531</v>
      </c>
      <c r="I3835" s="2">
        <v>44531.8208333333</v>
      </c>
      <c r="J3835">
        <v>19.7</v>
      </c>
      <c r="K3835" t="s">
        <v>24</v>
      </c>
      <c r="L3835">
        <v>0</v>
      </c>
      <c r="M3835">
        <v>4</v>
      </c>
      <c r="N3835" t="s">
        <v>335</v>
      </c>
      <c r="O3835" s="3" t="str">
        <f>TEXT(Ticket_Table[[#This Row],[raised_date]],"YYYY-MM")</f>
        <v>2021-12</v>
      </c>
      <c r="P3835" s="3" t="str">
        <f>IF(Ticket_Table[[#This Row],[resolution_hrs]]&lt;=4,"Fast",IF(Ticket_Table[[#This Row],[resolution_hrs]]&lt;=24,"Normal",IF(Ticket_Table[[#This Row],[resolution_hrs]]&lt;=48,"Slow","Very Slow")))</f>
        <v>Normal</v>
      </c>
      <c r="Q3835" s="3">
        <f>YEAR(Ticket_Table[[#This Row],[raised_date]])</f>
        <v>2021</v>
      </c>
    </row>
    <row r="3836" spans="1:17">
      <c r="A3836" t="s">
        <v>4397</v>
      </c>
      <c r="B3836" t="s">
        <v>243</v>
      </c>
      <c r="C3836" t="s">
        <v>60</v>
      </c>
      <c r="D3836" t="s">
        <v>90</v>
      </c>
      <c r="E3836" t="s">
        <v>30</v>
      </c>
      <c r="F3836" t="s">
        <v>22</v>
      </c>
      <c r="G3836" t="s">
        <v>31</v>
      </c>
      <c r="H3836" s="1">
        <v>44995</v>
      </c>
      <c r="I3836" s="2">
        <v>44996.1333333333</v>
      </c>
      <c r="J3836">
        <v>27.2</v>
      </c>
      <c r="K3836" t="s">
        <v>24</v>
      </c>
      <c r="L3836">
        <v>0</v>
      </c>
      <c r="M3836">
        <v>3</v>
      </c>
      <c r="N3836" t="s">
        <v>370</v>
      </c>
      <c r="O3836" s="3" t="str">
        <f>TEXT(Ticket_Table[[#This Row],[raised_date]],"YYYY-MM")</f>
        <v>2023-03</v>
      </c>
      <c r="P3836" s="3" t="str">
        <f>IF(Ticket_Table[[#This Row],[resolution_hrs]]&lt;=4,"Fast",IF(Ticket_Table[[#This Row],[resolution_hrs]]&lt;=24,"Normal",IF(Ticket_Table[[#This Row],[resolution_hrs]]&lt;=48,"Slow","Very Slow")))</f>
        <v>Slow</v>
      </c>
      <c r="Q3836" s="3">
        <f>YEAR(Ticket_Table[[#This Row],[raised_date]])</f>
        <v>2023</v>
      </c>
    </row>
    <row r="3837" spans="1:17">
      <c r="A3837" t="s">
        <v>4398</v>
      </c>
      <c r="B3837" t="s">
        <v>186</v>
      </c>
      <c r="C3837" t="s">
        <v>201</v>
      </c>
      <c r="D3837" t="s">
        <v>43</v>
      </c>
      <c r="E3837" t="s">
        <v>44</v>
      </c>
      <c r="F3837" t="s">
        <v>45</v>
      </c>
      <c r="G3837" t="s">
        <v>31</v>
      </c>
      <c r="H3837" s="1">
        <v>44971</v>
      </c>
      <c r="I3837" s="2">
        <v>44971.2041666667</v>
      </c>
      <c r="J3837">
        <v>4.9</v>
      </c>
      <c r="K3837" t="s">
        <v>32</v>
      </c>
      <c r="L3837">
        <v>2</v>
      </c>
      <c r="M3837">
        <v>5</v>
      </c>
      <c r="N3837" t="s">
        <v>1039</v>
      </c>
      <c r="O3837" s="3" t="str">
        <f>TEXT(Ticket_Table[[#This Row],[raised_date]],"YYYY-MM")</f>
        <v>2023-02</v>
      </c>
      <c r="P3837" s="3" t="str">
        <f>IF(Ticket_Table[[#This Row],[resolution_hrs]]&lt;=4,"Fast",IF(Ticket_Table[[#This Row],[resolution_hrs]]&lt;=24,"Normal",IF(Ticket_Table[[#This Row],[resolution_hrs]]&lt;=48,"Slow","Very Slow")))</f>
        <v>Normal</v>
      </c>
      <c r="Q3837" s="3">
        <f>YEAR(Ticket_Table[[#This Row],[raised_date]])</f>
        <v>2023</v>
      </c>
    </row>
    <row r="3838" spans="1:17">
      <c r="A3838" t="s">
        <v>4399</v>
      </c>
      <c r="B3838" t="s">
        <v>426</v>
      </c>
      <c r="C3838" t="s">
        <v>287</v>
      </c>
      <c r="D3838" t="s">
        <v>36</v>
      </c>
      <c r="E3838" t="s">
        <v>166</v>
      </c>
      <c r="F3838" t="s">
        <v>70</v>
      </c>
      <c r="G3838" t="s">
        <v>23</v>
      </c>
      <c r="H3838" s="1">
        <v>44648</v>
      </c>
      <c r="I3838" s="2">
        <v>44650.3666666667</v>
      </c>
      <c r="J3838">
        <v>56.8</v>
      </c>
      <c r="K3838" t="s">
        <v>32</v>
      </c>
      <c r="L3838">
        <v>1</v>
      </c>
      <c r="M3838">
        <v>3</v>
      </c>
      <c r="N3838" t="s">
        <v>919</v>
      </c>
      <c r="O3838" s="3" t="str">
        <f>TEXT(Ticket_Table[[#This Row],[raised_date]],"YYYY-MM")</f>
        <v>2022-03</v>
      </c>
      <c r="P3838" s="3" t="str">
        <f>IF(Ticket_Table[[#This Row],[resolution_hrs]]&lt;=4,"Fast",IF(Ticket_Table[[#This Row],[resolution_hrs]]&lt;=24,"Normal",IF(Ticket_Table[[#This Row],[resolution_hrs]]&lt;=48,"Slow","Very Slow")))</f>
        <v>Very Slow</v>
      </c>
      <c r="Q3838" s="3">
        <f>YEAR(Ticket_Table[[#This Row],[raised_date]])</f>
        <v>2022</v>
      </c>
    </row>
    <row r="3839" spans="1:17">
      <c r="A3839" t="s">
        <v>4400</v>
      </c>
      <c r="B3839" t="s">
        <v>286</v>
      </c>
      <c r="C3839" t="s">
        <v>95</v>
      </c>
      <c r="D3839" t="s">
        <v>90</v>
      </c>
      <c r="E3839" t="s">
        <v>69</v>
      </c>
      <c r="F3839" t="s">
        <v>70</v>
      </c>
      <c r="G3839" t="s">
        <v>74</v>
      </c>
      <c r="H3839" s="1">
        <v>44735</v>
      </c>
      <c r="I3839" s="2">
        <v>44737.3208333333</v>
      </c>
      <c r="J3839">
        <v>55.7</v>
      </c>
      <c r="K3839" t="s">
        <v>32</v>
      </c>
      <c r="L3839">
        <v>0</v>
      </c>
      <c r="M3839">
        <v>3</v>
      </c>
      <c r="N3839" t="s">
        <v>564</v>
      </c>
      <c r="O3839" s="3" t="str">
        <f>TEXT(Ticket_Table[[#This Row],[raised_date]],"YYYY-MM")</f>
        <v>2022-06</v>
      </c>
      <c r="P3839" s="3" t="str">
        <f>IF(Ticket_Table[[#This Row],[resolution_hrs]]&lt;=4,"Fast",IF(Ticket_Table[[#This Row],[resolution_hrs]]&lt;=24,"Normal",IF(Ticket_Table[[#This Row],[resolution_hrs]]&lt;=48,"Slow","Very Slow")))</f>
        <v>Very Slow</v>
      </c>
      <c r="Q3839" s="3">
        <f>YEAR(Ticket_Table[[#This Row],[raised_date]])</f>
        <v>2022</v>
      </c>
    </row>
    <row r="3840" spans="1:17">
      <c r="A3840" t="s">
        <v>4401</v>
      </c>
      <c r="B3840" t="s">
        <v>950</v>
      </c>
      <c r="C3840" t="s">
        <v>55</v>
      </c>
      <c r="D3840" t="s">
        <v>43</v>
      </c>
      <c r="E3840" t="s">
        <v>166</v>
      </c>
      <c r="F3840" t="s">
        <v>45</v>
      </c>
      <c r="G3840" t="s">
        <v>46</v>
      </c>
      <c r="H3840" s="1">
        <v>44359</v>
      </c>
      <c r="I3840" s="2">
        <v>44359.1791666667</v>
      </c>
      <c r="J3840">
        <v>4.3</v>
      </c>
      <c r="K3840" t="s">
        <v>32</v>
      </c>
      <c r="L3840">
        <v>0</v>
      </c>
      <c r="M3840">
        <v>3</v>
      </c>
      <c r="N3840" t="s">
        <v>1202</v>
      </c>
      <c r="O3840" s="3" t="str">
        <f>TEXT(Ticket_Table[[#This Row],[raised_date]],"YYYY-MM")</f>
        <v>2021-06</v>
      </c>
      <c r="P3840" s="3" t="str">
        <f>IF(Ticket_Table[[#This Row],[resolution_hrs]]&lt;=4,"Fast",IF(Ticket_Table[[#This Row],[resolution_hrs]]&lt;=24,"Normal",IF(Ticket_Table[[#This Row],[resolution_hrs]]&lt;=48,"Slow","Very Slow")))</f>
        <v>Normal</v>
      </c>
      <c r="Q3840" s="3">
        <f>YEAR(Ticket_Table[[#This Row],[raised_date]])</f>
        <v>2021</v>
      </c>
    </row>
    <row r="3841" spans="1:17">
      <c r="A3841" t="s">
        <v>4402</v>
      </c>
      <c r="B3841" t="s">
        <v>155</v>
      </c>
      <c r="C3841" t="s">
        <v>64</v>
      </c>
      <c r="D3841" t="s">
        <v>90</v>
      </c>
      <c r="E3841" t="s">
        <v>166</v>
      </c>
      <c r="F3841" t="s">
        <v>22</v>
      </c>
      <c r="G3841" t="s">
        <v>46</v>
      </c>
      <c r="H3841" s="1">
        <v>45061</v>
      </c>
      <c r="I3841" s="2">
        <v>45062.2666666667</v>
      </c>
      <c r="J3841">
        <v>30.4</v>
      </c>
      <c r="K3841" t="s">
        <v>24</v>
      </c>
      <c r="L3841">
        <v>0</v>
      </c>
      <c r="M3841">
        <v>4</v>
      </c>
      <c r="N3841" t="s">
        <v>926</v>
      </c>
      <c r="O3841" s="3" t="str">
        <f>TEXT(Ticket_Table[[#This Row],[raised_date]],"YYYY-MM")</f>
        <v>2023-05</v>
      </c>
      <c r="P3841" s="3" t="str">
        <f>IF(Ticket_Table[[#This Row],[resolution_hrs]]&lt;=4,"Fast",IF(Ticket_Table[[#This Row],[resolution_hrs]]&lt;=24,"Normal",IF(Ticket_Table[[#This Row],[resolution_hrs]]&lt;=48,"Slow","Very Slow")))</f>
        <v>Slow</v>
      </c>
      <c r="Q3841" s="3">
        <f>YEAR(Ticket_Table[[#This Row],[raised_date]])</f>
        <v>2023</v>
      </c>
    </row>
    <row r="3842" spans="1:17">
      <c r="A3842" t="s">
        <v>4403</v>
      </c>
      <c r="B3842" t="s">
        <v>370</v>
      </c>
      <c r="C3842" t="s">
        <v>133</v>
      </c>
      <c r="D3842" t="s">
        <v>29</v>
      </c>
      <c r="E3842" t="s">
        <v>51</v>
      </c>
      <c r="F3842" t="s">
        <v>70</v>
      </c>
      <c r="G3842" t="s">
        <v>31</v>
      </c>
      <c r="H3842" s="1">
        <v>44687</v>
      </c>
      <c r="I3842" s="2">
        <v>44689.8083333333</v>
      </c>
      <c r="J3842">
        <v>67.4</v>
      </c>
      <c r="K3842" t="s">
        <v>32</v>
      </c>
      <c r="L3842">
        <v>1</v>
      </c>
      <c r="M3842">
        <v>3</v>
      </c>
      <c r="N3842" t="s">
        <v>183</v>
      </c>
      <c r="O3842" s="3" t="str">
        <f>TEXT(Ticket_Table[[#This Row],[raised_date]],"YYYY-MM")</f>
        <v>2022-05</v>
      </c>
      <c r="P3842" s="3" t="str">
        <f>IF(Ticket_Table[[#This Row],[resolution_hrs]]&lt;=4,"Fast",IF(Ticket_Table[[#This Row],[resolution_hrs]]&lt;=24,"Normal",IF(Ticket_Table[[#This Row],[resolution_hrs]]&lt;=48,"Slow","Very Slow")))</f>
        <v>Very Slow</v>
      </c>
      <c r="Q3842" s="3">
        <f>YEAR(Ticket_Table[[#This Row],[raised_date]])</f>
        <v>2022</v>
      </c>
    </row>
    <row r="3843" spans="1:17">
      <c r="A3843" t="s">
        <v>4404</v>
      </c>
      <c r="B3843" t="s">
        <v>307</v>
      </c>
      <c r="C3843" t="s">
        <v>82</v>
      </c>
      <c r="D3843" t="s">
        <v>90</v>
      </c>
      <c r="E3843" t="s">
        <v>106</v>
      </c>
      <c r="F3843" t="s">
        <v>70</v>
      </c>
      <c r="G3843" t="s">
        <v>23</v>
      </c>
      <c r="H3843" s="1">
        <v>45255</v>
      </c>
      <c r="I3843" s="2">
        <v>45256.8958333333</v>
      </c>
      <c r="J3843">
        <v>45.5</v>
      </c>
      <c r="K3843" t="s">
        <v>24</v>
      </c>
      <c r="L3843">
        <v>0</v>
      </c>
      <c r="M3843">
        <v>5</v>
      </c>
      <c r="N3843" t="s">
        <v>152</v>
      </c>
      <c r="O3843" s="3" t="str">
        <f>TEXT(Ticket_Table[[#This Row],[raised_date]],"YYYY-MM")</f>
        <v>2023-11</v>
      </c>
      <c r="P3843" s="3" t="str">
        <f>IF(Ticket_Table[[#This Row],[resolution_hrs]]&lt;=4,"Fast",IF(Ticket_Table[[#This Row],[resolution_hrs]]&lt;=24,"Normal",IF(Ticket_Table[[#This Row],[resolution_hrs]]&lt;=48,"Slow","Very Slow")))</f>
        <v>Slow</v>
      </c>
      <c r="Q3843" s="3">
        <f>YEAR(Ticket_Table[[#This Row],[raised_date]])</f>
        <v>2023</v>
      </c>
    </row>
    <row r="3844" spans="1:17">
      <c r="A3844" t="s">
        <v>4405</v>
      </c>
      <c r="B3844" t="s">
        <v>844</v>
      </c>
      <c r="C3844" t="s">
        <v>82</v>
      </c>
      <c r="D3844" t="s">
        <v>90</v>
      </c>
      <c r="E3844" t="s">
        <v>30</v>
      </c>
      <c r="F3844" t="s">
        <v>22</v>
      </c>
      <c r="G3844" t="s">
        <v>31</v>
      </c>
      <c r="H3844" s="1">
        <v>44753</v>
      </c>
      <c r="I3844" s="2">
        <v>44755.8875</v>
      </c>
      <c r="J3844">
        <v>69.3</v>
      </c>
      <c r="K3844" t="s">
        <v>24</v>
      </c>
      <c r="L3844">
        <v>1</v>
      </c>
      <c r="M3844">
        <v>3</v>
      </c>
      <c r="N3844" t="s">
        <v>398</v>
      </c>
      <c r="O3844" s="3" t="str">
        <f>TEXT(Ticket_Table[[#This Row],[raised_date]],"YYYY-MM")</f>
        <v>2022-07</v>
      </c>
      <c r="P3844" s="3" t="str">
        <f>IF(Ticket_Table[[#This Row],[resolution_hrs]]&lt;=4,"Fast",IF(Ticket_Table[[#This Row],[resolution_hrs]]&lt;=24,"Normal",IF(Ticket_Table[[#This Row],[resolution_hrs]]&lt;=48,"Slow","Very Slow")))</f>
        <v>Very Slow</v>
      </c>
      <c r="Q3844" s="3">
        <f>YEAR(Ticket_Table[[#This Row],[raised_date]])</f>
        <v>2022</v>
      </c>
    </row>
    <row r="3845" spans="1:17">
      <c r="A3845" t="s">
        <v>4406</v>
      </c>
      <c r="B3845" t="s">
        <v>749</v>
      </c>
      <c r="C3845" t="s">
        <v>140</v>
      </c>
      <c r="D3845" t="s">
        <v>29</v>
      </c>
      <c r="E3845" t="s">
        <v>21</v>
      </c>
      <c r="F3845" t="s">
        <v>70</v>
      </c>
      <c r="G3845" t="s">
        <v>31</v>
      </c>
      <c r="H3845" s="1">
        <v>44780</v>
      </c>
      <c r="I3845" s="2">
        <v>44781.7541666667</v>
      </c>
      <c r="J3845">
        <v>42.1</v>
      </c>
      <c r="K3845" t="s">
        <v>24</v>
      </c>
      <c r="L3845">
        <v>2</v>
      </c>
      <c r="M3845">
        <v>5</v>
      </c>
      <c r="N3845" t="s">
        <v>455</v>
      </c>
      <c r="O3845" s="3" t="str">
        <f>TEXT(Ticket_Table[[#This Row],[raised_date]],"YYYY-MM")</f>
        <v>2022-08</v>
      </c>
      <c r="P3845" s="3" t="str">
        <f>IF(Ticket_Table[[#This Row],[resolution_hrs]]&lt;=4,"Fast",IF(Ticket_Table[[#This Row],[resolution_hrs]]&lt;=24,"Normal",IF(Ticket_Table[[#This Row],[resolution_hrs]]&lt;=48,"Slow","Very Slow")))</f>
        <v>Slow</v>
      </c>
      <c r="Q3845" s="3">
        <f>YEAR(Ticket_Table[[#This Row],[raised_date]])</f>
        <v>2022</v>
      </c>
    </row>
    <row r="3846" spans="1:17">
      <c r="A3846" t="s">
        <v>4407</v>
      </c>
      <c r="B3846" t="s">
        <v>121</v>
      </c>
      <c r="C3846" t="s">
        <v>117</v>
      </c>
      <c r="D3846" t="s">
        <v>43</v>
      </c>
      <c r="E3846" t="s">
        <v>44</v>
      </c>
      <c r="F3846" t="s">
        <v>38</v>
      </c>
      <c r="G3846" t="s">
        <v>23</v>
      </c>
      <c r="H3846" s="1">
        <v>45286</v>
      </c>
      <c r="I3846" s="2">
        <v>45286.1916666667</v>
      </c>
      <c r="J3846">
        <v>4.6</v>
      </c>
      <c r="K3846" t="s">
        <v>24</v>
      </c>
      <c r="L3846">
        <v>3</v>
      </c>
      <c r="M3846">
        <v>2</v>
      </c>
      <c r="N3846" t="s">
        <v>123</v>
      </c>
      <c r="O3846" s="3" t="str">
        <f>TEXT(Ticket_Table[[#This Row],[raised_date]],"YYYY-MM")</f>
        <v>2023-12</v>
      </c>
      <c r="P3846" s="3" t="str">
        <f>IF(Ticket_Table[[#This Row],[resolution_hrs]]&lt;=4,"Fast",IF(Ticket_Table[[#This Row],[resolution_hrs]]&lt;=24,"Normal",IF(Ticket_Table[[#This Row],[resolution_hrs]]&lt;=48,"Slow","Very Slow")))</f>
        <v>Normal</v>
      </c>
      <c r="Q3846" s="3">
        <f>YEAR(Ticket_Table[[#This Row],[raised_date]])</f>
        <v>2023</v>
      </c>
    </row>
    <row r="3847" spans="1:17">
      <c r="A3847" t="s">
        <v>4408</v>
      </c>
      <c r="B3847" t="s">
        <v>903</v>
      </c>
      <c r="C3847" t="s">
        <v>64</v>
      </c>
      <c r="D3847" t="s">
        <v>90</v>
      </c>
      <c r="E3847" t="s">
        <v>166</v>
      </c>
      <c r="F3847" t="s">
        <v>38</v>
      </c>
      <c r="G3847" t="s">
        <v>31</v>
      </c>
      <c r="H3847" s="1">
        <v>44747</v>
      </c>
      <c r="I3847" s="2">
        <v>44747.7125</v>
      </c>
      <c r="J3847">
        <v>17.1</v>
      </c>
      <c r="K3847" t="s">
        <v>24</v>
      </c>
      <c r="L3847">
        <v>1</v>
      </c>
      <c r="M3847">
        <v>3</v>
      </c>
      <c r="N3847" t="s">
        <v>413</v>
      </c>
      <c r="O3847" s="3" t="str">
        <f>TEXT(Ticket_Table[[#This Row],[raised_date]],"YYYY-MM")</f>
        <v>2022-07</v>
      </c>
      <c r="P3847" s="3" t="str">
        <f>IF(Ticket_Table[[#This Row],[resolution_hrs]]&lt;=4,"Fast",IF(Ticket_Table[[#This Row],[resolution_hrs]]&lt;=24,"Normal",IF(Ticket_Table[[#This Row],[resolution_hrs]]&lt;=48,"Slow","Very Slow")))</f>
        <v>Normal</v>
      </c>
      <c r="Q3847" s="3">
        <f>YEAR(Ticket_Table[[#This Row],[raised_date]])</f>
        <v>2022</v>
      </c>
    </row>
    <row r="3848" spans="1:17">
      <c r="A3848" t="s">
        <v>4409</v>
      </c>
      <c r="B3848" t="s">
        <v>621</v>
      </c>
      <c r="C3848" t="s">
        <v>82</v>
      </c>
      <c r="D3848" t="s">
        <v>20</v>
      </c>
      <c r="E3848" t="s">
        <v>166</v>
      </c>
      <c r="F3848" t="s">
        <v>22</v>
      </c>
      <c r="G3848" t="s">
        <v>46</v>
      </c>
      <c r="H3848" s="1">
        <v>45042</v>
      </c>
      <c r="I3848" s="2">
        <v>45044.7</v>
      </c>
      <c r="J3848">
        <v>64.8</v>
      </c>
      <c r="K3848" t="s">
        <v>24</v>
      </c>
      <c r="L3848">
        <v>0</v>
      </c>
      <c r="M3848">
        <v>3</v>
      </c>
      <c r="N3848" t="s">
        <v>1080</v>
      </c>
      <c r="O3848" s="3" t="str">
        <f>TEXT(Ticket_Table[[#This Row],[raised_date]],"YYYY-MM")</f>
        <v>2023-04</v>
      </c>
      <c r="P3848" s="3" t="str">
        <f>IF(Ticket_Table[[#This Row],[resolution_hrs]]&lt;=4,"Fast",IF(Ticket_Table[[#This Row],[resolution_hrs]]&lt;=24,"Normal",IF(Ticket_Table[[#This Row],[resolution_hrs]]&lt;=48,"Slow","Very Slow")))</f>
        <v>Very Slow</v>
      </c>
      <c r="Q3848" s="3">
        <f>YEAR(Ticket_Table[[#This Row],[raised_date]])</f>
        <v>2023</v>
      </c>
    </row>
    <row r="3849" spans="1:17">
      <c r="A3849" t="s">
        <v>4410</v>
      </c>
      <c r="B3849" t="s">
        <v>886</v>
      </c>
      <c r="C3849" t="s">
        <v>133</v>
      </c>
      <c r="D3849" t="s">
        <v>90</v>
      </c>
      <c r="E3849" t="s">
        <v>69</v>
      </c>
      <c r="F3849" t="s">
        <v>45</v>
      </c>
      <c r="G3849" t="s">
        <v>74</v>
      </c>
      <c r="H3849" s="1">
        <v>44582</v>
      </c>
      <c r="I3849" s="2">
        <v>44582.0625</v>
      </c>
      <c r="J3849">
        <v>1.5</v>
      </c>
      <c r="K3849" t="s">
        <v>24</v>
      </c>
      <c r="L3849">
        <v>0</v>
      </c>
      <c r="M3849">
        <v>5</v>
      </c>
      <c r="N3849" t="s">
        <v>101</v>
      </c>
      <c r="O3849" s="3" t="str">
        <f>TEXT(Ticket_Table[[#This Row],[raised_date]],"YYYY-MM")</f>
        <v>2022-01</v>
      </c>
      <c r="P3849" s="3" t="str">
        <f>IF(Ticket_Table[[#This Row],[resolution_hrs]]&lt;=4,"Fast",IF(Ticket_Table[[#This Row],[resolution_hrs]]&lt;=24,"Normal",IF(Ticket_Table[[#This Row],[resolution_hrs]]&lt;=48,"Slow","Very Slow")))</f>
        <v>Fast</v>
      </c>
      <c r="Q3849" s="3">
        <f>YEAR(Ticket_Table[[#This Row],[raised_date]])</f>
        <v>2022</v>
      </c>
    </row>
    <row r="3850" spans="1:17">
      <c r="A3850" t="s">
        <v>4411</v>
      </c>
      <c r="B3850" t="s">
        <v>1301</v>
      </c>
      <c r="C3850" t="s">
        <v>64</v>
      </c>
      <c r="D3850" t="s">
        <v>43</v>
      </c>
      <c r="E3850" t="s">
        <v>21</v>
      </c>
      <c r="F3850" t="s">
        <v>22</v>
      </c>
      <c r="G3850" t="s">
        <v>23</v>
      </c>
      <c r="H3850" s="1">
        <v>44337</v>
      </c>
      <c r="I3850" s="2">
        <v>44338.3</v>
      </c>
      <c r="J3850">
        <v>31.2</v>
      </c>
      <c r="K3850" t="s">
        <v>24</v>
      </c>
      <c r="L3850">
        <v>0</v>
      </c>
      <c r="M3850">
        <v>1</v>
      </c>
      <c r="N3850" t="s">
        <v>552</v>
      </c>
      <c r="O3850" s="3" t="str">
        <f>TEXT(Ticket_Table[[#This Row],[raised_date]],"YYYY-MM")</f>
        <v>2021-05</v>
      </c>
      <c r="P3850" s="3" t="str">
        <f>IF(Ticket_Table[[#This Row],[resolution_hrs]]&lt;=4,"Fast",IF(Ticket_Table[[#This Row],[resolution_hrs]]&lt;=24,"Normal",IF(Ticket_Table[[#This Row],[resolution_hrs]]&lt;=48,"Slow","Very Slow")))</f>
        <v>Slow</v>
      </c>
      <c r="Q3850" s="3">
        <f>YEAR(Ticket_Table[[#This Row],[raised_date]])</f>
        <v>2021</v>
      </c>
    </row>
    <row r="3851" spans="1:17">
      <c r="A3851" t="s">
        <v>4412</v>
      </c>
      <c r="B3851" t="s">
        <v>198</v>
      </c>
      <c r="C3851" t="s">
        <v>68</v>
      </c>
      <c r="D3851" t="s">
        <v>29</v>
      </c>
      <c r="E3851" t="s">
        <v>21</v>
      </c>
      <c r="F3851" t="s">
        <v>22</v>
      </c>
      <c r="G3851" t="s">
        <v>23</v>
      </c>
      <c r="H3851" s="1">
        <v>44570</v>
      </c>
      <c r="I3851" s="2">
        <v>44574.0291666667</v>
      </c>
      <c r="J3851">
        <v>96.7</v>
      </c>
      <c r="K3851" t="s">
        <v>32</v>
      </c>
      <c r="L3851">
        <v>0</v>
      </c>
      <c r="M3851">
        <v>4</v>
      </c>
      <c r="N3851" t="s">
        <v>317</v>
      </c>
      <c r="O3851" s="3" t="str">
        <f>TEXT(Ticket_Table[[#This Row],[raised_date]],"YYYY-MM")</f>
        <v>2022-01</v>
      </c>
      <c r="P3851" s="3" t="str">
        <f>IF(Ticket_Table[[#This Row],[resolution_hrs]]&lt;=4,"Fast",IF(Ticket_Table[[#This Row],[resolution_hrs]]&lt;=24,"Normal",IF(Ticket_Table[[#This Row],[resolution_hrs]]&lt;=48,"Slow","Very Slow")))</f>
        <v>Very Slow</v>
      </c>
      <c r="Q3851" s="3">
        <f>YEAR(Ticket_Table[[#This Row],[raised_date]])</f>
        <v>2022</v>
      </c>
    </row>
    <row r="3852" spans="1:17">
      <c r="A3852" t="s">
        <v>4413</v>
      </c>
      <c r="B3852" t="s">
        <v>1058</v>
      </c>
      <c r="C3852" t="s">
        <v>201</v>
      </c>
      <c r="D3852" t="s">
        <v>43</v>
      </c>
      <c r="E3852" t="s">
        <v>21</v>
      </c>
      <c r="F3852" t="s">
        <v>22</v>
      </c>
      <c r="G3852" t="s">
        <v>23</v>
      </c>
      <c r="H3852" s="1">
        <v>44476</v>
      </c>
      <c r="I3852" s="2">
        <v>44476.4541666667</v>
      </c>
      <c r="J3852">
        <v>10.9</v>
      </c>
      <c r="K3852" t="s">
        <v>24</v>
      </c>
      <c r="L3852">
        <v>0</v>
      </c>
      <c r="M3852">
        <v>3</v>
      </c>
      <c r="N3852" t="s">
        <v>171</v>
      </c>
      <c r="O3852" s="3" t="str">
        <f>TEXT(Ticket_Table[[#This Row],[raised_date]],"YYYY-MM")</f>
        <v>2021-10</v>
      </c>
      <c r="P3852" s="3" t="str">
        <f>IF(Ticket_Table[[#This Row],[resolution_hrs]]&lt;=4,"Fast",IF(Ticket_Table[[#This Row],[resolution_hrs]]&lt;=24,"Normal",IF(Ticket_Table[[#This Row],[resolution_hrs]]&lt;=48,"Slow","Very Slow")))</f>
        <v>Normal</v>
      </c>
      <c r="Q3852" s="3">
        <f>YEAR(Ticket_Table[[#This Row],[raised_date]])</f>
        <v>2021</v>
      </c>
    </row>
    <row r="3853" spans="1:17">
      <c r="A3853" t="s">
        <v>4414</v>
      </c>
      <c r="B3853" t="s">
        <v>218</v>
      </c>
      <c r="C3853" t="s">
        <v>95</v>
      </c>
      <c r="D3853" t="s">
        <v>36</v>
      </c>
      <c r="E3853" t="s">
        <v>44</v>
      </c>
      <c r="F3853" t="s">
        <v>22</v>
      </c>
      <c r="G3853" t="s">
        <v>31</v>
      </c>
      <c r="H3853" s="1">
        <v>44790</v>
      </c>
      <c r="I3853" s="2">
        <v>44792.2458333333</v>
      </c>
      <c r="J3853">
        <v>53.9</v>
      </c>
      <c r="K3853" t="s">
        <v>24</v>
      </c>
      <c r="L3853">
        <v>0</v>
      </c>
      <c r="M3853">
        <v>5</v>
      </c>
      <c r="N3853" t="s">
        <v>89</v>
      </c>
      <c r="O3853" s="3" t="str">
        <f>TEXT(Ticket_Table[[#This Row],[raised_date]],"YYYY-MM")</f>
        <v>2022-08</v>
      </c>
      <c r="P3853" s="3" t="str">
        <f>IF(Ticket_Table[[#This Row],[resolution_hrs]]&lt;=4,"Fast",IF(Ticket_Table[[#This Row],[resolution_hrs]]&lt;=24,"Normal",IF(Ticket_Table[[#This Row],[resolution_hrs]]&lt;=48,"Slow","Very Slow")))</f>
        <v>Very Slow</v>
      </c>
      <c r="Q3853" s="3">
        <f>YEAR(Ticket_Table[[#This Row],[raised_date]])</f>
        <v>2022</v>
      </c>
    </row>
    <row r="3854" spans="1:17">
      <c r="A3854" t="s">
        <v>4415</v>
      </c>
      <c r="B3854" t="s">
        <v>317</v>
      </c>
      <c r="C3854" t="s">
        <v>102</v>
      </c>
      <c r="D3854" t="s">
        <v>90</v>
      </c>
      <c r="E3854" t="s">
        <v>30</v>
      </c>
      <c r="F3854" t="s">
        <v>22</v>
      </c>
      <c r="G3854" t="s">
        <v>31</v>
      </c>
      <c r="H3854" s="1">
        <v>44423</v>
      </c>
      <c r="I3854" s="2">
        <v>44424.6541666667</v>
      </c>
      <c r="J3854">
        <v>39.7</v>
      </c>
      <c r="K3854" t="s">
        <v>24</v>
      </c>
      <c r="L3854">
        <v>2</v>
      </c>
      <c r="M3854">
        <v>3</v>
      </c>
      <c r="N3854" t="s">
        <v>315</v>
      </c>
      <c r="O3854" s="3" t="str">
        <f>TEXT(Ticket_Table[[#This Row],[raised_date]],"YYYY-MM")</f>
        <v>2021-08</v>
      </c>
      <c r="P3854" s="3" t="str">
        <f>IF(Ticket_Table[[#This Row],[resolution_hrs]]&lt;=4,"Fast",IF(Ticket_Table[[#This Row],[resolution_hrs]]&lt;=24,"Normal",IF(Ticket_Table[[#This Row],[resolution_hrs]]&lt;=48,"Slow","Very Slow")))</f>
        <v>Slow</v>
      </c>
      <c r="Q3854" s="3">
        <f>YEAR(Ticket_Table[[#This Row],[raised_date]])</f>
        <v>2021</v>
      </c>
    </row>
    <row r="3855" spans="1:17">
      <c r="A3855" t="s">
        <v>4416</v>
      </c>
      <c r="B3855" t="s">
        <v>950</v>
      </c>
      <c r="C3855" t="s">
        <v>68</v>
      </c>
      <c r="D3855" t="s">
        <v>90</v>
      </c>
      <c r="E3855" t="s">
        <v>30</v>
      </c>
      <c r="F3855" t="s">
        <v>45</v>
      </c>
      <c r="G3855" t="s">
        <v>23</v>
      </c>
      <c r="H3855" s="1">
        <v>45129</v>
      </c>
      <c r="I3855" s="2">
        <v>45129.2166666667</v>
      </c>
      <c r="J3855">
        <v>5.2</v>
      </c>
      <c r="K3855" t="s">
        <v>32</v>
      </c>
      <c r="L3855">
        <v>1</v>
      </c>
      <c r="M3855">
        <v>3</v>
      </c>
      <c r="N3855" t="s">
        <v>96</v>
      </c>
      <c r="O3855" s="3" t="str">
        <f>TEXT(Ticket_Table[[#This Row],[raised_date]],"YYYY-MM")</f>
        <v>2023-07</v>
      </c>
      <c r="P3855" s="3" t="str">
        <f>IF(Ticket_Table[[#This Row],[resolution_hrs]]&lt;=4,"Fast",IF(Ticket_Table[[#This Row],[resolution_hrs]]&lt;=24,"Normal",IF(Ticket_Table[[#This Row],[resolution_hrs]]&lt;=48,"Slow","Very Slow")))</f>
        <v>Normal</v>
      </c>
      <c r="Q3855" s="3">
        <f>YEAR(Ticket_Table[[#This Row],[raised_date]])</f>
        <v>2023</v>
      </c>
    </row>
    <row r="3856" spans="1:17">
      <c r="A3856" t="s">
        <v>4417</v>
      </c>
      <c r="B3856" t="s">
        <v>401</v>
      </c>
      <c r="C3856" t="s">
        <v>42</v>
      </c>
      <c r="D3856" t="s">
        <v>29</v>
      </c>
      <c r="E3856" t="s">
        <v>44</v>
      </c>
      <c r="F3856" t="s">
        <v>70</v>
      </c>
      <c r="G3856" t="s">
        <v>23</v>
      </c>
      <c r="H3856" s="1">
        <v>45124</v>
      </c>
      <c r="I3856" s="2">
        <v>45125.1958333333</v>
      </c>
      <c r="J3856">
        <v>28.7</v>
      </c>
      <c r="K3856" t="s">
        <v>24</v>
      </c>
      <c r="L3856">
        <v>0</v>
      </c>
      <c r="M3856">
        <v>4</v>
      </c>
      <c r="N3856" t="s">
        <v>518</v>
      </c>
      <c r="O3856" s="3" t="str">
        <f>TEXT(Ticket_Table[[#This Row],[raised_date]],"YYYY-MM")</f>
        <v>2023-07</v>
      </c>
      <c r="P3856" s="3" t="str">
        <f>IF(Ticket_Table[[#This Row],[resolution_hrs]]&lt;=4,"Fast",IF(Ticket_Table[[#This Row],[resolution_hrs]]&lt;=24,"Normal",IF(Ticket_Table[[#This Row],[resolution_hrs]]&lt;=48,"Slow","Very Slow")))</f>
        <v>Slow</v>
      </c>
      <c r="Q3856" s="3">
        <f>YEAR(Ticket_Table[[#This Row],[raised_date]])</f>
        <v>2023</v>
      </c>
    </row>
    <row r="3857" spans="1:17">
      <c r="A3857" t="s">
        <v>4418</v>
      </c>
      <c r="B3857" t="s">
        <v>566</v>
      </c>
      <c r="C3857" t="s">
        <v>201</v>
      </c>
      <c r="D3857" t="s">
        <v>90</v>
      </c>
      <c r="E3857" t="s">
        <v>51</v>
      </c>
      <c r="F3857" t="s">
        <v>22</v>
      </c>
      <c r="G3857" t="s">
        <v>23</v>
      </c>
      <c r="H3857" s="1">
        <v>44754</v>
      </c>
      <c r="I3857" s="2">
        <v>44756.2291666667</v>
      </c>
      <c r="J3857">
        <v>53.5</v>
      </c>
      <c r="K3857" t="s">
        <v>24</v>
      </c>
      <c r="L3857">
        <v>0</v>
      </c>
      <c r="M3857">
        <v>3</v>
      </c>
      <c r="N3857" t="s">
        <v>84</v>
      </c>
      <c r="O3857" s="3" t="str">
        <f>TEXT(Ticket_Table[[#This Row],[raised_date]],"YYYY-MM")</f>
        <v>2022-07</v>
      </c>
      <c r="P3857" s="3" t="str">
        <f>IF(Ticket_Table[[#This Row],[resolution_hrs]]&lt;=4,"Fast",IF(Ticket_Table[[#This Row],[resolution_hrs]]&lt;=24,"Normal",IF(Ticket_Table[[#This Row],[resolution_hrs]]&lt;=48,"Slow","Very Slow")))</f>
        <v>Very Slow</v>
      </c>
      <c r="Q3857" s="3">
        <f>YEAR(Ticket_Table[[#This Row],[raised_date]])</f>
        <v>2022</v>
      </c>
    </row>
    <row r="3858" spans="1:17">
      <c r="A3858" t="s">
        <v>4419</v>
      </c>
      <c r="B3858" t="s">
        <v>484</v>
      </c>
      <c r="C3858" t="s">
        <v>102</v>
      </c>
      <c r="D3858" t="s">
        <v>20</v>
      </c>
      <c r="E3858" t="s">
        <v>44</v>
      </c>
      <c r="F3858" t="s">
        <v>22</v>
      </c>
      <c r="G3858" t="s">
        <v>31</v>
      </c>
      <c r="H3858" s="1">
        <v>45204</v>
      </c>
      <c r="I3858" s="2">
        <v>45204.1375</v>
      </c>
      <c r="J3858">
        <v>3.3</v>
      </c>
      <c r="K3858" t="s">
        <v>24</v>
      </c>
      <c r="L3858">
        <v>0</v>
      </c>
      <c r="M3858">
        <v>4</v>
      </c>
      <c r="N3858" t="s">
        <v>423</v>
      </c>
      <c r="O3858" s="3" t="str">
        <f>TEXT(Ticket_Table[[#This Row],[raised_date]],"YYYY-MM")</f>
        <v>2023-10</v>
      </c>
      <c r="P3858" s="3" t="str">
        <f>IF(Ticket_Table[[#This Row],[resolution_hrs]]&lt;=4,"Fast",IF(Ticket_Table[[#This Row],[resolution_hrs]]&lt;=24,"Normal",IF(Ticket_Table[[#This Row],[resolution_hrs]]&lt;=48,"Slow","Very Slow")))</f>
        <v>Fast</v>
      </c>
      <c r="Q3858" s="3">
        <f>YEAR(Ticket_Table[[#This Row],[raised_date]])</f>
        <v>2023</v>
      </c>
    </row>
    <row r="3859" spans="1:17">
      <c r="A3859" t="s">
        <v>4420</v>
      </c>
      <c r="B3859" t="s">
        <v>61</v>
      </c>
      <c r="C3859" t="s">
        <v>261</v>
      </c>
      <c r="D3859" t="s">
        <v>20</v>
      </c>
      <c r="E3859" t="s">
        <v>83</v>
      </c>
      <c r="F3859" t="s">
        <v>38</v>
      </c>
      <c r="G3859" t="s">
        <v>46</v>
      </c>
      <c r="H3859" s="1">
        <v>44581</v>
      </c>
      <c r="I3859" s="2">
        <v>44581.15</v>
      </c>
      <c r="J3859">
        <v>3.6</v>
      </c>
      <c r="K3859" t="s">
        <v>24</v>
      </c>
      <c r="L3859">
        <v>1</v>
      </c>
      <c r="M3859">
        <v>2</v>
      </c>
      <c r="N3859" t="s">
        <v>944</v>
      </c>
      <c r="O3859" s="3" t="str">
        <f>TEXT(Ticket_Table[[#This Row],[raised_date]],"YYYY-MM")</f>
        <v>2022-01</v>
      </c>
      <c r="P3859" s="3" t="str">
        <f>IF(Ticket_Table[[#This Row],[resolution_hrs]]&lt;=4,"Fast",IF(Ticket_Table[[#This Row],[resolution_hrs]]&lt;=24,"Normal",IF(Ticket_Table[[#This Row],[resolution_hrs]]&lt;=48,"Slow","Very Slow")))</f>
        <v>Fast</v>
      </c>
      <c r="Q3859" s="3">
        <f>YEAR(Ticket_Table[[#This Row],[raised_date]])</f>
        <v>2022</v>
      </c>
    </row>
    <row r="3860" spans="1:17">
      <c r="A3860" t="s">
        <v>4421</v>
      </c>
      <c r="B3860" t="s">
        <v>308</v>
      </c>
      <c r="C3860" t="s">
        <v>175</v>
      </c>
      <c r="D3860" t="s">
        <v>43</v>
      </c>
      <c r="E3860" t="s">
        <v>37</v>
      </c>
      <c r="F3860" t="s">
        <v>38</v>
      </c>
      <c r="G3860" t="s">
        <v>31</v>
      </c>
      <c r="H3860" s="1">
        <v>44853</v>
      </c>
      <c r="I3860" s="2">
        <v>44854.4416666667</v>
      </c>
      <c r="J3860">
        <v>34.6</v>
      </c>
      <c r="K3860" t="s">
        <v>32</v>
      </c>
      <c r="L3860">
        <v>0</v>
      </c>
      <c r="M3860">
        <v>4</v>
      </c>
      <c r="N3860" t="s">
        <v>1143</v>
      </c>
      <c r="O3860" s="3" t="str">
        <f>TEXT(Ticket_Table[[#This Row],[raised_date]],"YYYY-MM")</f>
        <v>2022-10</v>
      </c>
      <c r="P3860" s="3" t="str">
        <f>IF(Ticket_Table[[#This Row],[resolution_hrs]]&lt;=4,"Fast",IF(Ticket_Table[[#This Row],[resolution_hrs]]&lt;=24,"Normal",IF(Ticket_Table[[#This Row],[resolution_hrs]]&lt;=48,"Slow","Very Slow")))</f>
        <v>Slow</v>
      </c>
      <c r="Q3860" s="3">
        <f>YEAR(Ticket_Table[[#This Row],[raised_date]])</f>
        <v>2022</v>
      </c>
    </row>
    <row r="3861" spans="1:17">
      <c r="A3861" t="s">
        <v>4422</v>
      </c>
      <c r="B3861" t="s">
        <v>376</v>
      </c>
      <c r="C3861" t="s">
        <v>19</v>
      </c>
      <c r="D3861" t="s">
        <v>29</v>
      </c>
      <c r="E3861" t="s">
        <v>83</v>
      </c>
      <c r="F3861" t="s">
        <v>22</v>
      </c>
      <c r="G3861" t="s">
        <v>31</v>
      </c>
      <c r="H3861" s="1">
        <v>44236</v>
      </c>
      <c r="I3861" s="2">
        <v>44236.3833333333</v>
      </c>
      <c r="J3861">
        <v>9.2</v>
      </c>
      <c r="K3861" t="s">
        <v>24</v>
      </c>
      <c r="L3861">
        <v>2</v>
      </c>
      <c r="M3861">
        <v>4</v>
      </c>
      <c r="N3861" t="s">
        <v>363</v>
      </c>
      <c r="O3861" s="3" t="str">
        <f>TEXT(Ticket_Table[[#This Row],[raised_date]],"YYYY-MM")</f>
        <v>2021-02</v>
      </c>
      <c r="P3861" s="3" t="str">
        <f>IF(Ticket_Table[[#This Row],[resolution_hrs]]&lt;=4,"Fast",IF(Ticket_Table[[#This Row],[resolution_hrs]]&lt;=24,"Normal",IF(Ticket_Table[[#This Row],[resolution_hrs]]&lt;=48,"Slow","Very Slow")))</f>
        <v>Normal</v>
      </c>
      <c r="Q3861" s="3">
        <f>YEAR(Ticket_Table[[#This Row],[raised_date]])</f>
        <v>2021</v>
      </c>
    </row>
    <row r="3862" spans="1:17">
      <c r="A3862" t="s">
        <v>4423</v>
      </c>
      <c r="B3862" t="s">
        <v>395</v>
      </c>
      <c r="C3862" t="s">
        <v>175</v>
      </c>
      <c r="D3862" t="s">
        <v>36</v>
      </c>
      <c r="E3862" t="s">
        <v>51</v>
      </c>
      <c r="F3862" t="s">
        <v>22</v>
      </c>
      <c r="G3862" t="s">
        <v>23</v>
      </c>
      <c r="H3862" s="1">
        <v>44508</v>
      </c>
      <c r="I3862" s="2">
        <v>44511.1041666667</v>
      </c>
      <c r="J3862">
        <v>74.5</v>
      </c>
      <c r="K3862" t="s">
        <v>32</v>
      </c>
      <c r="L3862">
        <v>1</v>
      </c>
      <c r="M3862">
        <v>2</v>
      </c>
      <c r="N3862" t="s">
        <v>780</v>
      </c>
      <c r="O3862" s="3" t="str">
        <f>TEXT(Ticket_Table[[#This Row],[raised_date]],"YYYY-MM")</f>
        <v>2021-11</v>
      </c>
      <c r="P3862" s="3" t="str">
        <f>IF(Ticket_Table[[#This Row],[resolution_hrs]]&lt;=4,"Fast",IF(Ticket_Table[[#This Row],[resolution_hrs]]&lt;=24,"Normal",IF(Ticket_Table[[#This Row],[resolution_hrs]]&lt;=48,"Slow","Very Slow")))</f>
        <v>Very Slow</v>
      </c>
      <c r="Q3862" s="3">
        <f>YEAR(Ticket_Table[[#This Row],[raised_date]])</f>
        <v>2021</v>
      </c>
    </row>
    <row r="3863" spans="1:17">
      <c r="A3863" t="s">
        <v>4424</v>
      </c>
      <c r="B3863" t="s">
        <v>284</v>
      </c>
      <c r="C3863" t="s">
        <v>213</v>
      </c>
      <c r="D3863" t="s">
        <v>43</v>
      </c>
      <c r="E3863" t="s">
        <v>51</v>
      </c>
      <c r="F3863" t="s">
        <v>22</v>
      </c>
      <c r="G3863" t="s">
        <v>31</v>
      </c>
      <c r="H3863" s="1">
        <v>44298</v>
      </c>
      <c r="I3863" s="2">
        <v>44299.7166666667</v>
      </c>
      <c r="J3863">
        <v>41.2</v>
      </c>
      <c r="K3863" t="s">
        <v>24</v>
      </c>
      <c r="L3863">
        <v>2</v>
      </c>
      <c r="M3863">
        <v>4</v>
      </c>
      <c r="N3863" t="s">
        <v>382</v>
      </c>
      <c r="O3863" s="3" t="str">
        <f>TEXT(Ticket_Table[[#This Row],[raised_date]],"YYYY-MM")</f>
        <v>2021-04</v>
      </c>
      <c r="P3863" s="3" t="str">
        <f>IF(Ticket_Table[[#This Row],[resolution_hrs]]&lt;=4,"Fast",IF(Ticket_Table[[#This Row],[resolution_hrs]]&lt;=24,"Normal",IF(Ticket_Table[[#This Row],[resolution_hrs]]&lt;=48,"Slow","Very Slow")))</f>
        <v>Slow</v>
      </c>
      <c r="Q3863" s="3">
        <f>YEAR(Ticket_Table[[#This Row],[raised_date]])</f>
        <v>2021</v>
      </c>
    </row>
    <row r="3864" spans="1:17">
      <c r="A3864" t="s">
        <v>4425</v>
      </c>
      <c r="B3864" t="s">
        <v>335</v>
      </c>
      <c r="C3864" t="s">
        <v>95</v>
      </c>
      <c r="D3864" t="s">
        <v>29</v>
      </c>
      <c r="E3864" t="s">
        <v>44</v>
      </c>
      <c r="F3864" t="s">
        <v>22</v>
      </c>
      <c r="G3864" t="s">
        <v>31</v>
      </c>
      <c r="H3864" s="1">
        <v>45292</v>
      </c>
      <c r="I3864" s="2">
        <v>45293.4416666667</v>
      </c>
      <c r="J3864">
        <v>34.6</v>
      </c>
      <c r="K3864" t="s">
        <v>24</v>
      </c>
      <c r="L3864">
        <v>1</v>
      </c>
      <c r="M3864">
        <v>2</v>
      </c>
      <c r="N3864" t="s">
        <v>1202</v>
      </c>
      <c r="O3864" s="3" t="str">
        <f>TEXT(Ticket_Table[[#This Row],[raised_date]],"YYYY-MM")</f>
        <v>2024-01</v>
      </c>
      <c r="P3864" s="3" t="str">
        <f>IF(Ticket_Table[[#This Row],[resolution_hrs]]&lt;=4,"Fast",IF(Ticket_Table[[#This Row],[resolution_hrs]]&lt;=24,"Normal",IF(Ticket_Table[[#This Row],[resolution_hrs]]&lt;=48,"Slow","Very Slow")))</f>
        <v>Slow</v>
      </c>
      <c r="Q3864" s="3">
        <f>YEAR(Ticket_Table[[#This Row],[raised_date]])</f>
        <v>2024</v>
      </c>
    </row>
    <row r="3865" spans="1:17">
      <c r="A3865" t="s">
        <v>4426</v>
      </c>
      <c r="B3865" t="s">
        <v>805</v>
      </c>
      <c r="C3865" t="s">
        <v>28</v>
      </c>
      <c r="D3865" t="s">
        <v>29</v>
      </c>
      <c r="E3865" t="s">
        <v>44</v>
      </c>
      <c r="F3865" t="s">
        <v>22</v>
      </c>
      <c r="G3865" t="s">
        <v>46</v>
      </c>
      <c r="H3865" s="1">
        <v>44242</v>
      </c>
      <c r="I3865" s="2">
        <v>44246.0916666667</v>
      </c>
      <c r="J3865">
        <v>98.2</v>
      </c>
      <c r="K3865" t="s">
        <v>32</v>
      </c>
      <c r="L3865">
        <v>1</v>
      </c>
      <c r="M3865">
        <v>4</v>
      </c>
      <c r="N3865" t="s">
        <v>562</v>
      </c>
      <c r="O3865" s="3" t="str">
        <f>TEXT(Ticket_Table[[#This Row],[raised_date]],"YYYY-MM")</f>
        <v>2021-02</v>
      </c>
      <c r="P3865" s="3" t="str">
        <f>IF(Ticket_Table[[#This Row],[resolution_hrs]]&lt;=4,"Fast",IF(Ticket_Table[[#This Row],[resolution_hrs]]&lt;=24,"Normal",IF(Ticket_Table[[#This Row],[resolution_hrs]]&lt;=48,"Slow","Very Slow")))</f>
        <v>Very Slow</v>
      </c>
      <c r="Q3865" s="3">
        <f>YEAR(Ticket_Table[[#This Row],[raised_date]])</f>
        <v>2021</v>
      </c>
    </row>
    <row r="3866" spans="1:17">
      <c r="A3866" t="s">
        <v>4427</v>
      </c>
      <c r="B3866" t="s">
        <v>310</v>
      </c>
      <c r="C3866" t="s">
        <v>50</v>
      </c>
      <c r="D3866" t="s">
        <v>43</v>
      </c>
      <c r="E3866" t="s">
        <v>106</v>
      </c>
      <c r="F3866" t="s">
        <v>70</v>
      </c>
      <c r="G3866" t="s">
        <v>46</v>
      </c>
      <c r="H3866" s="1">
        <v>44577</v>
      </c>
      <c r="I3866" s="2">
        <v>44579.4333333333</v>
      </c>
      <c r="J3866">
        <v>58.4</v>
      </c>
      <c r="K3866" t="s">
        <v>32</v>
      </c>
      <c r="L3866">
        <v>1</v>
      </c>
      <c r="M3866">
        <v>4</v>
      </c>
      <c r="N3866" t="s">
        <v>237</v>
      </c>
      <c r="O3866" s="3" t="str">
        <f>TEXT(Ticket_Table[[#This Row],[raised_date]],"YYYY-MM")</f>
        <v>2022-01</v>
      </c>
      <c r="P3866" s="3" t="str">
        <f>IF(Ticket_Table[[#This Row],[resolution_hrs]]&lt;=4,"Fast",IF(Ticket_Table[[#This Row],[resolution_hrs]]&lt;=24,"Normal",IF(Ticket_Table[[#This Row],[resolution_hrs]]&lt;=48,"Slow","Very Slow")))</f>
        <v>Very Slow</v>
      </c>
      <c r="Q3866" s="3">
        <f>YEAR(Ticket_Table[[#This Row],[raised_date]])</f>
        <v>2022</v>
      </c>
    </row>
    <row r="3867" spans="1:17">
      <c r="A3867" t="s">
        <v>4428</v>
      </c>
      <c r="B3867" t="s">
        <v>235</v>
      </c>
      <c r="C3867" t="s">
        <v>117</v>
      </c>
      <c r="D3867" t="s">
        <v>43</v>
      </c>
      <c r="E3867" t="s">
        <v>69</v>
      </c>
      <c r="F3867" t="s">
        <v>22</v>
      </c>
      <c r="G3867" t="s">
        <v>31</v>
      </c>
      <c r="H3867" s="1">
        <v>44406</v>
      </c>
      <c r="I3867" s="2">
        <v>44406.8416666667</v>
      </c>
      <c r="J3867">
        <v>20.2</v>
      </c>
      <c r="K3867" t="s">
        <v>24</v>
      </c>
      <c r="L3867">
        <v>0</v>
      </c>
      <c r="M3867">
        <v>5</v>
      </c>
      <c r="N3867" t="s">
        <v>1291</v>
      </c>
      <c r="O3867" s="3" t="str">
        <f>TEXT(Ticket_Table[[#This Row],[raised_date]],"YYYY-MM")</f>
        <v>2021-07</v>
      </c>
      <c r="P3867" s="3" t="str">
        <f>IF(Ticket_Table[[#This Row],[resolution_hrs]]&lt;=4,"Fast",IF(Ticket_Table[[#This Row],[resolution_hrs]]&lt;=24,"Normal",IF(Ticket_Table[[#This Row],[resolution_hrs]]&lt;=48,"Slow","Very Slow")))</f>
        <v>Normal</v>
      </c>
      <c r="Q3867" s="3">
        <f>YEAR(Ticket_Table[[#This Row],[raised_date]])</f>
        <v>2021</v>
      </c>
    </row>
    <row r="3868" spans="1:17">
      <c r="A3868" t="s">
        <v>4429</v>
      </c>
      <c r="B3868" t="s">
        <v>434</v>
      </c>
      <c r="C3868" t="s">
        <v>213</v>
      </c>
      <c r="D3868" t="s">
        <v>90</v>
      </c>
      <c r="E3868" t="s">
        <v>83</v>
      </c>
      <c r="F3868" t="s">
        <v>70</v>
      </c>
      <c r="G3868" t="s">
        <v>91</v>
      </c>
      <c r="H3868" s="1">
        <v>44774</v>
      </c>
      <c r="I3868" s="2">
        <v>44774.0708333333</v>
      </c>
      <c r="J3868">
        <v>1.7</v>
      </c>
      <c r="K3868" t="s">
        <v>24</v>
      </c>
      <c r="L3868">
        <v>0</v>
      </c>
      <c r="M3868">
        <v>3</v>
      </c>
      <c r="N3868" t="s">
        <v>530</v>
      </c>
      <c r="O3868" s="3" t="str">
        <f>TEXT(Ticket_Table[[#This Row],[raised_date]],"YYYY-MM")</f>
        <v>2022-08</v>
      </c>
      <c r="P3868" s="3" t="str">
        <f>IF(Ticket_Table[[#This Row],[resolution_hrs]]&lt;=4,"Fast",IF(Ticket_Table[[#This Row],[resolution_hrs]]&lt;=24,"Normal",IF(Ticket_Table[[#This Row],[resolution_hrs]]&lt;=48,"Slow","Very Slow")))</f>
        <v>Fast</v>
      </c>
      <c r="Q3868" s="3">
        <f>YEAR(Ticket_Table[[#This Row],[raised_date]])</f>
        <v>2022</v>
      </c>
    </row>
    <row r="3869" spans="1:17">
      <c r="A3869" t="s">
        <v>4430</v>
      </c>
      <c r="B3869" t="s">
        <v>712</v>
      </c>
      <c r="C3869" t="s">
        <v>60</v>
      </c>
      <c r="D3869" t="s">
        <v>36</v>
      </c>
      <c r="E3869" t="s">
        <v>30</v>
      </c>
      <c r="F3869" t="s">
        <v>22</v>
      </c>
      <c r="G3869" t="s">
        <v>31</v>
      </c>
      <c r="H3869" s="1">
        <v>44748</v>
      </c>
      <c r="I3869" s="2">
        <v>44748.8375</v>
      </c>
      <c r="J3869">
        <v>20.1</v>
      </c>
      <c r="K3869" t="s">
        <v>24</v>
      </c>
      <c r="L3869">
        <v>1</v>
      </c>
      <c r="M3869">
        <v>4</v>
      </c>
      <c r="N3869" t="s">
        <v>169</v>
      </c>
      <c r="O3869" s="3" t="str">
        <f>TEXT(Ticket_Table[[#This Row],[raised_date]],"YYYY-MM")</f>
        <v>2022-07</v>
      </c>
      <c r="P3869" s="3" t="str">
        <f>IF(Ticket_Table[[#This Row],[resolution_hrs]]&lt;=4,"Fast",IF(Ticket_Table[[#This Row],[resolution_hrs]]&lt;=24,"Normal",IF(Ticket_Table[[#This Row],[resolution_hrs]]&lt;=48,"Slow","Very Slow")))</f>
        <v>Normal</v>
      </c>
      <c r="Q3869" s="3">
        <f>YEAR(Ticket_Table[[#This Row],[raised_date]])</f>
        <v>2022</v>
      </c>
    </row>
    <row r="3870" spans="1:17">
      <c r="A3870" t="s">
        <v>4431</v>
      </c>
      <c r="B3870" t="s">
        <v>970</v>
      </c>
      <c r="C3870" t="s">
        <v>78</v>
      </c>
      <c r="D3870" t="s">
        <v>20</v>
      </c>
      <c r="E3870" t="s">
        <v>106</v>
      </c>
      <c r="F3870" t="s">
        <v>45</v>
      </c>
      <c r="G3870" t="s">
        <v>23</v>
      </c>
      <c r="H3870" s="1">
        <v>44453</v>
      </c>
      <c r="I3870" s="2">
        <v>44453.1583333333</v>
      </c>
      <c r="J3870">
        <v>3.8</v>
      </c>
      <c r="K3870" t="s">
        <v>24</v>
      </c>
      <c r="L3870">
        <v>0</v>
      </c>
      <c r="M3870">
        <v>3</v>
      </c>
      <c r="N3870" t="s">
        <v>1091</v>
      </c>
      <c r="O3870" s="3" t="str">
        <f>TEXT(Ticket_Table[[#This Row],[raised_date]],"YYYY-MM")</f>
        <v>2021-09</v>
      </c>
      <c r="P3870" s="3" t="str">
        <f>IF(Ticket_Table[[#This Row],[resolution_hrs]]&lt;=4,"Fast",IF(Ticket_Table[[#This Row],[resolution_hrs]]&lt;=24,"Normal",IF(Ticket_Table[[#This Row],[resolution_hrs]]&lt;=48,"Slow","Very Slow")))</f>
        <v>Fast</v>
      </c>
      <c r="Q3870" s="3">
        <f>YEAR(Ticket_Table[[#This Row],[raised_date]])</f>
        <v>2021</v>
      </c>
    </row>
    <row r="3871" spans="1:17">
      <c r="A3871" t="s">
        <v>4432</v>
      </c>
      <c r="B3871" t="s">
        <v>424</v>
      </c>
      <c r="C3871" t="s">
        <v>50</v>
      </c>
      <c r="D3871" t="s">
        <v>90</v>
      </c>
      <c r="E3871" t="s">
        <v>21</v>
      </c>
      <c r="F3871" t="s">
        <v>45</v>
      </c>
      <c r="G3871" t="s">
        <v>31</v>
      </c>
      <c r="H3871" s="1">
        <v>45094</v>
      </c>
      <c r="I3871" s="2">
        <v>45094.1666666667</v>
      </c>
      <c r="J3871">
        <v>4</v>
      </c>
      <c r="K3871" t="s">
        <v>24</v>
      </c>
      <c r="L3871">
        <v>0</v>
      </c>
      <c r="M3871">
        <v>4</v>
      </c>
      <c r="N3871" t="s">
        <v>1013</v>
      </c>
      <c r="O3871" s="3" t="str">
        <f>TEXT(Ticket_Table[[#This Row],[raised_date]],"YYYY-MM")</f>
        <v>2023-06</v>
      </c>
      <c r="P3871" s="3" t="str">
        <f>IF(Ticket_Table[[#This Row],[resolution_hrs]]&lt;=4,"Fast",IF(Ticket_Table[[#This Row],[resolution_hrs]]&lt;=24,"Normal",IF(Ticket_Table[[#This Row],[resolution_hrs]]&lt;=48,"Slow","Very Slow")))</f>
        <v>Fast</v>
      </c>
      <c r="Q3871" s="3">
        <f>YEAR(Ticket_Table[[#This Row],[raised_date]])</f>
        <v>2023</v>
      </c>
    </row>
    <row r="3872" spans="1:17">
      <c r="A3872" t="s">
        <v>4433</v>
      </c>
      <c r="B3872" t="s">
        <v>581</v>
      </c>
      <c r="C3872" t="s">
        <v>213</v>
      </c>
      <c r="D3872" t="s">
        <v>29</v>
      </c>
      <c r="E3872" t="s">
        <v>56</v>
      </c>
      <c r="F3872" t="s">
        <v>70</v>
      </c>
      <c r="G3872" t="s">
        <v>46</v>
      </c>
      <c r="H3872" s="1">
        <v>44213</v>
      </c>
      <c r="I3872" s="2">
        <v>44213.1333333333</v>
      </c>
      <c r="J3872">
        <v>3.2</v>
      </c>
      <c r="K3872" t="s">
        <v>24</v>
      </c>
      <c r="L3872">
        <v>1</v>
      </c>
      <c r="M3872">
        <v>4</v>
      </c>
      <c r="N3872" t="s">
        <v>542</v>
      </c>
      <c r="O3872" s="3" t="str">
        <f>TEXT(Ticket_Table[[#This Row],[raised_date]],"YYYY-MM")</f>
        <v>2021-01</v>
      </c>
      <c r="P3872" s="3" t="str">
        <f>IF(Ticket_Table[[#This Row],[resolution_hrs]]&lt;=4,"Fast",IF(Ticket_Table[[#This Row],[resolution_hrs]]&lt;=24,"Normal",IF(Ticket_Table[[#This Row],[resolution_hrs]]&lt;=48,"Slow","Very Slow")))</f>
        <v>Fast</v>
      </c>
      <c r="Q3872" s="3">
        <f>YEAR(Ticket_Table[[#This Row],[raised_date]])</f>
        <v>2021</v>
      </c>
    </row>
    <row r="3873" spans="1:17">
      <c r="A3873" t="s">
        <v>4434</v>
      </c>
      <c r="B3873" t="s">
        <v>458</v>
      </c>
      <c r="C3873" t="s">
        <v>213</v>
      </c>
      <c r="D3873" t="s">
        <v>36</v>
      </c>
      <c r="E3873" t="s">
        <v>30</v>
      </c>
      <c r="F3873" t="s">
        <v>70</v>
      </c>
      <c r="G3873" t="s">
        <v>91</v>
      </c>
      <c r="H3873" s="1">
        <v>44673</v>
      </c>
      <c r="I3873" s="2">
        <v>44675.9291666667</v>
      </c>
      <c r="J3873">
        <v>70.3</v>
      </c>
      <c r="K3873" t="s">
        <v>32</v>
      </c>
      <c r="L3873">
        <v>1</v>
      </c>
      <c r="M3873">
        <v>3</v>
      </c>
      <c r="N3873" t="s">
        <v>899</v>
      </c>
      <c r="O3873" s="3" t="str">
        <f>TEXT(Ticket_Table[[#This Row],[raised_date]],"YYYY-MM")</f>
        <v>2022-04</v>
      </c>
      <c r="P3873" s="3" t="str">
        <f>IF(Ticket_Table[[#This Row],[resolution_hrs]]&lt;=4,"Fast",IF(Ticket_Table[[#This Row],[resolution_hrs]]&lt;=24,"Normal",IF(Ticket_Table[[#This Row],[resolution_hrs]]&lt;=48,"Slow","Very Slow")))</f>
        <v>Very Slow</v>
      </c>
      <c r="Q3873" s="3">
        <f>YEAR(Ticket_Table[[#This Row],[raised_date]])</f>
        <v>2022</v>
      </c>
    </row>
    <row r="3874" spans="1:17">
      <c r="A3874" t="s">
        <v>4435</v>
      </c>
      <c r="B3874" t="s">
        <v>876</v>
      </c>
      <c r="C3874" t="s">
        <v>95</v>
      </c>
      <c r="D3874" t="s">
        <v>36</v>
      </c>
      <c r="E3874" t="s">
        <v>21</v>
      </c>
      <c r="F3874" t="s">
        <v>70</v>
      </c>
      <c r="G3874" t="s">
        <v>23</v>
      </c>
      <c r="H3874" s="1">
        <v>44381</v>
      </c>
      <c r="I3874" s="2">
        <v>44383.9833333333</v>
      </c>
      <c r="J3874">
        <v>71.6</v>
      </c>
      <c r="K3874" t="s">
        <v>32</v>
      </c>
      <c r="L3874">
        <v>0</v>
      </c>
      <c r="M3874">
        <v>4</v>
      </c>
      <c r="N3874" t="s">
        <v>445</v>
      </c>
      <c r="O3874" s="3" t="str">
        <f>TEXT(Ticket_Table[[#This Row],[raised_date]],"YYYY-MM")</f>
        <v>2021-07</v>
      </c>
      <c r="P3874" s="3" t="str">
        <f>IF(Ticket_Table[[#This Row],[resolution_hrs]]&lt;=4,"Fast",IF(Ticket_Table[[#This Row],[resolution_hrs]]&lt;=24,"Normal",IF(Ticket_Table[[#This Row],[resolution_hrs]]&lt;=48,"Slow","Very Slow")))</f>
        <v>Very Slow</v>
      </c>
      <c r="Q3874" s="3">
        <f>YEAR(Ticket_Table[[#This Row],[raised_date]])</f>
        <v>2021</v>
      </c>
    </row>
    <row r="3875" spans="1:17">
      <c r="A3875" t="s">
        <v>4436</v>
      </c>
      <c r="B3875" t="s">
        <v>1265</v>
      </c>
      <c r="C3875" t="s">
        <v>82</v>
      </c>
      <c r="D3875" t="s">
        <v>43</v>
      </c>
      <c r="E3875" t="s">
        <v>106</v>
      </c>
      <c r="F3875" t="s">
        <v>70</v>
      </c>
      <c r="G3875" t="s">
        <v>31</v>
      </c>
      <c r="H3875" s="1">
        <v>44505</v>
      </c>
      <c r="I3875" s="2">
        <v>44506.475</v>
      </c>
      <c r="J3875">
        <v>35.4</v>
      </c>
      <c r="K3875" t="s">
        <v>24</v>
      </c>
      <c r="L3875">
        <v>0</v>
      </c>
      <c r="M3875">
        <v>4</v>
      </c>
      <c r="N3875" t="s">
        <v>334</v>
      </c>
      <c r="O3875" s="3" t="str">
        <f>TEXT(Ticket_Table[[#This Row],[raised_date]],"YYYY-MM")</f>
        <v>2021-11</v>
      </c>
      <c r="P3875" s="3" t="str">
        <f>IF(Ticket_Table[[#This Row],[resolution_hrs]]&lt;=4,"Fast",IF(Ticket_Table[[#This Row],[resolution_hrs]]&lt;=24,"Normal",IF(Ticket_Table[[#This Row],[resolution_hrs]]&lt;=48,"Slow","Very Slow")))</f>
        <v>Slow</v>
      </c>
      <c r="Q3875" s="3">
        <f>YEAR(Ticket_Table[[#This Row],[raised_date]])</f>
        <v>2021</v>
      </c>
    </row>
    <row r="3876" spans="1:17">
      <c r="A3876" t="s">
        <v>4437</v>
      </c>
      <c r="B3876" t="s">
        <v>67</v>
      </c>
      <c r="C3876" t="s">
        <v>175</v>
      </c>
      <c r="D3876" t="s">
        <v>36</v>
      </c>
      <c r="E3876" t="s">
        <v>166</v>
      </c>
      <c r="F3876" t="s">
        <v>38</v>
      </c>
      <c r="G3876" t="s">
        <v>23</v>
      </c>
      <c r="H3876" s="1">
        <v>44227</v>
      </c>
      <c r="I3876" s="2">
        <v>44227.9375</v>
      </c>
      <c r="J3876">
        <v>22.5</v>
      </c>
      <c r="K3876" t="s">
        <v>24</v>
      </c>
      <c r="L3876">
        <v>0</v>
      </c>
      <c r="M3876">
        <v>4</v>
      </c>
      <c r="N3876" t="s">
        <v>826</v>
      </c>
      <c r="O3876" s="3" t="str">
        <f>TEXT(Ticket_Table[[#This Row],[raised_date]],"YYYY-MM")</f>
        <v>2021-01</v>
      </c>
      <c r="P3876" s="3" t="str">
        <f>IF(Ticket_Table[[#This Row],[resolution_hrs]]&lt;=4,"Fast",IF(Ticket_Table[[#This Row],[resolution_hrs]]&lt;=24,"Normal",IF(Ticket_Table[[#This Row],[resolution_hrs]]&lt;=48,"Slow","Very Slow")))</f>
        <v>Normal</v>
      </c>
      <c r="Q3876" s="3">
        <f>YEAR(Ticket_Table[[#This Row],[raised_date]])</f>
        <v>2021</v>
      </c>
    </row>
    <row r="3877" spans="1:17">
      <c r="A3877" t="s">
        <v>4438</v>
      </c>
      <c r="B3877" t="s">
        <v>1064</v>
      </c>
      <c r="C3877" t="s">
        <v>117</v>
      </c>
      <c r="D3877" t="s">
        <v>36</v>
      </c>
      <c r="E3877" t="s">
        <v>106</v>
      </c>
      <c r="F3877" t="s">
        <v>70</v>
      </c>
      <c r="G3877" t="s">
        <v>31</v>
      </c>
      <c r="H3877" s="1">
        <v>45207</v>
      </c>
      <c r="I3877" s="2">
        <v>45208.6583333333</v>
      </c>
      <c r="J3877">
        <v>39.8</v>
      </c>
      <c r="K3877" t="s">
        <v>24</v>
      </c>
      <c r="L3877">
        <v>0</v>
      </c>
      <c r="M3877">
        <v>1</v>
      </c>
      <c r="N3877" t="s">
        <v>323</v>
      </c>
      <c r="O3877" s="3" t="str">
        <f>TEXT(Ticket_Table[[#This Row],[raised_date]],"YYYY-MM")</f>
        <v>2023-10</v>
      </c>
      <c r="P3877" s="3" t="str">
        <f>IF(Ticket_Table[[#This Row],[resolution_hrs]]&lt;=4,"Fast",IF(Ticket_Table[[#This Row],[resolution_hrs]]&lt;=24,"Normal",IF(Ticket_Table[[#This Row],[resolution_hrs]]&lt;=48,"Slow","Very Slow")))</f>
        <v>Slow</v>
      </c>
      <c r="Q3877" s="3">
        <f>YEAR(Ticket_Table[[#This Row],[raised_date]])</f>
        <v>2023</v>
      </c>
    </row>
    <row r="3878" spans="1:17">
      <c r="A3878" t="s">
        <v>4439</v>
      </c>
      <c r="B3878" t="s">
        <v>344</v>
      </c>
      <c r="C3878" t="s">
        <v>42</v>
      </c>
      <c r="D3878" t="s">
        <v>29</v>
      </c>
      <c r="E3878" t="s">
        <v>106</v>
      </c>
      <c r="F3878" t="s">
        <v>38</v>
      </c>
      <c r="G3878" t="s">
        <v>23</v>
      </c>
      <c r="H3878" s="1">
        <v>44641</v>
      </c>
      <c r="I3878" s="2">
        <v>44641.2708333333</v>
      </c>
      <c r="J3878">
        <v>6.5</v>
      </c>
      <c r="K3878" t="s">
        <v>24</v>
      </c>
      <c r="L3878">
        <v>2</v>
      </c>
      <c r="M3878">
        <v>3</v>
      </c>
      <c r="N3878" t="s">
        <v>191</v>
      </c>
      <c r="O3878" s="3" t="str">
        <f>TEXT(Ticket_Table[[#This Row],[raised_date]],"YYYY-MM")</f>
        <v>2022-03</v>
      </c>
      <c r="P3878" s="3" t="str">
        <f>IF(Ticket_Table[[#This Row],[resolution_hrs]]&lt;=4,"Fast",IF(Ticket_Table[[#This Row],[resolution_hrs]]&lt;=24,"Normal",IF(Ticket_Table[[#This Row],[resolution_hrs]]&lt;=48,"Slow","Very Slow")))</f>
        <v>Normal</v>
      </c>
      <c r="Q3878" s="3">
        <f>YEAR(Ticket_Table[[#This Row],[raised_date]])</f>
        <v>2022</v>
      </c>
    </row>
    <row r="3879" spans="1:17">
      <c r="A3879" t="s">
        <v>4440</v>
      </c>
      <c r="B3879" t="s">
        <v>640</v>
      </c>
      <c r="C3879" t="s">
        <v>95</v>
      </c>
      <c r="D3879" t="s">
        <v>90</v>
      </c>
      <c r="E3879" t="s">
        <v>106</v>
      </c>
      <c r="F3879" t="s">
        <v>45</v>
      </c>
      <c r="G3879" t="s">
        <v>31</v>
      </c>
      <c r="H3879" s="1">
        <v>44897</v>
      </c>
      <c r="I3879" s="2">
        <v>44897.1958333333</v>
      </c>
      <c r="J3879">
        <v>4.7</v>
      </c>
      <c r="K3879" t="s">
        <v>32</v>
      </c>
      <c r="L3879">
        <v>0</v>
      </c>
      <c r="M3879">
        <v>3</v>
      </c>
      <c r="N3879" t="s">
        <v>460</v>
      </c>
      <c r="O3879" s="3" t="str">
        <f>TEXT(Ticket_Table[[#This Row],[raised_date]],"YYYY-MM")</f>
        <v>2022-12</v>
      </c>
      <c r="P3879" s="3" t="str">
        <f>IF(Ticket_Table[[#This Row],[resolution_hrs]]&lt;=4,"Fast",IF(Ticket_Table[[#This Row],[resolution_hrs]]&lt;=24,"Normal",IF(Ticket_Table[[#This Row],[resolution_hrs]]&lt;=48,"Slow","Very Slow")))</f>
        <v>Normal</v>
      </c>
      <c r="Q3879" s="3">
        <f>YEAR(Ticket_Table[[#This Row],[raised_date]])</f>
        <v>2022</v>
      </c>
    </row>
    <row r="3880" spans="1:17">
      <c r="A3880" t="s">
        <v>4441</v>
      </c>
      <c r="B3880" t="s">
        <v>224</v>
      </c>
      <c r="C3880" t="s">
        <v>78</v>
      </c>
      <c r="D3880" t="s">
        <v>36</v>
      </c>
      <c r="E3880" t="s">
        <v>44</v>
      </c>
      <c r="F3880" t="s">
        <v>70</v>
      </c>
      <c r="G3880" t="s">
        <v>91</v>
      </c>
      <c r="H3880" s="1">
        <v>45057</v>
      </c>
      <c r="I3880" s="2">
        <v>45059.7833333333</v>
      </c>
      <c r="J3880">
        <v>66.8</v>
      </c>
      <c r="K3880" t="s">
        <v>32</v>
      </c>
      <c r="L3880">
        <v>3</v>
      </c>
      <c r="M3880">
        <v>3</v>
      </c>
      <c r="N3880" t="s">
        <v>1164</v>
      </c>
      <c r="O3880" s="3" t="str">
        <f>TEXT(Ticket_Table[[#This Row],[raised_date]],"YYYY-MM")</f>
        <v>2023-05</v>
      </c>
      <c r="P3880" s="3" t="str">
        <f>IF(Ticket_Table[[#This Row],[resolution_hrs]]&lt;=4,"Fast",IF(Ticket_Table[[#This Row],[resolution_hrs]]&lt;=24,"Normal",IF(Ticket_Table[[#This Row],[resolution_hrs]]&lt;=48,"Slow","Very Slow")))</f>
        <v>Very Slow</v>
      </c>
      <c r="Q3880" s="3">
        <f>YEAR(Ticket_Table[[#This Row],[raised_date]])</f>
        <v>2023</v>
      </c>
    </row>
    <row r="3881" spans="1:17">
      <c r="A3881" t="s">
        <v>4442</v>
      </c>
      <c r="B3881" t="s">
        <v>41</v>
      </c>
      <c r="C3881" t="s">
        <v>261</v>
      </c>
      <c r="D3881" t="s">
        <v>43</v>
      </c>
      <c r="E3881" t="s">
        <v>83</v>
      </c>
      <c r="F3881" t="s">
        <v>70</v>
      </c>
      <c r="G3881" t="s">
        <v>23</v>
      </c>
      <c r="H3881" s="1">
        <v>44835</v>
      </c>
      <c r="I3881" s="2">
        <v>44835.6125</v>
      </c>
      <c r="J3881">
        <v>14.7</v>
      </c>
      <c r="K3881" t="s">
        <v>24</v>
      </c>
      <c r="L3881">
        <v>0</v>
      </c>
      <c r="M3881">
        <v>2</v>
      </c>
      <c r="N3881" t="s">
        <v>1129</v>
      </c>
      <c r="O3881" s="3" t="str">
        <f>TEXT(Ticket_Table[[#This Row],[raised_date]],"YYYY-MM")</f>
        <v>2022-10</v>
      </c>
      <c r="P3881" s="3" t="str">
        <f>IF(Ticket_Table[[#This Row],[resolution_hrs]]&lt;=4,"Fast",IF(Ticket_Table[[#This Row],[resolution_hrs]]&lt;=24,"Normal",IF(Ticket_Table[[#This Row],[resolution_hrs]]&lt;=48,"Slow","Very Slow")))</f>
        <v>Normal</v>
      </c>
      <c r="Q3881" s="3">
        <f>YEAR(Ticket_Table[[#This Row],[raised_date]])</f>
        <v>2022</v>
      </c>
    </row>
    <row r="3882" spans="1:17">
      <c r="A3882" t="s">
        <v>4443</v>
      </c>
      <c r="B3882" t="s">
        <v>212</v>
      </c>
      <c r="C3882" t="s">
        <v>201</v>
      </c>
      <c r="D3882" t="s">
        <v>90</v>
      </c>
      <c r="E3882" t="s">
        <v>106</v>
      </c>
      <c r="F3882" t="s">
        <v>22</v>
      </c>
      <c r="G3882" t="s">
        <v>31</v>
      </c>
      <c r="H3882" s="1">
        <v>45217</v>
      </c>
      <c r="I3882" s="2">
        <v>45217.175</v>
      </c>
      <c r="J3882">
        <v>4.2</v>
      </c>
      <c r="K3882" t="s">
        <v>24</v>
      </c>
      <c r="L3882">
        <v>0</v>
      </c>
      <c r="M3882">
        <v>4</v>
      </c>
      <c r="N3882" t="s">
        <v>397</v>
      </c>
      <c r="O3882" s="3" t="str">
        <f>TEXT(Ticket_Table[[#This Row],[raised_date]],"YYYY-MM")</f>
        <v>2023-10</v>
      </c>
      <c r="P3882" s="3" t="str">
        <f>IF(Ticket_Table[[#This Row],[resolution_hrs]]&lt;=4,"Fast",IF(Ticket_Table[[#This Row],[resolution_hrs]]&lt;=24,"Normal",IF(Ticket_Table[[#This Row],[resolution_hrs]]&lt;=48,"Slow","Very Slow")))</f>
        <v>Normal</v>
      </c>
      <c r="Q3882" s="3">
        <f>YEAR(Ticket_Table[[#This Row],[raised_date]])</f>
        <v>2023</v>
      </c>
    </row>
    <row r="3883" spans="1:17">
      <c r="A3883" t="s">
        <v>4444</v>
      </c>
      <c r="B3883" t="s">
        <v>959</v>
      </c>
      <c r="C3883" t="s">
        <v>82</v>
      </c>
      <c r="D3883" t="s">
        <v>43</v>
      </c>
      <c r="E3883" t="s">
        <v>44</v>
      </c>
      <c r="F3883" t="s">
        <v>22</v>
      </c>
      <c r="G3883" t="s">
        <v>46</v>
      </c>
      <c r="H3883" s="1">
        <v>44957</v>
      </c>
      <c r="I3883" s="2">
        <v>44957.1458333333</v>
      </c>
      <c r="J3883">
        <v>3.5</v>
      </c>
      <c r="K3883" t="s">
        <v>24</v>
      </c>
      <c r="L3883">
        <v>1</v>
      </c>
      <c r="M3883">
        <v>4</v>
      </c>
      <c r="N3883" t="s">
        <v>802</v>
      </c>
      <c r="O3883" s="3" t="str">
        <f>TEXT(Ticket_Table[[#This Row],[raised_date]],"YYYY-MM")</f>
        <v>2023-01</v>
      </c>
      <c r="P3883" s="3" t="str">
        <f>IF(Ticket_Table[[#This Row],[resolution_hrs]]&lt;=4,"Fast",IF(Ticket_Table[[#This Row],[resolution_hrs]]&lt;=24,"Normal",IF(Ticket_Table[[#This Row],[resolution_hrs]]&lt;=48,"Slow","Very Slow")))</f>
        <v>Fast</v>
      </c>
      <c r="Q3883" s="3">
        <f>YEAR(Ticket_Table[[#This Row],[raised_date]])</f>
        <v>2023</v>
      </c>
    </row>
    <row r="3884" spans="1:17">
      <c r="A3884" t="s">
        <v>4445</v>
      </c>
      <c r="B3884" t="s">
        <v>35</v>
      </c>
      <c r="C3884" t="s">
        <v>287</v>
      </c>
      <c r="D3884" t="s">
        <v>36</v>
      </c>
      <c r="E3884" t="s">
        <v>21</v>
      </c>
      <c r="F3884" t="s">
        <v>70</v>
      </c>
      <c r="G3884" t="s">
        <v>23</v>
      </c>
      <c r="H3884" s="1">
        <v>45146</v>
      </c>
      <c r="I3884" s="2">
        <v>45147.5541666667</v>
      </c>
      <c r="J3884">
        <v>37.3</v>
      </c>
      <c r="K3884" t="s">
        <v>24</v>
      </c>
      <c r="L3884">
        <v>0</v>
      </c>
      <c r="M3884">
        <v>1</v>
      </c>
      <c r="N3884" t="s">
        <v>105</v>
      </c>
      <c r="O3884" s="3" t="str">
        <f>TEXT(Ticket_Table[[#This Row],[raised_date]],"YYYY-MM")</f>
        <v>2023-08</v>
      </c>
      <c r="P3884" s="3" t="str">
        <f>IF(Ticket_Table[[#This Row],[resolution_hrs]]&lt;=4,"Fast",IF(Ticket_Table[[#This Row],[resolution_hrs]]&lt;=24,"Normal",IF(Ticket_Table[[#This Row],[resolution_hrs]]&lt;=48,"Slow","Very Slow")))</f>
        <v>Slow</v>
      </c>
      <c r="Q3884" s="3">
        <f>YEAR(Ticket_Table[[#This Row],[raised_date]])</f>
        <v>2023</v>
      </c>
    </row>
    <row r="3885" spans="1:17">
      <c r="A3885" t="s">
        <v>4446</v>
      </c>
      <c r="B3885" t="s">
        <v>833</v>
      </c>
      <c r="C3885" t="s">
        <v>64</v>
      </c>
      <c r="D3885" t="s">
        <v>90</v>
      </c>
      <c r="E3885" t="s">
        <v>69</v>
      </c>
      <c r="F3885" t="s">
        <v>22</v>
      </c>
      <c r="G3885" t="s">
        <v>31</v>
      </c>
      <c r="H3885" s="1">
        <v>44261</v>
      </c>
      <c r="I3885" s="2">
        <v>44261.7208333333</v>
      </c>
      <c r="J3885">
        <v>17.3</v>
      </c>
      <c r="K3885" t="s">
        <v>24</v>
      </c>
      <c r="L3885">
        <v>0</v>
      </c>
      <c r="M3885">
        <v>4</v>
      </c>
      <c r="N3885" t="s">
        <v>612</v>
      </c>
      <c r="O3885" s="3" t="str">
        <f>TEXT(Ticket_Table[[#This Row],[raised_date]],"YYYY-MM")</f>
        <v>2021-03</v>
      </c>
      <c r="P3885" s="3" t="str">
        <f>IF(Ticket_Table[[#This Row],[resolution_hrs]]&lt;=4,"Fast",IF(Ticket_Table[[#This Row],[resolution_hrs]]&lt;=24,"Normal",IF(Ticket_Table[[#This Row],[resolution_hrs]]&lt;=48,"Slow","Very Slow")))</f>
        <v>Normal</v>
      </c>
      <c r="Q3885" s="3">
        <f>YEAR(Ticket_Table[[#This Row],[raised_date]])</f>
        <v>2021</v>
      </c>
    </row>
    <row r="3886" spans="1:17">
      <c r="A3886" t="s">
        <v>4447</v>
      </c>
      <c r="B3886" t="s">
        <v>866</v>
      </c>
      <c r="C3886" t="s">
        <v>50</v>
      </c>
      <c r="D3886" t="s">
        <v>36</v>
      </c>
      <c r="E3886" t="s">
        <v>83</v>
      </c>
      <c r="F3886" t="s">
        <v>38</v>
      </c>
      <c r="G3886" t="s">
        <v>46</v>
      </c>
      <c r="H3886" s="1">
        <v>44873</v>
      </c>
      <c r="I3886" s="2">
        <v>44874.3041666667</v>
      </c>
      <c r="J3886">
        <v>31.3</v>
      </c>
      <c r="K3886" t="s">
        <v>32</v>
      </c>
      <c r="L3886">
        <v>3</v>
      </c>
      <c r="M3886">
        <v>5</v>
      </c>
      <c r="N3886" t="s">
        <v>646</v>
      </c>
      <c r="O3886" s="3" t="str">
        <f>TEXT(Ticket_Table[[#This Row],[raised_date]],"YYYY-MM")</f>
        <v>2022-11</v>
      </c>
      <c r="P3886" s="3" t="str">
        <f>IF(Ticket_Table[[#This Row],[resolution_hrs]]&lt;=4,"Fast",IF(Ticket_Table[[#This Row],[resolution_hrs]]&lt;=24,"Normal",IF(Ticket_Table[[#This Row],[resolution_hrs]]&lt;=48,"Slow","Very Slow")))</f>
        <v>Slow</v>
      </c>
      <c r="Q3886" s="3">
        <f>YEAR(Ticket_Table[[#This Row],[raised_date]])</f>
        <v>2022</v>
      </c>
    </row>
    <row r="3887" spans="1:17">
      <c r="A3887" t="s">
        <v>4448</v>
      </c>
      <c r="B3887" t="s">
        <v>191</v>
      </c>
      <c r="C3887" t="s">
        <v>117</v>
      </c>
      <c r="D3887" t="s">
        <v>29</v>
      </c>
      <c r="E3887" t="s">
        <v>21</v>
      </c>
      <c r="F3887" t="s">
        <v>22</v>
      </c>
      <c r="G3887" t="s">
        <v>31</v>
      </c>
      <c r="H3887" s="1">
        <v>44361</v>
      </c>
      <c r="I3887" s="2">
        <v>44361.5541666667</v>
      </c>
      <c r="J3887">
        <v>13.3</v>
      </c>
      <c r="K3887" t="s">
        <v>24</v>
      </c>
      <c r="L3887">
        <v>1</v>
      </c>
      <c r="M3887">
        <v>1</v>
      </c>
      <c r="N3887" t="s">
        <v>323</v>
      </c>
      <c r="O3887" s="3" t="str">
        <f>TEXT(Ticket_Table[[#This Row],[raised_date]],"YYYY-MM")</f>
        <v>2021-06</v>
      </c>
      <c r="P3887" s="3" t="str">
        <f>IF(Ticket_Table[[#This Row],[resolution_hrs]]&lt;=4,"Fast",IF(Ticket_Table[[#This Row],[resolution_hrs]]&lt;=24,"Normal",IF(Ticket_Table[[#This Row],[resolution_hrs]]&lt;=48,"Slow","Very Slow")))</f>
        <v>Normal</v>
      </c>
      <c r="Q3887" s="3">
        <f>YEAR(Ticket_Table[[#This Row],[raised_date]])</f>
        <v>2021</v>
      </c>
    </row>
    <row r="3888" spans="1:17">
      <c r="A3888" t="s">
        <v>4449</v>
      </c>
      <c r="B3888" t="s">
        <v>349</v>
      </c>
      <c r="C3888" t="s">
        <v>175</v>
      </c>
      <c r="D3888" t="s">
        <v>90</v>
      </c>
      <c r="E3888" t="s">
        <v>51</v>
      </c>
      <c r="F3888" t="s">
        <v>70</v>
      </c>
      <c r="G3888" t="s">
        <v>31</v>
      </c>
      <c r="H3888" s="1">
        <v>44496</v>
      </c>
      <c r="I3888" s="2">
        <v>44496.6833333333</v>
      </c>
      <c r="J3888">
        <v>16.4</v>
      </c>
      <c r="K3888" t="s">
        <v>24</v>
      </c>
      <c r="L3888">
        <v>0</v>
      </c>
      <c r="M3888">
        <v>3</v>
      </c>
      <c r="N3888" t="s">
        <v>764</v>
      </c>
      <c r="O3888" s="3" t="str">
        <f>TEXT(Ticket_Table[[#This Row],[raised_date]],"YYYY-MM")</f>
        <v>2021-10</v>
      </c>
      <c r="P3888" s="3" t="str">
        <f>IF(Ticket_Table[[#This Row],[resolution_hrs]]&lt;=4,"Fast",IF(Ticket_Table[[#This Row],[resolution_hrs]]&lt;=24,"Normal",IF(Ticket_Table[[#This Row],[resolution_hrs]]&lt;=48,"Slow","Very Slow")))</f>
        <v>Normal</v>
      </c>
      <c r="Q3888" s="3">
        <f>YEAR(Ticket_Table[[#This Row],[raised_date]])</f>
        <v>2021</v>
      </c>
    </row>
    <row r="3889" spans="1:17">
      <c r="A3889" t="s">
        <v>4450</v>
      </c>
      <c r="B3889" t="s">
        <v>588</v>
      </c>
      <c r="C3889" t="s">
        <v>102</v>
      </c>
      <c r="D3889" t="s">
        <v>43</v>
      </c>
      <c r="E3889" t="s">
        <v>30</v>
      </c>
      <c r="F3889" t="s">
        <v>70</v>
      </c>
      <c r="G3889" t="s">
        <v>46</v>
      </c>
      <c r="H3889" s="1">
        <v>44311</v>
      </c>
      <c r="I3889" s="2">
        <v>44312.0125</v>
      </c>
      <c r="J3889">
        <v>24.3</v>
      </c>
      <c r="K3889" t="s">
        <v>24</v>
      </c>
      <c r="L3889">
        <v>0</v>
      </c>
      <c r="M3889">
        <v>4</v>
      </c>
      <c r="N3889" t="s">
        <v>368</v>
      </c>
      <c r="O3889" s="3" t="str">
        <f>TEXT(Ticket_Table[[#This Row],[raised_date]],"YYYY-MM")</f>
        <v>2021-04</v>
      </c>
      <c r="P3889" s="3" t="str">
        <f>IF(Ticket_Table[[#This Row],[resolution_hrs]]&lt;=4,"Fast",IF(Ticket_Table[[#This Row],[resolution_hrs]]&lt;=24,"Normal",IF(Ticket_Table[[#This Row],[resolution_hrs]]&lt;=48,"Slow","Very Slow")))</f>
        <v>Slow</v>
      </c>
      <c r="Q3889" s="3">
        <f>YEAR(Ticket_Table[[#This Row],[raised_date]])</f>
        <v>2021</v>
      </c>
    </row>
    <row r="3890" spans="1:17">
      <c r="A3890" t="s">
        <v>4451</v>
      </c>
      <c r="B3890" t="s">
        <v>597</v>
      </c>
      <c r="C3890" t="s">
        <v>42</v>
      </c>
      <c r="D3890" t="s">
        <v>29</v>
      </c>
      <c r="E3890" t="s">
        <v>56</v>
      </c>
      <c r="F3890" t="s">
        <v>38</v>
      </c>
      <c r="G3890" t="s">
        <v>23</v>
      </c>
      <c r="H3890" s="1">
        <v>44742</v>
      </c>
      <c r="I3890" s="2">
        <v>44742.3625</v>
      </c>
      <c r="J3890">
        <v>8.7</v>
      </c>
      <c r="K3890" t="s">
        <v>24</v>
      </c>
      <c r="L3890">
        <v>0</v>
      </c>
      <c r="M3890">
        <v>3</v>
      </c>
      <c r="N3890" t="s">
        <v>1833</v>
      </c>
      <c r="O3890" s="3" t="str">
        <f>TEXT(Ticket_Table[[#This Row],[raised_date]],"YYYY-MM")</f>
        <v>2022-06</v>
      </c>
      <c r="P3890" s="3" t="str">
        <f>IF(Ticket_Table[[#This Row],[resolution_hrs]]&lt;=4,"Fast",IF(Ticket_Table[[#This Row],[resolution_hrs]]&lt;=24,"Normal",IF(Ticket_Table[[#This Row],[resolution_hrs]]&lt;=48,"Slow","Very Slow")))</f>
        <v>Normal</v>
      </c>
      <c r="Q3890" s="3">
        <f>YEAR(Ticket_Table[[#This Row],[raised_date]])</f>
        <v>2022</v>
      </c>
    </row>
    <row r="3891" spans="1:17">
      <c r="A3891" t="s">
        <v>4452</v>
      </c>
      <c r="B3891" t="s">
        <v>1191</v>
      </c>
      <c r="C3891" t="s">
        <v>102</v>
      </c>
      <c r="D3891" t="s">
        <v>20</v>
      </c>
      <c r="E3891" t="s">
        <v>51</v>
      </c>
      <c r="F3891" t="s">
        <v>70</v>
      </c>
      <c r="G3891" t="s">
        <v>23</v>
      </c>
      <c r="H3891" s="1">
        <v>45000</v>
      </c>
      <c r="I3891" s="2">
        <v>45002.1958333333</v>
      </c>
      <c r="J3891">
        <v>52.7</v>
      </c>
      <c r="K3891" t="s">
        <v>32</v>
      </c>
      <c r="L3891">
        <v>3</v>
      </c>
      <c r="M3891">
        <v>4</v>
      </c>
      <c r="N3891" t="s">
        <v>424</v>
      </c>
      <c r="O3891" s="3" t="str">
        <f>TEXT(Ticket_Table[[#This Row],[raised_date]],"YYYY-MM")</f>
        <v>2023-03</v>
      </c>
      <c r="P3891" s="3" t="str">
        <f>IF(Ticket_Table[[#This Row],[resolution_hrs]]&lt;=4,"Fast",IF(Ticket_Table[[#This Row],[resolution_hrs]]&lt;=24,"Normal",IF(Ticket_Table[[#This Row],[resolution_hrs]]&lt;=48,"Slow","Very Slow")))</f>
        <v>Very Slow</v>
      </c>
      <c r="Q3891" s="3">
        <f>YEAR(Ticket_Table[[#This Row],[raised_date]])</f>
        <v>2023</v>
      </c>
    </row>
    <row r="3892" spans="1:17">
      <c r="A3892" t="s">
        <v>4453</v>
      </c>
      <c r="B3892" t="s">
        <v>810</v>
      </c>
      <c r="C3892" t="s">
        <v>117</v>
      </c>
      <c r="D3892" t="s">
        <v>43</v>
      </c>
      <c r="E3892" t="s">
        <v>37</v>
      </c>
      <c r="F3892" t="s">
        <v>38</v>
      </c>
      <c r="G3892" t="s">
        <v>46</v>
      </c>
      <c r="H3892" s="1">
        <v>44343</v>
      </c>
      <c r="I3892" s="2">
        <v>44344.4125</v>
      </c>
      <c r="J3892">
        <v>33.9</v>
      </c>
      <c r="K3892" t="s">
        <v>32</v>
      </c>
      <c r="L3892">
        <v>1</v>
      </c>
      <c r="M3892">
        <v>3</v>
      </c>
      <c r="N3892" t="s">
        <v>468</v>
      </c>
      <c r="O3892" s="3" t="str">
        <f>TEXT(Ticket_Table[[#This Row],[raised_date]],"YYYY-MM")</f>
        <v>2021-05</v>
      </c>
      <c r="P3892" s="3" t="str">
        <f>IF(Ticket_Table[[#This Row],[resolution_hrs]]&lt;=4,"Fast",IF(Ticket_Table[[#This Row],[resolution_hrs]]&lt;=24,"Normal",IF(Ticket_Table[[#This Row],[resolution_hrs]]&lt;=48,"Slow","Very Slow")))</f>
        <v>Slow</v>
      </c>
      <c r="Q3892" s="3">
        <f>YEAR(Ticket_Table[[#This Row],[raised_date]])</f>
        <v>2021</v>
      </c>
    </row>
    <row r="3893" spans="1:17">
      <c r="A3893" t="s">
        <v>4454</v>
      </c>
      <c r="B3893" t="s">
        <v>652</v>
      </c>
      <c r="C3893" t="s">
        <v>133</v>
      </c>
      <c r="D3893" t="s">
        <v>36</v>
      </c>
      <c r="E3893" t="s">
        <v>69</v>
      </c>
      <c r="F3893" t="s">
        <v>70</v>
      </c>
      <c r="G3893" t="s">
        <v>31</v>
      </c>
      <c r="H3893" s="1">
        <v>45159</v>
      </c>
      <c r="I3893" s="2">
        <v>45159.8333333333</v>
      </c>
      <c r="J3893">
        <v>20</v>
      </c>
      <c r="K3893" t="s">
        <v>24</v>
      </c>
      <c r="L3893">
        <v>0</v>
      </c>
      <c r="M3893">
        <v>3</v>
      </c>
      <c r="N3893" t="s">
        <v>132</v>
      </c>
      <c r="O3893" s="3" t="str">
        <f>TEXT(Ticket_Table[[#This Row],[raised_date]],"YYYY-MM")</f>
        <v>2023-08</v>
      </c>
      <c r="P3893" s="3" t="str">
        <f>IF(Ticket_Table[[#This Row],[resolution_hrs]]&lt;=4,"Fast",IF(Ticket_Table[[#This Row],[resolution_hrs]]&lt;=24,"Normal",IF(Ticket_Table[[#This Row],[resolution_hrs]]&lt;=48,"Slow","Very Slow")))</f>
        <v>Normal</v>
      </c>
      <c r="Q3893" s="3">
        <f>YEAR(Ticket_Table[[#This Row],[raised_date]])</f>
        <v>2023</v>
      </c>
    </row>
    <row r="3894" spans="1:17">
      <c r="A3894" t="s">
        <v>4455</v>
      </c>
      <c r="B3894" t="s">
        <v>680</v>
      </c>
      <c r="C3894" t="s">
        <v>140</v>
      </c>
      <c r="D3894" t="s">
        <v>43</v>
      </c>
      <c r="E3894" t="s">
        <v>37</v>
      </c>
      <c r="F3894" t="s">
        <v>70</v>
      </c>
      <c r="G3894" t="s">
        <v>31</v>
      </c>
      <c r="H3894" s="1">
        <v>44568</v>
      </c>
      <c r="I3894" s="2">
        <v>44569.4666666667</v>
      </c>
      <c r="J3894">
        <v>35.2</v>
      </c>
      <c r="K3894" t="s">
        <v>24</v>
      </c>
      <c r="L3894">
        <v>0</v>
      </c>
      <c r="M3894">
        <v>1</v>
      </c>
      <c r="N3894" t="s">
        <v>956</v>
      </c>
      <c r="O3894" s="3" t="str">
        <f>TEXT(Ticket_Table[[#This Row],[raised_date]],"YYYY-MM")</f>
        <v>2022-01</v>
      </c>
      <c r="P3894" s="3" t="str">
        <f>IF(Ticket_Table[[#This Row],[resolution_hrs]]&lt;=4,"Fast",IF(Ticket_Table[[#This Row],[resolution_hrs]]&lt;=24,"Normal",IF(Ticket_Table[[#This Row],[resolution_hrs]]&lt;=48,"Slow","Very Slow")))</f>
        <v>Slow</v>
      </c>
      <c r="Q3894" s="3">
        <f>YEAR(Ticket_Table[[#This Row],[raised_date]])</f>
        <v>2022</v>
      </c>
    </row>
    <row r="3895" spans="1:17">
      <c r="A3895" t="s">
        <v>4456</v>
      </c>
      <c r="B3895" t="s">
        <v>1112</v>
      </c>
      <c r="C3895" t="s">
        <v>55</v>
      </c>
      <c r="D3895" t="s">
        <v>20</v>
      </c>
      <c r="E3895" t="s">
        <v>166</v>
      </c>
      <c r="F3895" t="s">
        <v>22</v>
      </c>
      <c r="G3895" t="s">
        <v>23</v>
      </c>
      <c r="H3895" s="1">
        <v>44590</v>
      </c>
      <c r="I3895" s="2">
        <v>44594.2916666667</v>
      </c>
      <c r="J3895">
        <v>103</v>
      </c>
      <c r="K3895" t="s">
        <v>32</v>
      </c>
      <c r="L3895">
        <v>1</v>
      </c>
      <c r="M3895">
        <v>3</v>
      </c>
      <c r="N3895" t="s">
        <v>389</v>
      </c>
      <c r="O3895" s="3" t="str">
        <f>TEXT(Ticket_Table[[#This Row],[raised_date]],"YYYY-MM")</f>
        <v>2022-01</v>
      </c>
      <c r="P3895" s="3" t="str">
        <f>IF(Ticket_Table[[#This Row],[resolution_hrs]]&lt;=4,"Fast",IF(Ticket_Table[[#This Row],[resolution_hrs]]&lt;=24,"Normal",IF(Ticket_Table[[#This Row],[resolution_hrs]]&lt;=48,"Slow","Very Slow")))</f>
        <v>Very Slow</v>
      </c>
      <c r="Q3895" s="3">
        <f>YEAR(Ticket_Table[[#This Row],[raised_date]])</f>
        <v>2022</v>
      </c>
    </row>
    <row r="3896" spans="1:17">
      <c r="A3896" t="s">
        <v>4457</v>
      </c>
      <c r="B3896" t="s">
        <v>703</v>
      </c>
      <c r="C3896" t="s">
        <v>42</v>
      </c>
      <c r="D3896" t="s">
        <v>43</v>
      </c>
      <c r="E3896" t="s">
        <v>166</v>
      </c>
      <c r="F3896" t="s">
        <v>70</v>
      </c>
      <c r="G3896" t="s">
        <v>23</v>
      </c>
      <c r="H3896" s="1">
        <v>44709</v>
      </c>
      <c r="I3896" s="2">
        <v>44710.0708333333</v>
      </c>
      <c r="J3896">
        <v>25.7</v>
      </c>
      <c r="K3896" t="s">
        <v>24</v>
      </c>
      <c r="L3896">
        <v>0</v>
      </c>
      <c r="M3896">
        <v>3</v>
      </c>
      <c r="N3896" t="s">
        <v>481</v>
      </c>
      <c r="O3896" s="3" t="str">
        <f>TEXT(Ticket_Table[[#This Row],[raised_date]],"YYYY-MM")</f>
        <v>2022-05</v>
      </c>
      <c r="P3896" s="3" t="str">
        <f>IF(Ticket_Table[[#This Row],[resolution_hrs]]&lt;=4,"Fast",IF(Ticket_Table[[#This Row],[resolution_hrs]]&lt;=24,"Normal",IF(Ticket_Table[[#This Row],[resolution_hrs]]&lt;=48,"Slow","Very Slow")))</f>
        <v>Slow</v>
      </c>
      <c r="Q3896" s="3">
        <f>YEAR(Ticket_Table[[#This Row],[raised_date]])</f>
        <v>2022</v>
      </c>
    </row>
    <row r="3897" spans="1:17">
      <c r="A3897" t="s">
        <v>4458</v>
      </c>
      <c r="B3897" t="s">
        <v>608</v>
      </c>
      <c r="C3897" t="s">
        <v>213</v>
      </c>
      <c r="D3897" t="s">
        <v>29</v>
      </c>
      <c r="E3897" t="s">
        <v>106</v>
      </c>
      <c r="F3897" t="s">
        <v>38</v>
      </c>
      <c r="G3897" t="s">
        <v>31</v>
      </c>
      <c r="H3897" s="1">
        <v>44978</v>
      </c>
      <c r="I3897" s="2">
        <v>44978.8458333333</v>
      </c>
      <c r="J3897">
        <v>20.3</v>
      </c>
      <c r="K3897" t="s">
        <v>24</v>
      </c>
      <c r="L3897">
        <v>2</v>
      </c>
      <c r="M3897">
        <v>3</v>
      </c>
      <c r="N3897" t="s">
        <v>172</v>
      </c>
      <c r="O3897" s="3" t="str">
        <f>TEXT(Ticket_Table[[#This Row],[raised_date]],"YYYY-MM")</f>
        <v>2023-02</v>
      </c>
      <c r="P3897" s="3" t="str">
        <f>IF(Ticket_Table[[#This Row],[resolution_hrs]]&lt;=4,"Fast",IF(Ticket_Table[[#This Row],[resolution_hrs]]&lt;=24,"Normal",IF(Ticket_Table[[#This Row],[resolution_hrs]]&lt;=48,"Slow","Very Slow")))</f>
        <v>Normal</v>
      </c>
      <c r="Q3897" s="3">
        <f>YEAR(Ticket_Table[[#This Row],[raised_date]])</f>
        <v>2023</v>
      </c>
    </row>
    <row r="3898" spans="1:17">
      <c r="A3898" t="s">
        <v>4459</v>
      </c>
      <c r="B3898" t="s">
        <v>776</v>
      </c>
      <c r="C3898" t="s">
        <v>117</v>
      </c>
      <c r="D3898" t="s">
        <v>43</v>
      </c>
      <c r="E3898" t="s">
        <v>69</v>
      </c>
      <c r="F3898" t="s">
        <v>70</v>
      </c>
      <c r="G3898" t="s">
        <v>23</v>
      </c>
      <c r="H3898" s="1">
        <v>44222</v>
      </c>
      <c r="I3898" s="2">
        <v>44222.9125</v>
      </c>
      <c r="J3898">
        <v>21.9</v>
      </c>
      <c r="K3898" t="s">
        <v>24</v>
      </c>
      <c r="L3898">
        <v>3</v>
      </c>
      <c r="M3898">
        <v>2</v>
      </c>
      <c r="N3898" t="s">
        <v>1180</v>
      </c>
      <c r="O3898" s="3" t="str">
        <f>TEXT(Ticket_Table[[#This Row],[raised_date]],"YYYY-MM")</f>
        <v>2021-01</v>
      </c>
      <c r="P3898" s="3" t="str">
        <f>IF(Ticket_Table[[#This Row],[resolution_hrs]]&lt;=4,"Fast",IF(Ticket_Table[[#This Row],[resolution_hrs]]&lt;=24,"Normal",IF(Ticket_Table[[#This Row],[resolution_hrs]]&lt;=48,"Slow","Very Slow")))</f>
        <v>Normal</v>
      </c>
      <c r="Q3898" s="3">
        <f>YEAR(Ticket_Table[[#This Row],[raised_date]])</f>
        <v>2021</v>
      </c>
    </row>
    <row r="3899" spans="1:17">
      <c r="A3899" t="s">
        <v>4460</v>
      </c>
      <c r="B3899" t="s">
        <v>640</v>
      </c>
      <c r="C3899" t="s">
        <v>261</v>
      </c>
      <c r="D3899" t="s">
        <v>90</v>
      </c>
      <c r="E3899" t="s">
        <v>21</v>
      </c>
      <c r="F3899" t="s">
        <v>38</v>
      </c>
      <c r="G3899" t="s">
        <v>46</v>
      </c>
      <c r="H3899" s="1">
        <v>44446</v>
      </c>
      <c r="I3899" s="2">
        <v>44447.1291666667</v>
      </c>
      <c r="J3899">
        <v>27.1</v>
      </c>
      <c r="K3899" t="s">
        <v>32</v>
      </c>
      <c r="L3899">
        <v>1</v>
      </c>
      <c r="M3899">
        <v>4</v>
      </c>
      <c r="N3899" t="s">
        <v>751</v>
      </c>
      <c r="O3899" s="3" t="str">
        <f>TEXT(Ticket_Table[[#This Row],[raised_date]],"YYYY-MM")</f>
        <v>2021-09</v>
      </c>
      <c r="P3899" s="3" t="str">
        <f>IF(Ticket_Table[[#This Row],[resolution_hrs]]&lt;=4,"Fast",IF(Ticket_Table[[#This Row],[resolution_hrs]]&lt;=24,"Normal",IF(Ticket_Table[[#This Row],[resolution_hrs]]&lt;=48,"Slow","Very Slow")))</f>
        <v>Slow</v>
      </c>
      <c r="Q3899" s="3">
        <f>YEAR(Ticket_Table[[#This Row],[raised_date]])</f>
        <v>2021</v>
      </c>
    </row>
    <row r="3900" spans="1:17">
      <c r="A3900" t="s">
        <v>4461</v>
      </c>
      <c r="B3900" t="s">
        <v>1301</v>
      </c>
      <c r="C3900" t="s">
        <v>55</v>
      </c>
      <c r="D3900" t="s">
        <v>20</v>
      </c>
      <c r="E3900" t="s">
        <v>51</v>
      </c>
      <c r="F3900" t="s">
        <v>70</v>
      </c>
      <c r="G3900" t="s">
        <v>23</v>
      </c>
      <c r="H3900" s="1">
        <v>44706</v>
      </c>
      <c r="I3900" s="2">
        <v>44707.5083333333</v>
      </c>
      <c r="J3900">
        <v>36.2</v>
      </c>
      <c r="K3900" t="s">
        <v>24</v>
      </c>
      <c r="L3900">
        <v>1</v>
      </c>
      <c r="M3900">
        <v>3</v>
      </c>
      <c r="N3900" t="s">
        <v>895</v>
      </c>
      <c r="O3900" s="3" t="str">
        <f>TEXT(Ticket_Table[[#This Row],[raised_date]],"YYYY-MM")</f>
        <v>2022-05</v>
      </c>
      <c r="P3900" s="3" t="str">
        <f>IF(Ticket_Table[[#This Row],[resolution_hrs]]&lt;=4,"Fast",IF(Ticket_Table[[#This Row],[resolution_hrs]]&lt;=24,"Normal",IF(Ticket_Table[[#This Row],[resolution_hrs]]&lt;=48,"Slow","Very Slow")))</f>
        <v>Slow</v>
      </c>
      <c r="Q3900" s="3">
        <f>YEAR(Ticket_Table[[#This Row],[raised_date]])</f>
        <v>2022</v>
      </c>
    </row>
    <row r="3901" spans="1:17">
      <c r="A3901" t="s">
        <v>4462</v>
      </c>
      <c r="B3901" t="s">
        <v>751</v>
      </c>
      <c r="C3901" t="s">
        <v>133</v>
      </c>
      <c r="D3901" t="s">
        <v>43</v>
      </c>
      <c r="E3901" t="s">
        <v>69</v>
      </c>
      <c r="F3901" t="s">
        <v>22</v>
      </c>
      <c r="G3901" t="s">
        <v>31</v>
      </c>
      <c r="H3901" s="1">
        <v>44985</v>
      </c>
      <c r="I3901" s="2">
        <v>44987.3291666667</v>
      </c>
      <c r="J3901">
        <v>55.9</v>
      </c>
      <c r="K3901" t="s">
        <v>24</v>
      </c>
      <c r="L3901">
        <v>0</v>
      </c>
      <c r="M3901">
        <v>5</v>
      </c>
      <c r="N3901" t="s">
        <v>126</v>
      </c>
      <c r="O3901" s="3" t="str">
        <f>TEXT(Ticket_Table[[#This Row],[raised_date]],"YYYY-MM")</f>
        <v>2023-02</v>
      </c>
      <c r="P3901" s="3" t="str">
        <f>IF(Ticket_Table[[#This Row],[resolution_hrs]]&lt;=4,"Fast",IF(Ticket_Table[[#This Row],[resolution_hrs]]&lt;=24,"Normal",IF(Ticket_Table[[#This Row],[resolution_hrs]]&lt;=48,"Slow","Very Slow")))</f>
        <v>Very Slow</v>
      </c>
      <c r="Q3901" s="3">
        <f>YEAR(Ticket_Table[[#This Row],[raised_date]])</f>
        <v>2023</v>
      </c>
    </row>
    <row r="3902" spans="1:17">
      <c r="A3902" t="s">
        <v>4463</v>
      </c>
      <c r="B3902" t="s">
        <v>833</v>
      </c>
      <c r="C3902" t="s">
        <v>261</v>
      </c>
      <c r="D3902" t="s">
        <v>20</v>
      </c>
      <c r="E3902" t="s">
        <v>51</v>
      </c>
      <c r="F3902" t="s">
        <v>22</v>
      </c>
      <c r="G3902" t="s">
        <v>74</v>
      </c>
      <c r="H3902" s="1">
        <v>45104</v>
      </c>
      <c r="I3902" s="2">
        <v>45105.825</v>
      </c>
      <c r="J3902">
        <v>43.8</v>
      </c>
      <c r="K3902" t="s">
        <v>24</v>
      </c>
      <c r="L3902">
        <v>0</v>
      </c>
      <c r="M3902">
        <v>3</v>
      </c>
      <c r="N3902" t="s">
        <v>621</v>
      </c>
      <c r="O3902" s="3" t="str">
        <f>TEXT(Ticket_Table[[#This Row],[raised_date]],"YYYY-MM")</f>
        <v>2023-06</v>
      </c>
      <c r="P3902" s="3" t="str">
        <f>IF(Ticket_Table[[#This Row],[resolution_hrs]]&lt;=4,"Fast",IF(Ticket_Table[[#This Row],[resolution_hrs]]&lt;=24,"Normal",IF(Ticket_Table[[#This Row],[resolution_hrs]]&lt;=48,"Slow","Very Slow")))</f>
        <v>Slow</v>
      </c>
      <c r="Q3902" s="3">
        <f>YEAR(Ticket_Table[[#This Row],[raised_date]])</f>
        <v>2023</v>
      </c>
    </row>
    <row r="3903" spans="1:17">
      <c r="A3903" t="s">
        <v>4464</v>
      </c>
      <c r="B3903" t="s">
        <v>687</v>
      </c>
      <c r="C3903" t="s">
        <v>102</v>
      </c>
      <c r="D3903" t="s">
        <v>29</v>
      </c>
      <c r="E3903" t="s">
        <v>56</v>
      </c>
      <c r="F3903" t="s">
        <v>70</v>
      </c>
      <c r="G3903" t="s">
        <v>23</v>
      </c>
      <c r="H3903" s="1">
        <v>44703</v>
      </c>
      <c r="I3903" s="2">
        <v>44703.6125</v>
      </c>
      <c r="J3903">
        <v>14.7</v>
      </c>
      <c r="K3903" t="s">
        <v>24</v>
      </c>
      <c r="L3903">
        <v>1</v>
      </c>
      <c r="M3903">
        <v>3</v>
      </c>
      <c r="N3903" t="s">
        <v>521</v>
      </c>
      <c r="O3903" s="3" t="str">
        <f>TEXT(Ticket_Table[[#This Row],[raised_date]],"YYYY-MM")</f>
        <v>2022-05</v>
      </c>
      <c r="P3903" s="3" t="str">
        <f>IF(Ticket_Table[[#This Row],[resolution_hrs]]&lt;=4,"Fast",IF(Ticket_Table[[#This Row],[resolution_hrs]]&lt;=24,"Normal",IF(Ticket_Table[[#This Row],[resolution_hrs]]&lt;=48,"Slow","Very Slow")))</f>
        <v>Normal</v>
      </c>
      <c r="Q3903" s="3">
        <f>YEAR(Ticket_Table[[#This Row],[raised_date]])</f>
        <v>2022</v>
      </c>
    </row>
    <row r="3904" spans="1:17">
      <c r="A3904" t="s">
        <v>4465</v>
      </c>
      <c r="B3904" t="s">
        <v>512</v>
      </c>
      <c r="C3904" t="s">
        <v>175</v>
      </c>
      <c r="D3904" t="s">
        <v>90</v>
      </c>
      <c r="E3904" t="s">
        <v>21</v>
      </c>
      <c r="F3904" t="s">
        <v>38</v>
      </c>
      <c r="G3904" t="s">
        <v>91</v>
      </c>
      <c r="H3904" s="1">
        <v>44265</v>
      </c>
      <c r="I3904" s="2">
        <v>44265.2958333333</v>
      </c>
      <c r="J3904">
        <v>7.1</v>
      </c>
      <c r="K3904" t="s">
        <v>24</v>
      </c>
      <c r="L3904">
        <v>0</v>
      </c>
      <c r="M3904">
        <v>2</v>
      </c>
      <c r="N3904" t="s">
        <v>286</v>
      </c>
      <c r="O3904" s="3" t="str">
        <f>TEXT(Ticket_Table[[#This Row],[raised_date]],"YYYY-MM")</f>
        <v>2021-03</v>
      </c>
      <c r="P3904" s="3" t="str">
        <f>IF(Ticket_Table[[#This Row],[resolution_hrs]]&lt;=4,"Fast",IF(Ticket_Table[[#This Row],[resolution_hrs]]&lt;=24,"Normal",IF(Ticket_Table[[#This Row],[resolution_hrs]]&lt;=48,"Slow","Very Slow")))</f>
        <v>Normal</v>
      </c>
      <c r="Q3904" s="3">
        <f>YEAR(Ticket_Table[[#This Row],[raised_date]])</f>
        <v>2021</v>
      </c>
    </row>
    <row r="3905" spans="1:17">
      <c r="A3905" t="s">
        <v>4466</v>
      </c>
      <c r="B3905" t="s">
        <v>594</v>
      </c>
      <c r="C3905" t="s">
        <v>201</v>
      </c>
      <c r="D3905" t="s">
        <v>36</v>
      </c>
      <c r="E3905" t="s">
        <v>37</v>
      </c>
      <c r="F3905" t="s">
        <v>38</v>
      </c>
      <c r="G3905" t="s">
        <v>74</v>
      </c>
      <c r="H3905" s="1">
        <v>44604</v>
      </c>
      <c r="I3905" s="2">
        <v>44605.0416666667</v>
      </c>
      <c r="J3905">
        <v>25</v>
      </c>
      <c r="K3905" t="s">
        <v>32</v>
      </c>
      <c r="L3905">
        <v>0</v>
      </c>
      <c r="M3905">
        <v>4</v>
      </c>
      <c r="N3905" t="s">
        <v>204</v>
      </c>
      <c r="O3905" s="3" t="str">
        <f>TEXT(Ticket_Table[[#This Row],[raised_date]],"YYYY-MM")</f>
        <v>2022-02</v>
      </c>
      <c r="P3905" s="3" t="str">
        <f>IF(Ticket_Table[[#This Row],[resolution_hrs]]&lt;=4,"Fast",IF(Ticket_Table[[#This Row],[resolution_hrs]]&lt;=24,"Normal",IF(Ticket_Table[[#This Row],[resolution_hrs]]&lt;=48,"Slow","Very Slow")))</f>
        <v>Slow</v>
      </c>
      <c r="Q3905" s="3">
        <f>YEAR(Ticket_Table[[#This Row],[raised_date]])</f>
        <v>2022</v>
      </c>
    </row>
    <row r="3906" spans="1:17">
      <c r="A3906" t="s">
        <v>4467</v>
      </c>
      <c r="B3906" t="s">
        <v>312</v>
      </c>
      <c r="C3906" t="s">
        <v>140</v>
      </c>
      <c r="D3906" t="s">
        <v>43</v>
      </c>
      <c r="E3906" t="s">
        <v>51</v>
      </c>
      <c r="F3906" t="s">
        <v>22</v>
      </c>
      <c r="G3906" t="s">
        <v>31</v>
      </c>
      <c r="H3906" s="1">
        <v>45140</v>
      </c>
      <c r="I3906" s="2">
        <v>45143.9958333333</v>
      </c>
      <c r="J3906">
        <v>95.9</v>
      </c>
      <c r="K3906" t="s">
        <v>32</v>
      </c>
      <c r="L3906">
        <v>0</v>
      </c>
      <c r="M3906">
        <v>4</v>
      </c>
      <c r="N3906" t="s">
        <v>347</v>
      </c>
      <c r="O3906" s="3" t="str">
        <f>TEXT(Ticket_Table[[#This Row],[raised_date]],"YYYY-MM")</f>
        <v>2023-08</v>
      </c>
      <c r="P3906" s="3" t="str">
        <f>IF(Ticket_Table[[#This Row],[resolution_hrs]]&lt;=4,"Fast",IF(Ticket_Table[[#This Row],[resolution_hrs]]&lt;=24,"Normal",IF(Ticket_Table[[#This Row],[resolution_hrs]]&lt;=48,"Slow","Very Slow")))</f>
        <v>Very Slow</v>
      </c>
      <c r="Q3906" s="3">
        <f>YEAR(Ticket_Table[[#This Row],[raised_date]])</f>
        <v>2023</v>
      </c>
    </row>
    <row r="3907" spans="1:17">
      <c r="A3907" t="s">
        <v>4468</v>
      </c>
      <c r="B3907" t="s">
        <v>536</v>
      </c>
      <c r="C3907" t="s">
        <v>95</v>
      </c>
      <c r="D3907" t="s">
        <v>29</v>
      </c>
      <c r="E3907" t="s">
        <v>56</v>
      </c>
      <c r="F3907" t="s">
        <v>70</v>
      </c>
      <c r="G3907" t="s">
        <v>23</v>
      </c>
      <c r="H3907" s="1">
        <v>44389</v>
      </c>
      <c r="I3907" s="2">
        <v>44389.875</v>
      </c>
      <c r="J3907">
        <v>21</v>
      </c>
      <c r="K3907" t="s">
        <v>24</v>
      </c>
      <c r="L3907">
        <v>0</v>
      </c>
      <c r="M3907">
        <v>2</v>
      </c>
      <c r="N3907" t="s">
        <v>118</v>
      </c>
      <c r="O3907" s="3" t="str">
        <f>TEXT(Ticket_Table[[#This Row],[raised_date]],"YYYY-MM")</f>
        <v>2021-07</v>
      </c>
      <c r="P3907" s="3" t="str">
        <f>IF(Ticket_Table[[#This Row],[resolution_hrs]]&lt;=4,"Fast",IF(Ticket_Table[[#This Row],[resolution_hrs]]&lt;=24,"Normal",IF(Ticket_Table[[#This Row],[resolution_hrs]]&lt;=48,"Slow","Very Slow")))</f>
        <v>Normal</v>
      </c>
      <c r="Q3907" s="3">
        <f>YEAR(Ticket_Table[[#This Row],[raised_date]])</f>
        <v>2021</v>
      </c>
    </row>
    <row r="3908" spans="1:17">
      <c r="A3908" t="s">
        <v>4469</v>
      </c>
      <c r="B3908" t="s">
        <v>959</v>
      </c>
      <c r="C3908" t="s">
        <v>175</v>
      </c>
      <c r="D3908" t="s">
        <v>20</v>
      </c>
      <c r="E3908" t="s">
        <v>69</v>
      </c>
      <c r="F3908" t="s">
        <v>70</v>
      </c>
      <c r="G3908" t="s">
        <v>46</v>
      </c>
      <c r="H3908" s="1">
        <v>45264</v>
      </c>
      <c r="I3908" s="2">
        <v>45265.2041666667</v>
      </c>
      <c r="J3908">
        <v>28.9</v>
      </c>
      <c r="K3908" t="s">
        <v>24</v>
      </c>
      <c r="L3908">
        <v>0</v>
      </c>
      <c r="M3908">
        <v>3</v>
      </c>
      <c r="N3908" t="s">
        <v>835</v>
      </c>
      <c r="O3908" s="3" t="str">
        <f>TEXT(Ticket_Table[[#This Row],[raised_date]],"YYYY-MM")</f>
        <v>2023-12</v>
      </c>
      <c r="P3908" s="3" t="str">
        <f>IF(Ticket_Table[[#This Row],[resolution_hrs]]&lt;=4,"Fast",IF(Ticket_Table[[#This Row],[resolution_hrs]]&lt;=24,"Normal",IF(Ticket_Table[[#This Row],[resolution_hrs]]&lt;=48,"Slow","Very Slow")))</f>
        <v>Slow</v>
      </c>
      <c r="Q3908" s="3">
        <f>YEAR(Ticket_Table[[#This Row],[raised_date]])</f>
        <v>2023</v>
      </c>
    </row>
    <row r="3909" spans="1:17">
      <c r="A3909" t="s">
        <v>4470</v>
      </c>
      <c r="B3909" t="s">
        <v>454</v>
      </c>
      <c r="C3909" t="s">
        <v>60</v>
      </c>
      <c r="D3909" t="s">
        <v>20</v>
      </c>
      <c r="E3909" t="s">
        <v>56</v>
      </c>
      <c r="F3909" t="s">
        <v>70</v>
      </c>
      <c r="G3909" t="s">
        <v>74</v>
      </c>
      <c r="H3909" s="1">
        <v>44623</v>
      </c>
      <c r="I3909" s="2">
        <v>44624.7666666667</v>
      </c>
      <c r="J3909">
        <v>42.4</v>
      </c>
      <c r="K3909" t="s">
        <v>24</v>
      </c>
      <c r="L3909">
        <v>1</v>
      </c>
      <c r="M3909">
        <v>5</v>
      </c>
      <c r="N3909" t="s">
        <v>335</v>
      </c>
      <c r="O3909" s="3" t="str">
        <f>TEXT(Ticket_Table[[#This Row],[raised_date]],"YYYY-MM")</f>
        <v>2022-03</v>
      </c>
      <c r="P3909" s="3" t="str">
        <f>IF(Ticket_Table[[#This Row],[resolution_hrs]]&lt;=4,"Fast",IF(Ticket_Table[[#This Row],[resolution_hrs]]&lt;=24,"Normal",IF(Ticket_Table[[#This Row],[resolution_hrs]]&lt;=48,"Slow","Very Slow")))</f>
        <v>Slow</v>
      </c>
      <c r="Q3909" s="3">
        <f>YEAR(Ticket_Table[[#This Row],[raised_date]])</f>
        <v>2022</v>
      </c>
    </row>
    <row r="3910" spans="1:17">
      <c r="A3910" t="s">
        <v>4471</v>
      </c>
      <c r="B3910" t="s">
        <v>167</v>
      </c>
      <c r="C3910" t="s">
        <v>201</v>
      </c>
      <c r="D3910" t="s">
        <v>29</v>
      </c>
      <c r="E3910" t="s">
        <v>30</v>
      </c>
      <c r="F3910" t="s">
        <v>22</v>
      </c>
      <c r="G3910" t="s">
        <v>74</v>
      </c>
      <c r="H3910" s="1">
        <v>45165</v>
      </c>
      <c r="I3910" s="2">
        <v>45168.4583333333</v>
      </c>
      <c r="J3910">
        <v>83</v>
      </c>
      <c r="K3910" t="s">
        <v>32</v>
      </c>
      <c r="L3910">
        <v>0</v>
      </c>
      <c r="M3910">
        <v>5</v>
      </c>
      <c r="N3910" t="s">
        <v>275</v>
      </c>
      <c r="O3910" s="3" t="str">
        <f>TEXT(Ticket_Table[[#This Row],[raised_date]],"YYYY-MM")</f>
        <v>2023-08</v>
      </c>
      <c r="P3910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0" s="3">
        <f>YEAR(Ticket_Table[[#This Row],[raised_date]])</f>
        <v>2023</v>
      </c>
    </row>
    <row r="3911" spans="1:17">
      <c r="A3911" t="s">
        <v>4472</v>
      </c>
      <c r="B3911" t="s">
        <v>985</v>
      </c>
      <c r="C3911" t="s">
        <v>201</v>
      </c>
      <c r="D3911" t="s">
        <v>43</v>
      </c>
      <c r="E3911" t="s">
        <v>56</v>
      </c>
      <c r="F3911" t="s">
        <v>22</v>
      </c>
      <c r="G3911" t="s">
        <v>46</v>
      </c>
      <c r="H3911" s="1">
        <v>44993</v>
      </c>
      <c r="I3911" s="2">
        <v>44994.4291666667</v>
      </c>
      <c r="J3911">
        <v>34.3</v>
      </c>
      <c r="K3911" t="s">
        <v>24</v>
      </c>
      <c r="L3911">
        <v>0</v>
      </c>
      <c r="M3911">
        <v>3</v>
      </c>
      <c r="N3911" t="s">
        <v>712</v>
      </c>
      <c r="O3911" s="3" t="str">
        <f>TEXT(Ticket_Table[[#This Row],[raised_date]],"YYYY-MM")</f>
        <v>2023-03</v>
      </c>
      <c r="P3911" s="3" t="str">
        <f>IF(Ticket_Table[[#This Row],[resolution_hrs]]&lt;=4,"Fast",IF(Ticket_Table[[#This Row],[resolution_hrs]]&lt;=24,"Normal",IF(Ticket_Table[[#This Row],[resolution_hrs]]&lt;=48,"Slow","Very Slow")))</f>
        <v>Slow</v>
      </c>
      <c r="Q3911" s="3">
        <f>YEAR(Ticket_Table[[#This Row],[raised_date]])</f>
        <v>2023</v>
      </c>
    </row>
    <row r="3912" spans="1:17">
      <c r="A3912" t="s">
        <v>4473</v>
      </c>
      <c r="B3912" t="s">
        <v>152</v>
      </c>
      <c r="C3912" t="s">
        <v>140</v>
      </c>
      <c r="D3912" t="s">
        <v>36</v>
      </c>
      <c r="E3912" t="s">
        <v>56</v>
      </c>
      <c r="F3912" t="s">
        <v>22</v>
      </c>
      <c r="G3912" t="s">
        <v>74</v>
      </c>
      <c r="H3912" s="1">
        <v>44836</v>
      </c>
      <c r="I3912" s="2">
        <v>44839.5833333333</v>
      </c>
      <c r="J3912">
        <v>86</v>
      </c>
      <c r="K3912" t="s">
        <v>32</v>
      </c>
      <c r="L3912">
        <v>0</v>
      </c>
      <c r="M3912">
        <v>4</v>
      </c>
      <c r="N3912" t="s">
        <v>468</v>
      </c>
      <c r="O3912" s="3" t="str">
        <f>TEXT(Ticket_Table[[#This Row],[raised_date]],"YYYY-MM")</f>
        <v>2022-10</v>
      </c>
      <c r="P3912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2" s="3">
        <f>YEAR(Ticket_Table[[#This Row],[raised_date]])</f>
        <v>2022</v>
      </c>
    </row>
    <row r="3913" spans="1:17">
      <c r="A3913" t="s">
        <v>4474</v>
      </c>
      <c r="B3913" t="s">
        <v>1022</v>
      </c>
      <c r="C3913" t="s">
        <v>19</v>
      </c>
      <c r="D3913" t="s">
        <v>43</v>
      </c>
      <c r="E3913" t="s">
        <v>106</v>
      </c>
      <c r="F3913" t="s">
        <v>22</v>
      </c>
      <c r="G3913" t="s">
        <v>23</v>
      </c>
      <c r="H3913" s="1">
        <v>44858</v>
      </c>
      <c r="I3913" s="2">
        <v>44862.2958333333</v>
      </c>
      <c r="J3913">
        <v>103.1</v>
      </c>
      <c r="K3913" t="s">
        <v>32</v>
      </c>
      <c r="L3913">
        <v>0</v>
      </c>
      <c r="M3913">
        <v>4</v>
      </c>
      <c r="N3913" t="s">
        <v>248</v>
      </c>
      <c r="O3913" s="3" t="str">
        <f>TEXT(Ticket_Table[[#This Row],[raised_date]],"YYYY-MM")</f>
        <v>2022-10</v>
      </c>
      <c r="P3913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3" s="3">
        <f>YEAR(Ticket_Table[[#This Row],[raised_date]])</f>
        <v>2022</v>
      </c>
    </row>
    <row r="3914" spans="1:17">
      <c r="A3914" t="s">
        <v>4475</v>
      </c>
      <c r="B3914" t="s">
        <v>420</v>
      </c>
      <c r="C3914" t="s">
        <v>50</v>
      </c>
      <c r="D3914" t="s">
        <v>90</v>
      </c>
      <c r="E3914" t="s">
        <v>166</v>
      </c>
      <c r="F3914" t="s">
        <v>22</v>
      </c>
      <c r="G3914" t="s">
        <v>74</v>
      </c>
      <c r="H3914" s="1">
        <v>44521</v>
      </c>
      <c r="I3914" s="2">
        <v>44523.2166666667</v>
      </c>
      <c r="J3914">
        <v>53.2</v>
      </c>
      <c r="K3914" t="s">
        <v>24</v>
      </c>
      <c r="L3914">
        <v>1</v>
      </c>
      <c r="M3914">
        <v>1</v>
      </c>
      <c r="N3914" t="s">
        <v>509</v>
      </c>
      <c r="O3914" s="3" t="str">
        <f>TEXT(Ticket_Table[[#This Row],[raised_date]],"YYYY-MM")</f>
        <v>2021-11</v>
      </c>
      <c r="P3914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4" s="3">
        <f>YEAR(Ticket_Table[[#This Row],[raised_date]])</f>
        <v>2021</v>
      </c>
    </row>
    <row r="3915" spans="1:17">
      <c r="A3915" t="s">
        <v>4476</v>
      </c>
      <c r="B3915" t="s">
        <v>620</v>
      </c>
      <c r="C3915" t="s">
        <v>133</v>
      </c>
      <c r="D3915" t="s">
        <v>43</v>
      </c>
      <c r="E3915" t="s">
        <v>37</v>
      </c>
      <c r="F3915" t="s">
        <v>22</v>
      </c>
      <c r="G3915" t="s">
        <v>31</v>
      </c>
      <c r="H3915" s="1">
        <v>44283</v>
      </c>
      <c r="I3915" s="2">
        <v>44286.9791666667</v>
      </c>
      <c r="J3915">
        <v>95.5</v>
      </c>
      <c r="K3915" t="s">
        <v>32</v>
      </c>
      <c r="L3915">
        <v>0</v>
      </c>
      <c r="M3915">
        <v>4</v>
      </c>
      <c r="N3915" t="s">
        <v>75</v>
      </c>
      <c r="O3915" s="3" t="str">
        <f>TEXT(Ticket_Table[[#This Row],[raised_date]],"YYYY-MM")</f>
        <v>2021-03</v>
      </c>
      <c r="P3915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5" s="3">
        <f>YEAR(Ticket_Table[[#This Row],[raised_date]])</f>
        <v>2021</v>
      </c>
    </row>
    <row r="3916" spans="1:17">
      <c r="A3916" t="s">
        <v>4477</v>
      </c>
      <c r="B3916" t="s">
        <v>491</v>
      </c>
      <c r="C3916" t="s">
        <v>55</v>
      </c>
      <c r="D3916" t="s">
        <v>90</v>
      </c>
      <c r="E3916" t="s">
        <v>30</v>
      </c>
      <c r="F3916" t="s">
        <v>70</v>
      </c>
      <c r="G3916" t="s">
        <v>31</v>
      </c>
      <c r="H3916" s="1">
        <v>45263</v>
      </c>
      <c r="I3916" s="2">
        <v>45264.2958333333</v>
      </c>
      <c r="J3916">
        <v>31.1</v>
      </c>
      <c r="K3916" t="s">
        <v>24</v>
      </c>
      <c r="L3916">
        <v>0</v>
      </c>
      <c r="M3916">
        <v>4</v>
      </c>
      <c r="N3916" t="s">
        <v>191</v>
      </c>
      <c r="O3916" s="3" t="str">
        <f>TEXT(Ticket_Table[[#This Row],[raised_date]],"YYYY-MM")</f>
        <v>2023-12</v>
      </c>
      <c r="P3916" s="3" t="str">
        <f>IF(Ticket_Table[[#This Row],[resolution_hrs]]&lt;=4,"Fast",IF(Ticket_Table[[#This Row],[resolution_hrs]]&lt;=24,"Normal",IF(Ticket_Table[[#This Row],[resolution_hrs]]&lt;=48,"Slow","Very Slow")))</f>
        <v>Slow</v>
      </c>
      <c r="Q3916" s="3">
        <f>YEAR(Ticket_Table[[#This Row],[raised_date]])</f>
        <v>2023</v>
      </c>
    </row>
    <row r="3917" spans="1:17">
      <c r="A3917" t="s">
        <v>4478</v>
      </c>
      <c r="B3917" t="s">
        <v>395</v>
      </c>
      <c r="C3917" t="s">
        <v>64</v>
      </c>
      <c r="D3917" t="s">
        <v>20</v>
      </c>
      <c r="E3917" t="s">
        <v>30</v>
      </c>
      <c r="F3917" t="s">
        <v>70</v>
      </c>
      <c r="G3917" t="s">
        <v>31</v>
      </c>
      <c r="H3917" s="1">
        <v>44447</v>
      </c>
      <c r="I3917" s="2">
        <v>44449.25</v>
      </c>
      <c r="J3917">
        <v>54</v>
      </c>
      <c r="K3917" t="s">
        <v>32</v>
      </c>
      <c r="L3917">
        <v>0</v>
      </c>
      <c r="M3917">
        <v>4</v>
      </c>
      <c r="N3917" t="s">
        <v>353</v>
      </c>
      <c r="O3917" s="3" t="str">
        <f>TEXT(Ticket_Table[[#This Row],[raised_date]],"YYYY-MM")</f>
        <v>2021-09</v>
      </c>
      <c r="P3917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7" s="3">
        <f>YEAR(Ticket_Table[[#This Row],[raised_date]])</f>
        <v>2021</v>
      </c>
    </row>
    <row r="3918" spans="1:17">
      <c r="A3918" t="s">
        <v>4479</v>
      </c>
      <c r="B3918" t="s">
        <v>403</v>
      </c>
      <c r="C3918" t="s">
        <v>117</v>
      </c>
      <c r="D3918" t="s">
        <v>90</v>
      </c>
      <c r="E3918" t="s">
        <v>166</v>
      </c>
      <c r="F3918" t="s">
        <v>45</v>
      </c>
      <c r="G3918" t="s">
        <v>23</v>
      </c>
      <c r="H3918" s="1">
        <v>44715</v>
      </c>
      <c r="I3918" s="2">
        <v>44715.2125</v>
      </c>
      <c r="J3918">
        <v>5.1</v>
      </c>
      <c r="K3918" t="s">
        <v>32</v>
      </c>
      <c r="L3918">
        <v>3</v>
      </c>
      <c r="M3918">
        <v>5</v>
      </c>
      <c r="N3918" t="s">
        <v>554</v>
      </c>
      <c r="O3918" s="3" t="str">
        <f>TEXT(Ticket_Table[[#This Row],[raised_date]],"YYYY-MM")</f>
        <v>2022-06</v>
      </c>
      <c r="P3918" s="3" t="str">
        <f>IF(Ticket_Table[[#This Row],[resolution_hrs]]&lt;=4,"Fast",IF(Ticket_Table[[#This Row],[resolution_hrs]]&lt;=24,"Normal",IF(Ticket_Table[[#This Row],[resolution_hrs]]&lt;=48,"Slow","Very Slow")))</f>
        <v>Normal</v>
      </c>
      <c r="Q3918" s="3">
        <f>YEAR(Ticket_Table[[#This Row],[raised_date]])</f>
        <v>2022</v>
      </c>
    </row>
    <row r="3919" spans="1:17">
      <c r="A3919" t="s">
        <v>4480</v>
      </c>
      <c r="B3919" t="s">
        <v>536</v>
      </c>
      <c r="C3919" t="s">
        <v>50</v>
      </c>
      <c r="D3919" t="s">
        <v>36</v>
      </c>
      <c r="E3919" t="s">
        <v>83</v>
      </c>
      <c r="F3919" t="s">
        <v>22</v>
      </c>
      <c r="G3919" t="s">
        <v>31</v>
      </c>
      <c r="H3919" s="1">
        <v>45182</v>
      </c>
      <c r="I3919" s="2">
        <v>45184.8208333333</v>
      </c>
      <c r="J3919">
        <v>67.7</v>
      </c>
      <c r="K3919" t="s">
        <v>24</v>
      </c>
      <c r="L3919">
        <v>0</v>
      </c>
      <c r="M3919">
        <v>4</v>
      </c>
      <c r="N3919" t="s">
        <v>423</v>
      </c>
      <c r="O3919" s="3" t="str">
        <f>TEXT(Ticket_Table[[#This Row],[raised_date]],"YYYY-MM")</f>
        <v>2023-09</v>
      </c>
      <c r="P3919" s="3" t="str">
        <f>IF(Ticket_Table[[#This Row],[resolution_hrs]]&lt;=4,"Fast",IF(Ticket_Table[[#This Row],[resolution_hrs]]&lt;=24,"Normal",IF(Ticket_Table[[#This Row],[resolution_hrs]]&lt;=48,"Slow","Very Slow")))</f>
        <v>Very Slow</v>
      </c>
      <c r="Q3919" s="3">
        <f>YEAR(Ticket_Table[[#This Row],[raised_date]])</f>
        <v>2023</v>
      </c>
    </row>
    <row r="3920" spans="1:17">
      <c r="A3920" t="s">
        <v>4481</v>
      </c>
      <c r="B3920" t="s">
        <v>127</v>
      </c>
      <c r="C3920" t="s">
        <v>95</v>
      </c>
      <c r="D3920" t="s">
        <v>29</v>
      </c>
      <c r="E3920" t="s">
        <v>51</v>
      </c>
      <c r="F3920" t="s">
        <v>70</v>
      </c>
      <c r="G3920" t="s">
        <v>74</v>
      </c>
      <c r="H3920" s="1">
        <v>44808</v>
      </c>
      <c r="I3920" s="2">
        <v>44809.8375</v>
      </c>
      <c r="J3920">
        <v>44.1</v>
      </c>
      <c r="K3920" t="s">
        <v>24</v>
      </c>
      <c r="L3920">
        <v>0</v>
      </c>
      <c r="M3920">
        <v>2</v>
      </c>
      <c r="N3920" t="s">
        <v>523</v>
      </c>
      <c r="O3920" s="3" t="str">
        <f>TEXT(Ticket_Table[[#This Row],[raised_date]],"YYYY-MM")</f>
        <v>2022-09</v>
      </c>
      <c r="P3920" s="3" t="str">
        <f>IF(Ticket_Table[[#This Row],[resolution_hrs]]&lt;=4,"Fast",IF(Ticket_Table[[#This Row],[resolution_hrs]]&lt;=24,"Normal",IF(Ticket_Table[[#This Row],[resolution_hrs]]&lt;=48,"Slow","Very Slow")))</f>
        <v>Slow</v>
      </c>
      <c r="Q3920" s="3">
        <f>YEAR(Ticket_Table[[#This Row],[raised_date]])</f>
        <v>2022</v>
      </c>
    </row>
    <row r="3921" spans="1:17">
      <c r="A3921" t="s">
        <v>4482</v>
      </c>
      <c r="B3921" t="s">
        <v>228</v>
      </c>
      <c r="C3921" t="s">
        <v>60</v>
      </c>
      <c r="D3921" t="s">
        <v>90</v>
      </c>
      <c r="E3921" t="s">
        <v>56</v>
      </c>
      <c r="F3921" t="s">
        <v>70</v>
      </c>
      <c r="G3921" t="s">
        <v>46</v>
      </c>
      <c r="H3921" s="1">
        <v>44603</v>
      </c>
      <c r="I3921" s="2">
        <v>44604.3125</v>
      </c>
      <c r="J3921">
        <v>31.5</v>
      </c>
      <c r="K3921" t="s">
        <v>24</v>
      </c>
      <c r="L3921">
        <v>0</v>
      </c>
      <c r="M3921">
        <v>3</v>
      </c>
      <c r="N3921" t="s">
        <v>146</v>
      </c>
      <c r="O3921" s="3" t="str">
        <f>TEXT(Ticket_Table[[#This Row],[raised_date]],"YYYY-MM")</f>
        <v>2022-02</v>
      </c>
      <c r="P3921" s="3" t="str">
        <f>IF(Ticket_Table[[#This Row],[resolution_hrs]]&lt;=4,"Fast",IF(Ticket_Table[[#This Row],[resolution_hrs]]&lt;=24,"Normal",IF(Ticket_Table[[#This Row],[resolution_hrs]]&lt;=48,"Slow","Very Slow")))</f>
        <v>Slow</v>
      </c>
      <c r="Q3921" s="3">
        <f>YEAR(Ticket_Table[[#This Row],[raised_date]])</f>
        <v>2022</v>
      </c>
    </row>
    <row r="3922" spans="1:17">
      <c r="A3922" t="s">
        <v>4483</v>
      </c>
      <c r="B3922" t="s">
        <v>304</v>
      </c>
      <c r="C3922" t="s">
        <v>102</v>
      </c>
      <c r="D3922" t="s">
        <v>43</v>
      </c>
      <c r="E3922" t="s">
        <v>69</v>
      </c>
      <c r="F3922" t="s">
        <v>22</v>
      </c>
      <c r="G3922" t="s">
        <v>23</v>
      </c>
      <c r="H3922" s="1">
        <v>44935</v>
      </c>
      <c r="I3922" s="2">
        <v>44937.5708333333</v>
      </c>
      <c r="J3922">
        <v>61.7</v>
      </c>
      <c r="K3922" t="s">
        <v>24</v>
      </c>
      <c r="L3922">
        <v>0</v>
      </c>
      <c r="M3922">
        <v>4</v>
      </c>
      <c r="N3922" t="s">
        <v>41</v>
      </c>
      <c r="O3922" s="3" t="str">
        <f>TEXT(Ticket_Table[[#This Row],[raised_date]],"YYYY-MM")</f>
        <v>2023-01</v>
      </c>
      <c r="P3922" s="3" t="str">
        <f>IF(Ticket_Table[[#This Row],[resolution_hrs]]&lt;=4,"Fast",IF(Ticket_Table[[#This Row],[resolution_hrs]]&lt;=24,"Normal",IF(Ticket_Table[[#This Row],[resolution_hrs]]&lt;=48,"Slow","Very Slow")))</f>
        <v>Very Slow</v>
      </c>
      <c r="Q3922" s="3">
        <f>YEAR(Ticket_Table[[#This Row],[raised_date]])</f>
        <v>2023</v>
      </c>
    </row>
    <row r="3923" spans="1:17">
      <c r="A3923" t="s">
        <v>4484</v>
      </c>
      <c r="B3923" t="s">
        <v>826</v>
      </c>
      <c r="C3923" t="s">
        <v>78</v>
      </c>
      <c r="D3923" t="s">
        <v>90</v>
      </c>
      <c r="E3923" t="s">
        <v>56</v>
      </c>
      <c r="F3923" t="s">
        <v>38</v>
      </c>
      <c r="G3923" t="s">
        <v>31</v>
      </c>
      <c r="H3923" s="1">
        <v>44303</v>
      </c>
      <c r="I3923" s="2">
        <v>44303.5875</v>
      </c>
      <c r="J3923">
        <v>14.1</v>
      </c>
      <c r="K3923" t="s">
        <v>24</v>
      </c>
      <c r="L3923">
        <v>0</v>
      </c>
      <c r="M3923">
        <v>2</v>
      </c>
      <c r="N3923" t="s">
        <v>452</v>
      </c>
      <c r="O3923" s="3" t="str">
        <f>TEXT(Ticket_Table[[#This Row],[raised_date]],"YYYY-MM")</f>
        <v>2021-04</v>
      </c>
      <c r="P3923" s="3" t="str">
        <f>IF(Ticket_Table[[#This Row],[resolution_hrs]]&lt;=4,"Fast",IF(Ticket_Table[[#This Row],[resolution_hrs]]&lt;=24,"Normal",IF(Ticket_Table[[#This Row],[resolution_hrs]]&lt;=48,"Slow","Very Slow")))</f>
        <v>Normal</v>
      </c>
      <c r="Q3923" s="3">
        <f>YEAR(Ticket_Table[[#This Row],[raised_date]])</f>
        <v>2021</v>
      </c>
    </row>
    <row r="3924" spans="1:17">
      <c r="A3924" t="s">
        <v>4485</v>
      </c>
      <c r="B3924" t="s">
        <v>1154</v>
      </c>
      <c r="C3924" t="s">
        <v>261</v>
      </c>
      <c r="D3924" t="s">
        <v>20</v>
      </c>
      <c r="E3924" t="s">
        <v>69</v>
      </c>
      <c r="F3924" t="s">
        <v>22</v>
      </c>
      <c r="G3924" t="s">
        <v>31</v>
      </c>
      <c r="H3924" s="1">
        <v>44643</v>
      </c>
      <c r="I3924" s="2">
        <v>44645.8625</v>
      </c>
      <c r="J3924">
        <v>68.7</v>
      </c>
      <c r="K3924" t="s">
        <v>24</v>
      </c>
      <c r="L3924">
        <v>1</v>
      </c>
      <c r="M3924">
        <v>4</v>
      </c>
      <c r="N3924" t="s">
        <v>776</v>
      </c>
      <c r="O3924" s="3" t="str">
        <f>TEXT(Ticket_Table[[#This Row],[raised_date]],"YYYY-MM")</f>
        <v>2022-03</v>
      </c>
      <c r="P3924" s="3" t="str">
        <f>IF(Ticket_Table[[#This Row],[resolution_hrs]]&lt;=4,"Fast",IF(Ticket_Table[[#This Row],[resolution_hrs]]&lt;=24,"Normal",IF(Ticket_Table[[#This Row],[resolution_hrs]]&lt;=48,"Slow","Very Slow")))</f>
        <v>Very Slow</v>
      </c>
      <c r="Q3924" s="3">
        <f>YEAR(Ticket_Table[[#This Row],[raised_date]])</f>
        <v>2022</v>
      </c>
    </row>
    <row r="3925" spans="1:17">
      <c r="A3925" t="s">
        <v>4486</v>
      </c>
      <c r="B3925" t="s">
        <v>382</v>
      </c>
      <c r="C3925" t="s">
        <v>60</v>
      </c>
      <c r="D3925" t="s">
        <v>90</v>
      </c>
      <c r="E3925" t="s">
        <v>56</v>
      </c>
      <c r="F3925" t="s">
        <v>45</v>
      </c>
      <c r="G3925" t="s">
        <v>23</v>
      </c>
      <c r="H3925" s="1">
        <v>44428</v>
      </c>
      <c r="I3925" s="2">
        <v>44428.0541666667</v>
      </c>
      <c r="J3925">
        <v>1.3</v>
      </c>
      <c r="K3925" t="s">
        <v>24</v>
      </c>
      <c r="L3925">
        <v>0</v>
      </c>
      <c r="M3925">
        <v>2</v>
      </c>
      <c r="N3925" t="s">
        <v>653</v>
      </c>
      <c r="O3925" s="3" t="str">
        <f>TEXT(Ticket_Table[[#This Row],[raised_date]],"YYYY-MM")</f>
        <v>2021-08</v>
      </c>
      <c r="P3925" s="3" t="str">
        <f>IF(Ticket_Table[[#This Row],[resolution_hrs]]&lt;=4,"Fast",IF(Ticket_Table[[#This Row],[resolution_hrs]]&lt;=24,"Normal",IF(Ticket_Table[[#This Row],[resolution_hrs]]&lt;=48,"Slow","Very Slow")))</f>
        <v>Fast</v>
      </c>
      <c r="Q3925" s="3">
        <f>YEAR(Ticket_Table[[#This Row],[raised_date]])</f>
        <v>2021</v>
      </c>
    </row>
    <row r="3926" spans="1:17">
      <c r="A3926" t="s">
        <v>4487</v>
      </c>
      <c r="B3926" t="s">
        <v>1006</v>
      </c>
      <c r="C3926" t="s">
        <v>78</v>
      </c>
      <c r="D3926" t="s">
        <v>36</v>
      </c>
      <c r="E3926" t="s">
        <v>30</v>
      </c>
      <c r="F3926" t="s">
        <v>38</v>
      </c>
      <c r="G3926" t="s">
        <v>23</v>
      </c>
      <c r="H3926" s="1">
        <v>44680</v>
      </c>
      <c r="I3926" s="2">
        <v>44680.2875</v>
      </c>
      <c r="J3926">
        <v>6.9</v>
      </c>
      <c r="K3926" t="s">
        <v>24</v>
      </c>
      <c r="L3926">
        <v>1</v>
      </c>
      <c r="M3926">
        <v>3</v>
      </c>
      <c r="N3926" t="s">
        <v>988</v>
      </c>
      <c r="O3926" s="3" t="str">
        <f>TEXT(Ticket_Table[[#This Row],[raised_date]],"YYYY-MM")</f>
        <v>2022-04</v>
      </c>
      <c r="P3926" s="3" t="str">
        <f>IF(Ticket_Table[[#This Row],[resolution_hrs]]&lt;=4,"Fast",IF(Ticket_Table[[#This Row],[resolution_hrs]]&lt;=24,"Normal",IF(Ticket_Table[[#This Row],[resolution_hrs]]&lt;=48,"Slow","Very Slow")))</f>
        <v>Normal</v>
      </c>
      <c r="Q3926" s="3">
        <f>YEAR(Ticket_Table[[#This Row],[raised_date]])</f>
        <v>2022</v>
      </c>
    </row>
    <row r="3927" spans="1:17">
      <c r="A3927" t="s">
        <v>4488</v>
      </c>
      <c r="B3927" t="s">
        <v>849</v>
      </c>
      <c r="C3927" t="s">
        <v>50</v>
      </c>
      <c r="D3927" t="s">
        <v>90</v>
      </c>
      <c r="E3927" t="s">
        <v>83</v>
      </c>
      <c r="F3927" t="s">
        <v>70</v>
      </c>
      <c r="G3927" t="s">
        <v>31</v>
      </c>
      <c r="H3927" s="1">
        <v>45086</v>
      </c>
      <c r="I3927" s="2">
        <v>45086.1416666667</v>
      </c>
      <c r="J3927">
        <v>3.4</v>
      </c>
      <c r="K3927" t="s">
        <v>24</v>
      </c>
      <c r="L3927">
        <v>0</v>
      </c>
      <c r="M3927">
        <v>5</v>
      </c>
      <c r="N3927" t="s">
        <v>906</v>
      </c>
      <c r="O3927" s="3" t="str">
        <f>TEXT(Ticket_Table[[#This Row],[raised_date]],"YYYY-MM")</f>
        <v>2023-06</v>
      </c>
      <c r="P3927" s="3" t="str">
        <f>IF(Ticket_Table[[#This Row],[resolution_hrs]]&lt;=4,"Fast",IF(Ticket_Table[[#This Row],[resolution_hrs]]&lt;=24,"Normal",IF(Ticket_Table[[#This Row],[resolution_hrs]]&lt;=48,"Slow","Very Slow")))</f>
        <v>Fast</v>
      </c>
      <c r="Q3927" s="3">
        <f>YEAR(Ticket_Table[[#This Row],[raised_date]])</f>
        <v>2023</v>
      </c>
    </row>
    <row r="3928" spans="1:17">
      <c r="A3928" t="s">
        <v>4489</v>
      </c>
      <c r="B3928" t="s">
        <v>207</v>
      </c>
      <c r="C3928" t="s">
        <v>50</v>
      </c>
      <c r="D3928" t="s">
        <v>36</v>
      </c>
      <c r="E3928" t="s">
        <v>166</v>
      </c>
      <c r="F3928" t="s">
        <v>70</v>
      </c>
      <c r="G3928" t="s">
        <v>46</v>
      </c>
      <c r="H3928" s="1">
        <v>44861</v>
      </c>
      <c r="I3928" s="2">
        <v>44862.5541666667</v>
      </c>
      <c r="J3928">
        <v>37.3</v>
      </c>
      <c r="K3928" t="s">
        <v>24</v>
      </c>
      <c r="L3928">
        <v>0</v>
      </c>
      <c r="M3928">
        <v>5</v>
      </c>
      <c r="N3928" t="s">
        <v>127</v>
      </c>
      <c r="O3928" s="3" t="str">
        <f>TEXT(Ticket_Table[[#This Row],[raised_date]],"YYYY-MM")</f>
        <v>2022-10</v>
      </c>
      <c r="P3928" s="3" t="str">
        <f>IF(Ticket_Table[[#This Row],[resolution_hrs]]&lt;=4,"Fast",IF(Ticket_Table[[#This Row],[resolution_hrs]]&lt;=24,"Normal",IF(Ticket_Table[[#This Row],[resolution_hrs]]&lt;=48,"Slow","Very Slow")))</f>
        <v>Slow</v>
      </c>
      <c r="Q3928" s="3">
        <f>YEAR(Ticket_Table[[#This Row],[raised_date]])</f>
        <v>2022</v>
      </c>
    </row>
    <row r="3929" spans="1:17">
      <c r="A3929" t="s">
        <v>4490</v>
      </c>
      <c r="B3929" t="s">
        <v>968</v>
      </c>
      <c r="C3929" t="s">
        <v>201</v>
      </c>
      <c r="D3929" t="s">
        <v>43</v>
      </c>
      <c r="E3929" t="s">
        <v>21</v>
      </c>
      <c r="F3929" t="s">
        <v>38</v>
      </c>
      <c r="G3929" t="s">
        <v>23</v>
      </c>
      <c r="H3929" s="1">
        <v>44227</v>
      </c>
      <c r="I3929" s="2">
        <v>44227.8958333333</v>
      </c>
      <c r="J3929">
        <v>21.5</v>
      </c>
      <c r="K3929" t="s">
        <v>24</v>
      </c>
      <c r="L3929">
        <v>1</v>
      </c>
      <c r="M3929">
        <v>4</v>
      </c>
      <c r="N3929" t="s">
        <v>630</v>
      </c>
      <c r="O3929" s="3" t="str">
        <f>TEXT(Ticket_Table[[#This Row],[raised_date]],"YYYY-MM")</f>
        <v>2021-01</v>
      </c>
      <c r="P3929" s="3" t="str">
        <f>IF(Ticket_Table[[#This Row],[resolution_hrs]]&lt;=4,"Fast",IF(Ticket_Table[[#This Row],[resolution_hrs]]&lt;=24,"Normal",IF(Ticket_Table[[#This Row],[resolution_hrs]]&lt;=48,"Slow","Very Slow")))</f>
        <v>Normal</v>
      </c>
      <c r="Q3929" s="3">
        <f>YEAR(Ticket_Table[[#This Row],[raised_date]])</f>
        <v>2021</v>
      </c>
    </row>
    <row r="3930" spans="1:17">
      <c r="A3930" t="s">
        <v>4491</v>
      </c>
      <c r="B3930" t="s">
        <v>1039</v>
      </c>
      <c r="C3930" t="s">
        <v>140</v>
      </c>
      <c r="D3930" t="s">
        <v>20</v>
      </c>
      <c r="E3930" t="s">
        <v>44</v>
      </c>
      <c r="F3930" t="s">
        <v>70</v>
      </c>
      <c r="G3930" t="s">
        <v>23</v>
      </c>
      <c r="H3930" s="1">
        <v>44539</v>
      </c>
      <c r="I3930" s="2">
        <v>44539.9083333333</v>
      </c>
      <c r="J3930">
        <v>21.8</v>
      </c>
      <c r="K3930" t="s">
        <v>24</v>
      </c>
      <c r="L3930">
        <v>0</v>
      </c>
      <c r="M3930">
        <v>4</v>
      </c>
      <c r="N3930" t="s">
        <v>506</v>
      </c>
      <c r="O3930" s="3" t="str">
        <f>TEXT(Ticket_Table[[#This Row],[raised_date]],"YYYY-MM")</f>
        <v>2021-12</v>
      </c>
      <c r="P3930" s="3" t="str">
        <f>IF(Ticket_Table[[#This Row],[resolution_hrs]]&lt;=4,"Fast",IF(Ticket_Table[[#This Row],[resolution_hrs]]&lt;=24,"Normal",IF(Ticket_Table[[#This Row],[resolution_hrs]]&lt;=48,"Slow","Very Slow")))</f>
        <v>Normal</v>
      </c>
      <c r="Q3930" s="3">
        <f>YEAR(Ticket_Table[[#This Row],[raised_date]])</f>
        <v>2021</v>
      </c>
    </row>
    <row r="3931" spans="1:17">
      <c r="A3931" t="s">
        <v>4492</v>
      </c>
      <c r="B3931" t="s">
        <v>428</v>
      </c>
      <c r="C3931" t="s">
        <v>42</v>
      </c>
      <c r="D3931" t="s">
        <v>29</v>
      </c>
      <c r="E3931" t="s">
        <v>37</v>
      </c>
      <c r="F3931" t="s">
        <v>70</v>
      </c>
      <c r="G3931" t="s">
        <v>46</v>
      </c>
      <c r="H3931" s="1">
        <v>44762</v>
      </c>
      <c r="I3931" s="2">
        <v>44764.4875</v>
      </c>
      <c r="J3931">
        <v>59.7</v>
      </c>
      <c r="K3931" t="s">
        <v>32</v>
      </c>
      <c r="L3931">
        <v>1</v>
      </c>
      <c r="M3931">
        <v>4</v>
      </c>
      <c r="N3931" t="s">
        <v>318</v>
      </c>
      <c r="O3931" s="3" t="str">
        <f>TEXT(Ticket_Table[[#This Row],[raised_date]],"YYYY-MM")</f>
        <v>2022-07</v>
      </c>
      <c r="P3931" s="3" t="str">
        <f>IF(Ticket_Table[[#This Row],[resolution_hrs]]&lt;=4,"Fast",IF(Ticket_Table[[#This Row],[resolution_hrs]]&lt;=24,"Normal",IF(Ticket_Table[[#This Row],[resolution_hrs]]&lt;=48,"Slow","Very Slow")))</f>
        <v>Very Slow</v>
      </c>
      <c r="Q3931" s="3">
        <f>YEAR(Ticket_Table[[#This Row],[raised_date]])</f>
        <v>2022</v>
      </c>
    </row>
    <row r="3932" spans="1:17">
      <c r="A3932" t="s">
        <v>4493</v>
      </c>
      <c r="B3932" t="s">
        <v>149</v>
      </c>
      <c r="C3932" t="s">
        <v>78</v>
      </c>
      <c r="D3932" t="s">
        <v>43</v>
      </c>
      <c r="E3932" t="s">
        <v>21</v>
      </c>
      <c r="F3932" t="s">
        <v>22</v>
      </c>
      <c r="G3932" t="s">
        <v>74</v>
      </c>
      <c r="H3932" s="1">
        <v>44442</v>
      </c>
      <c r="I3932" s="2">
        <v>44444.9166666667</v>
      </c>
      <c r="J3932">
        <v>70</v>
      </c>
      <c r="K3932" t="s">
        <v>24</v>
      </c>
      <c r="L3932">
        <v>1</v>
      </c>
      <c r="M3932">
        <v>4</v>
      </c>
      <c r="N3932" t="s">
        <v>824</v>
      </c>
      <c r="O3932" s="3" t="str">
        <f>TEXT(Ticket_Table[[#This Row],[raised_date]],"YYYY-MM")</f>
        <v>2021-09</v>
      </c>
      <c r="P3932" s="3" t="str">
        <f>IF(Ticket_Table[[#This Row],[resolution_hrs]]&lt;=4,"Fast",IF(Ticket_Table[[#This Row],[resolution_hrs]]&lt;=24,"Normal",IF(Ticket_Table[[#This Row],[resolution_hrs]]&lt;=48,"Slow","Very Slow")))</f>
        <v>Very Slow</v>
      </c>
      <c r="Q3932" s="3">
        <f>YEAR(Ticket_Table[[#This Row],[raised_date]])</f>
        <v>2021</v>
      </c>
    </row>
    <row r="3933" spans="1:17">
      <c r="A3933" t="s">
        <v>4494</v>
      </c>
      <c r="B3933" t="s">
        <v>112</v>
      </c>
      <c r="C3933" t="s">
        <v>261</v>
      </c>
      <c r="D3933" t="s">
        <v>43</v>
      </c>
      <c r="E3933" t="s">
        <v>37</v>
      </c>
      <c r="F3933" t="s">
        <v>22</v>
      </c>
      <c r="G3933" t="s">
        <v>31</v>
      </c>
      <c r="H3933" s="1">
        <v>45007</v>
      </c>
      <c r="I3933" s="2">
        <v>45011.3458333333</v>
      </c>
      <c r="J3933">
        <v>104.3</v>
      </c>
      <c r="K3933" t="s">
        <v>32</v>
      </c>
      <c r="L3933">
        <v>2</v>
      </c>
      <c r="M3933">
        <v>3</v>
      </c>
      <c r="N3933" t="s">
        <v>340</v>
      </c>
      <c r="O3933" s="3" t="str">
        <f>TEXT(Ticket_Table[[#This Row],[raised_date]],"YYYY-MM")</f>
        <v>2023-03</v>
      </c>
      <c r="P3933" s="3" t="str">
        <f>IF(Ticket_Table[[#This Row],[resolution_hrs]]&lt;=4,"Fast",IF(Ticket_Table[[#This Row],[resolution_hrs]]&lt;=24,"Normal",IF(Ticket_Table[[#This Row],[resolution_hrs]]&lt;=48,"Slow","Very Slow")))</f>
        <v>Very Slow</v>
      </c>
      <c r="Q3933" s="3">
        <f>YEAR(Ticket_Table[[#This Row],[raised_date]])</f>
        <v>2023</v>
      </c>
    </row>
    <row r="3934" spans="1:17">
      <c r="A3934" t="s">
        <v>4495</v>
      </c>
      <c r="B3934" t="s">
        <v>167</v>
      </c>
      <c r="C3934" t="s">
        <v>68</v>
      </c>
      <c r="D3934" t="s">
        <v>29</v>
      </c>
      <c r="E3934" t="s">
        <v>51</v>
      </c>
      <c r="F3934" t="s">
        <v>70</v>
      </c>
      <c r="G3934" t="s">
        <v>23</v>
      </c>
      <c r="H3934" s="1">
        <v>44694</v>
      </c>
      <c r="I3934" s="2">
        <v>44695.0833333333</v>
      </c>
      <c r="J3934">
        <v>26</v>
      </c>
      <c r="K3934" t="s">
        <v>24</v>
      </c>
      <c r="L3934">
        <v>0</v>
      </c>
      <c r="M3934">
        <v>4</v>
      </c>
      <c r="N3934" t="s">
        <v>554</v>
      </c>
      <c r="O3934" s="3" t="str">
        <f>TEXT(Ticket_Table[[#This Row],[raised_date]],"YYYY-MM")</f>
        <v>2022-05</v>
      </c>
      <c r="P3934" s="3" t="str">
        <f>IF(Ticket_Table[[#This Row],[resolution_hrs]]&lt;=4,"Fast",IF(Ticket_Table[[#This Row],[resolution_hrs]]&lt;=24,"Normal",IF(Ticket_Table[[#This Row],[resolution_hrs]]&lt;=48,"Slow","Very Slow")))</f>
        <v>Slow</v>
      </c>
      <c r="Q3934" s="3">
        <f>YEAR(Ticket_Table[[#This Row],[raised_date]])</f>
        <v>2022</v>
      </c>
    </row>
    <row r="3935" spans="1:17">
      <c r="A3935" t="s">
        <v>4496</v>
      </c>
      <c r="B3935" t="s">
        <v>544</v>
      </c>
      <c r="C3935" t="s">
        <v>42</v>
      </c>
      <c r="D3935" t="s">
        <v>90</v>
      </c>
      <c r="E3935" t="s">
        <v>166</v>
      </c>
      <c r="F3935" t="s">
        <v>70</v>
      </c>
      <c r="G3935" t="s">
        <v>23</v>
      </c>
      <c r="H3935" s="1">
        <v>44215</v>
      </c>
      <c r="I3935" s="2">
        <v>44215.1291666667</v>
      </c>
      <c r="J3935">
        <v>3.1</v>
      </c>
      <c r="K3935" t="s">
        <v>24</v>
      </c>
      <c r="L3935">
        <v>0</v>
      </c>
      <c r="M3935">
        <v>4</v>
      </c>
      <c r="N3935" t="s">
        <v>640</v>
      </c>
      <c r="O3935" s="3" t="str">
        <f>TEXT(Ticket_Table[[#This Row],[raised_date]],"YYYY-MM")</f>
        <v>2021-01</v>
      </c>
      <c r="P3935" s="3" t="str">
        <f>IF(Ticket_Table[[#This Row],[resolution_hrs]]&lt;=4,"Fast",IF(Ticket_Table[[#This Row],[resolution_hrs]]&lt;=24,"Normal",IF(Ticket_Table[[#This Row],[resolution_hrs]]&lt;=48,"Slow","Very Slow")))</f>
        <v>Fast</v>
      </c>
      <c r="Q3935" s="3">
        <f>YEAR(Ticket_Table[[#This Row],[raised_date]])</f>
        <v>2021</v>
      </c>
    </row>
    <row r="3936" spans="1:17">
      <c r="A3936" t="s">
        <v>4497</v>
      </c>
      <c r="B3936" t="s">
        <v>382</v>
      </c>
      <c r="C3936" t="s">
        <v>64</v>
      </c>
      <c r="D3936" t="s">
        <v>90</v>
      </c>
      <c r="E3936" t="s">
        <v>69</v>
      </c>
      <c r="F3936" t="s">
        <v>38</v>
      </c>
      <c r="G3936" t="s">
        <v>23</v>
      </c>
      <c r="H3936" s="1">
        <v>44283</v>
      </c>
      <c r="I3936" s="2">
        <v>44283.3041666667</v>
      </c>
      <c r="J3936">
        <v>7.3</v>
      </c>
      <c r="K3936" t="s">
        <v>24</v>
      </c>
      <c r="L3936">
        <v>0</v>
      </c>
      <c r="M3936">
        <v>3</v>
      </c>
      <c r="N3936" t="s">
        <v>183</v>
      </c>
      <c r="O3936" s="3" t="str">
        <f>TEXT(Ticket_Table[[#This Row],[raised_date]],"YYYY-MM")</f>
        <v>2021-03</v>
      </c>
      <c r="P3936" s="3" t="str">
        <f>IF(Ticket_Table[[#This Row],[resolution_hrs]]&lt;=4,"Fast",IF(Ticket_Table[[#This Row],[resolution_hrs]]&lt;=24,"Normal",IF(Ticket_Table[[#This Row],[resolution_hrs]]&lt;=48,"Slow","Very Slow")))</f>
        <v>Normal</v>
      </c>
      <c r="Q3936" s="3">
        <f>YEAR(Ticket_Table[[#This Row],[raised_date]])</f>
        <v>2021</v>
      </c>
    </row>
    <row r="3937" spans="1:17">
      <c r="A3937" t="s">
        <v>4498</v>
      </c>
      <c r="B3937" t="s">
        <v>449</v>
      </c>
      <c r="C3937" t="s">
        <v>82</v>
      </c>
      <c r="D3937" t="s">
        <v>90</v>
      </c>
      <c r="E3937" t="s">
        <v>21</v>
      </c>
      <c r="F3937" t="s">
        <v>22</v>
      </c>
      <c r="G3937" t="s">
        <v>91</v>
      </c>
      <c r="H3937" s="1">
        <v>45170</v>
      </c>
      <c r="I3937" s="2">
        <v>45171.4791666667</v>
      </c>
      <c r="J3937">
        <v>35.5</v>
      </c>
      <c r="K3937" t="s">
        <v>24</v>
      </c>
      <c r="L3937">
        <v>0</v>
      </c>
      <c r="M3937">
        <v>3</v>
      </c>
      <c r="N3937" t="s">
        <v>73</v>
      </c>
      <c r="O3937" s="3" t="str">
        <f>TEXT(Ticket_Table[[#This Row],[raised_date]],"YYYY-MM")</f>
        <v>2023-09</v>
      </c>
      <c r="P3937" s="3" t="str">
        <f>IF(Ticket_Table[[#This Row],[resolution_hrs]]&lt;=4,"Fast",IF(Ticket_Table[[#This Row],[resolution_hrs]]&lt;=24,"Normal",IF(Ticket_Table[[#This Row],[resolution_hrs]]&lt;=48,"Slow","Very Slow")))</f>
        <v>Slow</v>
      </c>
      <c r="Q3937" s="3">
        <f>YEAR(Ticket_Table[[#This Row],[raised_date]])</f>
        <v>2023</v>
      </c>
    </row>
    <row r="3938" spans="1:17">
      <c r="A3938" t="s">
        <v>4499</v>
      </c>
      <c r="B3938" t="s">
        <v>758</v>
      </c>
      <c r="C3938" t="s">
        <v>60</v>
      </c>
      <c r="D3938" t="s">
        <v>20</v>
      </c>
      <c r="E3938" t="s">
        <v>21</v>
      </c>
      <c r="F3938" t="s">
        <v>38</v>
      </c>
      <c r="G3938" t="s">
        <v>23</v>
      </c>
      <c r="H3938" s="1">
        <v>44514</v>
      </c>
      <c r="I3938" s="2">
        <v>44515.1958333333</v>
      </c>
      <c r="J3938">
        <v>28.7</v>
      </c>
      <c r="K3938" t="s">
        <v>32</v>
      </c>
      <c r="L3938">
        <v>0</v>
      </c>
      <c r="M3938">
        <v>4</v>
      </c>
      <c r="N3938" t="s">
        <v>655</v>
      </c>
      <c r="O3938" s="3" t="str">
        <f>TEXT(Ticket_Table[[#This Row],[raised_date]],"YYYY-MM")</f>
        <v>2021-11</v>
      </c>
      <c r="P3938" s="3" t="str">
        <f>IF(Ticket_Table[[#This Row],[resolution_hrs]]&lt;=4,"Fast",IF(Ticket_Table[[#This Row],[resolution_hrs]]&lt;=24,"Normal",IF(Ticket_Table[[#This Row],[resolution_hrs]]&lt;=48,"Slow","Very Slow")))</f>
        <v>Slow</v>
      </c>
      <c r="Q3938" s="3">
        <f>YEAR(Ticket_Table[[#This Row],[raised_date]])</f>
        <v>2021</v>
      </c>
    </row>
    <row r="3939" spans="1:17">
      <c r="A3939" t="s">
        <v>4500</v>
      </c>
      <c r="B3939" t="s">
        <v>956</v>
      </c>
      <c r="C3939" t="s">
        <v>287</v>
      </c>
      <c r="D3939" t="s">
        <v>43</v>
      </c>
      <c r="E3939" t="s">
        <v>37</v>
      </c>
      <c r="F3939" t="s">
        <v>22</v>
      </c>
      <c r="G3939" t="s">
        <v>46</v>
      </c>
      <c r="H3939" s="1">
        <v>44957</v>
      </c>
      <c r="I3939" s="2">
        <v>44958.6375</v>
      </c>
      <c r="J3939">
        <v>39.3</v>
      </c>
      <c r="K3939" t="s">
        <v>24</v>
      </c>
      <c r="L3939">
        <v>0</v>
      </c>
      <c r="M3939">
        <v>3</v>
      </c>
      <c r="N3939" t="s">
        <v>569</v>
      </c>
      <c r="O3939" s="3" t="str">
        <f>TEXT(Ticket_Table[[#This Row],[raised_date]],"YYYY-MM")</f>
        <v>2023-01</v>
      </c>
      <c r="P3939" s="3" t="str">
        <f>IF(Ticket_Table[[#This Row],[resolution_hrs]]&lt;=4,"Fast",IF(Ticket_Table[[#This Row],[resolution_hrs]]&lt;=24,"Normal",IF(Ticket_Table[[#This Row],[resolution_hrs]]&lt;=48,"Slow","Very Slow")))</f>
        <v>Slow</v>
      </c>
      <c r="Q3939" s="3">
        <f>YEAR(Ticket_Table[[#This Row],[raised_date]])</f>
        <v>2023</v>
      </c>
    </row>
    <row r="3940" spans="1:17">
      <c r="A3940" t="s">
        <v>4501</v>
      </c>
      <c r="B3940" t="s">
        <v>318</v>
      </c>
      <c r="C3940" t="s">
        <v>213</v>
      </c>
      <c r="D3940" t="s">
        <v>36</v>
      </c>
      <c r="E3940" t="s">
        <v>21</v>
      </c>
      <c r="F3940" t="s">
        <v>70</v>
      </c>
      <c r="G3940" t="s">
        <v>23</v>
      </c>
      <c r="H3940" s="1">
        <v>44380</v>
      </c>
      <c r="I3940" s="2">
        <v>44380.2583333333</v>
      </c>
      <c r="J3940">
        <v>6.2</v>
      </c>
      <c r="K3940" t="s">
        <v>24</v>
      </c>
      <c r="L3940">
        <v>0</v>
      </c>
      <c r="M3940">
        <v>3</v>
      </c>
      <c r="N3940" t="s">
        <v>1143</v>
      </c>
      <c r="O3940" s="3" t="str">
        <f>TEXT(Ticket_Table[[#This Row],[raised_date]],"YYYY-MM")</f>
        <v>2021-07</v>
      </c>
      <c r="P3940" s="3" t="str">
        <f>IF(Ticket_Table[[#This Row],[resolution_hrs]]&lt;=4,"Fast",IF(Ticket_Table[[#This Row],[resolution_hrs]]&lt;=24,"Normal",IF(Ticket_Table[[#This Row],[resolution_hrs]]&lt;=48,"Slow","Very Slow")))</f>
        <v>Normal</v>
      </c>
      <c r="Q3940" s="3">
        <f>YEAR(Ticket_Table[[#This Row],[raised_date]])</f>
        <v>2021</v>
      </c>
    </row>
    <row r="3941" spans="1:17">
      <c r="A3941" t="s">
        <v>4502</v>
      </c>
      <c r="B3941" t="s">
        <v>33</v>
      </c>
      <c r="C3941" t="s">
        <v>64</v>
      </c>
      <c r="D3941" t="s">
        <v>29</v>
      </c>
      <c r="E3941" t="s">
        <v>69</v>
      </c>
      <c r="F3941" t="s">
        <v>70</v>
      </c>
      <c r="G3941" t="s">
        <v>23</v>
      </c>
      <c r="H3941" s="1">
        <v>44706</v>
      </c>
      <c r="I3941" s="2">
        <v>44707.9833333333</v>
      </c>
      <c r="J3941">
        <v>47.6</v>
      </c>
      <c r="K3941" t="s">
        <v>24</v>
      </c>
      <c r="L3941">
        <v>0</v>
      </c>
      <c r="M3941">
        <v>3</v>
      </c>
      <c r="N3941" t="s">
        <v>937</v>
      </c>
      <c r="O3941" s="3" t="str">
        <f>TEXT(Ticket_Table[[#This Row],[raised_date]],"YYYY-MM")</f>
        <v>2022-05</v>
      </c>
      <c r="P3941" s="3" t="str">
        <f>IF(Ticket_Table[[#This Row],[resolution_hrs]]&lt;=4,"Fast",IF(Ticket_Table[[#This Row],[resolution_hrs]]&lt;=24,"Normal",IF(Ticket_Table[[#This Row],[resolution_hrs]]&lt;=48,"Slow","Very Slow")))</f>
        <v>Slow</v>
      </c>
      <c r="Q3941" s="3">
        <f>YEAR(Ticket_Table[[#This Row],[raised_date]])</f>
        <v>2022</v>
      </c>
    </row>
    <row r="3942" spans="1:17">
      <c r="A3942" t="s">
        <v>4503</v>
      </c>
      <c r="B3942" t="s">
        <v>844</v>
      </c>
      <c r="C3942" t="s">
        <v>68</v>
      </c>
      <c r="D3942" t="s">
        <v>43</v>
      </c>
      <c r="E3942" t="s">
        <v>166</v>
      </c>
      <c r="F3942" t="s">
        <v>70</v>
      </c>
      <c r="G3942" t="s">
        <v>74</v>
      </c>
      <c r="H3942" s="1">
        <v>44519</v>
      </c>
      <c r="I3942" s="2">
        <v>44520.1416666667</v>
      </c>
      <c r="J3942">
        <v>27.4</v>
      </c>
      <c r="K3942" t="s">
        <v>24</v>
      </c>
      <c r="L3942">
        <v>1</v>
      </c>
      <c r="M3942">
        <v>3</v>
      </c>
      <c r="N3942" t="s">
        <v>420</v>
      </c>
      <c r="O3942" s="3" t="str">
        <f>TEXT(Ticket_Table[[#This Row],[raised_date]],"YYYY-MM")</f>
        <v>2021-11</v>
      </c>
      <c r="P3942" s="3" t="str">
        <f>IF(Ticket_Table[[#This Row],[resolution_hrs]]&lt;=4,"Fast",IF(Ticket_Table[[#This Row],[resolution_hrs]]&lt;=24,"Normal",IF(Ticket_Table[[#This Row],[resolution_hrs]]&lt;=48,"Slow","Very Slow")))</f>
        <v>Slow</v>
      </c>
      <c r="Q3942" s="3">
        <f>YEAR(Ticket_Table[[#This Row],[raised_date]])</f>
        <v>2021</v>
      </c>
    </row>
    <row r="3943" spans="1:17">
      <c r="A3943" t="s">
        <v>4504</v>
      </c>
      <c r="B3943" t="s">
        <v>637</v>
      </c>
      <c r="C3943" t="s">
        <v>287</v>
      </c>
      <c r="D3943" t="s">
        <v>90</v>
      </c>
      <c r="E3943" t="s">
        <v>51</v>
      </c>
      <c r="F3943" t="s">
        <v>22</v>
      </c>
      <c r="G3943" t="s">
        <v>23</v>
      </c>
      <c r="H3943" s="1">
        <v>45220</v>
      </c>
      <c r="I3943" s="2">
        <v>45223.5166666667</v>
      </c>
      <c r="J3943">
        <v>84.4</v>
      </c>
      <c r="K3943" t="s">
        <v>32</v>
      </c>
      <c r="L3943">
        <v>1</v>
      </c>
      <c r="M3943">
        <v>5</v>
      </c>
      <c r="N3943" t="s">
        <v>780</v>
      </c>
      <c r="O3943" s="3" t="str">
        <f>TEXT(Ticket_Table[[#This Row],[raised_date]],"YYYY-MM")</f>
        <v>2023-10</v>
      </c>
      <c r="P3943" s="3" t="str">
        <f>IF(Ticket_Table[[#This Row],[resolution_hrs]]&lt;=4,"Fast",IF(Ticket_Table[[#This Row],[resolution_hrs]]&lt;=24,"Normal",IF(Ticket_Table[[#This Row],[resolution_hrs]]&lt;=48,"Slow","Very Slow")))</f>
        <v>Very Slow</v>
      </c>
      <c r="Q3943" s="3">
        <f>YEAR(Ticket_Table[[#This Row],[raised_date]])</f>
        <v>2023</v>
      </c>
    </row>
    <row r="3944" spans="1:17">
      <c r="A3944" t="s">
        <v>4505</v>
      </c>
      <c r="B3944" t="s">
        <v>248</v>
      </c>
      <c r="C3944" t="s">
        <v>201</v>
      </c>
      <c r="D3944" t="s">
        <v>29</v>
      </c>
      <c r="E3944" t="s">
        <v>44</v>
      </c>
      <c r="F3944" t="s">
        <v>70</v>
      </c>
      <c r="G3944" t="s">
        <v>23</v>
      </c>
      <c r="H3944" s="1">
        <v>44384</v>
      </c>
      <c r="I3944" s="2">
        <v>44384.4041666667</v>
      </c>
      <c r="J3944">
        <v>9.7</v>
      </c>
      <c r="K3944" t="s">
        <v>24</v>
      </c>
      <c r="L3944">
        <v>0</v>
      </c>
      <c r="M3944">
        <v>4</v>
      </c>
      <c r="N3944" t="s">
        <v>712</v>
      </c>
      <c r="O3944" s="3" t="str">
        <f>TEXT(Ticket_Table[[#This Row],[raised_date]],"YYYY-MM")</f>
        <v>2021-07</v>
      </c>
      <c r="P3944" s="3" t="str">
        <f>IF(Ticket_Table[[#This Row],[resolution_hrs]]&lt;=4,"Fast",IF(Ticket_Table[[#This Row],[resolution_hrs]]&lt;=24,"Normal",IF(Ticket_Table[[#This Row],[resolution_hrs]]&lt;=48,"Slow","Very Slow")))</f>
        <v>Normal</v>
      </c>
      <c r="Q3944" s="3">
        <f>YEAR(Ticket_Table[[#This Row],[raised_date]])</f>
        <v>2021</v>
      </c>
    </row>
    <row r="3945" spans="1:17">
      <c r="A3945" t="s">
        <v>4506</v>
      </c>
      <c r="B3945" t="s">
        <v>1136</v>
      </c>
      <c r="C3945" t="s">
        <v>19</v>
      </c>
      <c r="D3945" t="s">
        <v>36</v>
      </c>
      <c r="E3945" t="s">
        <v>166</v>
      </c>
      <c r="F3945" t="s">
        <v>38</v>
      </c>
      <c r="G3945" t="s">
        <v>23</v>
      </c>
      <c r="H3945" s="1">
        <v>44890</v>
      </c>
      <c r="I3945" s="2">
        <v>44890.5083333333</v>
      </c>
      <c r="J3945">
        <v>12.2</v>
      </c>
      <c r="K3945" t="s">
        <v>24</v>
      </c>
      <c r="L3945">
        <v>1</v>
      </c>
      <c r="M3945">
        <v>5</v>
      </c>
      <c r="N3945" t="s">
        <v>415</v>
      </c>
      <c r="O3945" s="3" t="str">
        <f>TEXT(Ticket_Table[[#This Row],[raised_date]],"YYYY-MM")</f>
        <v>2022-11</v>
      </c>
      <c r="P3945" s="3" t="str">
        <f>IF(Ticket_Table[[#This Row],[resolution_hrs]]&lt;=4,"Fast",IF(Ticket_Table[[#This Row],[resolution_hrs]]&lt;=24,"Normal",IF(Ticket_Table[[#This Row],[resolution_hrs]]&lt;=48,"Slow","Very Slow")))</f>
        <v>Normal</v>
      </c>
      <c r="Q3945" s="3">
        <f>YEAR(Ticket_Table[[#This Row],[raised_date]])</f>
        <v>2022</v>
      </c>
    </row>
    <row r="3946" spans="1:17">
      <c r="A3946" t="s">
        <v>4507</v>
      </c>
      <c r="B3946" t="s">
        <v>256</v>
      </c>
      <c r="C3946" t="s">
        <v>55</v>
      </c>
      <c r="D3946" t="s">
        <v>43</v>
      </c>
      <c r="E3946" t="s">
        <v>106</v>
      </c>
      <c r="F3946" t="s">
        <v>70</v>
      </c>
      <c r="G3946" t="s">
        <v>23</v>
      </c>
      <c r="H3946" s="1">
        <v>44319</v>
      </c>
      <c r="I3946" s="2">
        <v>44319.075</v>
      </c>
      <c r="J3946">
        <v>1.8</v>
      </c>
      <c r="K3946" t="s">
        <v>24</v>
      </c>
      <c r="L3946">
        <v>0</v>
      </c>
      <c r="M3946">
        <v>4</v>
      </c>
      <c r="N3946" t="s">
        <v>241</v>
      </c>
      <c r="O3946" s="3" t="str">
        <f>TEXT(Ticket_Table[[#This Row],[raised_date]],"YYYY-MM")</f>
        <v>2021-05</v>
      </c>
      <c r="P3946" s="3" t="str">
        <f>IF(Ticket_Table[[#This Row],[resolution_hrs]]&lt;=4,"Fast",IF(Ticket_Table[[#This Row],[resolution_hrs]]&lt;=24,"Normal",IF(Ticket_Table[[#This Row],[resolution_hrs]]&lt;=48,"Slow","Very Slow")))</f>
        <v>Fast</v>
      </c>
      <c r="Q3946" s="3">
        <f>YEAR(Ticket_Table[[#This Row],[raised_date]])</f>
        <v>2021</v>
      </c>
    </row>
    <row r="3947" spans="1:17">
      <c r="A3947" t="s">
        <v>4508</v>
      </c>
      <c r="B3947" t="s">
        <v>509</v>
      </c>
      <c r="C3947" t="s">
        <v>50</v>
      </c>
      <c r="D3947" t="s">
        <v>43</v>
      </c>
      <c r="E3947" t="s">
        <v>51</v>
      </c>
      <c r="F3947" t="s">
        <v>70</v>
      </c>
      <c r="G3947" t="s">
        <v>31</v>
      </c>
      <c r="H3947" s="1">
        <v>44319</v>
      </c>
      <c r="I3947" s="2">
        <v>44320.0125</v>
      </c>
      <c r="J3947">
        <v>24.3</v>
      </c>
      <c r="K3947" t="s">
        <v>24</v>
      </c>
      <c r="L3947">
        <v>0</v>
      </c>
      <c r="M3947">
        <v>4</v>
      </c>
      <c r="N3947" t="s">
        <v>347</v>
      </c>
      <c r="O3947" s="3" t="str">
        <f>TEXT(Ticket_Table[[#This Row],[raised_date]],"YYYY-MM")</f>
        <v>2021-05</v>
      </c>
      <c r="P3947" s="3" t="str">
        <f>IF(Ticket_Table[[#This Row],[resolution_hrs]]&lt;=4,"Fast",IF(Ticket_Table[[#This Row],[resolution_hrs]]&lt;=24,"Normal",IF(Ticket_Table[[#This Row],[resolution_hrs]]&lt;=48,"Slow","Very Slow")))</f>
        <v>Slow</v>
      </c>
      <c r="Q3947" s="3">
        <f>YEAR(Ticket_Table[[#This Row],[raised_date]])</f>
        <v>2021</v>
      </c>
    </row>
    <row r="3948" spans="1:17">
      <c r="A3948" t="s">
        <v>4509</v>
      </c>
      <c r="B3948" t="s">
        <v>372</v>
      </c>
      <c r="C3948" t="s">
        <v>287</v>
      </c>
      <c r="D3948" t="s">
        <v>20</v>
      </c>
      <c r="E3948" t="s">
        <v>21</v>
      </c>
      <c r="F3948" t="s">
        <v>38</v>
      </c>
      <c r="G3948" t="s">
        <v>31</v>
      </c>
      <c r="H3948" s="1">
        <v>44925</v>
      </c>
      <c r="I3948" s="2">
        <v>44925.7208333333</v>
      </c>
      <c r="J3948">
        <v>17.3</v>
      </c>
      <c r="K3948" t="s">
        <v>24</v>
      </c>
      <c r="L3948">
        <v>0</v>
      </c>
      <c r="M3948">
        <v>4</v>
      </c>
      <c r="N3948" t="s">
        <v>1348</v>
      </c>
      <c r="O3948" s="3" t="str">
        <f>TEXT(Ticket_Table[[#This Row],[raised_date]],"YYYY-MM")</f>
        <v>2022-12</v>
      </c>
      <c r="P3948" s="3" t="str">
        <f>IF(Ticket_Table[[#This Row],[resolution_hrs]]&lt;=4,"Fast",IF(Ticket_Table[[#This Row],[resolution_hrs]]&lt;=24,"Normal",IF(Ticket_Table[[#This Row],[resolution_hrs]]&lt;=48,"Slow","Very Slow")))</f>
        <v>Normal</v>
      </c>
      <c r="Q3948" s="3">
        <f>YEAR(Ticket_Table[[#This Row],[raised_date]])</f>
        <v>2022</v>
      </c>
    </row>
    <row r="3949" spans="1:17">
      <c r="A3949" t="s">
        <v>4510</v>
      </c>
      <c r="B3949" t="s">
        <v>950</v>
      </c>
      <c r="C3949" t="s">
        <v>95</v>
      </c>
      <c r="D3949" t="s">
        <v>43</v>
      </c>
      <c r="E3949" t="s">
        <v>69</v>
      </c>
      <c r="F3949" t="s">
        <v>38</v>
      </c>
      <c r="G3949" t="s">
        <v>31</v>
      </c>
      <c r="H3949" s="1">
        <v>44512</v>
      </c>
      <c r="I3949" s="2">
        <v>44513.2</v>
      </c>
      <c r="J3949">
        <v>28.8</v>
      </c>
      <c r="K3949" t="s">
        <v>32</v>
      </c>
      <c r="L3949">
        <v>1</v>
      </c>
      <c r="M3949">
        <v>3</v>
      </c>
      <c r="N3949" t="s">
        <v>450</v>
      </c>
      <c r="O3949" s="3" t="str">
        <f>TEXT(Ticket_Table[[#This Row],[raised_date]],"YYYY-MM")</f>
        <v>2021-11</v>
      </c>
      <c r="P3949" s="3" t="str">
        <f>IF(Ticket_Table[[#This Row],[resolution_hrs]]&lt;=4,"Fast",IF(Ticket_Table[[#This Row],[resolution_hrs]]&lt;=24,"Normal",IF(Ticket_Table[[#This Row],[resolution_hrs]]&lt;=48,"Slow","Very Slow")))</f>
        <v>Slow</v>
      </c>
      <c r="Q3949" s="3">
        <f>YEAR(Ticket_Table[[#This Row],[raised_date]])</f>
        <v>2021</v>
      </c>
    </row>
    <row r="3950" spans="1:17">
      <c r="A3950" t="s">
        <v>4511</v>
      </c>
      <c r="B3950" t="s">
        <v>1136</v>
      </c>
      <c r="C3950" t="s">
        <v>133</v>
      </c>
      <c r="D3950" t="s">
        <v>43</v>
      </c>
      <c r="E3950" t="s">
        <v>83</v>
      </c>
      <c r="F3950" t="s">
        <v>70</v>
      </c>
      <c r="G3950" t="s">
        <v>31</v>
      </c>
      <c r="H3950" s="1">
        <v>44416</v>
      </c>
      <c r="I3950" s="2">
        <v>44418.7</v>
      </c>
      <c r="J3950">
        <v>64.8</v>
      </c>
      <c r="K3950" t="s">
        <v>32</v>
      </c>
      <c r="L3950">
        <v>0</v>
      </c>
      <c r="M3950">
        <v>4</v>
      </c>
      <c r="N3950" t="s">
        <v>474</v>
      </c>
      <c r="O3950" s="3" t="str">
        <f>TEXT(Ticket_Table[[#This Row],[raised_date]],"YYYY-MM")</f>
        <v>2021-08</v>
      </c>
      <c r="P3950" s="3" t="str">
        <f>IF(Ticket_Table[[#This Row],[resolution_hrs]]&lt;=4,"Fast",IF(Ticket_Table[[#This Row],[resolution_hrs]]&lt;=24,"Normal",IF(Ticket_Table[[#This Row],[resolution_hrs]]&lt;=48,"Slow","Very Slow")))</f>
        <v>Very Slow</v>
      </c>
      <c r="Q3950" s="3">
        <f>YEAR(Ticket_Table[[#This Row],[raised_date]])</f>
        <v>2021</v>
      </c>
    </row>
    <row r="3951" spans="1:17">
      <c r="A3951" t="s">
        <v>4512</v>
      </c>
      <c r="B3951" t="s">
        <v>275</v>
      </c>
      <c r="C3951" t="s">
        <v>117</v>
      </c>
      <c r="D3951" t="s">
        <v>36</v>
      </c>
      <c r="E3951" t="s">
        <v>21</v>
      </c>
      <c r="F3951" t="s">
        <v>22</v>
      </c>
      <c r="G3951" t="s">
        <v>23</v>
      </c>
      <c r="H3951" s="1">
        <v>44454</v>
      </c>
      <c r="I3951" s="2">
        <v>44456.5458333333</v>
      </c>
      <c r="J3951">
        <v>61.1</v>
      </c>
      <c r="K3951" t="s">
        <v>24</v>
      </c>
      <c r="L3951">
        <v>0</v>
      </c>
      <c r="M3951">
        <v>4</v>
      </c>
      <c r="N3951" t="s">
        <v>1136</v>
      </c>
      <c r="O3951" s="3" t="str">
        <f>TEXT(Ticket_Table[[#This Row],[raised_date]],"YYYY-MM")</f>
        <v>2021-09</v>
      </c>
      <c r="P3951" s="3" t="str">
        <f>IF(Ticket_Table[[#This Row],[resolution_hrs]]&lt;=4,"Fast",IF(Ticket_Table[[#This Row],[resolution_hrs]]&lt;=24,"Normal",IF(Ticket_Table[[#This Row],[resolution_hrs]]&lt;=48,"Slow","Very Slow")))</f>
        <v>Very Slow</v>
      </c>
      <c r="Q3951" s="3">
        <f>YEAR(Ticket_Table[[#This Row],[raised_date]])</f>
        <v>2021</v>
      </c>
    </row>
    <row r="3952" spans="1:17">
      <c r="A3952" t="s">
        <v>4513</v>
      </c>
      <c r="B3952" t="s">
        <v>110</v>
      </c>
      <c r="C3952" t="s">
        <v>140</v>
      </c>
      <c r="D3952" t="s">
        <v>36</v>
      </c>
      <c r="E3952" t="s">
        <v>30</v>
      </c>
      <c r="F3952" t="s">
        <v>38</v>
      </c>
      <c r="G3952" t="s">
        <v>31</v>
      </c>
      <c r="H3952" s="1">
        <v>45196</v>
      </c>
      <c r="I3952" s="2">
        <v>45196.6041666667</v>
      </c>
      <c r="J3952">
        <v>14.5</v>
      </c>
      <c r="K3952" t="s">
        <v>24</v>
      </c>
      <c r="L3952">
        <v>2</v>
      </c>
      <c r="M3952">
        <v>5</v>
      </c>
      <c r="N3952" t="s">
        <v>101</v>
      </c>
      <c r="O3952" s="3" t="str">
        <f>TEXT(Ticket_Table[[#This Row],[raised_date]],"YYYY-MM")</f>
        <v>2023-09</v>
      </c>
      <c r="P3952" s="3" t="str">
        <f>IF(Ticket_Table[[#This Row],[resolution_hrs]]&lt;=4,"Fast",IF(Ticket_Table[[#This Row],[resolution_hrs]]&lt;=24,"Normal",IF(Ticket_Table[[#This Row],[resolution_hrs]]&lt;=48,"Slow","Very Slow")))</f>
        <v>Normal</v>
      </c>
      <c r="Q3952" s="3">
        <f>YEAR(Ticket_Table[[#This Row],[raised_date]])</f>
        <v>2023</v>
      </c>
    </row>
    <row r="3953" spans="1:17">
      <c r="A3953" t="s">
        <v>4514</v>
      </c>
      <c r="B3953" t="s">
        <v>873</v>
      </c>
      <c r="C3953" t="s">
        <v>261</v>
      </c>
      <c r="D3953" t="s">
        <v>29</v>
      </c>
      <c r="E3953" t="s">
        <v>30</v>
      </c>
      <c r="F3953" t="s">
        <v>70</v>
      </c>
      <c r="G3953" t="s">
        <v>31</v>
      </c>
      <c r="H3953" s="1">
        <v>44673</v>
      </c>
      <c r="I3953" s="2">
        <v>44674.8208333333</v>
      </c>
      <c r="J3953">
        <v>43.7</v>
      </c>
      <c r="K3953" t="s">
        <v>24</v>
      </c>
      <c r="L3953">
        <v>0</v>
      </c>
      <c r="M3953">
        <v>5</v>
      </c>
      <c r="N3953" t="s">
        <v>1265</v>
      </c>
      <c r="O3953" s="3" t="str">
        <f>TEXT(Ticket_Table[[#This Row],[raised_date]],"YYYY-MM")</f>
        <v>2022-04</v>
      </c>
      <c r="P3953" s="3" t="str">
        <f>IF(Ticket_Table[[#This Row],[resolution_hrs]]&lt;=4,"Fast",IF(Ticket_Table[[#This Row],[resolution_hrs]]&lt;=24,"Normal",IF(Ticket_Table[[#This Row],[resolution_hrs]]&lt;=48,"Slow","Very Slow")))</f>
        <v>Slow</v>
      </c>
      <c r="Q3953" s="3">
        <f>YEAR(Ticket_Table[[#This Row],[raised_date]])</f>
        <v>2022</v>
      </c>
    </row>
    <row r="3954" spans="1:17">
      <c r="A3954" t="s">
        <v>4515</v>
      </c>
      <c r="B3954" t="s">
        <v>620</v>
      </c>
      <c r="C3954" t="s">
        <v>42</v>
      </c>
      <c r="D3954" t="s">
        <v>90</v>
      </c>
      <c r="E3954" t="s">
        <v>83</v>
      </c>
      <c r="F3954" t="s">
        <v>22</v>
      </c>
      <c r="G3954" t="s">
        <v>31</v>
      </c>
      <c r="H3954" s="1">
        <v>44845</v>
      </c>
      <c r="I3954" s="2">
        <v>44847.3916666667</v>
      </c>
      <c r="J3954">
        <v>57.4</v>
      </c>
      <c r="K3954" t="s">
        <v>24</v>
      </c>
      <c r="L3954">
        <v>2</v>
      </c>
      <c r="M3954">
        <v>2</v>
      </c>
      <c r="N3954" t="s">
        <v>59</v>
      </c>
      <c r="O3954" s="3" t="str">
        <f>TEXT(Ticket_Table[[#This Row],[raised_date]],"YYYY-MM")</f>
        <v>2022-10</v>
      </c>
      <c r="P3954" s="3" t="str">
        <f>IF(Ticket_Table[[#This Row],[resolution_hrs]]&lt;=4,"Fast",IF(Ticket_Table[[#This Row],[resolution_hrs]]&lt;=24,"Normal",IF(Ticket_Table[[#This Row],[resolution_hrs]]&lt;=48,"Slow","Very Slow")))</f>
        <v>Very Slow</v>
      </c>
      <c r="Q3954" s="3">
        <f>YEAR(Ticket_Table[[#This Row],[raised_date]])</f>
        <v>2022</v>
      </c>
    </row>
    <row r="3955" spans="1:17">
      <c r="A3955" t="s">
        <v>4516</v>
      </c>
      <c r="B3955" t="s">
        <v>640</v>
      </c>
      <c r="C3955" t="s">
        <v>201</v>
      </c>
      <c r="D3955" t="s">
        <v>36</v>
      </c>
      <c r="E3955" t="s">
        <v>44</v>
      </c>
      <c r="F3955" t="s">
        <v>22</v>
      </c>
      <c r="G3955" t="s">
        <v>46</v>
      </c>
      <c r="H3955" s="1">
        <v>44908</v>
      </c>
      <c r="I3955" s="2">
        <v>44908.5</v>
      </c>
      <c r="J3955">
        <v>12</v>
      </c>
      <c r="K3955" t="s">
        <v>24</v>
      </c>
      <c r="L3955">
        <v>0</v>
      </c>
      <c r="M3955">
        <v>1</v>
      </c>
      <c r="N3955" t="s">
        <v>1356</v>
      </c>
      <c r="O3955" s="3" t="str">
        <f>TEXT(Ticket_Table[[#This Row],[raised_date]],"YYYY-MM")</f>
        <v>2022-12</v>
      </c>
      <c r="P3955" s="3" t="str">
        <f>IF(Ticket_Table[[#This Row],[resolution_hrs]]&lt;=4,"Fast",IF(Ticket_Table[[#This Row],[resolution_hrs]]&lt;=24,"Normal",IF(Ticket_Table[[#This Row],[resolution_hrs]]&lt;=48,"Slow","Very Slow")))</f>
        <v>Normal</v>
      </c>
      <c r="Q3955" s="3">
        <f>YEAR(Ticket_Table[[#This Row],[raised_date]])</f>
        <v>2022</v>
      </c>
    </row>
    <row r="3956" spans="1:17">
      <c r="A3956" t="s">
        <v>4517</v>
      </c>
      <c r="B3956" t="s">
        <v>378</v>
      </c>
      <c r="C3956" t="s">
        <v>201</v>
      </c>
      <c r="D3956" t="s">
        <v>29</v>
      </c>
      <c r="E3956" t="s">
        <v>30</v>
      </c>
      <c r="F3956" t="s">
        <v>38</v>
      </c>
      <c r="G3956" t="s">
        <v>74</v>
      </c>
      <c r="H3956" s="1">
        <v>45095</v>
      </c>
      <c r="I3956" s="2">
        <v>45095.4458333333</v>
      </c>
      <c r="J3956">
        <v>10.7</v>
      </c>
      <c r="K3956" t="s">
        <v>24</v>
      </c>
      <c r="L3956">
        <v>1</v>
      </c>
      <c r="M3956">
        <v>4</v>
      </c>
      <c r="N3956" t="s">
        <v>374</v>
      </c>
      <c r="O3956" s="3" t="str">
        <f>TEXT(Ticket_Table[[#This Row],[raised_date]],"YYYY-MM")</f>
        <v>2023-06</v>
      </c>
      <c r="P3956" s="3" t="str">
        <f>IF(Ticket_Table[[#This Row],[resolution_hrs]]&lt;=4,"Fast",IF(Ticket_Table[[#This Row],[resolution_hrs]]&lt;=24,"Normal",IF(Ticket_Table[[#This Row],[resolution_hrs]]&lt;=48,"Slow","Very Slow")))</f>
        <v>Normal</v>
      </c>
      <c r="Q3956" s="3">
        <f>YEAR(Ticket_Table[[#This Row],[raised_date]])</f>
        <v>2023</v>
      </c>
    </row>
    <row r="3957" spans="1:17">
      <c r="A3957" t="s">
        <v>4518</v>
      </c>
      <c r="B3957" t="s">
        <v>462</v>
      </c>
      <c r="C3957" t="s">
        <v>287</v>
      </c>
      <c r="D3957" t="s">
        <v>43</v>
      </c>
      <c r="E3957" t="s">
        <v>44</v>
      </c>
      <c r="F3957" t="s">
        <v>22</v>
      </c>
      <c r="G3957" t="s">
        <v>91</v>
      </c>
      <c r="H3957" s="1">
        <v>44592</v>
      </c>
      <c r="I3957" s="2">
        <v>44594.75</v>
      </c>
      <c r="J3957">
        <v>66</v>
      </c>
      <c r="K3957" t="s">
        <v>24</v>
      </c>
      <c r="L3957">
        <v>0</v>
      </c>
      <c r="M3957">
        <v>1</v>
      </c>
      <c r="N3957" t="s">
        <v>560</v>
      </c>
      <c r="O3957" s="3" t="str">
        <f>TEXT(Ticket_Table[[#This Row],[raised_date]],"YYYY-MM")</f>
        <v>2022-01</v>
      </c>
      <c r="P3957" s="3" t="str">
        <f>IF(Ticket_Table[[#This Row],[resolution_hrs]]&lt;=4,"Fast",IF(Ticket_Table[[#This Row],[resolution_hrs]]&lt;=24,"Normal",IF(Ticket_Table[[#This Row],[resolution_hrs]]&lt;=48,"Slow","Very Slow")))</f>
        <v>Very Slow</v>
      </c>
      <c r="Q3957" s="3">
        <f>YEAR(Ticket_Table[[#This Row],[raised_date]])</f>
        <v>2022</v>
      </c>
    </row>
    <row r="3958" spans="1:17">
      <c r="A3958" t="s">
        <v>4519</v>
      </c>
      <c r="B3958" t="s">
        <v>854</v>
      </c>
      <c r="C3958" t="s">
        <v>68</v>
      </c>
      <c r="D3958" t="s">
        <v>29</v>
      </c>
      <c r="E3958" t="s">
        <v>51</v>
      </c>
      <c r="F3958" t="s">
        <v>45</v>
      </c>
      <c r="G3958" t="s">
        <v>91</v>
      </c>
      <c r="H3958" s="1">
        <v>44240</v>
      </c>
      <c r="I3958" s="2">
        <v>44240.225</v>
      </c>
      <c r="J3958">
        <v>5.4</v>
      </c>
      <c r="K3958" t="s">
        <v>32</v>
      </c>
      <c r="L3958">
        <v>1</v>
      </c>
      <c r="M3958">
        <v>2</v>
      </c>
      <c r="N3958" t="s">
        <v>212</v>
      </c>
      <c r="O3958" s="3" t="str">
        <f>TEXT(Ticket_Table[[#This Row],[raised_date]],"YYYY-MM")</f>
        <v>2021-02</v>
      </c>
      <c r="P3958" s="3" t="str">
        <f>IF(Ticket_Table[[#This Row],[resolution_hrs]]&lt;=4,"Fast",IF(Ticket_Table[[#This Row],[resolution_hrs]]&lt;=24,"Normal",IF(Ticket_Table[[#This Row],[resolution_hrs]]&lt;=48,"Slow","Very Slow")))</f>
        <v>Normal</v>
      </c>
      <c r="Q3958" s="3">
        <f>YEAR(Ticket_Table[[#This Row],[raised_date]])</f>
        <v>2021</v>
      </c>
    </row>
    <row r="3959" spans="1:17">
      <c r="A3959" t="s">
        <v>4520</v>
      </c>
      <c r="B3959" t="s">
        <v>121</v>
      </c>
      <c r="C3959" t="s">
        <v>82</v>
      </c>
      <c r="D3959" t="s">
        <v>29</v>
      </c>
      <c r="E3959" t="s">
        <v>83</v>
      </c>
      <c r="F3959" t="s">
        <v>22</v>
      </c>
      <c r="G3959" t="s">
        <v>23</v>
      </c>
      <c r="H3959" s="1">
        <v>44970</v>
      </c>
      <c r="I3959" s="2">
        <v>44973.875</v>
      </c>
      <c r="J3959">
        <v>93</v>
      </c>
      <c r="K3959" t="s">
        <v>32</v>
      </c>
      <c r="L3959">
        <v>3</v>
      </c>
      <c r="M3959">
        <v>3</v>
      </c>
      <c r="N3959" t="s">
        <v>504</v>
      </c>
      <c r="O3959" s="3" t="str">
        <f>TEXT(Ticket_Table[[#This Row],[raised_date]],"YYYY-MM")</f>
        <v>2023-02</v>
      </c>
      <c r="P3959" s="3" t="str">
        <f>IF(Ticket_Table[[#This Row],[resolution_hrs]]&lt;=4,"Fast",IF(Ticket_Table[[#This Row],[resolution_hrs]]&lt;=24,"Normal",IF(Ticket_Table[[#This Row],[resolution_hrs]]&lt;=48,"Slow","Very Slow")))</f>
        <v>Very Slow</v>
      </c>
      <c r="Q3959" s="3">
        <f>YEAR(Ticket_Table[[#This Row],[raised_date]])</f>
        <v>2023</v>
      </c>
    </row>
    <row r="3960" spans="1:17">
      <c r="A3960" t="s">
        <v>4521</v>
      </c>
      <c r="B3960" t="s">
        <v>41</v>
      </c>
      <c r="C3960" t="s">
        <v>117</v>
      </c>
      <c r="D3960" t="s">
        <v>29</v>
      </c>
      <c r="E3960" t="s">
        <v>44</v>
      </c>
      <c r="F3960" t="s">
        <v>38</v>
      </c>
      <c r="G3960" t="s">
        <v>91</v>
      </c>
      <c r="H3960" s="1">
        <v>44930</v>
      </c>
      <c r="I3960" s="2">
        <v>44930.15</v>
      </c>
      <c r="J3960">
        <v>3.6</v>
      </c>
      <c r="K3960" t="s">
        <v>24</v>
      </c>
      <c r="L3960">
        <v>1</v>
      </c>
      <c r="M3960">
        <v>3</v>
      </c>
      <c r="N3960" t="s">
        <v>361</v>
      </c>
      <c r="O3960" s="3" t="str">
        <f>TEXT(Ticket_Table[[#This Row],[raised_date]],"YYYY-MM")</f>
        <v>2023-01</v>
      </c>
      <c r="P3960" s="3" t="str">
        <f>IF(Ticket_Table[[#This Row],[resolution_hrs]]&lt;=4,"Fast",IF(Ticket_Table[[#This Row],[resolution_hrs]]&lt;=24,"Normal",IF(Ticket_Table[[#This Row],[resolution_hrs]]&lt;=48,"Slow","Very Slow")))</f>
        <v>Fast</v>
      </c>
      <c r="Q3960" s="3">
        <f>YEAR(Ticket_Table[[#This Row],[raised_date]])</f>
        <v>2023</v>
      </c>
    </row>
    <row r="3961" spans="1:17">
      <c r="A3961" t="s">
        <v>4522</v>
      </c>
      <c r="B3961" t="s">
        <v>289</v>
      </c>
      <c r="C3961" t="s">
        <v>140</v>
      </c>
      <c r="D3961" t="s">
        <v>29</v>
      </c>
      <c r="E3961" t="s">
        <v>106</v>
      </c>
      <c r="F3961" t="s">
        <v>70</v>
      </c>
      <c r="G3961" t="s">
        <v>31</v>
      </c>
      <c r="H3961" s="1">
        <v>44472</v>
      </c>
      <c r="I3961" s="2">
        <v>44474.6833333333</v>
      </c>
      <c r="J3961">
        <v>64.4</v>
      </c>
      <c r="K3961" t="s">
        <v>32</v>
      </c>
      <c r="L3961">
        <v>0</v>
      </c>
      <c r="M3961">
        <v>4</v>
      </c>
      <c r="N3961" t="s">
        <v>510</v>
      </c>
      <c r="O3961" s="3" t="str">
        <f>TEXT(Ticket_Table[[#This Row],[raised_date]],"YYYY-MM")</f>
        <v>2021-10</v>
      </c>
      <c r="P3961" s="3" t="str">
        <f>IF(Ticket_Table[[#This Row],[resolution_hrs]]&lt;=4,"Fast",IF(Ticket_Table[[#This Row],[resolution_hrs]]&lt;=24,"Normal",IF(Ticket_Table[[#This Row],[resolution_hrs]]&lt;=48,"Slow","Very Slow")))</f>
        <v>Very Slow</v>
      </c>
      <c r="Q3961" s="3">
        <f>YEAR(Ticket_Table[[#This Row],[raised_date]])</f>
        <v>2021</v>
      </c>
    </row>
    <row r="3962" spans="1:17">
      <c r="A3962" t="s">
        <v>4523</v>
      </c>
      <c r="B3962" t="s">
        <v>167</v>
      </c>
      <c r="C3962" t="s">
        <v>42</v>
      </c>
      <c r="D3962" t="s">
        <v>36</v>
      </c>
      <c r="E3962" t="s">
        <v>44</v>
      </c>
      <c r="F3962" t="s">
        <v>70</v>
      </c>
      <c r="G3962" t="s">
        <v>23</v>
      </c>
      <c r="H3962" s="1">
        <v>44710</v>
      </c>
      <c r="I3962" s="2">
        <v>44711.2875</v>
      </c>
      <c r="J3962">
        <v>30.9</v>
      </c>
      <c r="K3962" t="s">
        <v>24</v>
      </c>
      <c r="L3962">
        <v>1</v>
      </c>
      <c r="M3962">
        <v>4</v>
      </c>
      <c r="N3962" t="s">
        <v>541</v>
      </c>
      <c r="O3962" s="3" t="str">
        <f>TEXT(Ticket_Table[[#This Row],[raised_date]],"YYYY-MM")</f>
        <v>2022-05</v>
      </c>
      <c r="P3962" s="3" t="str">
        <f>IF(Ticket_Table[[#This Row],[resolution_hrs]]&lt;=4,"Fast",IF(Ticket_Table[[#This Row],[resolution_hrs]]&lt;=24,"Normal",IF(Ticket_Table[[#This Row],[resolution_hrs]]&lt;=48,"Slow","Very Slow")))</f>
        <v>Slow</v>
      </c>
      <c r="Q3962" s="3">
        <f>YEAR(Ticket_Table[[#This Row],[raised_date]])</f>
        <v>2022</v>
      </c>
    </row>
    <row r="3963" spans="1:17">
      <c r="A3963" t="s">
        <v>4524</v>
      </c>
      <c r="B3963" t="s">
        <v>1833</v>
      </c>
      <c r="C3963" t="s">
        <v>201</v>
      </c>
      <c r="D3963" t="s">
        <v>90</v>
      </c>
      <c r="E3963" t="s">
        <v>56</v>
      </c>
      <c r="F3963" t="s">
        <v>38</v>
      </c>
      <c r="G3963" t="s">
        <v>23</v>
      </c>
      <c r="H3963" s="1">
        <v>44277</v>
      </c>
      <c r="I3963" s="2">
        <v>44278.1458333333</v>
      </c>
      <c r="J3963">
        <v>27.5</v>
      </c>
      <c r="K3963" t="s">
        <v>32</v>
      </c>
      <c r="L3963">
        <v>1</v>
      </c>
      <c r="M3963">
        <v>5</v>
      </c>
      <c r="N3963" t="s">
        <v>974</v>
      </c>
      <c r="O3963" s="3" t="str">
        <f>TEXT(Ticket_Table[[#This Row],[raised_date]],"YYYY-MM")</f>
        <v>2021-03</v>
      </c>
      <c r="P3963" s="3" t="str">
        <f>IF(Ticket_Table[[#This Row],[resolution_hrs]]&lt;=4,"Fast",IF(Ticket_Table[[#This Row],[resolution_hrs]]&lt;=24,"Normal",IF(Ticket_Table[[#This Row],[resolution_hrs]]&lt;=48,"Slow","Very Slow")))</f>
        <v>Slow</v>
      </c>
      <c r="Q3963" s="3">
        <f>YEAR(Ticket_Table[[#This Row],[raised_date]])</f>
        <v>2021</v>
      </c>
    </row>
    <row r="3964" spans="1:17">
      <c r="A3964" t="s">
        <v>4525</v>
      </c>
      <c r="B3964" t="s">
        <v>49</v>
      </c>
      <c r="C3964" t="s">
        <v>50</v>
      </c>
      <c r="D3964" t="s">
        <v>29</v>
      </c>
      <c r="E3964" t="s">
        <v>51</v>
      </c>
      <c r="F3964" t="s">
        <v>70</v>
      </c>
      <c r="G3964" t="s">
        <v>23</v>
      </c>
      <c r="H3964" s="1">
        <v>45190</v>
      </c>
      <c r="I3964" s="2">
        <v>45190.9833333333</v>
      </c>
      <c r="J3964">
        <v>23.6</v>
      </c>
      <c r="K3964" t="s">
        <v>24</v>
      </c>
      <c r="L3964">
        <v>0</v>
      </c>
      <c r="M3964">
        <v>3</v>
      </c>
      <c r="N3964" t="s">
        <v>160</v>
      </c>
      <c r="O3964" s="3" t="str">
        <f>TEXT(Ticket_Table[[#This Row],[raised_date]],"YYYY-MM")</f>
        <v>2023-09</v>
      </c>
      <c r="P3964" s="3" t="str">
        <f>IF(Ticket_Table[[#This Row],[resolution_hrs]]&lt;=4,"Fast",IF(Ticket_Table[[#This Row],[resolution_hrs]]&lt;=24,"Normal",IF(Ticket_Table[[#This Row],[resolution_hrs]]&lt;=48,"Slow","Very Slow")))</f>
        <v>Normal</v>
      </c>
      <c r="Q3964" s="3">
        <f>YEAR(Ticket_Table[[#This Row],[raised_date]])</f>
        <v>2023</v>
      </c>
    </row>
    <row r="3965" spans="1:17">
      <c r="A3965" t="s">
        <v>4526</v>
      </c>
      <c r="B3965" t="s">
        <v>344</v>
      </c>
      <c r="C3965" t="s">
        <v>201</v>
      </c>
      <c r="D3965" t="s">
        <v>20</v>
      </c>
      <c r="E3965" t="s">
        <v>106</v>
      </c>
      <c r="F3965" t="s">
        <v>70</v>
      </c>
      <c r="G3965" t="s">
        <v>23</v>
      </c>
      <c r="H3965" s="1">
        <v>45093</v>
      </c>
      <c r="I3965" s="2">
        <v>45093.9875</v>
      </c>
      <c r="J3965">
        <v>23.7</v>
      </c>
      <c r="K3965" t="s">
        <v>24</v>
      </c>
      <c r="L3965">
        <v>2</v>
      </c>
      <c r="M3965">
        <v>3</v>
      </c>
      <c r="N3965" t="s">
        <v>974</v>
      </c>
      <c r="O3965" s="3" t="str">
        <f>TEXT(Ticket_Table[[#This Row],[raised_date]],"YYYY-MM")</f>
        <v>2023-06</v>
      </c>
      <c r="P3965" s="3" t="str">
        <f>IF(Ticket_Table[[#This Row],[resolution_hrs]]&lt;=4,"Fast",IF(Ticket_Table[[#This Row],[resolution_hrs]]&lt;=24,"Normal",IF(Ticket_Table[[#This Row],[resolution_hrs]]&lt;=48,"Slow","Very Slow")))</f>
        <v>Normal</v>
      </c>
      <c r="Q3965" s="3">
        <f>YEAR(Ticket_Table[[#This Row],[raised_date]])</f>
        <v>2023</v>
      </c>
    </row>
    <row r="3966" spans="1:17">
      <c r="A3966" t="s">
        <v>4527</v>
      </c>
      <c r="B3966" t="s">
        <v>931</v>
      </c>
      <c r="C3966" t="s">
        <v>82</v>
      </c>
      <c r="D3966" t="s">
        <v>43</v>
      </c>
      <c r="E3966" t="s">
        <v>83</v>
      </c>
      <c r="F3966" t="s">
        <v>22</v>
      </c>
      <c r="G3966" t="s">
        <v>91</v>
      </c>
      <c r="H3966" s="1">
        <v>44800</v>
      </c>
      <c r="I3966" s="2">
        <v>44800.9208333333</v>
      </c>
      <c r="J3966">
        <v>22.1</v>
      </c>
      <c r="K3966" t="s">
        <v>24</v>
      </c>
      <c r="L3966">
        <v>0</v>
      </c>
      <c r="M3966">
        <v>4</v>
      </c>
      <c r="N3966" t="s">
        <v>595</v>
      </c>
      <c r="O3966" s="3" t="str">
        <f>TEXT(Ticket_Table[[#This Row],[raised_date]],"YYYY-MM")</f>
        <v>2022-08</v>
      </c>
      <c r="P3966" s="3" t="str">
        <f>IF(Ticket_Table[[#This Row],[resolution_hrs]]&lt;=4,"Fast",IF(Ticket_Table[[#This Row],[resolution_hrs]]&lt;=24,"Normal",IF(Ticket_Table[[#This Row],[resolution_hrs]]&lt;=48,"Slow","Very Slow")))</f>
        <v>Normal</v>
      </c>
      <c r="Q3966" s="3">
        <f>YEAR(Ticket_Table[[#This Row],[raised_date]])</f>
        <v>2022</v>
      </c>
    </row>
    <row r="3967" spans="1:17">
      <c r="A3967" t="s">
        <v>4528</v>
      </c>
      <c r="B3967" t="s">
        <v>744</v>
      </c>
      <c r="C3967" t="s">
        <v>140</v>
      </c>
      <c r="D3967" t="s">
        <v>43</v>
      </c>
      <c r="E3967" t="s">
        <v>37</v>
      </c>
      <c r="F3967" t="s">
        <v>22</v>
      </c>
      <c r="G3967" t="s">
        <v>23</v>
      </c>
      <c r="H3967" s="1">
        <v>45200</v>
      </c>
      <c r="I3967" s="2">
        <v>45203.6208333333</v>
      </c>
      <c r="J3967">
        <v>86.9</v>
      </c>
      <c r="K3967" t="s">
        <v>32</v>
      </c>
      <c r="L3967">
        <v>0</v>
      </c>
      <c r="M3967">
        <v>3</v>
      </c>
      <c r="N3967" t="s">
        <v>243</v>
      </c>
      <c r="O3967" s="3" t="str">
        <f>TEXT(Ticket_Table[[#This Row],[raised_date]],"YYYY-MM")</f>
        <v>2023-10</v>
      </c>
      <c r="P3967" s="3" t="str">
        <f>IF(Ticket_Table[[#This Row],[resolution_hrs]]&lt;=4,"Fast",IF(Ticket_Table[[#This Row],[resolution_hrs]]&lt;=24,"Normal",IF(Ticket_Table[[#This Row],[resolution_hrs]]&lt;=48,"Slow","Very Slow")))</f>
        <v>Very Slow</v>
      </c>
      <c r="Q3967" s="3">
        <f>YEAR(Ticket_Table[[#This Row],[raised_date]])</f>
        <v>2023</v>
      </c>
    </row>
    <row r="3968" spans="1:17">
      <c r="A3968" t="s">
        <v>4529</v>
      </c>
      <c r="B3968" t="s">
        <v>304</v>
      </c>
      <c r="C3968" t="s">
        <v>78</v>
      </c>
      <c r="D3968" t="s">
        <v>43</v>
      </c>
      <c r="E3968" t="s">
        <v>21</v>
      </c>
      <c r="F3968" t="s">
        <v>22</v>
      </c>
      <c r="G3968" t="s">
        <v>31</v>
      </c>
      <c r="H3968" s="1">
        <v>44585</v>
      </c>
      <c r="I3968" s="2">
        <v>44587.2666666667</v>
      </c>
      <c r="J3968">
        <v>54.4</v>
      </c>
      <c r="K3968" t="s">
        <v>24</v>
      </c>
      <c r="L3968">
        <v>0</v>
      </c>
      <c r="M3968">
        <v>5</v>
      </c>
      <c r="N3968" t="s">
        <v>73</v>
      </c>
      <c r="O3968" s="3" t="str">
        <f>TEXT(Ticket_Table[[#This Row],[raised_date]],"YYYY-MM")</f>
        <v>2022-01</v>
      </c>
      <c r="P3968" s="3" t="str">
        <f>IF(Ticket_Table[[#This Row],[resolution_hrs]]&lt;=4,"Fast",IF(Ticket_Table[[#This Row],[resolution_hrs]]&lt;=24,"Normal",IF(Ticket_Table[[#This Row],[resolution_hrs]]&lt;=48,"Slow","Very Slow")))</f>
        <v>Very Slow</v>
      </c>
      <c r="Q3968" s="3">
        <f>YEAR(Ticket_Table[[#This Row],[raised_date]])</f>
        <v>2022</v>
      </c>
    </row>
    <row r="3969" spans="1:17">
      <c r="A3969" t="s">
        <v>4530</v>
      </c>
      <c r="B3969" t="s">
        <v>1474</v>
      </c>
      <c r="C3969" t="s">
        <v>102</v>
      </c>
      <c r="D3969" t="s">
        <v>43</v>
      </c>
      <c r="E3969" t="s">
        <v>69</v>
      </c>
      <c r="F3969" t="s">
        <v>38</v>
      </c>
      <c r="G3969" t="s">
        <v>31</v>
      </c>
      <c r="H3969" s="1">
        <v>44579</v>
      </c>
      <c r="I3969" s="2">
        <v>44580.4875</v>
      </c>
      <c r="J3969">
        <v>35.7</v>
      </c>
      <c r="K3969" t="s">
        <v>32</v>
      </c>
      <c r="L3969">
        <v>0</v>
      </c>
      <c r="M3969">
        <v>3</v>
      </c>
      <c r="N3969" t="s">
        <v>782</v>
      </c>
      <c r="O3969" s="3" t="str">
        <f>TEXT(Ticket_Table[[#This Row],[raised_date]],"YYYY-MM")</f>
        <v>2022-01</v>
      </c>
      <c r="P3969" s="3" t="str">
        <f>IF(Ticket_Table[[#This Row],[resolution_hrs]]&lt;=4,"Fast",IF(Ticket_Table[[#This Row],[resolution_hrs]]&lt;=24,"Normal",IF(Ticket_Table[[#This Row],[resolution_hrs]]&lt;=48,"Slow","Very Slow")))</f>
        <v>Slow</v>
      </c>
      <c r="Q3969" s="3">
        <f>YEAR(Ticket_Table[[#This Row],[raised_date]])</f>
        <v>2022</v>
      </c>
    </row>
    <row r="3970" spans="1:17">
      <c r="A3970" t="s">
        <v>4531</v>
      </c>
      <c r="B3970" t="s">
        <v>148</v>
      </c>
      <c r="C3970" t="s">
        <v>261</v>
      </c>
      <c r="D3970" t="s">
        <v>43</v>
      </c>
      <c r="E3970" t="s">
        <v>30</v>
      </c>
      <c r="F3970" t="s">
        <v>22</v>
      </c>
      <c r="G3970" t="s">
        <v>74</v>
      </c>
      <c r="H3970" s="1">
        <v>44909</v>
      </c>
      <c r="I3970" s="2">
        <v>44910.9208333333</v>
      </c>
      <c r="J3970">
        <v>46.1</v>
      </c>
      <c r="K3970" t="s">
        <v>24</v>
      </c>
      <c r="L3970">
        <v>0</v>
      </c>
      <c r="M3970">
        <v>5</v>
      </c>
      <c r="N3970" t="s">
        <v>464</v>
      </c>
      <c r="O3970" s="3" t="str">
        <f>TEXT(Ticket_Table[[#This Row],[raised_date]],"YYYY-MM")</f>
        <v>2022-12</v>
      </c>
      <c r="P3970" s="3" t="str">
        <f>IF(Ticket_Table[[#This Row],[resolution_hrs]]&lt;=4,"Fast",IF(Ticket_Table[[#This Row],[resolution_hrs]]&lt;=24,"Normal",IF(Ticket_Table[[#This Row],[resolution_hrs]]&lt;=48,"Slow","Very Slow")))</f>
        <v>Slow</v>
      </c>
      <c r="Q3970" s="3">
        <f>YEAR(Ticket_Table[[#This Row],[raised_date]])</f>
        <v>2022</v>
      </c>
    </row>
    <row r="3971" spans="1:17">
      <c r="A3971" t="s">
        <v>4532</v>
      </c>
      <c r="B3971" t="s">
        <v>75</v>
      </c>
      <c r="C3971" t="s">
        <v>287</v>
      </c>
      <c r="D3971" t="s">
        <v>29</v>
      </c>
      <c r="E3971" t="s">
        <v>56</v>
      </c>
      <c r="F3971" t="s">
        <v>22</v>
      </c>
      <c r="G3971" t="s">
        <v>74</v>
      </c>
      <c r="H3971" s="1">
        <v>44859</v>
      </c>
      <c r="I3971" s="2">
        <v>44859.5958333333</v>
      </c>
      <c r="J3971">
        <v>14.3</v>
      </c>
      <c r="K3971" t="s">
        <v>24</v>
      </c>
      <c r="L3971">
        <v>0</v>
      </c>
      <c r="M3971">
        <v>4</v>
      </c>
      <c r="N3971" t="s">
        <v>206</v>
      </c>
      <c r="O3971" s="3" t="str">
        <f>TEXT(Ticket_Table[[#This Row],[raised_date]],"YYYY-MM")</f>
        <v>2022-10</v>
      </c>
      <c r="P3971" s="3" t="str">
        <f>IF(Ticket_Table[[#This Row],[resolution_hrs]]&lt;=4,"Fast",IF(Ticket_Table[[#This Row],[resolution_hrs]]&lt;=24,"Normal",IF(Ticket_Table[[#This Row],[resolution_hrs]]&lt;=48,"Slow","Very Slow")))</f>
        <v>Normal</v>
      </c>
      <c r="Q3971" s="3">
        <f>YEAR(Ticket_Table[[#This Row],[raised_date]])</f>
        <v>2022</v>
      </c>
    </row>
    <row r="3972" spans="1:17">
      <c r="A3972" t="s">
        <v>4533</v>
      </c>
      <c r="B3972" t="s">
        <v>640</v>
      </c>
      <c r="C3972" t="s">
        <v>42</v>
      </c>
      <c r="D3972" t="s">
        <v>90</v>
      </c>
      <c r="E3972" t="s">
        <v>56</v>
      </c>
      <c r="F3972" t="s">
        <v>70</v>
      </c>
      <c r="G3972" t="s">
        <v>31</v>
      </c>
      <c r="H3972" s="1">
        <v>45156</v>
      </c>
      <c r="I3972" s="2">
        <v>45156.55</v>
      </c>
      <c r="J3972">
        <v>13.2</v>
      </c>
      <c r="K3972" t="s">
        <v>24</v>
      </c>
      <c r="L3972">
        <v>0</v>
      </c>
      <c r="M3972">
        <v>5</v>
      </c>
      <c r="N3972" t="s">
        <v>264</v>
      </c>
      <c r="O3972" s="3" t="str">
        <f>TEXT(Ticket_Table[[#This Row],[raised_date]],"YYYY-MM")</f>
        <v>2023-08</v>
      </c>
      <c r="P3972" s="3" t="str">
        <f>IF(Ticket_Table[[#This Row],[resolution_hrs]]&lt;=4,"Fast",IF(Ticket_Table[[#This Row],[resolution_hrs]]&lt;=24,"Normal",IF(Ticket_Table[[#This Row],[resolution_hrs]]&lt;=48,"Slow","Very Slow")))</f>
        <v>Normal</v>
      </c>
      <c r="Q3972" s="3">
        <f>YEAR(Ticket_Table[[#This Row],[raised_date]])</f>
        <v>2023</v>
      </c>
    </row>
    <row r="3973" spans="1:17">
      <c r="A3973" t="s">
        <v>4534</v>
      </c>
      <c r="B3973" t="s">
        <v>423</v>
      </c>
      <c r="C3973" t="s">
        <v>50</v>
      </c>
      <c r="D3973" t="s">
        <v>20</v>
      </c>
      <c r="E3973" t="s">
        <v>37</v>
      </c>
      <c r="F3973" t="s">
        <v>70</v>
      </c>
      <c r="G3973" t="s">
        <v>23</v>
      </c>
      <c r="H3973" s="1">
        <v>44760</v>
      </c>
      <c r="I3973" s="2">
        <v>44761.0083333333</v>
      </c>
      <c r="J3973">
        <v>24.2</v>
      </c>
      <c r="K3973" t="s">
        <v>24</v>
      </c>
      <c r="L3973">
        <v>0</v>
      </c>
      <c r="M3973">
        <v>4</v>
      </c>
      <c r="N3973" t="s">
        <v>760</v>
      </c>
      <c r="O3973" s="3" t="str">
        <f>TEXT(Ticket_Table[[#This Row],[raised_date]],"YYYY-MM")</f>
        <v>2022-07</v>
      </c>
      <c r="P3973" s="3" t="str">
        <f>IF(Ticket_Table[[#This Row],[resolution_hrs]]&lt;=4,"Fast",IF(Ticket_Table[[#This Row],[resolution_hrs]]&lt;=24,"Normal",IF(Ticket_Table[[#This Row],[resolution_hrs]]&lt;=48,"Slow","Very Slow")))</f>
        <v>Slow</v>
      </c>
      <c r="Q3973" s="3">
        <f>YEAR(Ticket_Table[[#This Row],[raised_date]])</f>
        <v>2022</v>
      </c>
    </row>
    <row r="3974" spans="1:17">
      <c r="A3974" t="s">
        <v>4535</v>
      </c>
      <c r="B3974" t="s">
        <v>383</v>
      </c>
      <c r="C3974" t="s">
        <v>175</v>
      </c>
      <c r="D3974" t="s">
        <v>36</v>
      </c>
      <c r="E3974" t="s">
        <v>21</v>
      </c>
      <c r="F3974" t="s">
        <v>38</v>
      </c>
      <c r="G3974" t="s">
        <v>31</v>
      </c>
      <c r="H3974" s="1">
        <v>44525</v>
      </c>
      <c r="I3974" s="2">
        <v>44525.6</v>
      </c>
      <c r="J3974">
        <v>14.4</v>
      </c>
      <c r="K3974" t="s">
        <v>24</v>
      </c>
      <c r="L3974">
        <v>2</v>
      </c>
      <c r="M3974">
        <v>5</v>
      </c>
      <c r="N3974" t="s">
        <v>370</v>
      </c>
      <c r="O3974" s="3" t="str">
        <f>TEXT(Ticket_Table[[#This Row],[raised_date]],"YYYY-MM")</f>
        <v>2021-11</v>
      </c>
      <c r="P3974" s="3" t="str">
        <f>IF(Ticket_Table[[#This Row],[resolution_hrs]]&lt;=4,"Fast",IF(Ticket_Table[[#This Row],[resolution_hrs]]&lt;=24,"Normal",IF(Ticket_Table[[#This Row],[resolution_hrs]]&lt;=48,"Slow","Very Slow")))</f>
        <v>Normal</v>
      </c>
      <c r="Q3974" s="3">
        <f>YEAR(Ticket_Table[[#This Row],[raised_date]])</f>
        <v>2021</v>
      </c>
    </row>
    <row r="3975" spans="1:17">
      <c r="A3975" t="s">
        <v>4536</v>
      </c>
      <c r="B3975" t="s">
        <v>160</v>
      </c>
      <c r="C3975" t="s">
        <v>287</v>
      </c>
      <c r="D3975" t="s">
        <v>20</v>
      </c>
      <c r="E3975" t="s">
        <v>21</v>
      </c>
      <c r="F3975" t="s">
        <v>22</v>
      </c>
      <c r="G3975" t="s">
        <v>46</v>
      </c>
      <c r="H3975" s="1">
        <v>44338</v>
      </c>
      <c r="I3975" s="2">
        <v>44340.6125</v>
      </c>
      <c r="J3975">
        <v>62.7</v>
      </c>
      <c r="K3975" t="s">
        <v>24</v>
      </c>
      <c r="L3975">
        <v>0</v>
      </c>
      <c r="M3975">
        <v>4</v>
      </c>
      <c r="N3975" t="s">
        <v>756</v>
      </c>
      <c r="O3975" s="3" t="str">
        <f>TEXT(Ticket_Table[[#This Row],[raised_date]],"YYYY-MM")</f>
        <v>2021-05</v>
      </c>
      <c r="P3975" s="3" t="str">
        <f>IF(Ticket_Table[[#This Row],[resolution_hrs]]&lt;=4,"Fast",IF(Ticket_Table[[#This Row],[resolution_hrs]]&lt;=24,"Normal",IF(Ticket_Table[[#This Row],[resolution_hrs]]&lt;=48,"Slow","Very Slow")))</f>
        <v>Very Slow</v>
      </c>
      <c r="Q3975" s="3">
        <f>YEAR(Ticket_Table[[#This Row],[raised_date]])</f>
        <v>2021</v>
      </c>
    </row>
    <row r="3976" spans="1:17">
      <c r="A3976" t="s">
        <v>4537</v>
      </c>
      <c r="B3976" t="s">
        <v>878</v>
      </c>
      <c r="C3976" t="s">
        <v>82</v>
      </c>
      <c r="D3976" t="s">
        <v>36</v>
      </c>
      <c r="E3976" t="s">
        <v>30</v>
      </c>
      <c r="F3976" t="s">
        <v>22</v>
      </c>
      <c r="G3976" t="s">
        <v>23</v>
      </c>
      <c r="H3976" s="1">
        <v>45284</v>
      </c>
      <c r="I3976" s="2">
        <v>45285.3125</v>
      </c>
      <c r="J3976">
        <v>31.5</v>
      </c>
      <c r="K3976" t="s">
        <v>24</v>
      </c>
      <c r="L3976">
        <v>0</v>
      </c>
      <c r="M3976">
        <v>4</v>
      </c>
      <c r="N3976" t="s">
        <v>944</v>
      </c>
      <c r="O3976" s="3" t="str">
        <f>TEXT(Ticket_Table[[#This Row],[raised_date]],"YYYY-MM")</f>
        <v>2023-12</v>
      </c>
      <c r="P3976" s="3" t="str">
        <f>IF(Ticket_Table[[#This Row],[resolution_hrs]]&lt;=4,"Fast",IF(Ticket_Table[[#This Row],[resolution_hrs]]&lt;=24,"Normal",IF(Ticket_Table[[#This Row],[resolution_hrs]]&lt;=48,"Slow","Very Slow")))</f>
        <v>Slow</v>
      </c>
      <c r="Q3976" s="3">
        <f>YEAR(Ticket_Table[[#This Row],[raised_date]])</f>
        <v>2023</v>
      </c>
    </row>
    <row r="3977" spans="1:17">
      <c r="A3977" t="s">
        <v>4538</v>
      </c>
      <c r="B3977" t="s">
        <v>110</v>
      </c>
      <c r="C3977" t="s">
        <v>64</v>
      </c>
      <c r="D3977" t="s">
        <v>36</v>
      </c>
      <c r="E3977" t="s">
        <v>44</v>
      </c>
      <c r="F3977" t="s">
        <v>45</v>
      </c>
      <c r="G3977" t="s">
        <v>46</v>
      </c>
      <c r="H3977" s="1">
        <v>44514</v>
      </c>
      <c r="I3977" s="2">
        <v>44514.175</v>
      </c>
      <c r="J3977">
        <v>4.2</v>
      </c>
      <c r="K3977" t="s">
        <v>32</v>
      </c>
      <c r="L3977">
        <v>0</v>
      </c>
      <c r="M3977">
        <v>4</v>
      </c>
      <c r="N3977" t="s">
        <v>370</v>
      </c>
      <c r="O3977" s="3" t="str">
        <f>TEXT(Ticket_Table[[#This Row],[raised_date]],"YYYY-MM")</f>
        <v>2021-11</v>
      </c>
      <c r="P3977" s="3" t="str">
        <f>IF(Ticket_Table[[#This Row],[resolution_hrs]]&lt;=4,"Fast",IF(Ticket_Table[[#This Row],[resolution_hrs]]&lt;=24,"Normal",IF(Ticket_Table[[#This Row],[resolution_hrs]]&lt;=48,"Slow","Very Slow")))</f>
        <v>Normal</v>
      </c>
      <c r="Q3977" s="3">
        <f>YEAR(Ticket_Table[[#This Row],[raised_date]])</f>
        <v>2021</v>
      </c>
    </row>
    <row r="3978" spans="1:17">
      <c r="A3978" t="s">
        <v>4539</v>
      </c>
      <c r="B3978" t="s">
        <v>71</v>
      </c>
      <c r="C3978" t="s">
        <v>78</v>
      </c>
      <c r="D3978" t="s">
        <v>20</v>
      </c>
      <c r="E3978" t="s">
        <v>83</v>
      </c>
      <c r="F3978" t="s">
        <v>22</v>
      </c>
      <c r="G3978" t="s">
        <v>23</v>
      </c>
      <c r="H3978" s="1">
        <v>45117</v>
      </c>
      <c r="I3978" s="2">
        <v>45120.8583333333</v>
      </c>
      <c r="J3978">
        <v>92.6</v>
      </c>
      <c r="K3978" t="s">
        <v>32</v>
      </c>
      <c r="L3978">
        <v>0</v>
      </c>
      <c r="M3978">
        <v>4</v>
      </c>
      <c r="N3978" t="s">
        <v>527</v>
      </c>
      <c r="O3978" s="3" t="str">
        <f>TEXT(Ticket_Table[[#This Row],[raised_date]],"YYYY-MM")</f>
        <v>2023-07</v>
      </c>
      <c r="P3978" s="3" t="str">
        <f>IF(Ticket_Table[[#This Row],[resolution_hrs]]&lt;=4,"Fast",IF(Ticket_Table[[#This Row],[resolution_hrs]]&lt;=24,"Normal",IF(Ticket_Table[[#This Row],[resolution_hrs]]&lt;=48,"Slow","Very Slow")))</f>
        <v>Very Slow</v>
      </c>
      <c r="Q3978" s="3">
        <f>YEAR(Ticket_Table[[#This Row],[raised_date]])</f>
        <v>2023</v>
      </c>
    </row>
    <row r="3979" spans="1:17">
      <c r="A3979" t="s">
        <v>4540</v>
      </c>
      <c r="B3979" t="s">
        <v>857</v>
      </c>
      <c r="C3979" t="s">
        <v>117</v>
      </c>
      <c r="D3979" t="s">
        <v>29</v>
      </c>
      <c r="E3979" t="s">
        <v>21</v>
      </c>
      <c r="F3979" t="s">
        <v>38</v>
      </c>
      <c r="G3979" t="s">
        <v>74</v>
      </c>
      <c r="H3979" s="1">
        <v>44802</v>
      </c>
      <c r="I3979" s="2">
        <v>44803.4833333333</v>
      </c>
      <c r="J3979">
        <v>35.6</v>
      </c>
      <c r="K3979" t="s">
        <v>32</v>
      </c>
      <c r="L3979">
        <v>0</v>
      </c>
      <c r="M3979">
        <v>5</v>
      </c>
      <c r="N3979" t="s">
        <v>79</v>
      </c>
      <c r="O3979" s="3" t="str">
        <f>TEXT(Ticket_Table[[#This Row],[raised_date]],"YYYY-MM")</f>
        <v>2022-08</v>
      </c>
      <c r="P3979" s="3" t="str">
        <f>IF(Ticket_Table[[#This Row],[resolution_hrs]]&lt;=4,"Fast",IF(Ticket_Table[[#This Row],[resolution_hrs]]&lt;=24,"Normal",IF(Ticket_Table[[#This Row],[resolution_hrs]]&lt;=48,"Slow","Very Slow")))</f>
        <v>Slow</v>
      </c>
      <c r="Q3979" s="3">
        <f>YEAR(Ticket_Table[[#This Row],[raised_date]])</f>
        <v>2022</v>
      </c>
    </row>
    <row r="3980" spans="1:17">
      <c r="A3980" t="s">
        <v>4541</v>
      </c>
      <c r="B3980" t="s">
        <v>1582</v>
      </c>
      <c r="C3980" t="s">
        <v>213</v>
      </c>
      <c r="D3980" t="s">
        <v>43</v>
      </c>
      <c r="E3980" t="s">
        <v>21</v>
      </c>
      <c r="F3980" t="s">
        <v>38</v>
      </c>
      <c r="G3980" t="s">
        <v>91</v>
      </c>
      <c r="H3980" s="1">
        <v>44736</v>
      </c>
      <c r="I3980" s="2">
        <v>44737.3708333333</v>
      </c>
      <c r="J3980">
        <v>32.9</v>
      </c>
      <c r="K3980" t="s">
        <v>32</v>
      </c>
      <c r="L3980">
        <v>0</v>
      </c>
      <c r="M3980">
        <v>3</v>
      </c>
      <c r="N3980" t="s">
        <v>981</v>
      </c>
      <c r="O3980" s="3" t="str">
        <f>TEXT(Ticket_Table[[#This Row],[raised_date]],"YYYY-MM")</f>
        <v>2022-06</v>
      </c>
      <c r="P3980" s="3" t="str">
        <f>IF(Ticket_Table[[#This Row],[resolution_hrs]]&lt;=4,"Fast",IF(Ticket_Table[[#This Row],[resolution_hrs]]&lt;=24,"Normal",IF(Ticket_Table[[#This Row],[resolution_hrs]]&lt;=48,"Slow","Very Slow")))</f>
        <v>Slow</v>
      </c>
      <c r="Q3980" s="3">
        <f>YEAR(Ticket_Table[[#This Row],[raised_date]])</f>
        <v>2022</v>
      </c>
    </row>
    <row r="3981" spans="1:17">
      <c r="A3981" t="s">
        <v>4542</v>
      </c>
      <c r="B3981" t="s">
        <v>464</v>
      </c>
      <c r="C3981" t="s">
        <v>261</v>
      </c>
      <c r="D3981" t="s">
        <v>29</v>
      </c>
      <c r="E3981" t="s">
        <v>69</v>
      </c>
      <c r="F3981" t="s">
        <v>38</v>
      </c>
      <c r="G3981" t="s">
        <v>23</v>
      </c>
      <c r="H3981" s="1">
        <v>44948</v>
      </c>
      <c r="I3981" s="2">
        <v>44948.4583333333</v>
      </c>
      <c r="J3981">
        <v>11</v>
      </c>
      <c r="K3981" t="s">
        <v>24</v>
      </c>
      <c r="L3981">
        <v>1</v>
      </c>
      <c r="M3981">
        <v>3</v>
      </c>
      <c r="N3981" t="s">
        <v>1502</v>
      </c>
      <c r="O3981" s="3" t="str">
        <f>TEXT(Ticket_Table[[#This Row],[raised_date]],"YYYY-MM")</f>
        <v>2023-01</v>
      </c>
      <c r="P3981" s="3" t="str">
        <f>IF(Ticket_Table[[#This Row],[resolution_hrs]]&lt;=4,"Fast",IF(Ticket_Table[[#This Row],[resolution_hrs]]&lt;=24,"Normal",IF(Ticket_Table[[#This Row],[resolution_hrs]]&lt;=48,"Slow","Very Slow")))</f>
        <v>Normal</v>
      </c>
      <c r="Q3981" s="3">
        <f>YEAR(Ticket_Table[[#This Row],[raised_date]])</f>
        <v>2023</v>
      </c>
    </row>
    <row r="3982" spans="1:17">
      <c r="A3982" t="s">
        <v>4543</v>
      </c>
      <c r="B3982" t="s">
        <v>270</v>
      </c>
      <c r="C3982" t="s">
        <v>68</v>
      </c>
      <c r="D3982" t="s">
        <v>43</v>
      </c>
      <c r="E3982" t="s">
        <v>106</v>
      </c>
      <c r="F3982" t="s">
        <v>22</v>
      </c>
      <c r="G3982" t="s">
        <v>31</v>
      </c>
      <c r="H3982" s="1">
        <v>45126</v>
      </c>
      <c r="I3982" s="2">
        <v>45129.7958333333</v>
      </c>
      <c r="J3982">
        <v>91.1</v>
      </c>
      <c r="K3982" t="s">
        <v>32</v>
      </c>
      <c r="L3982">
        <v>0</v>
      </c>
      <c r="M3982">
        <v>1</v>
      </c>
      <c r="N3982" t="s">
        <v>509</v>
      </c>
      <c r="O3982" s="3" t="str">
        <f>TEXT(Ticket_Table[[#This Row],[raised_date]],"YYYY-MM")</f>
        <v>2023-07</v>
      </c>
      <c r="P3982" s="3" t="str">
        <f>IF(Ticket_Table[[#This Row],[resolution_hrs]]&lt;=4,"Fast",IF(Ticket_Table[[#This Row],[resolution_hrs]]&lt;=24,"Normal",IF(Ticket_Table[[#This Row],[resolution_hrs]]&lt;=48,"Slow","Very Slow")))</f>
        <v>Very Slow</v>
      </c>
      <c r="Q3982" s="3">
        <f>YEAR(Ticket_Table[[#This Row],[raised_date]])</f>
        <v>2023</v>
      </c>
    </row>
    <row r="3983" spans="1:17">
      <c r="A3983" t="s">
        <v>4544</v>
      </c>
      <c r="B3983" t="s">
        <v>145</v>
      </c>
      <c r="C3983" t="s">
        <v>78</v>
      </c>
      <c r="D3983" t="s">
        <v>90</v>
      </c>
      <c r="E3983" t="s">
        <v>106</v>
      </c>
      <c r="F3983" t="s">
        <v>38</v>
      </c>
      <c r="G3983" t="s">
        <v>91</v>
      </c>
      <c r="H3983" s="1">
        <v>44198</v>
      </c>
      <c r="I3983" s="2">
        <v>44198.6291666667</v>
      </c>
      <c r="J3983">
        <v>15.1</v>
      </c>
      <c r="K3983" t="s">
        <v>24</v>
      </c>
      <c r="L3983">
        <v>0</v>
      </c>
      <c r="M3983">
        <v>3</v>
      </c>
      <c r="N3983" t="s">
        <v>312</v>
      </c>
      <c r="O3983" s="3" t="str">
        <f>TEXT(Ticket_Table[[#This Row],[raised_date]],"YYYY-MM")</f>
        <v>2021-01</v>
      </c>
      <c r="P3983" s="3" t="str">
        <f>IF(Ticket_Table[[#This Row],[resolution_hrs]]&lt;=4,"Fast",IF(Ticket_Table[[#This Row],[resolution_hrs]]&lt;=24,"Normal",IF(Ticket_Table[[#This Row],[resolution_hrs]]&lt;=48,"Slow","Very Slow")))</f>
        <v>Normal</v>
      </c>
      <c r="Q3983" s="3">
        <f>YEAR(Ticket_Table[[#This Row],[raised_date]])</f>
        <v>2021</v>
      </c>
    </row>
    <row r="3984" spans="1:17">
      <c r="A3984" t="s">
        <v>4545</v>
      </c>
      <c r="B3984" t="s">
        <v>79</v>
      </c>
      <c r="C3984" t="s">
        <v>213</v>
      </c>
      <c r="D3984" t="s">
        <v>36</v>
      </c>
      <c r="E3984" t="s">
        <v>69</v>
      </c>
      <c r="F3984" t="s">
        <v>38</v>
      </c>
      <c r="G3984" t="s">
        <v>31</v>
      </c>
      <c r="H3984" s="1">
        <v>45233</v>
      </c>
      <c r="I3984" s="2">
        <v>45234.35</v>
      </c>
      <c r="J3984">
        <v>32.4</v>
      </c>
      <c r="K3984" t="s">
        <v>32</v>
      </c>
      <c r="L3984">
        <v>0</v>
      </c>
      <c r="M3984">
        <v>5</v>
      </c>
      <c r="N3984" t="s">
        <v>186</v>
      </c>
      <c r="O3984" s="3" t="str">
        <f>TEXT(Ticket_Table[[#This Row],[raised_date]],"YYYY-MM")</f>
        <v>2023-11</v>
      </c>
      <c r="P3984" s="3" t="str">
        <f>IF(Ticket_Table[[#This Row],[resolution_hrs]]&lt;=4,"Fast",IF(Ticket_Table[[#This Row],[resolution_hrs]]&lt;=24,"Normal",IF(Ticket_Table[[#This Row],[resolution_hrs]]&lt;=48,"Slow","Very Slow")))</f>
        <v>Slow</v>
      </c>
      <c r="Q3984" s="3">
        <f>YEAR(Ticket_Table[[#This Row],[raised_date]])</f>
        <v>2023</v>
      </c>
    </row>
    <row r="3985" spans="1:17">
      <c r="A3985" t="s">
        <v>4546</v>
      </c>
      <c r="B3985" t="s">
        <v>331</v>
      </c>
      <c r="C3985" t="s">
        <v>213</v>
      </c>
      <c r="D3985" t="s">
        <v>20</v>
      </c>
      <c r="E3985" t="s">
        <v>166</v>
      </c>
      <c r="F3985" t="s">
        <v>70</v>
      </c>
      <c r="G3985" t="s">
        <v>23</v>
      </c>
      <c r="H3985" s="1">
        <v>44973</v>
      </c>
      <c r="I3985" s="2">
        <v>44975.7583333333</v>
      </c>
      <c r="J3985">
        <v>66.2</v>
      </c>
      <c r="K3985" t="s">
        <v>32</v>
      </c>
      <c r="L3985">
        <v>2</v>
      </c>
      <c r="M3985">
        <v>2</v>
      </c>
      <c r="N3985" t="s">
        <v>787</v>
      </c>
      <c r="O3985" s="3" t="str">
        <f>TEXT(Ticket_Table[[#This Row],[raised_date]],"YYYY-MM")</f>
        <v>2023-02</v>
      </c>
      <c r="P3985" s="3" t="str">
        <f>IF(Ticket_Table[[#This Row],[resolution_hrs]]&lt;=4,"Fast",IF(Ticket_Table[[#This Row],[resolution_hrs]]&lt;=24,"Normal",IF(Ticket_Table[[#This Row],[resolution_hrs]]&lt;=48,"Slow","Very Slow")))</f>
        <v>Very Slow</v>
      </c>
      <c r="Q3985" s="3">
        <f>YEAR(Ticket_Table[[#This Row],[raised_date]])</f>
        <v>2023</v>
      </c>
    </row>
    <row r="3986" spans="1:17">
      <c r="A3986" t="s">
        <v>4547</v>
      </c>
      <c r="B3986" t="s">
        <v>655</v>
      </c>
      <c r="C3986" t="s">
        <v>60</v>
      </c>
      <c r="D3986" t="s">
        <v>90</v>
      </c>
      <c r="E3986" t="s">
        <v>83</v>
      </c>
      <c r="F3986" t="s">
        <v>70</v>
      </c>
      <c r="G3986" t="s">
        <v>31</v>
      </c>
      <c r="H3986" s="1">
        <v>44576</v>
      </c>
      <c r="I3986" s="2">
        <v>44576.1583333333</v>
      </c>
      <c r="J3986">
        <v>3.8</v>
      </c>
      <c r="K3986" t="s">
        <v>24</v>
      </c>
      <c r="L3986">
        <v>0</v>
      </c>
      <c r="M3986">
        <v>4</v>
      </c>
      <c r="N3986" t="s">
        <v>787</v>
      </c>
      <c r="O3986" s="3" t="str">
        <f>TEXT(Ticket_Table[[#This Row],[raised_date]],"YYYY-MM")</f>
        <v>2022-01</v>
      </c>
      <c r="P3986" s="3" t="str">
        <f>IF(Ticket_Table[[#This Row],[resolution_hrs]]&lt;=4,"Fast",IF(Ticket_Table[[#This Row],[resolution_hrs]]&lt;=24,"Normal",IF(Ticket_Table[[#This Row],[resolution_hrs]]&lt;=48,"Slow","Very Slow")))</f>
        <v>Fast</v>
      </c>
      <c r="Q3986" s="3">
        <f>YEAR(Ticket_Table[[#This Row],[raised_date]])</f>
        <v>2022</v>
      </c>
    </row>
    <row r="3987" spans="1:17">
      <c r="A3987" t="s">
        <v>4548</v>
      </c>
      <c r="B3987" t="s">
        <v>214</v>
      </c>
      <c r="C3987" t="s">
        <v>213</v>
      </c>
      <c r="D3987" t="s">
        <v>43</v>
      </c>
      <c r="E3987" t="s">
        <v>21</v>
      </c>
      <c r="F3987" t="s">
        <v>22</v>
      </c>
      <c r="G3987" t="s">
        <v>46</v>
      </c>
      <c r="H3987" s="1">
        <v>44235</v>
      </c>
      <c r="I3987" s="2">
        <v>44237.9166666667</v>
      </c>
      <c r="J3987">
        <v>70</v>
      </c>
      <c r="K3987" t="s">
        <v>24</v>
      </c>
      <c r="L3987">
        <v>0</v>
      </c>
      <c r="M3987">
        <v>4</v>
      </c>
      <c r="N3987" t="s">
        <v>484</v>
      </c>
      <c r="O3987" s="3" t="str">
        <f>TEXT(Ticket_Table[[#This Row],[raised_date]],"YYYY-MM")</f>
        <v>2021-02</v>
      </c>
      <c r="P3987" s="3" t="str">
        <f>IF(Ticket_Table[[#This Row],[resolution_hrs]]&lt;=4,"Fast",IF(Ticket_Table[[#This Row],[resolution_hrs]]&lt;=24,"Normal",IF(Ticket_Table[[#This Row],[resolution_hrs]]&lt;=48,"Slow","Very Slow")))</f>
        <v>Very Slow</v>
      </c>
      <c r="Q3987" s="3">
        <f>YEAR(Ticket_Table[[#This Row],[raised_date]])</f>
        <v>2021</v>
      </c>
    </row>
    <row r="3988" spans="1:17">
      <c r="A3988" t="s">
        <v>4549</v>
      </c>
      <c r="B3988" t="s">
        <v>1061</v>
      </c>
      <c r="C3988" t="s">
        <v>28</v>
      </c>
      <c r="D3988" t="s">
        <v>29</v>
      </c>
      <c r="E3988" t="s">
        <v>30</v>
      </c>
      <c r="F3988" t="s">
        <v>22</v>
      </c>
      <c r="G3988" t="s">
        <v>74</v>
      </c>
      <c r="H3988" s="1">
        <v>44942</v>
      </c>
      <c r="I3988" s="2">
        <v>44942.35</v>
      </c>
      <c r="J3988">
        <v>8.4</v>
      </c>
      <c r="K3988" t="s">
        <v>24</v>
      </c>
      <c r="L3988">
        <v>2</v>
      </c>
      <c r="M3988">
        <v>5</v>
      </c>
      <c r="N3988" t="s">
        <v>275</v>
      </c>
      <c r="O3988" s="3" t="str">
        <f>TEXT(Ticket_Table[[#This Row],[raised_date]],"YYYY-MM")</f>
        <v>2023-01</v>
      </c>
      <c r="P3988" s="3" t="str">
        <f>IF(Ticket_Table[[#This Row],[resolution_hrs]]&lt;=4,"Fast",IF(Ticket_Table[[#This Row],[resolution_hrs]]&lt;=24,"Normal",IF(Ticket_Table[[#This Row],[resolution_hrs]]&lt;=48,"Slow","Very Slow")))</f>
        <v>Normal</v>
      </c>
      <c r="Q3988" s="3">
        <f>YEAR(Ticket_Table[[#This Row],[raised_date]])</f>
        <v>2023</v>
      </c>
    </row>
    <row r="3989" spans="1:17">
      <c r="A3989" t="s">
        <v>4550</v>
      </c>
      <c r="B3989" t="s">
        <v>445</v>
      </c>
      <c r="C3989" t="s">
        <v>55</v>
      </c>
      <c r="D3989" t="s">
        <v>20</v>
      </c>
      <c r="E3989" t="s">
        <v>83</v>
      </c>
      <c r="F3989" t="s">
        <v>70</v>
      </c>
      <c r="G3989" t="s">
        <v>31</v>
      </c>
      <c r="H3989" s="1">
        <v>44686</v>
      </c>
      <c r="I3989" s="2">
        <v>44686.325</v>
      </c>
      <c r="J3989">
        <v>7.8</v>
      </c>
      <c r="K3989" t="s">
        <v>24</v>
      </c>
      <c r="L3989">
        <v>2</v>
      </c>
      <c r="M3989">
        <v>4</v>
      </c>
      <c r="N3989" t="s">
        <v>491</v>
      </c>
      <c r="O3989" s="3" t="str">
        <f>TEXT(Ticket_Table[[#This Row],[raised_date]],"YYYY-MM")</f>
        <v>2022-05</v>
      </c>
      <c r="P3989" s="3" t="str">
        <f>IF(Ticket_Table[[#This Row],[resolution_hrs]]&lt;=4,"Fast",IF(Ticket_Table[[#This Row],[resolution_hrs]]&lt;=24,"Normal",IF(Ticket_Table[[#This Row],[resolution_hrs]]&lt;=48,"Slow","Very Slow")))</f>
        <v>Normal</v>
      </c>
      <c r="Q3989" s="3">
        <f>YEAR(Ticket_Table[[#This Row],[raised_date]])</f>
        <v>2022</v>
      </c>
    </row>
    <row r="3990" spans="1:17">
      <c r="A3990" t="s">
        <v>4551</v>
      </c>
      <c r="B3990" t="s">
        <v>600</v>
      </c>
      <c r="C3990" t="s">
        <v>117</v>
      </c>
      <c r="D3990" t="s">
        <v>36</v>
      </c>
      <c r="E3990" t="s">
        <v>37</v>
      </c>
      <c r="F3990" t="s">
        <v>70</v>
      </c>
      <c r="G3990" t="s">
        <v>74</v>
      </c>
      <c r="H3990" s="1">
        <v>44853</v>
      </c>
      <c r="I3990" s="2">
        <v>44855.4166666667</v>
      </c>
      <c r="J3990">
        <v>58</v>
      </c>
      <c r="K3990" t="s">
        <v>32</v>
      </c>
      <c r="L3990">
        <v>0</v>
      </c>
      <c r="M3990">
        <v>3</v>
      </c>
      <c r="N3990" t="s">
        <v>529</v>
      </c>
      <c r="O3990" s="3" t="str">
        <f>TEXT(Ticket_Table[[#This Row],[raised_date]],"YYYY-MM")</f>
        <v>2022-10</v>
      </c>
      <c r="P3990" s="3" t="str">
        <f>IF(Ticket_Table[[#This Row],[resolution_hrs]]&lt;=4,"Fast",IF(Ticket_Table[[#This Row],[resolution_hrs]]&lt;=24,"Normal",IF(Ticket_Table[[#This Row],[resolution_hrs]]&lt;=48,"Slow","Very Slow")))</f>
        <v>Very Slow</v>
      </c>
      <c r="Q3990" s="3">
        <f>YEAR(Ticket_Table[[#This Row],[raised_date]])</f>
        <v>2022</v>
      </c>
    </row>
    <row r="3991" spans="1:17">
      <c r="A3991" t="s">
        <v>4552</v>
      </c>
      <c r="B3991" t="s">
        <v>871</v>
      </c>
      <c r="C3991" t="s">
        <v>140</v>
      </c>
      <c r="D3991" t="s">
        <v>90</v>
      </c>
      <c r="E3991" t="s">
        <v>56</v>
      </c>
      <c r="F3991" t="s">
        <v>70</v>
      </c>
      <c r="G3991" t="s">
        <v>91</v>
      </c>
      <c r="H3991" s="1">
        <v>44326</v>
      </c>
      <c r="I3991" s="2">
        <v>44328.1833333333</v>
      </c>
      <c r="J3991">
        <v>52.4</v>
      </c>
      <c r="K3991" t="s">
        <v>32</v>
      </c>
      <c r="L3991">
        <v>0</v>
      </c>
      <c r="M3991">
        <v>5</v>
      </c>
      <c r="N3991" t="s">
        <v>578</v>
      </c>
      <c r="O3991" s="3" t="str">
        <f>TEXT(Ticket_Table[[#This Row],[raised_date]],"YYYY-MM")</f>
        <v>2021-05</v>
      </c>
      <c r="P3991" s="3" t="str">
        <f>IF(Ticket_Table[[#This Row],[resolution_hrs]]&lt;=4,"Fast",IF(Ticket_Table[[#This Row],[resolution_hrs]]&lt;=24,"Normal",IF(Ticket_Table[[#This Row],[resolution_hrs]]&lt;=48,"Slow","Very Slow")))</f>
        <v>Very Slow</v>
      </c>
      <c r="Q3991" s="3">
        <f>YEAR(Ticket_Table[[#This Row],[raised_date]])</f>
        <v>2021</v>
      </c>
    </row>
    <row r="3992" spans="1:17">
      <c r="A3992" t="s">
        <v>4553</v>
      </c>
      <c r="B3992" t="s">
        <v>383</v>
      </c>
      <c r="C3992" t="s">
        <v>133</v>
      </c>
      <c r="D3992" t="s">
        <v>36</v>
      </c>
      <c r="E3992" t="s">
        <v>21</v>
      </c>
      <c r="F3992" t="s">
        <v>70</v>
      </c>
      <c r="G3992" t="s">
        <v>31</v>
      </c>
      <c r="H3992" s="1">
        <v>44990</v>
      </c>
      <c r="I3992" s="2">
        <v>44990.8541666667</v>
      </c>
      <c r="J3992">
        <v>20.5</v>
      </c>
      <c r="K3992" t="s">
        <v>24</v>
      </c>
      <c r="L3992">
        <v>0</v>
      </c>
      <c r="M3992">
        <v>2</v>
      </c>
      <c r="N3992" t="s">
        <v>1051</v>
      </c>
      <c r="O3992" s="3" t="str">
        <f>TEXT(Ticket_Table[[#This Row],[raised_date]],"YYYY-MM")</f>
        <v>2023-03</v>
      </c>
      <c r="P3992" s="3" t="str">
        <f>IF(Ticket_Table[[#This Row],[resolution_hrs]]&lt;=4,"Fast",IF(Ticket_Table[[#This Row],[resolution_hrs]]&lt;=24,"Normal",IF(Ticket_Table[[#This Row],[resolution_hrs]]&lt;=48,"Slow","Very Slow")))</f>
        <v>Normal</v>
      </c>
      <c r="Q3992" s="3">
        <f>YEAR(Ticket_Table[[#This Row],[raised_date]])</f>
        <v>2023</v>
      </c>
    </row>
    <row r="3993" spans="1:17">
      <c r="A3993" t="s">
        <v>4554</v>
      </c>
      <c r="B3993" t="s">
        <v>394</v>
      </c>
      <c r="C3993" t="s">
        <v>78</v>
      </c>
      <c r="D3993" t="s">
        <v>43</v>
      </c>
      <c r="E3993" t="s">
        <v>166</v>
      </c>
      <c r="F3993" t="s">
        <v>70</v>
      </c>
      <c r="G3993" t="s">
        <v>23</v>
      </c>
      <c r="H3993" s="1">
        <v>44585</v>
      </c>
      <c r="I3993" s="2">
        <v>44587.2708333333</v>
      </c>
      <c r="J3993">
        <v>54.5</v>
      </c>
      <c r="K3993" t="s">
        <v>32</v>
      </c>
      <c r="L3993">
        <v>0</v>
      </c>
      <c r="M3993">
        <v>4</v>
      </c>
      <c r="N3993" t="s">
        <v>84</v>
      </c>
      <c r="O3993" s="3" t="str">
        <f>TEXT(Ticket_Table[[#This Row],[raised_date]],"YYYY-MM")</f>
        <v>2022-01</v>
      </c>
      <c r="P3993" s="3" t="str">
        <f>IF(Ticket_Table[[#This Row],[resolution_hrs]]&lt;=4,"Fast",IF(Ticket_Table[[#This Row],[resolution_hrs]]&lt;=24,"Normal",IF(Ticket_Table[[#This Row],[resolution_hrs]]&lt;=48,"Slow","Very Slow")))</f>
        <v>Very Slow</v>
      </c>
      <c r="Q3993" s="3">
        <f>YEAR(Ticket_Table[[#This Row],[raised_date]])</f>
        <v>2022</v>
      </c>
    </row>
    <row r="3994" spans="1:17">
      <c r="A3994" t="s">
        <v>4555</v>
      </c>
      <c r="B3994" t="s">
        <v>618</v>
      </c>
      <c r="C3994" t="s">
        <v>95</v>
      </c>
      <c r="D3994" t="s">
        <v>36</v>
      </c>
      <c r="E3994" t="s">
        <v>30</v>
      </c>
      <c r="F3994" t="s">
        <v>70</v>
      </c>
      <c r="G3994" t="s">
        <v>46</v>
      </c>
      <c r="H3994" s="1">
        <v>45270</v>
      </c>
      <c r="I3994" s="2">
        <v>45271.225</v>
      </c>
      <c r="J3994">
        <v>29.4</v>
      </c>
      <c r="K3994" t="s">
        <v>24</v>
      </c>
      <c r="L3994">
        <v>0</v>
      </c>
      <c r="M3994">
        <v>2</v>
      </c>
      <c r="N3994" t="s">
        <v>780</v>
      </c>
      <c r="O3994" s="3" t="str">
        <f>TEXT(Ticket_Table[[#This Row],[raised_date]],"YYYY-MM")</f>
        <v>2023-12</v>
      </c>
      <c r="P3994" s="3" t="str">
        <f>IF(Ticket_Table[[#This Row],[resolution_hrs]]&lt;=4,"Fast",IF(Ticket_Table[[#This Row],[resolution_hrs]]&lt;=24,"Normal",IF(Ticket_Table[[#This Row],[resolution_hrs]]&lt;=48,"Slow","Very Slow")))</f>
        <v>Slow</v>
      </c>
      <c r="Q3994" s="3">
        <f>YEAR(Ticket_Table[[#This Row],[raised_date]])</f>
        <v>2023</v>
      </c>
    </row>
    <row r="3995" spans="1:17">
      <c r="A3995" t="s">
        <v>4556</v>
      </c>
      <c r="B3995" t="s">
        <v>499</v>
      </c>
      <c r="C3995" t="s">
        <v>28</v>
      </c>
      <c r="D3995" t="s">
        <v>29</v>
      </c>
      <c r="E3995" t="s">
        <v>83</v>
      </c>
      <c r="F3995" t="s">
        <v>45</v>
      </c>
      <c r="G3995" t="s">
        <v>31</v>
      </c>
      <c r="H3995" s="1">
        <v>45215</v>
      </c>
      <c r="I3995" s="2">
        <v>45215.1583333333</v>
      </c>
      <c r="J3995">
        <v>3.8</v>
      </c>
      <c r="K3995" t="s">
        <v>24</v>
      </c>
      <c r="L3995">
        <v>0</v>
      </c>
      <c r="M3995">
        <v>2</v>
      </c>
      <c r="N3995" t="s">
        <v>1136</v>
      </c>
      <c r="O3995" s="3" t="str">
        <f>TEXT(Ticket_Table[[#This Row],[raised_date]],"YYYY-MM")</f>
        <v>2023-10</v>
      </c>
      <c r="P3995" s="3" t="str">
        <f>IF(Ticket_Table[[#This Row],[resolution_hrs]]&lt;=4,"Fast",IF(Ticket_Table[[#This Row],[resolution_hrs]]&lt;=24,"Normal",IF(Ticket_Table[[#This Row],[resolution_hrs]]&lt;=48,"Slow","Very Slow")))</f>
        <v>Fast</v>
      </c>
      <c r="Q3995" s="3">
        <f>YEAR(Ticket_Table[[#This Row],[raised_date]])</f>
        <v>2023</v>
      </c>
    </row>
    <row r="3996" spans="1:17">
      <c r="A3996" t="s">
        <v>4557</v>
      </c>
      <c r="B3996" t="s">
        <v>605</v>
      </c>
      <c r="C3996" t="s">
        <v>261</v>
      </c>
      <c r="D3996" t="s">
        <v>90</v>
      </c>
      <c r="E3996" t="s">
        <v>51</v>
      </c>
      <c r="F3996" t="s">
        <v>22</v>
      </c>
      <c r="G3996" t="s">
        <v>23</v>
      </c>
      <c r="H3996" s="1">
        <v>44512</v>
      </c>
      <c r="I3996" s="2">
        <v>44513.4375</v>
      </c>
      <c r="J3996">
        <v>34.5</v>
      </c>
      <c r="K3996" t="s">
        <v>24</v>
      </c>
      <c r="L3996">
        <v>1</v>
      </c>
      <c r="M3996">
        <v>5</v>
      </c>
      <c r="N3996" t="s">
        <v>63</v>
      </c>
      <c r="O3996" s="3" t="str">
        <f>TEXT(Ticket_Table[[#This Row],[raised_date]],"YYYY-MM")</f>
        <v>2021-11</v>
      </c>
      <c r="P3996" s="3" t="str">
        <f>IF(Ticket_Table[[#This Row],[resolution_hrs]]&lt;=4,"Fast",IF(Ticket_Table[[#This Row],[resolution_hrs]]&lt;=24,"Normal",IF(Ticket_Table[[#This Row],[resolution_hrs]]&lt;=48,"Slow","Very Slow")))</f>
        <v>Slow</v>
      </c>
      <c r="Q3996" s="3">
        <f>YEAR(Ticket_Table[[#This Row],[raised_date]])</f>
        <v>2021</v>
      </c>
    </row>
    <row r="3997" spans="1:17">
      <c r="A3997" t="s">
        <v>4558</v>
      </c>
      <c r="B3997" t="s">
        <v>167</v>
      </c>
      <c r="C3997" t="s">
        <v>55</v>
      </c>
      <c r="D3997" t="s">
        <v>90</v>
      </c>
      <c r="E3997" t="s">
        <v>56</v>
      </c>
      <c r="F3997" t="s">
        <v>70</v>
      </c>
      <c r="G3997" t="s">
        <v>31</v>
      </c>
      <c r="H3997" s="1">
        <v>44776</v>
      </c>
      <c r="I3997" s="2">
        <v>44777.8541666667</v>
      </c>
      <c r="J3997">
        <v>44.5</v>
      </c>
      <c r="K3997" t="s">
        <v>24</v>
      </c>
      <c r="L3997">
        <v>0</v>
      </c>
      <c r="M3997">
        <v>4</v>
      </c>
      <c r="N3997" t="s">
        <v>474</v>
      </c>
      <c r="O3997" s="3" t="str">
        <f>TEXT(Ticket_Table[[#This Row],[raised_date]],"YYYY-MM")</f>
        <v>2022-08</v>
      </c>
      <c r="P3997" s="3" t="str">
        <f>IF(Ticket_Table[[#This Row],[resolution_hrs]]&lt;=4,"Fast",IF(Ticket_Table[[#This Row],[resolution_hrs]]&lt;=24,"Normal",IF(Ticket_Table[[#This Row],[resolution_hrs]]&lt;=48,"Slow","Very Slow")))</f>
        <v>Slow</v>
      </c>
      <c r="Q3997" s="3">
        <f>YEAR(Ticket_Table[[#This Row],[raised_date]])</f>
        <v>2022</v>
      </c>
    </row>
    <row r="3998" spans="1:17">
      <c r="A3998" t="s">
        <v>4559</v>
      </c>
      <c r="B3998" t="s">
        <v>109</v>
      </c>
      <c r="C3998" t="s">
        <v>140</v>
      </c>
      <c r="D3998" t="s">
        <v>29</v>
      </c>
      <c r="E3998" t="s">
        <v>21</v>
      </c>
      <c r="F3998" t="s">
        <v>22</v>
      </c>
      <c r="G3998" t="s">
        <v>23</v>
      </c>
      <c r="H3998" s="1">
        <v>44857</v>
      </c>
      <c r="I3998" s="2">
        <v>44858.7958333333</v>
      </c>
      <c r="J3998">
        <v>43.1</v>
      </c>
      <c r="K3998" t="s">
        <v>24</v>
      </c>
      <c r="L3998">
        <v>0</v>
      </c>
      <c r="M3998">
        <v>3</v>
      </c>
      <c r="N3998" t="s">
        <v>712</v>
      </c>
      <c r="O3998" s="3" t="str">
        <f>TEXT(Ticket_Table[[#This Row],[raised_date]],"YYYY-MM")</f>
        <v>2022-10</v>
      </c>
      <c r="P3998" s="3" t="str">
        <f>IF(Ticket_Table[[#This Row],[resolution_hrs]]&lt;=4,"Fast",IF(Ticket_Table[[#This Row],[resolution_hrs]]&lt;=24,"Normal",IF(Ticket_Table[[#This Row],[resolution_hrs]]&lt;=48,"Slow","Very Slow")))</f>
        <v>Slow</v>
      </c>
      <c r="Q3998" s="3">
        <f>YEAR(Ticket_Table[[#This Row],[raised_date]])</f>
        <v>2022</v>
      </c>
    </row>
    <row r="3999" spans="1:17">
      <c r="A3999" t="s">
        <v>4560</v>
      </c>
      <c r="B3999" t="s">
        <v>1241</v>
      </c>
      <c r="C3999" t="s">
        <v>28</v>
      </c>
      <c r="D3999" t="s">
        <v>36</v>
      </c>
      <c r="E3999" t="s">
        <v>83</v>
      </c>
      <c r="F3999" t="s">
        <v>70</v>
      </c>
      <c r="G3999" t="s">
        <v>74</v>
      </c>
      <c r="H3999" s="1">
        <v>45036</v>
      </c>
      <c r="I3999" s="2">
        <v>45038.1</v>
      </c>
      <c r="J3999">
        <v>50.4</v>
      </c>
      <c r="K3999" t="s">
        <v>32</v>
      </c>
      <c r="L3999">
        <v>0</v>
      </c>
      <c r="M3999">
        <v>4</v>
      </c>
      <c r="N3999" t="s">
        <v>114</v>
      </c>
      <c r="O3999" s="3" t="str">
        <f>TEXT(Ticket_Table[[#This Row],[raised_date]],"YYYY-MM")</f>
        <v>2023-04</v>
      </c>
      <c r="P3999" s="3" t="str">
        <f>IF(Ticket_Table[[#This Row],[resolution_hrs]]&lt;=4,"Fast",IF(Ticket_Table[[#This Row],[resolution_hrs]]&lt;=24,"Normal",IF(Ticket_Table[[#This Row],[resolution_hrs]]&lt;=48,"Slow","Very Slow")))</f>
        <v>Very Slow</v>
      </c>
      <c r="Q3999" s="3">
        <f>YEAR(Ticket_Table[[#This Row],[raised_date]])</f>
        <v>2023</v>
      </c>
    </row>
    <row r="4000" spans="1:17">
      <c r="A4000" t="s">
        <v>4561</v>
      </c>
      <c r="B4000" t="s">
        <v>107</v>
      </c>
      <c r="C4000" t="s">
        <v>175</v>
      </c>
      <c r="D4000" t="s">
        <v>29</v>
      </c>
      <c r="E4000" t="s">
        <v>83</v>
      </c>
      <c r="F4000" t="s">
        <v>38</v>
      </c>
      <c r="G4000" t="s">
        <v>23</v>
      </c>
      <c r="H4000" s="1">
        <v>44856</v>
      </c>
      <c r="I4000" s="2">
        <v>44856.7041666667</v>
      </c>
      <c r="J4000">
        <v>16.9</v>
      </c>
      <c r="K4000" t="s">
        <v>24</v>
      </c>
      <c r="L4000">
        <v>0</v>
      </c>
      <c r="M4000">
        <v>4</v>
      </c>
      <c r="N4000" t="s">
        <v>59</v>
      </c>
      <c r="O4000" s="3" t="str">
        <f>TEXT(Ticket_Table[[#This Row],[raised_date]],"YYYY-MM")</f>
        <v>2022-10</v>
      </c>
      <c r="P4000" s="3" t="str">
        <f>IF(Ticket_Table[[#This Row],[resolution_hrs]]&lt;=4,"Fast",IF(Ticket_Table[[#This Row],[resolution_hrs]]&lt;=24,"Normal",IF(Ticket_Table[[#This Row],[resolution_hrs]]&lt;=48,"Slow","Very Slow")))</f>
        <v>Normal</v>
      </c>
      <c r="Q4000" s="3">
        <f>YEAR(Ticket_Table[[#This Row],[raised_date]])</f>
        <v>2022</v>
      </c>
    </row>
    <row r="4001" spans="1:17">
      <c r="A4001" t="s">
        <v>4562</v>
      </c>
      <c r="B4001" t="s">
        <v>86</v>
      </c>
      <c r="C4001" t="s">
        <v>261</v>
      </c>
      <c r="D4001" t="s">
        <v>20</v>
      </c>
      <c r="E4001" t="s">
        <v>30</v>
      </c>
      <c r="F4001" t="s">
        <v>45</v>
      </c>
      <c r="G4001" t="s">
        <v>23</v>
      </c>
      <c r="H4001" s="1">
        <v>44423</v>
      </c>
      <c r="I4001" s="2">
        <v>44423.2166666667</v>
      </c>
      <c r="J4001">
        <v>5.2</v>
      </c>
      <c r="K4001" t="s">
        <v>32</v>
      </c>
      <c r="L4001">
        <v>0</v>
      </c>
      <c r="M4001">
        <v>2</v>
      </c>
      <c r="N4001" t="s">
        <v>124</v>
      </c>
      <c r="O4001" s="3" t="str">
        <f>TEXT(Ticket_Table[[#This Row],[raised_date]],"YYYY-MM")</f>
        <v>2021-08</v>
      </c>
      <c r="P4001" s="3" t="str">
        <f>IF(Ticket_Table[[#This Row],[resolution_hrs]]&lt;=4,"Fast",IF(Ticket_Table[[#This Row],[resolution_hrs]]&lt;=24,"Normal",IF(Ticket_Table[[#This Row],[resolution_hrs]]&lt;=48,"Slow","Very Slow")))</f>
        <v>Normal</v>
      </c>
      <c r="Q4001" s="3">
        <f>YEAR(Ticket_Table[[#This Row],[raised_date]])</f>
        <v>2021</v>
      </c>
    </row>
    <row r="4002" spans="1:17">
      <c r="A4002" t="s">
        <v>4563</v>
      </c>
      <c r="B4002" t="s">
        <v>1025</v>
      </c>
      <c r="C4002" t="s">
        <v>68</v>
      </c>
      <c r="D4002" t="s">
        <v>29</v>
      </c>
      <c r="E4002" t="s">
        <v>56</v>
      </c>
      <c r="F4002" t="s">
        <v>22</v>
      </c>
      <c r="G4002" t="s">
        <v>74</v>
      </c>
      <c r="H4002" s="1">
        <v>44394</v>
      </c>
      <c r="I4002" s="2">
        <v>44398.3541666667</v>
      </c>
      <c r="J4002">
        <v>104.5</v>
      </c>
      <c r="K4002" t="s">
        <v>32</v>
      </c>
      <c r="L4002">
        <v>1</v>
      </c>
      <c r="M4002">
        <v>4</v>
      </c>
      <c r="N4002" t="s">
        <v>903</v>
      </c>
      <c r="O4002" s="3" t="str">
        <f>TEXT(Ticket_Table[[#This Row],[raised_date]],"YYYY-MM")</f>
        <v>2021-07</v>
      </c>
      <c r="P4002" s="3" t="str">
        <f>IF(Ticket_Table[[#This Row],[resolution_hrs]]&lt;=4,"Fast",IF(Ticket_Table[[#This Row],[resolution_hrs]]&lt;=24,"Normal",IF(Ticket_Table[[#This Row],[resolution_hrs]]&lt;=48,"Slow","Very Slow")))</f>
        <v>Very Slow</v>
      </c>
      <c r="Q4002" s="3">
        <f>YEAR(Ticket_Table[[#This Row],[raised_date]])</f>
        <v>2021</v>
      </c>
    </row>
    <row r="4003" spans="1:17">
      <c r="A4003" t="s">
        <v>4564</v>
      </c>
      <c r="B4003" t="s">
        <v>227</v>
      </c>
      <c r="C4003" t="s">
        <v>19</v>
      </c>
      <c r="D4003" t="s">
        <v>36</v>
      </c>
      <c r="E4003" t="s">
        <v>106</v>
      </c>
      <c r="F4003" t="s">
        <v>45</v>
      </c>
      <c r="G4003" t="s">
        <v>74</v>
      </c>
      <c r="H4003" s="1">
        <v>45268</v>
      </c>
      <c r="I4003" s="2">
        <v>45268.0666666667</v>
      </c>
      <c r="J4003">
        <v>1.6</v>
      </c>
      <c r="K4003" t="s">
        <v>24</v>
      </c>
      <c r="L4003">
        <v>2</v>
      </c>
      <c r="M4003">
        <v>4</v>
      </c>
      <c r="N4003" t="s">
        <v>35</v>
      </c>
      <c r="O4003" s="3" t="str">
        <f>TEXT(Ticket_Table[[#This Row],[raised_date]],"YYYY-MM")</f>
        <v>2023-12</v>
      </c>
      <c r="P4003" s="3" t="str">
        <f>IF(Ticket_Table[[#This Row],[resolution_hrs]]&lt;=4,"Fast",IF(Ticket_Table[[#This Row],[resolution_hrs]]&lt;=24,"Normal",IF(Ticket_Table[[#This Row],[resolution_hrs]]&lt;=48,"Slow","Very Slow")))</f>
        <v>Fast</v>
      </c>
      <c r="Q4003" s="3">
        <f>YEAR(Ticket_Table[[#This Row],[raised_date]])</f>
        <v>2023</v>
      </c>
    </row>
    <row r="4004" spans="1:17">
      <c r="A4004" t="s">
        <v>4565</v>
      </c>
      <c r="B4004" t="s">
        <v>1143</v>
      </c>
      <c r="C4004" t="s">
        <v>95</v>
      </c>
      <c r="D4004" t="s">
        <v>29</v>
      </c>
      <c r="E4004" t="s">
        <v>106</v>
      </c>
      <c r="F4004" t="s">
        <v>22</v>
      </c>
      <c r="G4004" t="s">
        <v>23</v>
      </c>
      <c r="H4004" s="1">
        <v>44333</v>
      </c>
      <c r="I4004" s="2">
        <v>44334.7083333333</v>
      </c>
      <c r="J4004">
        <v>41</v>
      </c>
      <c r="K4004" t="s">
        <v>24</v>
      </c>
      <c r="L4004">
        <v>2</v>
      </c>
      <c r="M4004">
        <v>5</v>
      </c>
      <c r="N4004" t="s">
        <v>420</v>
      </c>
      <c r="O4004" s="3" t="str">
        <f>TEXT(Ticket_Table[[#This Row],[raised_date]],"YYYY-MM")</f>
        <v>2021-05</v>
      </c>
      <c r="P4004" s="3" t="str">
        <f>IF(Ticket_Table[[#This Row],[resolution_hrs]]&lt;=4,"Fast",IF(Ticket_Table[[#This Row],[resolution_hrs]]&lt;=24,"Normal",IF(Ticket_Table[[#This Row],[resolution_hrs]]&lt;=48,"Slow","Very Slow")))</f>
        <v>Slow</v>
      </c>
      <c r="Q4004" s="3">
        <f>YEAR(Ticket_Table[[#This Row],[raised_date]])</f>
        <v>2021</v>
      </c>
    </row>
    <row r="4005" spans="1:17">
      <c r="A4005" t="s">
        <v>4566</v>
      </c>
      <c r="B4005" t="s">
        <v>680</v>
      </c>
      <c r="C4005" t="s">
        <v>140</v>
      </c>
      <c r="D4005" t="s">
        <v>43</v>
      </c>
      <c r="E4005" t="s">
        <v>51</v>
      </c>
      <c r="F4005" t="s">
        <v>70</v>
      </c>
      <c r="G4005" t="s">
        <v>31</v>
      </c>
      <c r="H4005" s="1">
        <v>44286</v>
      </c>
      <c r="I4005" s="2">
        <v>44287.8708333333</v>
      </c>
      <c r="J4005">
        <v>44.9</v>
      </c>
      <c r="K4005" t="s">
        <v>24</v>
      </c>
      <c r="L4005">
        <v>1</v>
      </c>
      <c r="M4005">
        <v>4</v>
      </c>
      <c r="N4005" t="s">
        <v>1041</v>
      </c>
      <c r="O4005" s="3" t="str">
        <f>TEXT(Ticket_Table[[#This Row],[raised_date]],"YYYY-MM")</f>
        <v>2021-03</v>
      </c>
      <c r="P4005" s="3" t="str">
        <f>IF(Ticket_Table[[#This Row],[resolution_hrs]]&lt;=4,"Fast",IF(Ticket_Table[[#This Row],[resolution_hrs]]&lt;=24,"Normal",IF(Ticket_Table[[#This Row],[resolution_hrs]]&lt;=48,"Slow","Very Slow")))</f>
        <v>Slow</v>
      </c>
      <c r="Q4005" s="3">
        <f>YEAR(Ticket_Table[[#This Row],[raised_date]])</f>
        <v>2021</v>
      </c>
    </row>
    <row r="4006" spans="1:17">
      <c r="A4006" t="s">
        <v>4567</v>
      </c>
      <c r="B4006" t="s">
        <v>1019</v>
      </c>
      <c r="C4006" t="s">
        <v>102</v>
      </c>
      <c r="D4006" t="s">
        <v>29</v>
      </c>
      <c r="E4006" t="s">
        <v>44</v>
      </c>
      <c r="F4006" t="s">
        <v>22</v>
      </c>
      <c r="G4006" t="s">
        <v>23</v>
      </c>
      <c r="H4006" s="1">
        <v>44462</v>
      </c>
      <c r="I4006" s="2">
        <v>44462.1708333333</v>
      </c>
      <c r="J4006">
        <v>4.1</v>
      </c>
      <c r="K4006" t="s">
        <v>24</v>
      </c>
      <c r="L4006">
        <v>1</v>
      </c>
      <c r="M4006">
        <v>4</v>
      </c>
      <c r="N4006" t="s">
        <v>758</v>
      </c>
      <c r="O4006" s="3" t="str">
        <f>TEXT(Ticket_Table[[#This Row],[raised_date]],"YYYY-MM")</f>
        <v>2021-09</v>
      </c>
      <c r="P4006" s="3" t="str">
        <f>IF(Ticket_Table[[#This Row],[resolution_hrs]]&lt;=4,"Fast",IF(Ticket_Table[[#This Row],[resolution_hrs]]&lt;=24,"Normal",IF(Ticket_Table[[#This Row],[resolution_hrs]]&lt;=48,"Slow","Very Slow")))</f>
        <v>Normal</v>
      </c>
      <c r="Q4006" s="3">
        <f>YEAR(Ticket_Table[[#This Row],[raised_date]])</f>
        <v>2021</v>
      </c>
    </row>
    <row r="4007" spans="1:17">
      <c r="A4007" t="s">
        <v>4568</v>
      </c>
      <c r="B4007" t="s">
        <v>277</v>
      </c>
      <c r="C4007" t="s">
        <v>42</v>
      </c>
      <c r="D4007" t="s">
        <v>29</v>
      </c>
      <c r="E4007" t="s">
        <v>69</v>
      </c>
      <c r="F4007" t="s">
        <v>38</v>
      </c>
      <c r="G4007" t="s">
        <v>46</v>
      </c>
      <c r="H4007" s="1">
        <v>44562</v>
      </c>
      <c r="I4007" s="2">
        <v>44562.1125</v>
      </c>
      <c r="J4007">
        <v>2.7</v>
      </c>
      <c r="K4007" t="s">
        <v>24</v>
      </c>
      <c r="L4007">
        <v>0</v>
      </c>
      <c r="M4007">
        <v>4</v>
      </c>
      <c r="N4007" t="s">
        <v>503</v>
      </c>
      <c r="O4007" s="3" t="str">
        <f>TEXT(Ticket_Table[[#This Row],[raised_date]],"YYYY-MM")</f>
        <v>2022-01</v>
      </c>
      <c r="P4007" s="3" t="str">
        <f>IF(Ticket_Table[[#This Row],[resolution_hrs]]&lt;=4,"Fast",IF(Ticket_Table[[#This Row],[resolution_hrs]]&lt;=24,"Normal",IF(Ticket_Table[[#This Row],[resolution_hrs]]&lt;=48,"Slow","Very Slow")))</f>
        <v>Fast</v>
      </c>
      <c r="Q4007" s="3">
        <f>YEAR(Ticket_Table[[#This Row],[raised_date]])</f>
        <v>2022</v>
      </c>
    </row>
    <row r="4008" spans="1:17">
      <c r="A4008" t="s">
        <v>4569</v>
      </c>
      <c r="B4008" t="s">
        <v>458</v>
      </c>
      <c r="C4008" t="s">
        <v>19</v>
      </c>
      <c r="D4008" t="s">
        <v>36</v>
      </c>
      <c r="E4008" t="s">
        <v>21</v>
      </c>
      <c r="F4008" t="s">
        <v>70</v>
      </c>
      <c r="G4008" t="s">
        <v>23</v>
      </c>
      <c r="H4008" s="1">
        <v>44261</v>
      </c>
      <c r="I4008" s="2">
        <v>44261.0708333333</v>
      </c>
      <c r="J4008">
        <v>1.7</v>
      </c>
      <c r="K4008" t="s">
        <v>24</v>
      </c>
      <c r="L4008">
        <v>0</v>
      </c>
      <c r="M4008">
        <v>3</v>
      </c>
      <c r="N4008" t="s">
        <v>503</v>
      </c>
      <c r="O4008" s="3" t="str">
        <f>TEXT(Ticket_Table[[#This Row],[raised_date]],"YYYY-MM")</f>
        <v>2021-03</v>
      </c>
      <c r="P4008" s="3" t="str">
        <f>IF(Ticket_Table[[#This Row],[resolution_hrs]]&lt;=4,"Fast",IF(Ticket_Table[[#This Row],[resolution_hrs]]&lt;=24,"Normal",IF(Ticket_Table[[#This Row],[resolution_hrs]]&lt;=48,"Slow","Very Slow")))</f>
        <v>Fast</v>
      </c>
      <c r="Q4008" s="3">
        <f>YEAR(Ticket_Table[[#This Row],[raised_date]])</f>
        <v>2021</v>
      </c>
    </row>
    <row r="4009" spans="1:17">
      <c r="A4009" t="s">
        <v>4570</v>
      </c>
      <c r="B4009" t="s">
        <v>280</v>
      </c>
      <c r="C4009" t="s">
        <v>201</v>
      </c>
      <c r="D4009" t="s">
        <v>20</v>
      </c>
      <c r="E4009" t="s">
        <v>30</v>
      </c>
      <c r="F4009" t="s">
        <v>38</v>
      </c>
      <c r="G4009" t="s">
        <v>23</v>
      </c>
      <c r="H4009" s="1">
        <v>44610</v>
      </c>
      <c r="I4009" s="2">
        <v>44610.1958333333</v>
      </c>
      <c r="J4009">
        <v>4.7</v>
      </c>
      <c r="K4009" t="s">
        <v>24</v>
      </c>
      <c r="L4009">
        <v>1</v>
      </c>
      <c r="M4009">
        <v>4</v>
      </c>
      <c r="N4009" t="s">
        <v>334</v>
      </c>
      <c r="O4009" s="3" t="str">
        <f>TEXT(Ticket_Table[[#This Row],[raised_date]],"YYYY-MM")</f>
        <v>2022-02</v>
      </c>
      <c r="P4009" s="3" t="str">
        <f>IF(Ticket_Table[[#This Row],[resolution_hrs]]&lt;=4,"Fast",IF(Ticket_Table[[#This Row],[resolution_hrs]]&lt;=24,"Normal",IF(Ticket_Table[[#This Row],[resolution_hrs]]&lt;=48,"Slow","Very Slow")))</f>
        <v>Normal</v>
      </c>
      <c r="Q4009" s="3">
        <f>YEAR(Ticket_Table[[#This Row],[raised_date]])</f>
        <v>2022</v>
      </c>
    </row>
    <row r="4010" spans="1:17">
      <c r="A4010" t="s">
        <v>4571</v>
      </c>
      <c r="B4010" t="s">
        <v>1067</v>
      </c>
      <c r="C4010" t="s">
        <v>82</v>
      </c>
      <c r="D4010" t="s">
        <v>20</v>
      </c>
      <c r="E4010" t="s">
        <v>21</v>
      </c>
      <c r="F4010" t="s">
        <v>38</v>
      </c>
      <c r="G4010" t="s">
        <v>23</v>
      </c>
      <c r="H4010" s="1">
        <v>44416</v>
      </c>
      <c r="I4010" s="2">
        <v>44416.5125</v>
      </c>
      <c r="J4010">
        <v>12.3</v>
      </c>
      <c r="K4010" t="s">
        <v>24</v>
      </c>
      <c r="L4010">
        <v>0</v>
      </c>
      <c r="M4010">
        <v>5</v>
      </c>
      <c r="N4010" t="s">
        <v>295</v>
      </c>
      <c r="O4010" s="3" t="str">
        <f>TEXT(Ticket_Table[[#This Row],[raised_date]],"YYYY-MM")</f>
        <v>2021-08</v>
      </c>
      <c r="P4010" s="3" t="str">
        <f>IF(Ticket_Table[[#This Row],[resolution_hrs]]&lt;=4,"Fast",IF(Ticket_Table[[#This Row],[resolution_hrs]]&lt;=24,"Normal",IF(Ticket_Table[[#This Row],[resolution_hrs]]&lt;=48,"Slow","Very Slow")))</f>
        <v>Normal</v>
      </c>
      <c r="Q4010" s="3">
        <f>YEAR(Ticket_Table[[#This Row],[raised_date]])</f>
        <v>2021</v>
      </c>
    </row>
    <row r="4011" spans="1:17">
      <c r="A4011" t="s">
        <v>4572</v>
      </c>
      <c r="B4011" t="s">
        <v>1107</v>
      </c>
      <c r="C4011" t="s">
        <v>55</v>
      </c>
      <c r="D4011" t="s">
        <v>36</v>
      </c>
      <c r="E4011" t="s">
        <v>30</v>
      </c>
      <c r="F4011" t="s">
        <v>22</v>
      </c>
      <c r="G4011" t="s">
        <v>23</v>
      </c>
      <c r="H4011" s="1">
        <v>45191</v>
      </c>
      <c r="I4011" s="2">
        <v>45194.1083333333</v>
      </c>
      <c r="J4011">
        <v>74.6</v>
      </c>
      <c r="K4011" t="s">
        <v>32</v>
      </c>
      <c r="L4011">
        <v>0</v>
      </c>
      <c r="M4011">
        <v>3</v>
      </c>
      <c r="N4011" t="s">
        <v>385</v>
      </c>
      <c r="O4011" s="3" t="str">
        <f>TEXT(Ticket_Table[[#This Row],[raised_date]],"YYYY-MM")</f>
        <v>2023-09</v>
      </c>
      <c r="P4011" s="3" t="str">
        <f>IF(Ticket_Table[[#This Row],[resolution_hrs]]&lt;=4,"Fast",IF(Ticket_Table[[#This Row],[resolution_hrs]]&lt;=24,"Normal",IF(Ticket_Table[[#This Row],[resolution_hrs]]&lt;=48,"Slow","Very Slow")))</f>
        <v>Very Slow</v>
      </c>
      <c r="Q4011" s="3">
        <f>YEAR(Ticket_Table[[#This Row],[raised_date]])</f>
        <v>2023</v>
      </c>
    </row>
    <row r="4012" spans="1:17">
      <c r="A4012" t="s">
        <v>4573</v>
      </c>
      <c r="B4012" t="s">
        <v>186</v>
      </c>
      <c r="C4012" t="s">
        <v>50</v>
      </c>
      <c r="D4012" t="s">
        <v>36</v>
      </c>
      <c r="E4012" t="s">
        <v>106</v>
      </c>
      <c r="F4012" t="s">
        <v>22</v>
      </c>
      <c r="G4012" t="s">
        <v>23</v>
      </c>
      <c r="H4012" s="1">
        <v>44589</v>
      </c>
      <c r="I4012" s="2">
        <v>44590.9833333333</v>
      </c>
      <c r="J4012">
        <v>47.6</v>
      </c>
      <c r="K4012" t="s">
        <v>24</v>
      </c>
      <c r="L4012">
        <v>1</v>
      </c>
      <c r="M4012">
        <v>3</v>
      </c>
      <c r="N4012" t="s">
        <v>449</v>
      </c>
      <c r="O4012" s="3" t="str">
        <f>TEXT(Ticket_Table[[#This Row],[raised_date]],"YYYY-MM")</f>
        <v>2022-01</v>
      </c>
      <c r="P4012" s="3" t="str">
        <f>IF(Ticket_Table[[#This Row],[resolution_hrs]]&lt;=4,"Fast",IF(Ticket_Table[[#This Row],[resolution_hrs]]&lt;=24,"Normal",IF(Ticket_Table[[#This Row],[resolution_hrs]]&lt;=48,"Slow","Very Slow")))</f>
        <v>Slow</v>
      </c>
      <c r="Q4012" s="3">
        <f>YEAR(Ticket_Table[[#This Row],[raised_date]])</f>
        <v>2022</v>
      </c>
    </row>
    <row r="4013" spans="1:17">
      <c r="A4013" t="s">
        <v>4574</v>
      </c>
      <c r="B4013" t="s">
        <v>284</v>
      </c>
      <c r="C4013" t="s">
        <v>19</v>
      </c>
      <c r="D4013" t="s">
        <v>36</v>
      </c>
      <c r="E4013" t="s">
        <v>30</v>
      </c>
      <c r="F4013" t="s">
        <v>38</v>
      </c>
      <c r="G4013" t="s">
        <v>46</v>
      </c>
      <c r="H4013" s="1">
        <v>44399</v>
      </c>
      <c r="I4013" s="2">
        <v>44399.2916666667</v>
      </c>
      <c r="J4013">
        <v>7</v>
      </c>
      <c r="K4013" t="s">
        <v>24</v>
      </c>
      <c r="L4013">
        <v>2</v>
      </c>
      <c r="M4013">
        <v>4</v>
      </c>
      <c r="N4013" t="s">
        <v>1180</v>
      </c>
      <c r="O4013" s="3" t="str">
        <f>TEXT(Ticket_Table[[#This Row],[raised_date]],"YYYY-MM")</f>
        <v>2021-07</v>
      </c>
      <c r="P4013" s="3" t="str">
        <f>IF(Ticket_Table[[#This Row],[resolution_hrs]]&lt;=4,"Fast",IF(Ticket_Table[[#This Row],[resolution_hrs]]&lt;=24,"Normal",IF(Ticket_Table[[#This Row],[resolution_hrs]]&lt;=48,"Slow","Very Slow")))</f>
        <v>Normal</v>
      </c>
      <c r="Q4013" s="3">
        <f>YEAR(Ticket_Table[[#This Row],[raised_date]])</f>
        <v>2021</v>
      </c>
    </row>
    <row r="4014" spans="1:17">
      <c r="A4014" t="s">
        <v>4575</v>
      </c>
      <c r="B4014" t="s">
        <v>286</v>
      </c>
      <c r="C4014" t="s">
        <v>68</v>
      </c>
      <c r="D4014" t="s">
        <v>43</v>
      </c>
      <c r="E4014" t="s">
        <v>56</v>
      </c>
      <c r="F4014" t="s">
        <v>70</v>
      </c>
      <c r="G4014" t="s">
        <v>23</v>
      </c>
      <c r="H4014" s="1">
        <v>44262</v>
      </c>
      <c r="I4014" s="2">
        <v>44262.6083333333</v>
      </c>
      <c r="J4014">
        <v>14.6</v>
      </c>
      <c r="K4014" t="s">
        <v>24</v>
      </c>
      <c r="L4014">
        <v>0</v>
      </c>
      <c r="M4014">
        <v>2</v>
      </c>
      <c r="N4014" t="s">
        <v>1136</v>
      </c>
      <c r="O4014" s="3" t="str">
        <f>TEXT(Ticket_Table[[#This Row],[raised_date]],"YYYY-MM")</f>
        <v>2021-03</v>
      </c>
      <c r="P4014" s="3" t="str">
        <f>IF(Ticket_Table[[#This Row],[resolution_hrs]]&lt;=4,"Fast",IF(Ticket_Table[[#This Row],[resolution_hrs]]&lt;=24,"Normal",IF(Ticket_Table[[#This Row],[resolution_hrs]]&lt;=48,"Slow","Very Slow")))</f>
        <v>Normal</v>
      </c>
      <c r="Q4014" s="3">
        <f>YEAR(Ticket_Table[[#This Row],[raised_date]])</f>
        <v>2021</v>
      </c>
    </row>
    <row r="4015" spans="1:17">
      <c r="A4015" t="s">
        <v>4576</v>
      </c>
      <c r="B4015" t="s">
        <v>794</v>
      </c>
      <c r="C4015" t="s">
        <v>95</v>
      </c>
      <c r="D4015" t="s">
        <v>90</v>
      </c>
      <c r="E4015" t="s">
        <v>44</v>
      </c>
      <c r="F4015" t="s">
        <v>22</v>
      </c>
      <c r="G4015" t="s">
        <v>23</v>
      </c>
      <c r="H4015" s="1">
        <v>44992</v>
      </c>
      <c r="I4015" s="2">
        <v>44996.0625</v>
      </c>
      <c r="J4015">
        <v>97.5</v>
      </c>
      <c r="K4015" t="s">
        <v>32</v>
      </c>
      <c r="L4015">
        <v>0</v>
      </c>
      <c r="M4015">
        <v>5</v>
      </c>
      <c r="N4015" t="s">
        <v>506</v>
      </c>
      <c r="O4015" s="3" t="str">
        <f>TEXT(Ticket_Table[[#This Row],[raised_date]],"YYYY-MM")</f>
        <v>2023-03</v>
      </c>
      <c r="P4015" s="3" t="str">
        <f>IF(Ticket_Table[[#This Row],[resolution_hrs]]&lt;=4,"Fast",IF(Ticket_Table[[#This Row],[resolution_hrs]]&lt;=24,"Normal",IF(Ticket_Table[[#This Row],[resolution_hrs]]&lt;=48,"Slow","Very Slow")))</f>
        <v>Very Slow</v>
      </c>
      <c r="Q4015" s="3">
        <f>YEAR(Ticket_Table[[#This Row],[raised_date]])</f>
        <v>2023</v>
      </c>
    </row>
    <row r="4016" spans="1:17">
      <c r="A4016" t="s">
        <v>4577</v>
      </c>
      <c r="B4016" t="s">
        <v>722</v>
      </c>
      <c r="C4016" t="s">
        <v>133</v>
      </c>
      <c r="D4016" t="s">
        <v>29</v>
      </c>
      <c r="E4016" t="s">
        <v>51</v>
      </c>
      <c r="F4016" t="s">
        <v>70</v>
      </c>
      <c r="G4016" t="s">
        <v>23</v>
      </c>
      <c r="H4016" s="1">
        <v>45200</v>
      </c>
      <c r="I4016" s="2">
        <v>45201.1333333333</v>
      </c>
      <c r="J4016">
        <v>27.2</v>
      </c>
      <c r="K4016" t="s">
        <v>24</v>
      </c>
      <c r="L4016">
        <v>0</v>
      </c>
      <c r="M4016">
        <v>1</v>
      </c>
      <c r="N4016" t="s">
        <v>329</v>
      </c>
      <c r="O4016" s="3" t="str">
        <f>TEXT(Ticket_Table[[#This Row],[raised_date]],"YYYY-MM")</f>
        <v>2023-10</v>
      </c>
      <c r="P4016" s="3" t="str">
        <f>IF(Ticket_Table[[#This Row],[resolution_hrs]]&lt;=4,"Fast",IF(Ticket_Table[[#This Row],[resolution_hrs]]&lt;=24,"Normal",IF(Ticket_Table[[#This Row],[resolution_hrs]]&lt;=48,"Slow","Very Slow")))</f>
        <v>Slow</v>
      </c>
      <c r="Q4016" s="3">
        <f>YEAR(Ticket_Table[[#This Row],[raised_date]])</f>
        <v>2023</v>
      </c>
    </row>
    <row r="4017" spans="1:17">
      <c r="A4017" t="s">
        <v>4578</v>
      </c>
      <c r="B4017" t="s">
        <v>944</v>
      </c>
      <c r="C4017" t="s">
        <v>42</v>
      </c>
      <c r="D4017" t="s">
        <v>36</v>
      </c>
      <c r="E4017" t="s">
        <v>166</v>
      </c>
      <c r="F4017" t="s">
        <v>70</v>
      </c>
      <c r="G4017" t="s">
        <v>31</v>
      </c>
      <c r="H4017" s="1">
        <v>45273</v>
      </c>
      <c r="I4017" s="2">
        <v>45275.7125</v>
      </c>
      <c r="J4017">
        <v>65.1</v>
      </c>
      <c r="K4017" t="s">
        <v>32</v>
      </c>
      <c r="L4017">
        <v>0</v>
      </c>
      <c r="M4017">
        <v>4</v>
      </c>
      <c r="N4017" t="s">
        <v>318</v>
      </c>
      <c r="O4017" s="3" t="str">
        <f>TEXT(Ticket_Table[[#This Row],[raised_date]],"YYYY-MM")</f>
        <v>2023-12</v>
      </c>
      <c r="P4017" s="3" t="str">
        <f>IF(Ticket_Table[[#This Row],[resolution_hrs]]&lt;=4,"Fast",IF(Ticket_Table[[#This Row],[resolution_hrs]]&lt;=24,"Normal",IF(Ticket_Table[[#This Row],[resolution_hrs]]&lt;=48,"Slow","Very Slow")))</f>
        <v>Very Slow</v>
      </c>
      <c r="Q4017" s="3">
        <f>YEAR(Ticket_Table[[#This Row],[raised_date]])</f>
        <v>2023</v>
      </c>
    </row>
    <row r="4018" spans="1:17">
      <c r="A4018" t="s">
        <v>4579</v>
      </c>
      <c r="B4018" t="s">
        <v>457</v>
      </c>
      <c r="C4018" t="s">
        <v>60</v>
      </c>
      <c r="D4018" t="s">
        <v>36</v>
      </c>
      <c r="E4018" t="s">
        <v>106</v>
      </c>
      <c r="F4018" t="s">
        <v>22</v>
      </c>
      <c r="G4018" t="s">
        <v>23</v>
      </c>
      <c r="H4018" s="1">
        <v>44721</v>
      </c>
      <c r="I4018" s="2">
        <v>44725.4541666667</v>
      </c>
      <c r="J4018">
        <v>106.9</v>
      </c>
      <c r="K4018" t="s">
        <v>32</v>
      </c>
      <c r="L4018">
        <v>0</v>
      </c>
      <c r="M4018">
        <v>3</v>
      </c>
      <c r="N4018" t="s">
        <v>452</v>
      </c>
      <c r="O4018" s="3" t="str">
        <f>TEXT(Ticket_Table[[#This Row],[raised_date]],"YYYY-MM")</f>
        <v>2022-06</v>
      </c>
      <c r="P4018" s="3" t="str">
        <f>IF(Ticket_Table[[#This Row],[resolution_hrs]]&lt;=4,"Fast",IF(Ticket_Table[[#This Row],[resolution_hrs]]&lt;=24,"Normal",IF(Ticket_Table[[#This Row],[resolution_hrs]]&lt;=48,"Slow","Very Slow")))</f>
        <v>Very Slow</v>
      </c>
      <c r="Q4018" s="3">
        <f>YEAR(Ticket_Table[[#This Row],[raised_date]])</f>
        <v>2022</v>
      </c>
    </row>
    <row r="4019" spans="1:17">
      <c r="A4019" t="s">
        <v>4580</v>
      </c>
      <c r="B4019" t="s">
        <v>1191</v>
      </c>
      <c r="C4019" t="s">
        <v>175</v>
      </c>
      <c r="D4019" t="s">
        <v>36</v>
      </c>
      <c r="E4019" t="s">
        <v>166</v>
      </c>
      <c r="F4019" t="s">
        <v>22</v>
      </c>
      <c r="G4019" t="s">
        <v>31</v>
      </c>
      <c r="H4019" s="1">
        <v>44297</v>
      </c>
      <c r="I4019" s="2">
        <v>44301.2041666667</v>
      </c>
      <c r="J4019">
        <v>100.9</v>
      </c>
      <c r="K4019" t="s">
        <v>32</v>
      </c>
      <c r="L4019">
        <v>2</v>
      </c>
      <c r="M4019">
        <v>2</v>
      </c>
      <c r="N4019" t="s">
        <v>1136</v>
      </c>
      <c r="O4019" s="3" t="str">
        <f>TEXT(Ticket_Table[[#This Row],[raised_date]],"YYYY-MM")</f>
        <v>2021-04</v>
      </c>
      <c r="P4019" s="3" t="str">
        <f>IF(Ticket_Table[[#This Row],[resolution_hrs]]&lt;=4,"Fast",IF(Ticket_Table[[#This Row],[resolution_hrs]]&lt;=24,"Normal",IF(Ticket_Table[[#This Row],[resolution_hrs]]&lt;=48,"Slow","Very Slow")))</f>
        <v>Very Slow</v>
      </c>
      <c r="Q4019" s="3">
        <f>YEAR(Ticket_Table[[#This Row],[raised_date]])</f>
        <v>2021</v>
      </c>
    </row>
    <row r="4020" spans="1:17">
      <c r="A4020" t="s">
        <v>4581</v>
      </c>
      <c r="B4020" t="s">
        <v>1241</v>
      </c>
      <c r="C4020" t="s">
        <v>287</v>
      </c>
      <c r="D4020" t="s">
        <v>20</v>
      </c>
      <c r="E4020" t="s">
        <v>166</v>
      </c>
      <c r="F4020" t="s">
        <v>22</v>
      </c>
      <c r="G4020" t="s">
        <v>31</v>
      </c>
      <c r="H4020" s="1">
        <v>44947</v>
      </c>
      <c r="I4020" s="2">
        <v>44950.9125</v>
      </c>
      <c r="J4020">
        <v>93.9</v>
      </c>
      <c r="K4020" t="s">
        <v>32</v>
      </c>
      <c r="L4020">
        <v>0</v>
      </c>
      <c r="M4020">
        <v>5</v>
      </c>
      <c r="N4020" t="s">
        <v>262</v>
      </c>
      <c r="O4020" s="3" t="str">
        <f>TEXT(Ticket_Table[[#This Row],[raised_date]],"YYYY-MM")</f>
        <v>2023-01</v>
      </c>
      <c r="P4020" s="3" t="str">
        <f>IF(Ticket_Table[[#This Row],[resolution_hrs]]&lt;=4,"Fast",IF(Ticket_Table[[#This Row],[resolution_hrs]]&lt;=24,"Normal",IF(Ticket_Table[[#This Row],[resolution_hrs]]&lt;=48,"Slow","Very Slow")))</f>
        <v>Very Slow</v>
      </c>
      <c r="Q4020" s="3">
        <f>YEAR(Ticket_Table[[#This Row],[raised_date]])</f>
        <v>2023</v>
      </c>
    </row>
    <row r="4021" spans="1:17">
      <c r="A4021" t="s">
        <v>4582</v>
      </c>
      <c r="B4021" t="s">
        <v>372</v>
      </c>
      <c r="C4021" t="s">
        <v>42</v>
      </c>
      <c r="D4021" t="s">
        <v>36</v>
      </c>
      <c r="E4021" t="s">
        <v>37</v>
      </c>
      <c r="F4021" t="s">
        <v>70</v>
      </c>
      <c r="G4021" t="s">
        <v>46</v>
      </c>
      <c r="H4021" s="1">
        <v>44649</v>
      </c>
      <c r="I4021" s="2">
        <v>44649.8083333333</v>
      </c>
      <c r="J4021">
        <v>19.4</v>
      </c>
      <c r="K4021" t="s">
        <v>24</v>
      </c>
      <c r="L4021">
        <v>0</v>
      </c>
      <c r="M4021">
        <v>4</v>
      </c>
      <c r="N4021" t="s">
        <v>1223</v>
      </c>
      <c r="O4021" s="3" t="str">
        <f>TEXT(Ticket_Table[[#This Row],[raised_date]],"YYYY-MM")</f>
        <v>2022-03</v>
      </c>
      <c r="P4021" s="3" t="str">
        <f>IF(Ticket_Table[[#This Row],[resolution_hrs]]&lt;=4,"Fast",IF(Ticket_Table[[#This Row],[resolution_hrs]]&lt;=24,"Normal",IF(Ticket_Table[[#This Row],[resolution_hrs]]&lt;=48,"Slow","Very Slow")))</f>
        <v>Normal</v>
      </c>
      <c r="Q4021" s="3">
        <f>YEAR(Ticket_Table[[#This Row],[raised_date]])</f>
        <v>2022</v>
      </c>
    </row>
    <row r="4022" spans="1:17">
      <c r="A4022" t="s">
        <v>4583</v>
      </c>
      <c r="B4022" t="s">
        <v>109</v>
      </c>
      <c r="C4022" t="s">
        <v>55</v>
      </c>
      <c r="D4022" t="s">
        <v>29</v>
      </c>
      <c r="E4022" t="s">
        <v>44</v>
      </c>
      <c r="F4022" t="s">
        <v>38</v>
      </c>
      <c r="G4022" t="s">
        <v>31</v>
      </c>
      <c r="H4022" s="1">
        <v>44342</v>
      </c>
      <c r="I4022" s="2">
        <v>44343.1875</v>
      </c>
      <c r="J4022">
        <v>28.5</v>
      </c>
      <c r="K4022" t="s">
        <v>32</v>
      </c>
      <c r="L4022">
        <v>1</v>
      </c>
      <c r="M4022">
        <v>1</v>
      </c>
      <c r="N4022" t="s">
        <v>880</v>
      </c>
      <c r="O4022" s="3" t="str">
        <f>TEXT(Ticket_Table[[#This Row],[raised_date]],"YYYY-MM")</f>
        <v>2021-05</v>
      </c>
      <c r="P4022" s="3" t="str">
        <f>IF(Ticket_Table[[#This Row],[resolution_hrs]]&lt;=4,"Fast",IF(Ticket_Table[[#This Row],[resolution_hrs]]&lt;=24,"Normal",IF(Ticket_Table[[#This Row],[resolution_hrs]]&lt;=48,"Slow","Very Slow")))</f>
        <v>Slow</v>
      </c>
      <c r="Q4022" s="3">
        <f>YEAR(Ticket_Table[[#This Row],[raised_date]])</f>
        <v>2021</v>
      </c>
    </row>
    <row r="4023" spans="1:17">
      <c r="A4023" t="s">
        <v>4584</v>
      </c>
      <c r="B4023" t="s">
        <v>224</v>
      </c>
      <c r="C4023" t="s">
        <v>78</v>
      </c>
      <c r="D4023" t="s">
        <v>36</v>
      </c>
      <c r="E4023" t="s">
        <v>69</v>
      </c>
      <c r="F4023" t="s">
        <v>45</v>
      </c>
      <c r="G4023" t="s">
        <v>74</v>
      </c>
      <c r="H4023" s="1">
        <v>44223</v>
      </c>
      <c r="I4023" s="2">
        <v>44223.0666666667</v>
      </c>
      <c r="J4023">
        <v>1.6</v>
      </c>
      <c r="K4023" t="s">
        <v>24</v>
      </c>
      <c r="L4023">
        <v>0</v>
      </c>
      <c r="M4023">
        <v>3</v>
      </c>
      <c r="N4023" t="s">
        <v>304</v>
      </c>
      <c r="O4023" s="3" t="str">
        <f>TEXT(Ticket_Table[[#This Row],[raised_date]],"YYYY-MM")</f>
        <v>2021-01</v>
      </c>
      <c r="P4023" s="3" t="str">
        <f>IF(Ticket_Table[[#This Row],[resolution_hrs]]&lt;=4,"Fast",IF(Ticket_Table[[#This Row],[resolution_hrs]]&lt;=24,"Normal",IF(Ticket_Table[[#This Row],[resolution_hrs]]&lt;=48,"Slow","Very Slow")))</f>
        <v>Fast</v>
      </c>
      <c r="Q4023" s="3">
        <f>YEAR(Ticket_Table[[#This Row],[raised_date]])</f>
        <v>2021</v>
      </c>
    </row>
    <row r="4024" spans="1:17">
      <c r="A4024" t="s">
        <v>4585</v>
      </c>
      <c r="B4024" t="s">
        <v>305</v>
      </c>
      <c r="C4024" t="s">
        <v>55</v>
      </c>
      <c r="D4024" t="s">
        <v>29</v>
      </c>
      <c r="E4024" t="s">
        <v>83</v>
      </c>
      <c r="F4024" t="s">
        <v>70</v>
      </c>
      <c r="G4024" t="s">
        <v>31</v>
      </c>
      <c r="H4024" s="1">
        <v>44624</v>
      </c>
      <c r="I4024" s="2">
        <v>44626.8416666667</v>
      </c>
      <c r="J4024">
        <v>68.2</v>
      </c>
      <c r="K4024" t="s">
        <v>32</v>
      </c>
      <c r="L4024">
        <v>1</v>
      </c>
      <c r="M4024">
        <v>3</v>
      </c>
      <c r="N4024" t="s">
        <v>942</v>
      </c>
      <c r="O4024" s="3" t="str">
        <f>TEXT(Ticket_Table[[#This Row],[raised_date]],"YYYY-MM")</f>
        <v>2022-03</v>
      </c>
      <c r="P4024" s="3" t="str">
        <f>IF(Ticket_Table[[#This Row],[resolution_hrs]]&lt;=4,"Fast",IF(Ticket_Table[[#This Row],[resolution_hrs]]&lt;=24,"Normal",IF(Ticket_Table[[#This Row],[resolution_hrs]]&lt;=48,"Slow","Very Slow")))</f>
        <v>Very Slow</v>
      </c>
      <c r="Q4024" s="3">
        <f>YEAR(Ticket_Table[[#This Row],[raised_date]])</f>
        <v>2022</v>
      </c>
    </row>
    <row r="4025" spans="1:17">
      <c r="A4025" t="s">
        <v>4586</v>
      </c>
      <c r="B4025" t="s">
        <v>63</v>
      </c>
      <c r="C4025" t="s">
        <v>261</v>
      </c>
      <c r="D4025" t="s">
        <v>43</v>
      </c>
      <c r="E4025" t="s">
        <v>56</v>
      </c>
      <c r="F4025" t="s">
        <v>22</v>
      </c>
      <c r="G4025" t="s">
        <v>46</v>
      </c>
      <c r="H4025" s="1">
        <v>45203</v>
      </c>
      <c r="I4025" s="2">
        <v>45203.375</v>
      </c>
      <c r="J4025">
        <v>9</v>
      </c>
      <c r="K4025" t="s">
        <v>24</v>
      </c>
      <c r="L4025">
        <v>0</v>
      </c>
      <c r="M4025">
        <v>3</v>
      </c>
      <c r="N4025" t="s">
        <v>289</v>
      </c>
      <c r="O4025" s="3" t="str">
        <f>TEXT(Ticket_Table[[#This Row],[raised_date]],"YYYY-MM")</f>
        <v>2023-10</v>
      </c>
      <c r="P4025" s="3" t="str">
        <f>IF(Ticket_Table[[#This Row],[resolution_hrs]]&lt;=4,"Fast",IF(Ticket_Table[[#This Row],[resolution_hrs]]&lt;=24,"Normal",IF(Ticket_Table[[#This Row],[resolution_hrs]]&lt;=48,"Slow","Very Slow")))</f>
        <v>Normal</v>
      </c>
      <c r="Q4025" s="3">
        <f>YEAR(Ticket_Table[[#This Row],[raised_date]])</f>
        <v>2023</v>
      </c>
    </row>
    <row r="4026" spans="1:17">
      <c r="A4026" t="s">
        <v>4587</v>
      </c>
      <c r="B4026" t="s">
        <v>419</v>
      </c>
      <c r="C4026" t="s">
        <v>19</v>
      </c>
      <c r="D4026" t="s">
        <v>90</v>
      </c>
      <c r="E4026" t="s">
        <v>30</v>
      </c>
      <c r="F4026" t="s">
        <v>45</v>
      </c>
      <c r="G4026" t="s">
        <v>23</v>
      </c>
      <c r="H4026" s="1">
        <v>44360</v>
      </c>
      <c r="I4026" s="2">
        <v>44360.1083333333</v>
      </c>
      <c r="J4026">
        <v>2.6</v>
      </c>
      <c r="K4026" t="s">
        <v>24</v>
      </c>
      <c r="L4026">
        <v>1</v>
      </c>
      <c r="M4026">
        <v>4</v>
      </c>
      <c r="N4026" t="s">
        <v>98</v>
      </c>
      <c r="O4026" s="3" t="str">
        <f>TEXT(Ticket_Table[[#This Row],[raised_date]],"YYYY-MM")</f>
        <v>2021-06</v>
      </c>
      <c r="P4026" s="3" t="str">
        <f>IF(Ticket_Table[[#This Row],[resolution_hrs]]&lt;=4,"Fast",IF(Ticket_Table[[#This Row],[resolution_hrs]]&lt;=24,"Normal",IF(Ticket_Table[[#This Row],[resolution_hrs]]&lt;=48,"Slow","Very Slow")))</f>
        <v>Fast</v>
      </c>
      <c r="Q4026" s="3">
        <f>YEAR(Ticket_Table[[#This Row],[raised_date]])</f>
        <v>2021</v>
      </c>
    </row>
    <row r="4027" spans="1:17">
      <c r="A4027" t="s">
        <v>4588</v>
      </c>
      <c r="B4027" t="s">
        <v>191</v>
      </c>
      <c r="C4027" t="s">
        <v>102</v>
      </c>
      <c r="D4027" t="s">
        <v>20</v>
      </c>
      <c r="E4027" t="s">
        <v>21</v>
      </c>
      <c r="F4027" t="s">
        <v>70</v>
      </c>
      <c r="G4027" t="s">
        <v>23</v>
      </c>
      <c r="H4027" s="1">
        <v>45155</v>
      </c>
      <c r="I4027" s="2">
        <v>45156.8541666667</v>
      </c>
      <c r="J4027">
        <v>44.5</v>
      </c>
      <c r="K4027" t="s">
        <v>24</v>
      </c>
      <c r="L4027">
        <v>0</v>
      </c>
      <c r="M4027">
        <v>4</v>
      </c>
      <c r="N4027" t="s">
        <v>148</v>
      </c>
      <c r="O4027" s="3" t="str">
        <f>TEXT(Ticket_Table[[#This Row],[raised_date]],"YYYY-MM")</f>
        <v>2023-08</v>
      </c>
      <c r="P4027" s="3" t="str">
        <f>IF(Ticket_Table[[#This Row],[resolution_hrs]]&lt;=4,"Fast",IF(Ticket_Table[[#This Row],[resolution_hrs]]&lt;=24,"Normal",IF(Ticket_Table[[#This Row],[resolution_hrs]]&lt;=48,"Slow","Very Slow")))</f>
        <v>Slow</v>
      </c>
      <c r="Q4027" s="3">
        <f>YEAR(Ticket_Table[[#This Row],[raised_date]])</f>
        <v>2023</v>
      </c>
    </row>
    <row r="4028" spans="1:17">
      <c r="A4028" t="s">
        <v>4589</v>
      </c>
      <c r="B4028" t="s">
        <v>146</v>
      </c>
      <c r="C4028" t="s">
        <v>28</v>
      </c>
      <c r="D4028" t="s">
        <v>29</v>
      </c>
      <c r="E4028" t="s">
        <v>69</v>
      </c>
      <c r="F4028" t="s">
        <v>22</v>
      </c>
      <c r="G4028" t="s">
        <v>31</v>
      </c>
      <c r="H4028" s="1">
        <v>44321</v>
      </c>
      <c r="I4028" s="2">
        <v>44324.6625</v>
      </c>
      <c r="J4028">
        <v>87.9</v>
      </c>
      <c r="K4028" t="s">
        <v>32</v>
      </c>
      <c r="L4028">
        <v>0</v>
      </c>
      <c r="M4028">
        <v>3</v>
      </c>
      <c r="N4028" t="s">
        <v>339</v>
      </c>
      <c r="O4028" s="3" t="str">
        <f>TEXT(Ticket_Table[[#This Row],[raised_date]],"YYYY-MM")</f>
        <v>2021-05</v>
      </c>
      <c r="P4028" s="3" t="str">
        <f>IF(Ticket_Table[[#This Row],[resolution_hrs]]&lt;=4,"Fast",IF(Ticket_Table[[#This Row],[resolution_hrs]]&lt;=24,"Normal",IF(Ticket_Table[[#This Row],[resolution_hrs]]&lt;=48,"Slow","Very Slow")))</f>
        <v>Very Slow</v>
      </c>
      <c r="Q4028" s="3">
        <f>YEAR(Ticket_Table[[#This Row],[raised_date]])</f>
        <v>2021</v>
      </c>
    </row>
    <row r="4029" spans="1:17">
      <c r="A4029" t="s">
        <v>4590</v>
      </c>
      <c r="B4029" t="s">
        <v>198</v>
      </c>
      <c r="C4029" t="s">
        <v>60</v>
      </c>
      <c r="D4029" t="s">
        <v>43</v>
      </c>
      <c r="E4029" t="s">
        <v>21</v>
      </c>
      <c r="F4029" t="s">
        <v>45</v>
      </c>
      <c r="G4029" t="s">
        <v>23</v>
      </c>
      <c r="H4029" s="1">
        <v>44936</v>
      </c>
      <c r="I4029" s="2">
        <v>44936.0958333333</v>
      </c>
      <c r="J4029">
        <v>2.3</v>
      </c>
      <c r="K4029" t="s">
        <v>24</v>
      </c>
      <c r="L4029">
        <v>0</v>
      </c>
      <c r="M4029">
        <v>3</v>
      </c>
      <c r="N4029" t="s">
        <v>124</v>
      </c>
      <c r="O4029" s="3" t="str">
        <f>TEXT(Ticket_Table[[#This Row],[raised_date]],"YYYY-MM")</f>
        <v>2023-01</v>
      </c>
      <c r="P4029" s="3" t="str">
        <f>IF(Ticket_Table[[#This Row],[resolution_hrs]]&lt;=4,"Fast",IF(Ticket_Table[[#This Row],[resolution_hrs]]&lt;=24,"Normal",IF(Ticket_Table[[#This Row],[resolution_hrs]]&lt;=48,"Slow","Very Slow")))</f>
        <v>Fast</v>
      </c>
      <c r="Q4029" s="3">
        <f>YEAR(Ticket_Table[[#This Row],[raised_date]])</f>
        <v>2023</v>
      </c>
    </row>
    <row r="4030" spans="1:17">
      <c r="A4030" t="s">
        <v>4591</v>
      </c>
      <c r="B4030" t="s">
        <v>255</v>
      </c>
      <c r="C4030" t="s">
        <v>42</v>
      </c>
      <c r="D4030" t="s">
        <v>90</v>
      </c>
      <c r="E4030" t="s">
        <v>51</v>
      </c>
      <c r="F4030" t="s">
        <v>38</v>
      </c>
      <c r="G4030" t="s">
        <v>31</v>
      </c>
      <c r="H4030" s="1">
        <v>45048</v>
      </c>
      <c r="I4030" s="2">
        <v>45048.2916666667</v>
      </c>
      <c r="J4030">
        <v>7</v>
      </c>
      <c r="K4030" t="s">
        <v>24</v>
      </c>
      <c r="L4030">
        <v>0</v>
      </c>
      <c r="M4030">
        <v>4</v>
      </c>
      <c r="N4030" t="s">
        <v>906</v>
      </c>
      <c r="O4030" s="3" t="str">
        <f>TEXT(Ticket_Table[[#This Row],[raised_date]],"YYYY-MM")</f>
        <v>2023-05</v>
      </c>
      <c r="P4030" s="3" t="str">
        <f>IF(Ticket_Table[[#This Row],[resolution_hrs]]&lt;=4,"Fast",IF(Ticket_Table[[#This Row],[resolution_hrs]]&lt;=24,"Normal",IF(Ticket_Table[[#This Row],[resolution_hrs]]&lt;=48,"Slow","Very Slow")))</f>
        <v>Normal</v>
      </c>
      <c r="Q4030" s="3">
        <f>YEAR(Ticket_Table[[#This Row],[raised_date]])</f>
        <v>2023</v>
      </c>
    </row>
    <row r="4031" spans="1:17">
      <c r="A4031" t="s">
        <v>4592</v>
      </c>
      <c r="B4031" t="s">
        <v>824</v>
      </c>
      <c r="C4031" t="s">
        <v>68</v>
      </c>
      <c r="D4031" t="s">
        <v>90</v>
      </c>
      <c r="E4031" t="s">
        <v>51</v>
      </c>
      <c r="F4031" t="s">
        <v>38</v>
      </c>
      <c r="G4031" t="s">
        <v>31</v>
      </c>
      <c r="H4031" s="1">
        <v>44952</v>
      </c>
      <c r="I4031" s="2">
        <v>44952.2416666667</v>
      </c>
      <c r="J4031">
        <v>5.8</v>
      </c>
      <c r="K4031" t="s">
        <v>24</v>
      </c>
      <c r="L4031">
        <v>0</v>
      </c>
      <c r="M4031">
        <v>1</v>
      </c>
      <c r="N4031" t="s">
        <v>1022</v>
      </c>
      <c r="O4031" s="3" t="str">
        <f>TEXT(Ticket_Table[[#This Row],[raised_date]],"YYYY-MM")</f>
        <v>2023-01</v>
      </c>
      <c r="P4031" s="3" t="str">
        <f>IF(Ticket_Table[[#This Row],[resolution_hrs]]&lt;=4,"Fast",IF(Ticket_Table[[#This Row],[resolution_hrs]]&lt;=24,"Normal",IF(Ticket_Table[[#This Row],[resolution_hrs]]&lt;=48,"Slow","Very Slow")))</f>
        <v>Normal</v>
      </c>
      <c r="Q4031" s="3">
        <f>YEAR(Ticket_Table[[#This Row],[raised_date]])</f>
        <v>2023</v>
      </c>
    </row>
    <row r="4032" spans="1:17">
      <c r="A4032" t="s">
        <v>4593</v>
      </c>
      <c r="B4032" t="s">
        <v>315</v>
      </c>
      <c r="C4032" t="s">
        <v>117</v>
      </c>
      <c r="D4032" t="s">
        <v>90</v>
      </c>
      <c r="E4032" t="s">
        <v>56</v>
      </c>
      <c r="F4032" t="s">
        <v>38</v>
      </c>
      <c r="G4032" t="s">
        <v>46</v>
      </c>
      <c r="H4032" s="1">
        <v>44316</v>
      </c>
      <c r="I4032" s="2">
        <v>44316.7125</v>
      </c>
      <c r="J4032">
        <v>17.1</v>
      </c>
      <c r="K4032" t="s">
        <v>24</v>
      </c>
      <c r="L4032">
        <v>0</v>
      </c>
      <c r="M4032">
        <v>4</v>
      </c>
      <c r="N4032" t="s">
        <v>432</v>
      </c>
      <c r="O4032" s="3" t="str">
        <f>TEXT(Ticket_Table[[#This Row],[raised_date]],"YYYY-MM")</f>
        <v>2021-04</v>
      </c>
      <c r="P4032" s="3" t="str">
        <f>IF(Ticket_Table[[#This Row],[resolution_hrs]]&lt;=4,"Fast",IF(Ticket_Table[[#This Row],[resolution_hrs]]&lt;=24,"Normal",IF(Ticket_Table[[#This Row],[resolution_hrs]]&lt;=48,"Slow","Very Slow")))</f>
        <v>Normal</v>
      </c>
      <c r="Q4032" s="3">
        <f>YEAR(Ticket_Table[[#This Row],[raised_date]])</f>
        <v>2021</v>
      </c>
    </row>
    <row r="4033" spans="1:17">
      <c r="A4033" t="s">
        <v>4594</v>
      </c>
      <c r="B4033" t="s">
        <v>603</v>
      </c>
      <c r="C4033" t="s">
        <v>261</v>
      </c>
      <c r="D4033" t="s">
        <v>29</v>
      </c>
      <c r="E4033" t="s">
        <v>30</v>
      </c>
      <c r="F4033" t="s">
        <v>22</v>
      </c>
      <c r="G4033" t="s">
        <v>23</v>
      </c>
      <c r="H4033" s="1">
        <v>44741</v>
      </c>
      <c r="I4033" s="2">
        <v>44741.6041666667</v>
      </c>
      <c r="J4033">
        <v>14.5</v>
      </c>
      <c r="K4033" t="s">
        <v>24</v>
      </c>
      <c r="L4033">
        <v>3</v>
      </c>
      <c r="M4033">
        <v>4</v>
      </c>
      <c r="N4033" t="s">
        <v>380</v>
      </c>
      <c r="O4033" s="3" t="str">
        <f>TEXT(Ticket_Table[[#This Row],[raised_date]],"YYYY-MM")</f>
        <v>2022-06</v>
      </c>
      <c r="P4033" s="3" t="str">
        <f>IF(Ticket_Table[[#This Row],[resolution_hrs]]&lt;=4,"Fast",IF(Ticket_Table[[#This Row],[resolution_hrs]]&lt;=24,"Normal",IF(Ticket_Table[[#This Row],[resolution_hrs]]&lt;=48,"Slow","Very Slow")))</f>
        <v>Normal</v>
      </c>
      <c r="Q4033" s="3">
        <f>YEAR(Ticket_Table[[#This Row],[raised_date]])</f>
        <v>2022</v>
      </c>
    </row>
    <row r="4034" spans="1:17">
      <c r="A4034" t="s">
        <v>4595</v>
      </c>
      <c r="B4034" t="s">
        <v>735</v>
      </c>
      <c r="C4034" t="s">
        <v>50</v>
      </c>
      <c r="D4034" t="s">
        <v>43</v>
      </c>
      <c r="E4034" t="s">
        <v>30</v>
      </c>
      <c r="F4034" t="s">
        <v>22</v>
      </c>
      <c r="G4034" t="s">
        <v>23</v>
      </c>
      <c r="H4034" s="1">
        <v>45280</v>
      </c>
      <c r="I4034" s="2">
        <v>45283.8833333333</v>
      </c>
      <c r="J4034">
        <v>93.2</v>
      </c>
      <c r="K4034" t="s">
        <v>32</v>
      </c>
      <c r="L4034">
        <v>0</v>
      </c>
      <c r="M4034">
        <v>3</v>
      </c>
      <c r="N4034" t="s">
        <v>760</v>
      </c>
      <c r="O4034" s="3" t="str">
        <f>TEXT(Ticket_Table[[#This Row],[raised_date]],"YYYY-MM")</f>
        <v>2023-12</v>
      </c>
      <c r="P4034" s="3" t="str">
        <f>IF(Ticket_Table[[#This Row],[resolution_hrs]]&lt;=4,"Fast",IF(Ticket_Table[[#This Row],[resolution_hrs]]&lt;=24,"Normal",IF(Ticket_Table[[#This Row],[resolution_hrs]]&lt;=48,"Slow","Very Slow")))</f>
        <v>Very Slow</v>
      </c>
      <c r="Q4034" s="3">
        <f>YEAR(Ticket_Table[[#This Row],[raised_date]])</f>
        <v>2023</v>
      </c>
    </row>
    <row r="4035" spans="1:17">
      <c r="A4035" t="s">
        <v>4596</v>
      </c>
      <c r="B4035" t="s">
        <v>616</v>
      </c>
      <c r="C4035" t="s">
        <v>213</v>
      </c>
      <c r="D4035" t="s">
        <v>36</v>
      </c>
      <c r="E4035" t="s">
        <v>106</v>
      </c>
      <c r="F4035" t="s">
        <v>38</v>
      </c>
      <c r="G4035" t="s">
        <v>23</v>
      </c>
      <c r="H4035" s="1">
        <v>44280</v>
      </c>
      <c r="I4035" s="2">
        <v>44281.1416666667</v>
      </c>
      <c r="J4035">
        <v>27.4</v>
      </c>
      <c r="K4035" t="s">
        <v>32</v>
      </c>
      <c r="L4035">
        <v>1</v>
      </c>
      <c r="M4035">
        <v>3</v>
      </c>
      <c r="N4035" t="s">
        <v>496</v>
      </c>
      <c r="O4035" s="3" t="str">
        <f>TEXT(Ticket_Table[[#This Row],[raised_date]],"YYYY-MM")</f>
        <v>2021-03</v>
      </c>
      <c r="P4035" s="3" t="str">
        <f>IF(Ticket_Table[[#This Row],[resolution_hrs]]&lt;=4,"Fast",IF(Ticket_Table[[#This Row],[resolution_hrs]]&lt;=24,"Normal",IF(Ticket_Table[[#This Row],[resolution_hrs]]&lt;=48,"Slow","Very Slow")))</f>
        <v>Slow</v>
      </c>
      <c r="Q4035" s="3">
        <f>YEAR(Ticket_Table[[#This Row],[raised_date]])</f>
        <v>2021</v>
      </c>
    </row>
    <row r="4036" spans="1:17">
      <c r="A4036" t="s">
        <v>4597</v>
      </c>
      <c r="B4036" t="s">
        <v>71</v>
      </c>
      <c r="C4036" t="s">
        <v>175</v>
      </c>
      <c r="D4036" t="s">
        <v>43</v>
      </c>
      <c r="E4036" t="s">
        <v>30</v>
      </c>
      <c r="F4036" t="s">
        <v>22</v>
      </c>
      <c r="G4036" t="s">
        <v>31</v>
      </c>
      <c r="H4036" s="1">
        <v>44341</v>
      </c>
      <c r="I4036" s="2">
        <v>44345</v>
      </c>
      <c r="J4036">
        <v>96</v>
      </c>
      <c r="K4036" t="s">
        <v>32</v>
      </c>
      <c r="L4036">
        <v>1</v>
      </c>
      <c r="M4036">
        <v>2</v>
      </c>
      <c r="N4036" t="s">
        <v>363</v>
      </c>
      <c r="O4036" s="3" t="str">
        <f>TEXT(Ticket_Table[[#This Row],[raised_date]],"YYYY-MM")</f>
        <v>2021-05</v>
      </c>
      <c r="P4036" s="3" t="str">
        <f>IF(Ticket_Table[[#This Row],[resolution_hrs]]&lt;=4,"Fast",IF(Ticket_Table[[#This Row],[resolution_hrs]]&lt;=24,"Normal",IF(Ticket_Table[[#This Row],[resolution_hrs]]&lt;=48,"Slow","Very Slow")))</f>
        <v>Very Slow</v>
      </c>
      <c r="Q4036" s="3">
        <f>YEAR(Ticket_Table[[#This Row],[raised_date]])</f>
        <v>2021</v>
      </c>
    </row>
    <row r="4037" spans="1:17">
      <c r="A4037" t="s">
        <v>4598</v>
      </c>
      <c r="B4037" t="s">
        <v>730</v>
      </c>
      <c r="C4037" t="s">
        <v>175</v>
      </c>
      <c r="D4037" t="s">
        <v>43</v>
      </c>
      <c r="E4037" t="s">
        <v>83</v>
      </c>
      <c r="F4037" t="s">
        <v>70</v>
      </c>
      <c r="G4037" t="s">
        <v>31</v>
      </c>
      <c r="H4037" s="1">
        <v>44819</v>
      </c>
      <c r="I4037" s="2">
        <v>44821.9</v>
      </c>
      <c r="J4037">
        <v>69.6</v>
      </c>
      <c r="K4037" t="s">
        <v>32</v>
      </c>
      <c r="L4037">
        <v>1</v>
      </c>
      <c r="M4037">
        <v>4</v>
      </c>
      <c r="N4037" t="s">
        <v>1063</v>
      </c>
      <c r="O4037" s="3" t="str">
        <f>TEXT(Ticket_Table[[#This Row],[raised_date]],"YYYY-MM")</f>
        <v>2022-09</v>
      </c>
      <c r="P4037" s="3" t="str">
        <f>IF(Ticket_Table[[#This Row],[resolution_hrs]]&lt;=4,"Fast",IF(Ticket_Table[[#This Row],[resolution_hrs]]&lt;=24,"Normal",IF(Ticket_Table[[#This Row],[resolution_hrs]]&lt;=48,"Slow","Very Slow")))</f>
        <v>Very Slow</v>
      </c>
      <c r="Q4037" s="3">
        <f>YEAR(Ticket_Table[[#This Row],[raised_date]])</f>
        <v>2022</v>
      </c>
    </row>
    <row r="4038" spans="1:17">
      <c r="A4038" t="s">
        <v>4599</v>
      </c>
      <c r="B4038" t="s">
        <v>618</v>
      </c>
      <c r="C4038" t="s">
        <v>213</v>
      </c>
      <c r="D4038" t="s">
        <v>43</v>
      </c>
      <c r="E4038" t="s">
        <v>69</v>
      </c>
      <c r="F4038" t="s">
        <v>38</v>
      </c>
      <c r="G4038" t="s">
        <v>31</v>
      </c>
      <c r="H4038" s="1">
        <v>44356</v>
      </c>
      <c r="I4038" s="2">
        <v>44356.6458333333</v>
      </c>
      <c r="J4038">
        <v>15.5</v>
      </c>
      <c r="K4038" t="s">
        <v>24</v>
      </c>
      <c r="L4038">
        <v>2</v>
      </c>
      <c r="M4038">
        <v>4</v>
      </c>
      <c r="N4038" t="s">
        <v>919</v>
      </c>
      <c r="O4038" s="3" t="str">
        <f>TEXT(Ticket_Table[[#This Row],[raised_date]],"YYYY-MM")</f>
        <v>2021-06</v>
      </c>
      <c r="P4038" s="3" t="str">
        <f>IF(Ticket_Table[[#This Row],[resolution_hrs]]&lt;=4,"Fast",IF(Ticket_Table[[#This Row],[resolution_hrs]]&lt;=24,"Normal",IF(Ticket_Table[[#This Row],[resolution_hrs]]&lt;=48,"Slow","Very Slow")))</f>
        <v>Normal</v>
      </c>
      <c r="Q4038" s="3">
        <f>YEAR(Ticket_Table[[#This Row],[raised_date]])</f>
        <v>2021</v>
      </c>
    </row>
    <row r="4039" spans="1:17">
      <c r="A4039" t="s">
        <v>4600</v>
      </c>
      <c r="B4039" t="s">
        <v>75</v>
      </c>
      <c r="C4039" t="s">
        <v>82</v>
      </c>
      <c r="D4039" t="s">
        <v>29</v>
      </c>
      <c r="E4039" t="s">
        <v>69</v>
      </c>
      <c r="F4039" t="s">
        <v>38</v>
      </c>
      <c r="G4039" t="s">
        <v>91</v>
      </c>
      <c r="H4039" s="1">
        <v>44639</v>
      </c>
      <c r="I4039" s="2">
        <v>44639.6916666667</v>
      </c>
      <c r="J4039">
        <v>16.6</v>
      </c>
      <c r="K4039" t="s">
        <v>24</v>
      </c>
      <c r="L4039">
        <v>0</v>
      </c>
      <c r="M4039">
        <v>4</v>
      </c>
      <c r="N4039" t="s">
        <v>474</v>
      </c>
      <c r="O4039" s="3" t="str">
        <f>TEXT(Ticket_Table[[#This Row],[raised_date]],"YYYY-MM")</f>
        <v>2022-03</v>
      </c>
      <c r="P4039" s="3" t="str">
        <f>IF(Ticket_Table[[#This Row],[resolution_hrs]]&lt;=4,"Fast",IF(Ticket_Table[[#This Row],[resolution_hrs]]&lt;=24,"Normal",IF(Ticket_Table[[#This Row],[resolution_hrs]]&lt;=48,"Slow","Very Slow")))</f>
        <v>Normal</v>
      </c>
      <c r="Q4039" s="3">
        <f>YEAR(Ticket_Table[[#This Row],[raised_date]])</f>
        <v>2022</v>
      </c>
    </row>
    <row r="4040" spans="1:17">
      <c r="A4040" t="s">
        <v>4601</v>
      </c>
      <c r="B4040" t="s">
        <v>1226</v>
      </c>
      <c r="C4040" t="s">
        <v>287</v>
      </c>
      <c r="D4040" t="s">
        <v>29</v>
      </c>
      <c r="E4040" t="s">
        <v>21</v>
      </c>
      <c r="F4040" t="s">
        <v>70</v>
      </c>
      <c r="G4040" t="s">
        <v>74</v>
      </c>
      <c r="H4040" s="1">
        <v>45260</v>
      </c>
      <c r="I4040" s="2">
        <v>45260.4041666667</v>
      </c>
      <c r="J4040">
        <v>9.7</v>
      </c>
      <c r="K4040" t="s">
        <v>24</v>
      </c>
      <c r="L4040">
        <v>0</v>
      </c>
      <c r="M4040">
        <v>5</v>
      </c>
      <c r="N4040" t="s">
        <v>935</v>
      </c>
      <c r="O4040" s="3" t="str">
        <f>TEXT(Ticket_Table[[#This Row],[raised_date]],"YYYY-MM")</f>
        <v>2023-11</v>
      </c>
      <c r="P4040" s="3" t="str">
        <f>IF(Ticket_Table[[#This Row],[resolution_hrs]]&lt;=4,"Fast",IF(Ticket_Table[[#This Row],[resolution_hrs]]&lt;=24,"Normal",IF(Ticket_Table[[#This Row],[resolution_hrs]]&lt;=48,"Slow","Very Slow")))</f>
        <v>Normal</v>
      </c>
      <c r="Q4040" s="3">
        <f>YEAR(Ticket_Table[[#This Row],[raised_date]])</f>
        <v>2023</v>
      </c>
    </row>
    <row r="4041" spans="1:17">
      <c r="A4041" t="s">
        <v>4602</v>
      </c>
      <c r="B4041" t="s">
        <v>1063</v>
      </c>
      <c r="C4041" t="s">
        <v>42</v>
      </c>
      <c r="D4041" t="s">
        <v>29</v>
      </c>
      <c r="E4041" t="s">
        <v>37</v>
      </c>
      <c r="F4041" t="s">
        <v>38</v>
      </c>
      <c r="G4041" t="s">
        <v>74</v>
      </c>
      <c r="H4041" s="1">
        <v>44395</v>
      </c>
      <c r="I4041" s="2">
        <v>44395.8125</v>
      </c>
      <c r="J4041">
        <v>19.5</v>
      </c>
      <c r="K4041" t="s">
        <v>24</v>
      </c>
      <c r="L4041">
        <v>0</v>
      </c>
      <c r="M4041">
        <v>4</v>
      </c>
      <c r="N4041" t="s">
        <v>310</v>
      </c>
      <c r="O4041" s="3" t="str">
        <f>TEXT(Ticket_Table[[#This Row],[raised_date]],"YYYY-MM")</f>
        <v>2021-07</v>
      </c>
      <c r="P4041" s="3" t="str">
        <f>IF(Ticket_Table[[#This Row],[resolution_hrs]]&lt;=4,"Fast",IF(Ticket_Table[[#This Row],[resolution_hrs]]&lt;=24,"Normal",IF(Ticket_Table[[#This Row],[resolution_hrs]]&lt;=48,"Slow","Very Slow")))</f>
        <v>Normal</v>
      </c>
      <c r="Q4041" s="3">
        <f>YEAR(Ticket_Table[[#This Row],[raised_date]])</f>
        <v>2021</v>
      </c>
    </row>
    <row r="4042" spans="1:17">
      <c r="A4042" t="s">
        <v>4603</v>
      </c>
      <c r="B4042" t="s">
        <v>96</v>
      </c>
      <c r="C4042" t="s">
        <v>78</v>
      </c>
      <c r="D4042" t="s">
        <v>43</v>
      </c>
      <c r="E4042" t="s">
        <v>56</v>
      </c>
      <c r="F4042" t="s">
        <v>38</v>
      </c>
      <c r="G4042" t="s">
        <v>31</v>
      </c>
      <c r="H4042" s="1">
        <v>44404</v>
      </c>
      <c r="I4042" s="2">
        <v>44404.8833333333</v>
      </c>
      <c r="J4042">
        <v>21.2</v>
      </c>
      <c r="K4042" t="s">
        <v>24</v>
      </c>
      <c r="L4042">
        <v>0</v>
      </c>
      <c r="M4042">
        <v>4</v>
      </c>
      <c r="N4042" t="s">
        <v>334</v>
      </c>
      <c r="O4042" s="3" t="str">
        <f>TEXT(Ticket_Table[[#This Row],[raised_date]],"YYYY-MM")</f>
        <v>2021-07</v>
      </c>
      <c r="P4042" s="3" t="str">
        <f>IF(Ticket_Table[[#This Row],[resolution_hrs]]&lt;=4,"Fast",IF(Ticket_Table[[#This Row],[resolution_hrs]]&lt;=24,"Normal",IF(Ticket_Table[[#This Row],[resolution_hrs]]&lt;=48,"Slow","Very Slow")))</f>
        <v>Normal</v>
      </c>
      <c r="Q4042" s="3">
        <f>YEAR(Ticket_Table[[#This Row],[raised_date]])</f>
        <v>2021</v>
      </c>
    </row>
    <row r="4043" spans="1:17">
      <c r="A4043" t="s">
        <v>4604</v>
      </c>
      <c r="B4043" t="s">
        <v>137</v>
      </c>
      <c r="C4043" t="s">
        <v>201</v>
      </c>
      <c r="D4043" t="s">
        <v>29</v>
      </c>
      <c r="E4043" t="s">
        <v>56</v>
      </c>
      <c r="F4043" t="s">
        <v>38</v>
      </c>
      <c r="G4043" t="s">
        <v>31</v>
      </c>
      <c r="H4043" s="1">
        <v>44670</v>
      </c>
      <c r="I4043" s="2">
        <v>44671.0041666667</v>
      </c>
      <c r="J4043">
        <v>24.1</v>
      </c>
      <c r="K4043" t="s">
        <v>32</v>
      </c>
      <c r="L4043">
        <v>0</v>
      </c>
      <c r="M4043">
        <v>2</v>
      </c>
      <c r="N4043" t="s">
        <v>353</v>
      </c>
      <c r="O4043" s="3" t="str">
        <f>TEXT(Ticket_Table[[#This Row],[raised_date]],"YYYY-MM")</f>
        <v>2022-04</v>
      </c>
      <c r="P4043" s="3" t="str">
        <f>IF(Ticket_Table[[#This Row],[resolution_hrs]]&lt;=4,"Fast",IF(Ticket_Table[[#This Row],[resolution_hrs]]&lt;=24,"Normal",IF(Ticket_Table[[#This Row],[resolution_hrs]]&lt;=48,"Slow","Very Slow")))</f>
        <v>Slow</v>
      </c>
      <c r="Q4043" s="3">
        <f>YEAR(Ticket_Table[[#This Row],[raised_date]])</f>
        <v>2022</v>
      </c>
    </row>
    <row r="4044" spans="1:17">
      <c r="A4044" t="s">
        <v>4605</v>
      </c>
      <c r="B4044" t="s">
        <v>772</v>
      </c>
      <c r="C4044" t="s">
        <v>117</v>
      </c>
      <c r="D4044" t="s">
        <v>90</v>
      </c>
      <c r="E4044" t="s">
        <v>83</v>
      </c>
      <c r="F4044" t="s">
        <v>22</v>
      </c>
      <c r="G4044" t="s">
        <v>46</v>
      </c>
      <c r="H4044" s="1">
        <v>45285</v>
      </c>
      <c r="I4044" s="2">
        <v>45289.3958333333</v>
      </c>
      <c r="J4044">
        <v>105.5</v>
      </c>
      <c r="K4044" t="s">
        <v>32</v>
      </c>
      <c r="L4044">
        <v>0</v>
      </c>
      <c r="M4044">
        <v>3</v>
      </c>
      <c r="N4044" t="s">
        <v>172</v>
      </c>
      <c r="O4044" s="3" t="str">
        <f>TEXT(Ticket_Table[[#This Row],[raised_date]],"YYYY-MM")</f>
        <v>2023-12</v>
      </c>
      <c r="P4044" s="3" t="str">
        <f>IF(Ticket_Table[[#This Row],[resolution_hrs]]&lt;=4,"Fast",IF(Ticket_Table[[#This Row],[resolution_hrs]]&lt;=24,"Normal",IF(Ticket_Table[[#This Row],[resolution_hrs]]&lt;=48,"Slow","Very Slow")))</f>
        <v>Very Slow</v>
      </c>
      <c r="Q4044" s="3">
        <f>YEAR(Ticket_Table[[#This Row],[raised_date]])</f>
        <v>2023</v>
      </c>
    </row>
    <row r="4045" spans="1:17">
      <c r="A4045" t="s">
        <v>4606</v>
      </c>
      <c r="B4045" t="s">
        <v>895</v>
      </c>
      <c r="C4045" t="s">
        <v>201</v>
      </c>
      <c r="D4045" t="s">
        <v>29</v>
      </c>
      <c r="E4045" t="s">
        <v>30</v>
      </c>
      <c r="F4045" t="s">
        <v>22</v>
      </c>
      <c r="G4045" t="s">
        <v>23</v>
      </c>
      <c r="H4045" s="1">
        <v>44986</v>
      </c>
      <c r="I4045" s="2">
        <v>44987.475</v>
      </c>
      <c r="J4045">
        <v>35.4</v>
      </c>
      <c r="K4045" t="s">
        <v>24</v>
      </c>
      <c r="L4045">
        <v>0</v>
      </c>
      <c r="M4045">
        <v>3</v>
      </c>
      <c r="N4045" t="s">
        <v>549</v>
      </c>
      <c r="O4045" s="3" t="str">
        <f>TEXT(Ticket_Table[[#This Row],[raised_date]],"YYYY-MM")</f>
        <v>2023-03</v>
      </c>
      <c r="P4045" s="3" t="str">
        <f>IF(Ticket_Table[[#This Row],[resolution_hrs]]&lt;=4,"Fast",IF(Ticket_Table[[#This Row],[resolution_hrs]]&lt;=24,"Normal",IF(Ticket_Table[[#This Row],[resolution_hrs]]&lt;=48,"Slow","Very Slow")))</f>
        <v>Slow</v>
      </c>
      <c r="Q4045" s="3">
        <f>YEAR(Ticket_Table[[#This Row],[raised_date]])</f>
        <v>2023</v>
      </c>
    </row>
    <row r="4046" spans="1:17">
      <c r="A4046" t="s">
        <v>4607</v>
      </c>
      <c r="B4046" t="s">
        <v>389</v>
      </c>
      <c r="C4046" t="s">
        <v>102</v>
      </c>
      <c r="D4046" t="s">
        <v>20</v>
      </c>
      <c r="E4046" t="s">
        <v>37</v>
      </c>
      <c r="F4046" t="s">
        <v>70</v>
      </c>
      <c r="G4046" t="s">
        <v>31</v>
      </c>
      <c r="H4046" s="1">
        <v>44585</v>
      </c>
      <c r="I4046" s="2">
        <v>44587.2041666667</v>
      </c>
      <c r="J4046">
        <v>52.9</v>
      </c>
      <c r="K4046" t="s">
        <v>32</v>
      </c>
      <c r="L4046">
        <v>1</v>
      </c>
      <c r="M4046">
        <v>4</v>
      </c>
      <c r="N4046" t="s">
        <v>929</v>
      </c>
      <c r="O4046" s="3" t="str">
        <f>TEXT(Ticket_Table[[#This Row],[raised_date]],"YYYY-MM")</f>
        <v>2022-01</v>
      </c>
      <c r="P4046" s="3" t="str">
        <f>IF(Ticket_Table[[#This Row],[resolution_hrs]]&lt;=4,"Fast",IF(Ticket_Table[[#This Row],[resolution_hrs]]&lt;=24,"Normal",IF(Ticket_Table[[#This Row],[resolution_hrs]]&lt;=48,"Slow","Very Slow")))</f>
        <v>Very Slow</v>
      </c>
      <c r="Q4046" s="3">
        <f>YEAR(Ticket_Table[[#This Row],[raised_date]])</f>
        <v>2022</v>
      </c>
    </row>
    <row r="4047" spans="1:17">
      <c r="A4047" t="s">
        <v>4608</v>
      </c>
      <c r="B4047" t="s">
        <v>1016</v>
      </c>
      <c r="C4047" t="s">
        <v>201</v>
      </c>
      <c r="D4047" t="s">
        <v>29</v>
      </c>
      <c r="E4047" t="s">
        <v>106</v>
      </c>
      <c r="F4047" t="s">
        <v>22</v>
      </c>
      <c r="G4047" t="s">
        <v>46</v>
      </c>
      <c r="H4047" s="1">
        <v>44592</v>
      </c>
      <c r="I4047" s="2">
        <v>44593.05</v>
      </c>
      <c r="J4047">
        <v>25.2</v>
      </c>
      <c r="K4047" t="s">
        <v>24</v>
      </c>
      <c r="L4047">
        <v>2</v>
      </c>
      <c r="M4047">
        <v>3</v>
      </c>
      <c r="N4047" t="s">
        <v>401</v>
      </c>
      <c r="O4047" s="3" t="str">
        <f>TEXT(Ticket_Table[[#This Row],[raised_date]],"YYYY-MM")</f>
        <v>2022-01</v>
      </c>
      <c r="P4047" s="3" t="str">
        <f>IF(Ticket_Table[[#This Row],[resolution_hrs]]&lt;=4,"Fast",IF(Ticket_Table[[#This Row],[resolution_hrs]]&lt;=24,"Normal",IF(Ticket_Table[[#This Row],[resolution_hrs]]&lt;=48,"Slow","Very Slow")))</f>
        <v>Slow</v>
      </c>
      <c r="Q4047" s="3">
        <f>YEAR(Ticket_Table[[#This Row],[raised_date]])</f>
        <v>2022</v>
      </c>
    </row>
    <row r="4048" spans="1:17">
      <c r="A4048" t="s">
        <v>4609</v>
      </c>
      <c r="B4048" t="s">
        <v>886</v>
      </c>
      <c r="C4048" t="s">
        <v>201</v>
      </c>
      <c r="D4048" t="s">
        <v>29</v>
      </c>
      <c r="E4048" t="s">
        <v>106</v>
      </c>
      <c r="F4048" t="s">
        <v>22</v>
      </c>
      <c r="G4048" t="s">
        <v>23</v>
      </c>
      <c r="H4048" s="1">
        <v>45274</v>
      </c>
      <c r="I4048" s="2">
        <v>45275.2166666667</v>
      </c>
      <c r="J4048">
        <v>29.2</v>
      </c>
      <c r="K4048" t="s">
        <v>24</v>
      </c>
      <c r="L4048">
        <v>1</v>
      </c>
      <c r="M4048">
        <v>4</v>
      </c>
      <c r="N4048" t="s">
        <v>655</v>
      </c>
      <c r="O4048" s="3" t="str">
        <f>TEXT(Ticket_Table[[#This Row],[raised_date]],"YYYY-MM")</f>
        <v>2023-12</v>
      </c>
      <c r="P4048" s="3" t="str">
        <f>IF(Ticket_Table[[#This Row],[resolution_hrs]]&lt;=4,"Fast",IF(Ticket_Table[[#This Row],[resolution_hrs]]&lt;=24,"Normal",IF(Ticket_Table[[#This Row],[resolution_hrs]]&lt;=48,"Slow","Very Slow")))</f>
        <v>Slow</v>
      </c>
      <c r="Q4048" s="3">
        <f>YEAR(Ticket_Table[[#This Row],[raised_date]])</f>
        <v>2023</v>
      </c>
    </row>
    <row r="4049" spans="1:17">
      <c r="A4049" t="s">
        <v>4610</v>
      </c>
      <c r="B4049" t="s">
        <v>280</v>
      </c>
      <c r="C4049" t="s">
        <v>68</v>
      </c>
      <c r="D4049" t="s">
        <v>29</v>
      </c>
      <c r="E4049" t="s">
        <v>69</v>
      </c>
      <c r="F4049" t="s">
        <v>22</v>
      </c>
      <c r="G4049" t="s">
        <v>31</v>
      </c>
      <c r="H4049" s="1">
        <v>44706</v>
      </c>
      <c r="I4049" s="2">
        <v>44707.3625</v>
      </c>
      <c r="J4049">
        <v>32.7</v>
      </c>
      <c r="K4049" t="s">
        <v>24</v>
      </c>
      <c r="L4049">
        <v>0</v>
      </c>
      <c r="M4049">
        <v>4</v>
      </c>
      <c r="N4049" t="s">
        <v>1297</v>
      </c>
      <c r="O4049" s="3" t="str">
        <f>TEXT(Ticket_Table[[#This Row],[raised_date]],"YYYY-MM")</f>
        <v>2022-05</v>
      </c>
      <c r="P4049" s="3" t="str">
        <f>IF(Ticket_Table[[#This Row],[resolution_hrs]]&lt;=4,"Fast",IF(Ticket_Table[[#This Row],[resolution_hrs]]&lt;=24,"Normal",IF(Ticket_Table[[#This Row],[resolution_hrs]]&lt;=48,"Slow","Very Slow")))</f>
        <v>Slow</v>
      </c>
      <c r="Q4049" s="3">
        <f>YEAR(Ticket_Table[[#This Row],[raised_date]])</f>
        <v>2022</v>
      </c>
    </row>
    <row r="4050" spans="1:17">
      <c r="A4050" t="s">
        <v>4611</v>
      </c>
      <c r="B4050" t="s">
        <v>107</v>
      </c>
      <c r="C4050" t="s">
        <v>50</v>
      </c>
      <c r="D4050" t="s">
        <v>29</v>
      </c>
      <c r="E4050" t="s">
        <v>83</v>
      </c>
      <c r="F4050" t="s">
        <v>70</v>
      </c>
      <c r="G4050" t="s">
        <v>91</v>
      </c>
      <c r="H4050" s="1">
        <v>44563</v>
      </c>
      <c r="I4050" s="2">
        <v>44563.2875</v>
      </c>
      <c r="J4050">
        <v>6.9</v>
      </c>
      <c r="K4050" t="s">
        <v>24</v>
      </c>
      <c r="L4050">
        <v>0</v>
      </c>
      <c r="M4050">
        <v>1</v>
      </c>
      <c r="N4050" t="s">
        <v>708</v>
      </c>
      <c r="O4050" s="3" t="str">
        <f>TEXT(Ticket_Table[[#This Row],[raised_date]],"YYYY-MM")</f>
        <v>2022-01</v>
      </c>
      <c r="P4050" s="3" t="str">
        <f>IF(Ticket_Table[[#This Row],[resolution_hrs]]&lt;=4,"Fast",IF(Ticket_Table[[#This Row],[resolution_hrs]]&lt;=24,"Normal",IF(Ticket_Table[[#This Row],[resolution_hrs]]&lt;=48,"Slow","Very Slow")))</f>
        <v>Normal</v>
      </c>
      <c r="Q4050" s="3">
        <f>YEAR(Ticket_Table[[#This Row],[raised_date]])</f>
        <v>2022</v>
      </c>
    </row>
    <row r="4051" spans="1:17">
      <c r="A4051" t="s">
        <v>4612</v>
      </c>
      <c r="B4051" t="s">
        <v>822</v>
      </c>
      <c r="C4051" t="s">
        <v>64</v>
      </c>
      <c r="D4051" t="s">
        <v>20</v>
      </c>
      <c r="E4051" t="s">
        <v>166</v>
      </c>
      <c r="F4051" t="s">
        <v>45</v>
      </c>
      <c r="G4051" t="s">
        <v>31</v>
      </c>
      <c r="H4051" s="1">
        <v>45047</v>
      </c>
      <c r="I4051" s="2">
        <v>45047.1583333333</v>
      </c>
      <c r="J4051">
        <v>3.8</v>
      </c>
      <c r="K4051" t="s">
        <v>24</v>
      </c>
      <c r="L4051">
        <v>1</v>
      </c>
      <c r="M4051">
        <v>4</v>
      </c>
      <c r="N4051" t="s">
        <v>52</v>
      </c>
      <c r="O4051" s="3" t="str">
        <f>TEXT(Ticket_Table[[#This Row],[raised_date]],"YYYY-MM")</f>
        <v>2023-05</v>
      </c>
      <c r="P4051" s="3" t="str">
        <f>IF(Ticket_Table[[#This Row],[resolution_hrs]]&lt;=4,"Fast",IF(Ticket_Table[[#This Row],[resolution_hrs]]&lt;=24,"Normal",IF(Ticket_Table[[#This Row],[resolution_hrs]]&lt;=48,"Slow","Very Slow")))</f>
        <v>Fast</v>
      </c>
      <c r="Q4051" s="3">
        <f>YEAR(Ticket_Table[[#This Row],[raised_date]])</f>
        <v>2023</v>
      </c>
    </row>
    <row r="4052" spans="1:17">
      <c r="A4052" t="s">
        <v>4613</v>
      </c>
      <c r="B4052" t="s">
        <v>182</v>
      </c>
      <c r="C4052" t="s">
        <v>201</v>
      </c>
      <c r="D4052" t="s">
        <v>36</v>
      </c>
      <c r="E4052" t="s">
        <v>166</v>
      </c>
      <c r="F4052" t="s">
        <v>22</v>
      </c>
      <c r="G4052" t="s">
        <v>31</v>
      </c>
      <c r="H4052" s="1">
        <v>44413</v>
      </c>
      <c r="I4052" s="2">
        <v>44416.9333333333</v>
      </c>
      <c r="J4052">
        <v>94.4</v>
      </c>
      <c r="K4052" t="s">
        <v>32</v>
      </c>
      <c r="L4052">
        <v>0</v>
      </c>
      <c r="M4052">
        <v>2</v>
      </c>
      <c r="N4052" t="s">
        <v>678</v>
      </c>
      <c r="O4052" s="3" t="str">
        <f>TEXT(Ticket_Table[[#This Row],[raised_date]],"YYYY-MM")</f>
        <v>2021-08</v>
      </c>
      <c r="P4052" s="3" t="str">
        <f>IF(Ticket_Table[[#This Row],[resolution_hrs]]&lt;=4,"Fast",IF(Ticket_Table[[#This Row],[resolution_hrs]]&lt;=24,"Normal",IF(Ticket_Table[[#This Row],[resolution_hrs]]&lt;=48,"Slow","Very Slow")))</f>
        <v>Very Slow</v>
      </c>
      <c r="Q4052" s="3">
        <f>YEAR(Ticket_Table[[#This Row],[raised_date]])</f>
        <v>2021</v>
      </c>
    </row>
    <row r="4053" spans="1:17">
      <c r="A4053" t="s">
        <v>4614</v>
      </c>
      <c r="B4053" t="s">
        <v>332</v>
      </c>
      <c r="C4053" t="s">
        <v>287</v>
      </c>
      <c r="D4053" t="s">
        <v>29</v>
      </c>
      <c r="E4053" t="s">
        <v>30</v>
      </c>
      <c r="F4053" t="s">
        <v>38</v>
      </c>
      <c r="G4053" t="s">
        <v>23</v>
      </c>
      <c r="H4053" s="1">
        <v>44930</v>
      </c>
      <c r="I4053" s="2">
        <v>44931.0041666667</v>
      </c>
      <c r="J4053">
        <v>24.1</v>
      </c>
      <c r="K4053" t="s">
        <v>32</v>
      </c>
      <c r="L4053">
        <v>1</v>
      </c>
      <c r="M4053">
        <v>4</v>
      </c>
      <c r="N4053" t="s">
        <v>1301</v>
      </c>
      <c r="O4053" s="3" t="str">
        <f>TEXT(Ticket_Table[[#This Row],[raised_date]],"YYYY-MM")</f>
        <v>2023-01</v>
      </c>
      <c r="P4053" s="3" t="str">
        <f>IF(Ticket_Table[[#This Row],[resolution_hrs]]&lt;=4,"Fast",IF(Ticket_Table[[#This Row],[resolution_hrs]]&lt;=24,"Normal",IF(Ticket_Table[[#This Row],[resolution_hrs]]&lt;=48,"Slow","Very Slow")))</f>
        <v>Slow</v>
      </c>
      <c r="Q4053" s="3">
        <f>YEAR(Ticket_Table[[#This Row],[raised_date]])</f>
        <v>2023</v>
      </c>
    </row>
    <row r="4054" spans="1:17">
      <c r="A4054" t="s">
        <v>4615</v>
      </c>
      <c r="B4054" t="s">
        <v>944</v>
      </c>
      <c r="C4054" t="s">
        <v>55</v>
      </c>
      <c r="D4054" t="s">
        <v>90</v>
      </c>
      <c r="E4054" t="s">
        <v>69</v>
      </c>
      <c r="F4054" t="s">
        <v>38</v>
      </c>
      <c r="G4054" t="s">
        <v>31</v>
      </c>
      <c r="H4054" s="1">
        <v>45136</v>
      </c>
      <c r="I4054" s="2">
        <v>45137.1125</v>
      </c>
      <c r="J4054">
        <v>26.7</v>
      </c>
      <c r="K4054" t="s">
        <v>32</v>
      </c>
      <c r="L4054">
        <v>1</v>
      </c>
      <c r="M4054">
        <v>4</v>
      </c>
      <c r="N4054" t="s">
        <v>866</v>
      </c>
      <c r="O4054" s="3" t="str">
        <f>TEXT(Ticket_Table[[#This Row],[raised_date]],"YYYY-MM")</f>
        <v>2023-07</v>
      </c>
      <c r="P4054" s="3" t="str">
        <f>IF(Ticket_Table[[#This Row],[resolution_hrs]]&lt;=4,"Fast",IF(Ticket_Table[[#This Row],[resolution_hrs]]&lt;=24,"Normal",IF(Ticket_Table[[#This Row],[resolution_hrs]]&lt;=48,"Slow","Very Slow")))</f>
        <v>Slow</v>
      </c>
      <c r="Q4054" s="3">
        <f>YEAR(Ticket_Table[[#This Row],[raised_date]])</f>
        <v>2023</v>
      </c>
    </row>
    <row r="4055" spans="1:17">
      <c r="A4055" t="s">
        <v>4616</v>
      </c>
      <c r="B4055" t="s">
        <v>496</v>
      </c>
      <c r="C4055" t="s">
        <v>42</v>
      </c>
      <c r="D4055" t="s">
        <v>20</v>
      </c>
      <c r="E4055" t="s">
        <v>83</v>
      </c>
      <c r="F4055" t="s">
        <v>22</v>
      </c>
      <c r="G4055" t="s">
        <v>46</v>
      </c>
      <c r="H4055" s="1">
        <v>45071</v>
      </c>
      <c r="I4055" s="2">
        <v>45071.9583333333</v>
      </c>
      <c r="J4055">
        <v>23</v>
      </c>
      <c r="K4055" t="s">
        <v>24</v>
      </c>
      <c r="L4055">
        <v>0</v>
      </c>
      <c r="M4055">
        <v>4</v>
      </c>
      <c r="N4055" t="s">
        <v>25</v>
      </c>
      <c r="O4055" s="3" t="str">
        <f>TEXT(Ticket_Table[[#This Row],[raised_date]],"YYYY-MM")</f>
        <v>2023-05</v>
      </c>
      <c r="P4055" s="3" t="str">
        <f>IF(Ticket_Table[[#This Row],[resolution_hrs]]&lt;=4,"Fast",IF(Ticket_Table[[#This Row],[resolution_hrs]]&lt;=24,"Normal",IF(Ticket_Table[[#This Row],[resolution_hrs]]&lt;=48,"Slow","Very Slow")))</f>
        <v>Normal</v>
      </c>
      <c r="Q4055" s="3">
        <f>YEAR(Ticket_Table[[#This Row],[raised_date]])</f>
        <v>2023</v>
      </c>
    </row>
    <row r="4056" spans="1:17">
      <c r="A4056" t="s">
        <v>4617</v>
      </c>
      <c r="B4056" t="s">
        <v>849</v>
      </c>
      <c r="C4056" t="s">
        <v>213</v>
      </c>
      <c r="D4056" t="s">
        <v>36</v>
      </c>
      <c r="E4056" t="s">
        <v>166</v>
      </c>
      <c r="F4056" t="s">
        <v>45</v>
      </c>
      <c r="G4056" t="s">
        <v>91</v>
      </c>
      <c r="H4056" s="1">
        <v>44410</v>
      </c>
      <c r="I4056" s="2">
        <v>44410.0583333333</v>
      </c>
      <c r="J4056">
        <v>1.4</v>
      </c>
      <c r="K4056" t="s">
        <v>24</v>
      </c>
      <c r="L4056">
        <v>0</v>
      </c>
      <c r="M4056">
        <v>3</v>
      </c>
      <c r="N4056" t="s">
        <v>359</v>
      </c>
      <c r="O4056" s="3" t="str">
        <f>TEXT(Ticket_Table[[#This Row],[raised_date]],"YYYY-MM")</f>
        <v>2021-08</v>
      </c>
      <c r="P4056" s="3" t="str">
        <f>IF(Ticket_Table[[#This Row],[resolution_hrs]]&lt;=4,"Fast",IF(Ticket_Table[[#This Row],[resolution_hrs]]&lt;=24,"Normal",IF(Ticket_Table[[#This Row],[resolution_hrs]]&lt;=48,"Slow","Very Slow")))</f>
        <v>Fast</v>
      </c>
      <c r="Q4056" s="3">
        <f>YEAR(Ticket_Table[[#This Row],[raised_date]])</f>
        <v>2021</v>
      </c>
    </row>
    <row r="4057" spans="1:17">
      <c r="A4057" t="s">
        <v>4618</v>
      </c>
      <c r="B4057" t="s">
        <v>746</v>
      </c>
      <c r="C4057" t="s">
        <v>64</v>
      </c>
      <c r="D4057" t="s">
        <v>29</v>
      </c>
      <c r="E4057" t="s">
        <v>44</v>
      </c>
      <c r="F4057" t="s">
        <v>70</v>
      </c>
      <c r="G4057" t="s">
        <v>23</v>
      </c>
      <c r="H4057" s="1">
        <v>44538</v>
      </c>
      <c r="I4057" s="2">
        <v>44540.9166666667</v>
      </c>
      <c r="J4057">
        <v>70</v>
      </c>
      <c r="K4057" t="s">
        <v>32</v>
      </c>
      <c r="L4057">
        <v>0</v>
      </c>
      <c r="M4057">
        <v>3</v>
      </c>
      <c r="N4057" t="s">
        <v>277</v>
      </c>
      <c r="O4057" s="3" t="str">
        <f>TEXT(Ticket_Table[[#This Row],[raised_date]],"YYYY-MM")</f>
        <v>2021-12</v>
      </c>
      <c r="P4057" s="3" t="str">
        <f>IF(Ticket_Table[[#This Row],[resolution_hrs]]&lt;=4,"Fast",IF(Ticket_Table[[#This Row],[resolution_hrs]]&lt;=24,"Normal",IF(Ticket_Table[[#This Row],[resolution_hrs]]&lt;=48,"Slow","Very Slow")))</f>
        <v>Very Slow</v>
      </c>
      <c r="Q4057" s="3">
        <f>YEAR(Ticket_Table[[#This Row],[raised_date]])</f>
        <v>2021</v>
      </c>
    </row>
    <row r="4058" spans="1:17">
      <c r="A4058" t="s">
        <v>4619</v>
      </c>
      <c r="B4058" t="s">
        <v>1474</v>
      </c>
      <c r="C4058" t="s">
        <v>42</v>
      </c>
      <c r="D4058" t="s">
        <v>36</v>
      </c>
      <c r="E4058" t="s">
        <v>21</v>
      </c>
      <c r="F4058" t="s">
        <v>70</v>
      </c>
      <c r="G4058" t="s">
        <v>23</v>
      </c>
      <c r="H4058" s="1">
        <v>44566</v>
      </c>
      <c r="I4058" s="2">
        <v>44566.2208333333</v>
      </c>
      <c r="J4058">
        <v>5.3</v>
      </c>
      <c r="K4058" t="s">
        <v>24</v>
      </c>
      <c r="L4058">
        <v>0</v>
      </c>
      <c r="M4058">
        <v>4</v>
      </c>
      <c r="N4058" t="s">
        <v>224</v>
      </c>
      <c r="O4058" s="3" t="str">
        <f>TEXT(Ticket_Table[[#This Row],[raised_date]],"YYYY-MM")</f>
        <v>2022-01</v>
      </c>
      <c r="P4058" s="3" t="str">
        <f>IF(Ticket_Table[[#This Row],[resolution_hrs]]&lt;=4,"Fast",IF(Ticket_Table[[#This Row],[resolution_hrs]]&lt;=24,"Normal",IF(Ticket_Table[[#This Row],[resolution_hrs]]&lt;=48,"Slow","Very Slow")))</f>
        <v>Normal</v>
      </c>
      <c r="Q4058" s="3">
        <f>YEAR(Ticket_Table[[#This Row],[raised_date]])</f>
        <v>2022</v>
      </c>
    </row>
    <row r="4059" spans="1:17">
      <c r="A4059" t="s">
        <v>4620</v>
      </c>
      <c r="B4059" t="s">
        <v>650</v>
      </c>
      <c r="C4059" t="s">
        <v>261</v>
      </c>
      <c r="D4059" t="s">
        <v>90</v>
      </c>
      <c r="E4059" t="s">
        <v>51</v>
      </c>
      <c r="F4059" t="s">
        <v>38</v>
      </c>
      <c r="G4059" t="s">
        <v>31</v>
      </c>
      <c r="H4059" s="1">
        <v>45019</v>
      </c>
      <c r="I4059" s="2">
        <v>45019.0625</v>
      </c>
      <c r="J4059">
        <v>1.5</v>
      </c>
      <c r="K4059" t="s">
        <v>24</v>
      </c>
      <c r="L4059">
        <v>0</v>
      </c>
      <c r="M4059">
        <v>3</v>
      </c>
      <c r="N4059" t="s">
        <v>735</v>
      </c>
      <c r="O4059" s="3" t="str">
        <f>TEXT(Ticket_Table[[#This Row],[raised_date]],"YYYY-MM")</f>
        <v>2023-04</v>
      </c>
      <c r="P4059" s="3" t="str">
        <f>IF(Ticket_Table[[#This Row],[resolution_hrs]]&lt;=4,"Fast",IF(Ticket_Table[[#This Row],[resolution_hrs]]&lt;=24,"Normal",IF(Ticket_Table[[#This Row],[resolution_hrs]]&lt;=48,"Slow","Very Slow")))</f>
        <v>Fast</v>
      </c>
      <c r="Q4059" s="3">
        <f>YEAR(Ticket_Table[[#This Row],[raised_date]])</f>
        <v>2023</v>
      </c>
    </row>
    <row r="4060" spans="1:17">
      <c r="A4060" t="s">
        <v>4621</v>
      </c>
      <c r="B4060" t="s">
        <v>214</v>
      </c>
      <c r="C4060" t="s">
        <v>82</v>
      </c>
      <c r="D4060" t="s">
        <v>20</v>
      </c>
      <c r="E4060" t="s">
        <v>21</v>
      </c>
      <c r="F4060" t="s">
        <v>22</v>
      </c>
      <c r="G4060" t="s">
        <v>74</v>
      </c>
      <c r="H4060" s="1">
        <v>45230</v>
      </c>
      <c r="I4060" s="2">
        <v>45231.0041666667</v>
      </c>
      <c r="J4060">
        <v>24.1</v>
      </c>
      <c r="K4060" t="s">
        <v>24</v>
      </c>
      <c r="L4060">
        <v>3</v>
      </c>
      <c r="M4060">
        <v>5</v>
      </c>
      <c r="N4060" t="s">
        <v>223</v>
      </c>
      <c r="O4060" s="3" t="str">
        <f>TEXT(Ticket_Table[[#This Row],[raised_date]],"YYYY-MM")</f>
        <v>2023-10</v>
      </c>
      <c r="P4060" s="3" t="str">
        <f>IF(Ticket_Table[[#This Row],[resolution_hrs]]&lt;=4,"Fast",IF(Ticket_Table[[#This Row],[resolution_hrs]]&lt;=24,"Normal",IF(Ticket_Table[[#This Row],[resolution_hrs]]&lt;=48,"Slow","Very Slow")))</f>
        <v>Slow</v>
      </c>
      <c r="Q4060" s="3">
        <f>YEAR(Ticket_Table[[#This Row],[raised_date]])</f>
        <v>2023</v>
      </c>
    </row>
    <row r="4061" spans="1:17">
      <c r="A4061" t="s">
        <v>4622</v>
      </c>
      <c r="B4061" t="s">
        <v>223</v>
      </c>
      <c r="C4061" t="s">
        <v>55</v>
      </c>
      <c r="D4061" t="s">
        <v>20</v>
      </c>
      <c r="E4061" t="s">
        <v>51</v>
      </c>
      <c r="F4061" t="s">
        <v>38</v>
      </c>
      <c r="G4061" t="s">
        <v>91</v>
      </c>
      <c r="H4061" s="1">
        <v>44888</v>
      </c>
      <c r="I4061" s="2">
        <v>44889.2333333333</v>
      </c>
      <c r="J4061">
        <v>29.6</v>
      </c>
      <c r="K4061" t="s">
        <v>32</v>
      </c>
      <c r="L4061">
        <v>0</v>
      </c>
      <c r="M4061">
        <v>3</v>
      </c>
      <c r="N4061" t="s">
        <v>730</v>
      </c>
      <c r="O4061" s="3" t="str">
        <f>TEXT(Ticket_Table[[#This Row],[raised_date]],"YYYY-MM")</f>
        <v>2022-11</v>
      </c>
      <c r="P4061" s="3" t="str">
        <f>IF(Ticket_Table[[#This Row],[resolution_hrs]]&lt;=4,"Fast",IF(Ticket_Table[[#This Row],[resolution_hrs]]&lt;=24,"Normal",IF(Ticket_Table[[#This Row],[resolution_hrs]]&lt;=48,"Slow","Very Slow")))</f>
        <v>Slow</v>
      </c>
      <c r="Q4061" s="3">
        <f>YEAR(Ticket_Table[[#This Row],[raised_date]])</f>
        <v>2022</v>
      </c>
    </row>
    <row r="4062" spans="1:17">
      <c r="A4062" t="s">
        <v>4623</v>
      </c>
      <c r="B4062" t="s">
        <v>434</v>
      </c>
      <c r="C4062" t="s">
        <v>140</v>
      </c>
      <c r="D4062" t="s">
        <v>36</v>
      </c>
      <c r="E4062" t="s">
        <v>44</v>
      </c>
      <c r="F4062" t="s">
        <v>22</v>
      </c>
      <c r="G4062" t="s">
        <v>23</v>
      </c>
      <c r="H4062" s="1">
        <v>44520</v>
      </c>
      <c r="I4062" s="2">
        <v>44520.8791666667</v>
      </c>
      <c r="J4062">
        <v>21.1</v>
      </c>
      <c r="K4062" t="s">
        <v>24</v>
      </c>
      <c r="L4062">
        <v>0</v>
      </c>
      <c r="M4062">
        <v>5</v>
      </c>
      <c r="N4062" t="s">
        <v>853</v>
      </c>
      <c r="O4062" s="3" t="str">
        <f>TEXT(Ticket_Table[[#This Row],[raised_date]],"YYYY-MM")</f>
        <v>2021-11</v>
      </c>
      <c r="P4062" s="3" t="str">
        <f>IF(Ticket_Table[[#This Row],[resolution_hrs]]&lt;=4,"Fast",IF(Ticket_Table[[#This Row],[resolution_hrs]]&lt;=24,"Normal",IF(Ticket_Table[[#This Row],[resolution_hrs]]&lt;=48,"Slow","Very Slow")))</f>
        <v>Normal</v>
      </c>
      <c r="Q4062" s="3">
        <f>YEAR(Ticket_Table[[#This Row],[raised_date]])</f>
        <v>2021</v>
      </c>
    </row>
    <row r="4063" spans="1:17">
      <c r="A4063" t="s">
        <v>4624</v>
      </c>
      <c r="B4063" t="s">
        <v>264</v>
      </c>
      <c r="C4063" t="s">
        <v>19</v>
      </c>
      <c r="D4063" t="s">
        <v>29</v>
      </c>
      <c r="E4063" t="s">
        <v>44</v>
      </c>
      <c r="F4063" t="s">
        <v>38</v>
      </c>
      <c r="G4063" t="s">
        <v>23</v>
      </c>
      <c r="H4063" s="1">
        <v>45290</v>
      </c>
      <c r="I4063" s="2">
        <v>45290.1958333333</v>
      </c>
      <c r="J4063">
        <v>4.7</v>
      </c>
      <c r="K4063" t="s">
        <v>24</v>
      </c>
      <c r="L4063">
        <v>0</v>
      </c>
      <c r="M4063">
        <v>5</v>
      </c>
      <c r="N4063" t="s">
        <v>130</v>
      </c>
      <c r="O4063" s="3" t="str">
        <f>TEXT(Ticket_Table[[#This Row],[raised_date]],"YYYY-MM")</f>
        <v>2023-12</v>
      </c>
      <c r="P4063" s="3" t="str">
        <f>IF(Ticket_Table[[#This Row],[resolution_hrs]]&lt;=4,"Fast",IF(Ticket_Table[[#This Row],[resolution_hrs]]&lt;=24,"Normal",IF(Ticket_Table[[#This Row],[resolution_hrs]]&lt;=48,"Slow","Very Slow")))</f>
        <v>Normal</v>
      </c>
      <c r="Q4063" s="3">
        <f>YEAR(Ticket_Table[[#This Row],[raised_date]])</f>
        <v>2023</v>
      </c>
    </row>
    <row r="4064" spans="1:17">
      <c r="A4064" t="s">
        <v>4625</v>
      </c>
      <c r="B4064" t="s">
        <v>277</v>
      </c>
      <c r="C4064" t="s">
        <v>78</v>
      </c>
      <c r="D4064" t="s">
        <v>43</v>
      </c>
      <c r="E4064" t="s">
        <v>83</v>
      </c>
      <c r="F4064" t="s">
        <v>70</v>
      </c>
      <c r="G4064" t="s">
        <v>46</v>
      </c>
      <c r="H4064" s="1">
        <v>45104</v>
      </c>
      <c r="I4064" s="2">
        <v>45104.6583333333</v>
      </c>
      <c r="J4064">
        <v>15.8</v>
      </c>
      <c r="K4064" t="s">
        <v>24</v>
      </c>
      <c r="L4064">
        <v>0</v>
      </c>
      <c r="M4064">
        <v>3</v>
      </c>
      <c r="N4064" t="s">
        <v>796</v>
      </c>
      <c r="O4064" s="3" t="str">
        <f>TEXT(Ticket_Table[[#This Row],[raised_date]],"YYYY-MM")</f>
        <v>2023-06</v>
      </c>
      <c r="P4064" s="3" t="str">
        <f>IF(Ticket_Table[[#This Row],[resolution_hrs]]&lt;=4,"Fast",IF(Ticket_Table[[#This Row],[resolution_hrs]]&lt;=24,"Normal",IF(Ticket_Table[[#This Row],[resolution_hrs]]&lt;=48,"Slow","Very Slow")))</f>
        <v>Normal</v>
      </c>
      <c r="Q4064" s="3">
        <f>YEAR(Ticket_Table[[#This Row],[raised_date]])</f>
        <v>2023</v>
      </c>
    </row>
    <row r="4065" spans="1:17">
      <c r="A4065" t="s">
        <v>4626</v>
      </c>
      <c r="B4065" t="s">
        <v>1039</v>
      </c>
      <c r="C4065" t="s">
        <v>95</v>
      </c>
      <c r="D4065" t="s">
        <v>20</v>
      </c>
      <c r="E4065" t="s">
        <v>37</v>
      </c>
      <c r="F4065" t="s">
        <v>70</v>
      </c>
      <c r="G4065" t="s">
        <v>31</v>
      </c>
      <c r="H4065" s="1">
        <v>44918</v>
      </c>
      <c r="I4065" s="2">
        <v>44919.7875</v>
      </c>
      <c r="J4065">
        <v>42.9</v>
      </c>
      <c r="K4065" t="s">
        <v>24</v>
      </c>
      <c r="L4065">
        <v>1</v>
      </c>
      <c r="M4065">
        <v>3</v>
      </c>
      <c r="N4065" t="s">
        <v>538</v>
      </c>
      <c r="O4065" s="3" t="str">
        <f>TEXT(Ticket_Table[[#This Row],[raised_date]],"YYYY-MM")</f>
        <v>2022-12</v>
      </c>
      <c r="P4065" s="3" t="str">
        <f>IF(Ticket_Table[[#This Row],[resolution_hrs]]&lt;=4,"Fast",IF(Ticket_Table[[#This Row],[resolution_hrs]]&lt;=24,"Normal",IF(Ticket_Table[[#This Row],[resolution_hrs]]&lt;=48,"Slow","Very Slow")))</f>
        <v>Slow</v>
      </c>
      <c r="Q4065" s="3">
        <f>YEAR(Ticket_Table[[#This Row],[raised_date]])</f>
        <v>2022</v>
      </c>
    </row>
    <row r="4066" spans="1:17">
      <c r="A4066" t="s">
        <v>4627</v>
      </c>
      <c r="B4066" t="s">
        <v>152</v>
      </c>
      <c r="C4066" t="s">
        <v>50</v>
      </c>
      <c r="D4066" t="s">
        <v>43</v>
      </c>
      <c r="E4066" t="s">
        <v>56</v>
      </c>
      <c r="F4066" t="s">
        <v>22</v>
      </c>
      <c r="G4066" t="s">
        <v>31</v>
      </c>
      <c r="H4066" s="1">
        <v>44842</v>
      </c>
      <c r="I4066" s="2">
        <v>44844.3958333333</v>
      </c>
      <c r="J4066">
        <v>57.5</v>
      </c>
      <c r="K4066" t="s">
        <v>24</v>
      </c>
      <c r="L4066">
        <v>0</v>
      </c>
      <c r="M4066">
        <v>4</v>
      </c>
      <c r="N4066" t="s">
        <v>99</v>
      </c>
      <c r="O4066" s="3" t="str">
        <f>TEXT(Ticket_Table[[#This Row],[raised_date]],"YYYY-MM")</f>
        <v>2022-10</v>
      </c>
      <c r="P4066" s="3" t="str">
        <f>IF(Ticket_Table[[#This Row],[resolution_hrs]]&lt;=4,"Fast",IF(Ticket_Table[[#This Row],[resolution_hrs]]&lt;=24,"Normal",IF(Ticket_Table[[#This Row],[resolution_hrs]]&lt;=48,"Slow","Very Slow")))</f>
        <v>Very Slow</v>
      </c>
      <c r="Q4066" s="3">
        <f>YEAR(Ticket_Table[[#This Row],[raised_date]])</f>
        <v>2022</v>
      </c>
    </row>
    <row r="4067" spans="1:17">
      <c r="A4067" t="s">
        <v>4628</v>
      </c>
      <c r="B4067" t="s">
        <v>1238</v>
      </c>
      <c r="C4067" t="s">
        <v>50</v>
      </c>
      <c r="D4067" t="s">
        <v>20</v>
      </c>
      <c r="E4067" t="s">
        <v>166</v>
      </c>
      <c r="F4067" t="s">
        <v>38</v>
      </c>
      <c r="G4067" t="s">
        <v>74</v>
      </c>
      <c r="H4067" s="1">
        <v>44861</v>
      </c>
      <c r="I4067" s="2">
        <v>44862.2916666667</v>
      </c>
      <c r="J4067">
        <v>31</v>
      </c>
      <c r="K4067" t="s">
        <v>32</v>
      </c>
      <c r="L4067">
        <v>2</v>
      </c>
      <c r="M4067">
        <v>3</v>
      </c>
      <c r="N4067" t="s">
        <v>854</v>
      </c>
      <c r="O4067" s="3" t="str">
        <f>TEXT(Ticket_Table[[#This Row],[raised_date]],"YYYY-MM")</f>
        <v>2022-10</v>
      </c>
      <c r="P4067" s="3" t="str">
        <f>IF(Ticket_Table[[#This Row],[resolution_hrs]]&lt;=4,"Fast",IF(Ticket_Table[[#This Row],[resolution_hrs]]&lt;=24,"Normal",IF(Ticket_Table[[#This Row],[resolution_hrs]]&lt;=48,"Slow","Very Slow")))</f>
        <v>Slow</v>
      </c>
      <c r="Q4067" s="3">
        <f>YEAR(Ticket_Table[[#This Row],[raised_date]])</f>
        <v>2022</v>
      </c>
    </row>
    <row r="4068" spans="1:17">
      <c r="A4068" t="s">
        <v>4629</v>
      </c>
      <c r="B4068" t="s">
        <v>787</v>
      </c>
      <c r="C4068" t="s">
        <v>42</v>
      </c>
      <c r="D4068" t="s">
        <v>29</v>
      </c>
      <c r="E4068" t="s">
        <v>83</v>
      </c>
      <c r="F4068" t="s">
        <v>38</v>
      </c>
      <c r="G4068" t="s">
        <v>74</v>
      </c>
      <c r="H4068" s="1">
        <v>44958</v>
      </c>
      <c r="I4068" s="2">
        <v>44959.15</v>
      </c>
      <c r="J4068">
        <v>27.6</v>
      </c>
      <c r="K4068" t="s">
        <v>32</v>
      </c>
      <c r="L4068">
        <v>2</v>
      </c>
      <c r="M4068">
        <v>4</v>
      </c>
      <c r="N4068" t="s">
        <v>687</v>
      </c>
      <c r="O4068" s="3" t="str">
        <f>TEXT(Ticket_Table[[#This Row],[raised_date]],"YYYY-MM")</f>
        <v>2023-02</v>
      </c>
      <c r="P4068" s="3" t="str">
        <f>IF(Ticket_Table[[#This Row],[resolution_hrs]]&lt;=4,"Fast",IF(Ticket_Table[[#This Row],[resolution_hrs]]&lt;=24,"Normal",IF(Ticket_Table[[#This Row],[resolution_hrs]]&lt;=48,"Slow","Very Slow")))</f>
        <v>Slow</v>
      </c>
      <c r="Q4068" s="3">
        <f>YEAR(Ticket_Table[[#This Row],[raised_date]])</f>
        <v>2023</v>
      </c>
    </row>
    <row r="4069" spans="1:17">
      <c r="A4069" t="s">
        <v>4630</v>
      </c>
      <c r="B4069" t="s">
        <v>447</v>
      </c>
      <c r="C4069" t="s">
        <v>201</v>
      </c>
      <c r="D4069" t="s">
        <v>29</v>
      </c>
      <c r="E4069" t="s">
        <v>37</v>
      </c>
      <c r="F4069" t="s">
        <v>70</v>
      </c>
      <c r="G4069" t="s">
        <v>31</v>
      </c>
      <c r="H4069" s="1">
        <v>45041</v>
      </c>
      <c r="I4069" s="2">
        <v>45041.9625</v>
      </c>
      <c r="J4069">
        <v>23.1</v>
      </c>
      <c r="K4069" t="s">
        <v>24</v>
      </c>
      <c r="L4069">
        <v>1</v>
      </c>
      <c r="M4069">
        <v>2</v>
      </c>
      <c r="N4069" t="s">
        <v>824</v>
      </c>
      <c r="O4069" s="3" t="str">
        <f>TEXT(Ticket_Table[[#This Row],[raised_date]],"YYYY-MM")</f>
        <v>2023-04</v>
      </c>
      <c r="P4069" s="3" t="str">
        <f>IF(Ticket_Table[[#This Row],[resolution_hrs]]&lt;=4,"Fast",IF(Ticket_Table[[#This Row],[resolution_hrs]]&lt;=24,"Normal",IF(Ticket_Table[[#This Row],[resolution_hrs]]&lt;=48,"Slow","Very Slow")))</f>
        <v>Normal</v>
      </c>
      <c r="Q4069" s="3">
        <f>YEAR(Ticket_Table[[#This Row],[raised_date]])</f>
        <v>2023</v>
      </c>
    </row>
    <row r="4070" spans="1:17">
      <c r="A4070" t="s">
        <v>4631</v>
      </c>
      <c r="B4070" t="s">
        <v>2204</v>
      </c>
      <c r="C4070" t="s">
        <v>261</v>
      </c>
      <c r="D4070" t="s">
        <v>20</v>
      </c>
      <c r="E4070" t="s">
        <v>56</v>
      </c>
      <c r="F4070" t="s">
        <v>70</v>
      </c>
      <c r="G4070" t="s">
        <v>46</v>
      </c>
      <c r="H4070" s="1">
        <v>45078</v>
      </c>
      <c r="I4070" s="2">
        <v>45079.3833333333</v>
      </c>
      <c r="J4070">
        <v>33.2</v>
      </c>
      <c r="K4070" t="s">
        <v>24</v>
      </c>
      <c r="L4070">
        <v>0</v>
      </c>
      <c r="M4070">
        <v>3</v>
      </c>
      <c r="N4070" t="s">
        <v>1061</v>
      </c>
      <c r="O4070" s="3" t="str">
        <f>TEXT(Ticket_Table[[#This Row],[raised_date]],"YYYY-MM")</f>
        <v>2023-06</v>
      </c>
      <c r="P4070" s="3" t="str">
        <f>IF(Ticket_Table[[#This Row],[resolution_hrs]]&lt;=4,"Fast",IF(Ticket_Table[[#This Row],[resolution_hrs]]&lt;=24,"Normal",IF(Ticket_Table[[#This Row],[resolution_hrs]]&lt;=48,"Slow","Very Slow")))</f>
        <v>Slow</v>
      </c>
      <c r="Q4070" s="3">
        <f>YEAR(Ticket_Table[[#This Row],[raised_date]])</f>
        <v>2023</v>
      </c>
    </row>
    <row r="4071" spans="1:17">
      <c r="A4071" t="s">
        <v>4632</v>
      </c>
      <c r="B4071" t="s">
        <v>267</v>
      </c>
      <c r="C4071" t="s">
        <v>78</v>
      </c>
      <c r="D4071" t="s">
        <v>36</v>
      </c>
      <c r="E4071" t="s">
        <v>83</v>
      </c>
      <c r="F4071" t="s">
        <v>70</v>
      </c>
      <c r="G4071" t="s">
        <v>23</v>
      </c>
      <c r="H4071" s="1">
        <v>44859</v>
      </c>
      <c r="I4071" s="2">
        <v>44859.4958333333</v>
      </c>
      <c r="J4071">
        <v>11.9</v>
      </c>
      <c r="K4071" t="s">
        <v>24</v>
      </c>
      <c r="L4071">
        <v>0</v>
      </c>
      <c r="M4071">
        <v>2</v>
      </c>
      <c r="N4071" t="s">
        <v>57</v>
      </c>
      <c r="O4071" s="3" t="str">
        <f>TEXT(Ticket_Table[[#This Row],[raised_date]],"YYYY-MM")</f>
        <v>2022-10</v>
      </c>
      <c r="P4071" s="3" t="str">
        <f>IF(Ticket_Table[[#This Row],[resolution_hrs]]&lt;=4,"Fast",IF(Ticket_Table[[#This Row],[resolution_hrs]]&lt;=24,"Normal",IF(Ticket_Table[[#This Row],[resolution_hrs]]&lt;=48,"Slow","Very Slow")))</f>
        <v>Normal</v>
      </c>
      <c r="Q4071" s="3">
        <f>YEAR(Ticket_Table[[#This Row],[raised_date]])</f>
        <v>2022</v>
      </c>
    </row>
    <row r="4072" spans="1:17">
      <c r="A4072" t="s">
        <v>4633</v>
      </c>
      <c r="B4072" t="s">
        <v>536</v>
      </c>
      <c r="C4072" t="s">
        <v>201</v>
      </c>
      <c r="D4072" t="s">
        <v>29</v>
      </c>
      <c r="E4072" t="s">
        <v>30</v>
      </c>
      <c r="F4072" t="s">
        <v>38</v>
      </c>
      <c r="G4072" t="s">
        <v>23</v>
      </c>
      <c r="H4072" s="1">
        <v>44689</v>
      </c>
      <c r="I4072" s="2">
        <v>44689.7791666667</v>
      </c>
      <c r="J4072">
        <v>18.7</v>
      </c>
      <c r="K4072" t="s">
        <v>24</v>
      </c>
      <c r="L4072">
        <v>1</v>
      </c>
      <c r="M4072">
        <v>3</v>
      </c>
      <c r="N4072" t="s">
        <v>52</v>
      </c>
      <c r="O4072" s="3" t="str">
        <f>TEXT(Ticket_Table[[#This Row],[raised_date]],"YYYY-MM")</f>
        <v>2022-05</v>
      </c>
      <c r="P4072" s="3" t="str">
        <f>IF(Ticket_Table[[#This Row],[resolution_hrs]]&lt;=4,"Fast",IF(Ticket_Table[[#This Row],[resolution_hrs]]&lt;=24,"Normal",IF(Ticket_Table[[#This Row],[resolution_hrs]]&lt;=48,"Slow","Very Slow")))</f>
        <v>Normal</v>
      </c>
      <c r="Q4072" s="3">
        <f>YEAR(Ticket_Table[[#This Row],[raised_date]])</f>
        <v>2022</v>
      </c>
    </row>
    <row r="4073" spans="1:17">
      <c r="A4073" t="s">
        <v>4634</v>
      </c>
      <c r="B4073" t="s">
        <v>985</v>
      </c>
      <c r="C4073" t="s">
        <v>78</v>
      </c>
      <c r="D4073" t="s">
        <v>29</v>
      </c>
      <c r="E4073" t="s">
        <v>56</v>
      </c>
      <c r="F4073" t="s">
        <v>70</v>
      </c>
      <c r="G4073" t="s">
        <v>31</v>
      </c>
      <c r="H4073" s="1">
        <v>44635</v>
      </c>
      <c r="I4073" s="2">
        <v>44637.7458333333</v>
      </c>
      <c r="J4073">
        <v>65.9</v>
      </c>
      <c r="K4073" t="s">
        <v>32</v>
      </c>
      <c r="L4073">
        <v>1</v>
      </c>
      <c r="M4073">
        <v>4</v>
      </c>
      <c r="N4073" t="s">
        <v>1006</v>
      </c>
      <c r="O4073" s="3" t="str">
        <f>TEXT(Ticket_Table[[#This Row],[raised_date]],"YYYY-MM")</f>
        <v>2022-03</v>
      </c>
      <c r="P40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073" s="3">
        <f>YEAR(Ticket_Table[[#This Row],[raised_date]])</f>
        <v>2022</v>
      </c>
    </row>
    <row r="4074" spans="1:17">
      <c r="A4074" t="s">
        <v>4635</v>
      </c>
      <c r="B4074" t="s">
        <v>778</v>
      </c>
      <c r="C4074" t="s">
        <v>140</v>
      </c>
      <c r="D4074" t="s">
        <v>90</v>
      </c>
      <c r="E4074" t="s">
        <v>21</v>
      </c>
      <c r="F4074" t="s">
        <v>38</v>
      </c>
      <c r="G4074" t="s">
        <v>23</v>
      </c>
      <c r="H4074" s="1">
        <v>44965</v>
      </c>
      <c r="I4074" s="2">
        <v>44965.3625</v>
      </c>
      <c r="J4074">
        <v>8.7</v>
      </c>
      <c r="K4074" t="s">
        <v>24</v>
      </c>
      <c r="L4074">
        <v>1</v>
      </c>
      <c r="M4074">
        <v>5</v>
      </c>
      <c r="N4074" t="s">
        <v>544</v>
      </c>
      <c r="O4074" s="3" t="str">
        <f>TEXT(Ticket_Table[[#This Row],[raised_date]],"YYYY-MM")</f>
        <v>2023-02</v>
      </c>
      <c r="P4074" s="3" t="str">
        <f>IF(Ticket_Table[[#This Row],[resolution_hrs]]&lt;=4,"Fast",IF(Ticket_Table[[#This Row],[resolution_hrs]]&lt;=24,"Normal",IF(Ticket_Table[[#This Row],[resolution_hrs]]&lt;=48,"Slow","Very Slow")))</f>
        <v>Normal</v>
      </c>
      <c r="Q4074" s="3">
        <f>YEAR(Ticket_Table[[#This Row],[raised_date]])</f>
        <v>2023</v>
      </c>
    </row>
    <row r="4075" spans="1:17">
      <c r="A4075" t="s">
        <v>4636</v>
      </c>
      <c r="B4075" t="s">
        <v>942</v>
      </c>
      <c r="C4075" t="s">
        <v>117</v>
      </c>
      <c r="D4075" t="s">
        <v>29</v>
      </c>
      <c r="E4075" t="s">
        <v>56</v>
      </c>
      <c r="F4075" t="s">
        <v>38</v>
      </c>
      <c r="G4075" t="s">
        <v>23</v>
      </c>
      <c r="H4075" s="1">
        <v>44717</v>
      </c>
      <c r="I4075" s="2">
        <v>44717.5708333333</v>
      </c>
      <c r="J4075">
        <v>13.7</v>
      </c>
      <c r="K4075" t="s">
        <v>24</v>
      </c>
      <c r="L4075">
        <v>0</v>
      </c>
      <c r="M4075">
        <v>3</v>
      </c>
      <c r="N4075" t="s">
        <v>426</v>
      </c>
      <c r="O4075" s="3" t="str">
        <f>TEXT(Ticket_Table[[#This Row],[raised_date]],"YYYY-MM")</f>
        <v>2022-06</v>
      </c>
      <c r="P4075" s="3" t="str">
        <f>IF(Ticket_Table[[#This Row],[resolution_hrs]]&lt;=4,"Fast",IF(Ticket_Table[[#This Row],[resolution_hrs]]&lt;=24,"Normal",IF(Ticket_Table[[#This Row],[resolution_hrs]]&lt;=48,"Slow","Very Slow")))</f>
        <v>Normal</v>
      </c>
      <c r="Q4075" s="3">
        <f>YEAR(Ticket_Table[[#This Row],[raised_date]])</f>
        <v>2022</v>
      </c>
    </row>
    <row r="4076" spans="1:17">
      <c r="A4076" t="s">
        <v>4637</v>
      </c>
      <c r="B4076" t="s">
        <v>464</v>
      </c>
      <c r="C4076" t="s">
        <v>50</v>
      </c>
      <c r="D4076" t="s">
        <v>90</v>
      </c>
      <c r="E4076" t="s">
        <v>21</v>
      </c>
      <c r="F4076" t="s">
        <v>70</v>
      </c>
      <c r="G4076" t="s">
        <v>91</v>
      </c>
      <c r="H4076" s="1">
        <v>44934</v>
      </c>
      <c r="I4076" s="2">
        <v>44936.925</v>
      </c>
      <c r="J4076">
        <v>70.2</v>
      </c>
      <c r="K4076" t="s">
        <v>32</v>
      </c>
      <c r="L4076">
        <v>0</v>
      </c>
      <c r="M4076">
        <v>4</v>
      </c>
      <c r="N4076" t="s">
        <v>353</v>
      </c>
      <c r="O4076" s="3" t="str">
        <f>TEXT(Ticket_Table[[#This Row],[raised_date]],"YYYY-MM")</f>
        <v>2023-01</v>
      </c>
      <c r="P4076" s="3" t="str">
        <f>IF(Ticket_Table[[#This Row],[resolution_hrs]]&lt;=4,"Fast",IF(Ticket_Table[[#This Row],[resolution_hrs]]&lt;=24,"Normal",IF(Ticket_Table[[#This Row],[resolution_hrs]]&lt;=48,"Slow","Very Slow")))</f>
        <v>Very Slow</v>
      </c>
      <c r="Q4076" s="3">
        <f>YEAR(Ticket_Table[[#This Row],[raised_date]])</f>
        <v>2023</v>
      </c>
    </row>
    <row r="4077" spans="1:17">
      <c r="A4077" t="s">
        <v>4638</v>
      </c>
      <c r="B4077" t="s">
        <v>974</v>
      </c>
      <c r="C4077" t="s">
        <v>78</v>
      </c>
      <c r="D4077" t="s">
        <v>29</v>
      </c>
      <c r="E4077" t="s">
        <v>106</v>
      </c>
      <c r="F4077" t="s">
        <v>22</v>
      </c>
      <c r="G4077" t="s">
        <v>46</v>
      </c>
      <c r="H4077" s="1">
        <v>45123</v>
      </c>
      <c r="I4077" s="2">
        <v>45126.9125</v>
      </c>
      <c r="J4077">
        <v>93.9</v>
      </c>
      <c r="K4077" t="s">
        <v>32</v>
      </c>
      <c r="L4077">
        <v>2</v>
      </c>
      <c r="M4077">
        <v>4</v>
      </c>
      <c r="N4077" t="s">
        <v>844</v>
      </c>
      <c r="O4077" s="3" t="str">
        <f>TEXT(Ticket_Table[[#This Row],[raised_date]],"YYYY-MM")</f>
        <v>2023-07</v>
      </c>
      <c r="P4077" s="3" t="str">
        <f>IF(Ticket_Table[[#This Row],[resolution_hrs]]&lt;=4,"Fast",IF(Ticket_Table[[#This Row],[resolution_hrs]]&lt;=24,"Normal",IF(Ticket_Table[[#This Row],[resolution_hrs]]&lt;=48,"Slow","Very Slow")))</f>
        <v>Very Slow</v>
      </c>
      <c r="Q4077" s="3">
        <f>YEAR(Ticket_Table[[#This Row],[raised_date]])</f>
        <v>2023</v>
      </c>
    </row>
    <row r="4078" spans="1:17">
      <c r="A4078" t="s">
        <v>4639</v>
      </c>
      <c r="B4078" t="s">
        <v>188</v>
      </c>
      <c r="C4078" t="s">
        <v>201</v>
      </c>
      <c r="D4078" t="s">
        <v>29</v>
      </c>
      <c r="E4078" t="s">
        <v>51</v>
      </c>
      <c r="F4078" t="s">
        <v>70</v>
      </c>
      <c r="G4078" t="s">
        <v>23</v>
      </c>
      <c r="H4078" s="1">
        <v>45113</v>
      </c>
      <c r="I4078" s="2">
        <v>45114.5625</v>
      </c>
      <c r="J4078">
        <v>37.5</v>
      </c>
      <c r="K4078" t="s">
        <v>24</v>
      </c>
      <c r="L4078">
        <v>0</v>
      </c>
      <c r="M4078">
        <v>3</v>
      </c>
      <c r="N4078" t="s">
        <v>92</v>
      </c>
      <c r="O4078" s="3" t="str">
        <f>TEXT(Ticket_Table[[#This Row],[raised_date]],"YYYY-MM")</f>
        <v>2023-07</v>
      </c>
      <c r="P4078" s="3" t="str">
        <f>IF(Ticket_Table[[#This Row],[resolution_hrs]]&lt;=4,"Fast",IF(Ticket_Table[[#This Row],[resolution_hrs]]&lt;=24,"Normal",IF(Ticket_Table[[#This Row],[resolution_hrs]]&lt;=48,"Slow","Very Slow")))</f>
        <v>Slow</v>
      </c>
      <c r="Q4078" s="3">
        <f>YEAR(Ticket_Table[[#This Row],[raised_date]])</f>
        <v>2023</v>
      </c>
    </row>
    <row r="4079" spans="1:17">
      <c r="A4079" t="s">
        <v>4640</v>
      </c>
      <c r="B4079" t="s">
        <v>314</v>
      </c>
      <c r="C4079" t="s">
        <v>64</v>
      </c>
      <c r="D4079" t="s">
        <v>36</v>
      </c>
      <c r="E4079" t="s">
        <v>21</v>
      </c>
      <c r="F4079" t="s">
        <v>38</v>
      </c>
      <c r="G4079" t="s">
        <v>74</v>
      </c>
      <c r="H4079" s="1">
        <v>45010</v>
      </c>
      <c r="I4079" s="2">
        <v>45011.1791666667</v>
      </c>
      <c r="J4079">
        <v>28.3</v>
      </c>
      <c r="K4079" t="s">
        <v>32</v>
      </c>
      <c r="L4079">
        <v>0</v>
      </c>
      <c r="M4079">
        <v>4</v>
      </c>
      <c r="N4079" t="s">
        <v>687</v>
      </c>
      <c r="O4079" s="3" t="str">
        <f>TEXT(Ticket_Table[[#This Row],[raised_date]],"YYYY-MM")</f>
        <v>2023-03</v>
      </c>
      <c r="P4079" s="3" t="str">
        <f>IF(Ticket_Table[[#This Row],[resolution_hrs]]&lt;=4,"Fast",IF(Ticket_Table[[#This Row],[resolution_hrs]]&lt;=24,"Normal",IF(Ticket_Table[[#This Row],[resolution_hrs]]&lt;=48,"Slow","Very Slow")))</f>
        <v>Slow</v>
      </c>
      <c r="Q4079" s="3">
        <f>YEAR(Ticket_Table[[#This Row],[raised_date]])</f>
        <v>2023</v>
      </c>
    </row>
    <row r="4080" spans="1:17">
      <c r="A4080" t="s">
        <v>4641</v>
      </c>
      <c r="B4080" t="s">
        <v>358</v>
      </c>
      <c r="C4080" t="s">
        <v>60</v>
      </c>
      <c r="D4080" t="s">
        <v>36</v>
      </c>
      <c r="E4080" t="s">
        <v>44</v>
      </c>
      <c r="F4080" t="s">
        <v>22</v>
      </c>
      <c r="G4080" t="s">
        <v>91</v>
      </c>
      <c r="H4080" s="1">
        <v>44197</v>
      </c>
      <c r="I4080" s="2">
        <v>44197.8791666667</v>
      </c>
      <c r="J4080">
        <v>21.1</v>
      </c>
      <c r="K4080" t="s">
        <v>24</v>
      </c>
      <c r="L4080">
        <v>0</v>
      </c>
      <c r="M4080">
        <v>4</v>
      </c>
      <c r="N4080" t="s">
        <v>233</v>
      </c>
      <c r="O4080" s="3" t="str">
        <f>TEXT(Ticket_Table[[#This Row],[raised_date]],"YYYY-MM")</f>
        <v>2021-01</v>
      </c>
      <c r="P4080" s="3" t="str">
        <f>IF(Ticket_Table[[#This Row],[resolution_hrs]]&lt;=4,"Fast",IF(Ticket_Table[[#This Row],[resolution_hrs]]&lt;=24,"Normal",IF(Ticket_Table[[#This Row],[resolution_hrs]]&lt;=48,"Slow","Very Slow")))</f>
        <v>Normal</v>
      </c>
      <c r="Q4080" s="3">
        <f>YEAR(Ticket_Table[[#This Row],[raised_date]])</f>
        <v>2021</v>
      </c>
    </row>
    <row r="4081" spans="1:17">
      <c r="A4081" t="s">
        <v>4642</v>
      </c>
      <c r="B4081" t="s">
        <v>485</v>
      </c>
      <c r="C4081" t="s">
        <v>82</v>
      </c>
      <c r="D4081" t="s">
        <v>29</v>
      </c>
      <c r="E4081" t="s">
        <v>30</v>
      </c>
      <c r="F4081" t="s">
        <v>70</v>
      </c>
      <c r="G4081" t="s">
        <v>31</v>
      </c>
      <c r="H4081" s="1">
        <v>44267</v>
      </c>
      <c r="I4081" s="2">
        <v>44267.8625</v>
      </c>
      <c r="J4081">
        <v>20.7</v>
      </c>
      <c r="K4081" t="s">
        <v>24</v>
      </c>
      <c r="L4081">
        <v>1</v>
      </c>
      <c r="M4081">
        <v>2</v>
      </c>
      <c r="N4081" t="s">
        <v>340</v>
      </c>
      <c r="O4081" s="3" t="str">
        <f>TEXT(Ticket_Table[[#This Row],[raised_date]],"YYYY-MM")</f>
        <v>2021-03</v>
      </c>
      <c r="P4081" s="3" t="str">
        <f>IF(Ticket_Table[[#This Row],[resolution_hrs]]&lt;=4,"Fast",IF(Ticket_Table[[#This Row],[resolution_hrs]]&lt;=24,"Normal",IF(Ticket_Table[[#This Row],[resolution_hrs]]&lt;=48,"Slow","Very Slow")))</f>
        <v>Normal</v>
      </c>
      <c r="Q4081" s="3">
        <f>YEAR(Ticket_Table[[#This Row],[raised_date]])</f>
        <v>2021</v>
      </c>
    </row>
    <row r="4082" spans="1:17">
      <c r="A4082" t="s">
        <v>4643</v>
      </c>
      <c r="B4082" t="s">
        <v>160</v>
      </c>
      <c r="C4082" t="s">
        <v>50</v>
      </c>
      <c r="D4082" t="s">
        <v>20</v>
      </c>
      <c r="E4082" t="s">
        <v>166</v>
      </c>
      <c r="F4082" t="s">
        <v>38</v>
      </c>
      <c r="G4082" t="s">
        <v>74</v>
      </c>
      <c r="H4082" s="1">
        <v>44779</v>
      </c>
      <c r="I4082" s="2">
        <v>44779.2791666667</v>
      </c>
      <c r="J4082">
        <v>6.7</v>
      </c>
      <c r="K4082" t="s">
        <v>24</v>
      </c>
      <c r="L4082">
        <v>0</v>
      </c>
      <c r="M4082">
        <v>4</v>
      </c>
      <c r="N4082" t="s">
        <v>300</v>
      </c>
      <c r="O4082" s="3" t="str">
        <f>TEXT(Ticket_Table[[#This Row],[raised_date]],"YYYY-MM")</f>
        <v>2022-08</v>
      </c>
      <c r="P4082" s="3" t="str">
        <f>IF(Ticket_Table[[#This Row],[resolution_hrs]]&lt;=4,"Fast",IF(Ticket_Table[[#This Row],[resolution_hrs]]&lt;=24,"Normal",IF(Ticket_Table[[#This Row],[resolution_hrs]]&lt;=48,"Slow","Very Slow")))</f>
        <v>Normal</v>
      </c>
      <c r="Q4082" s="3">
        <f>YEAR(Ticket_Table[[#This Row],[raised_date]])</f>
        <v>2022</v>
      </c>
    </row>
    <row r="4083" spans="1:17">
      <c r="A4083" t="s">
        <v>4644</v>
      </c>
      <c r="B4083" t="s">
        <v>212</v>
      </c>
      <c r="C4083" t="s">
        <v>117</v>
      </c>
      <c r="D4083" t="s">
        <v>20</v>
      </c>
      <c r="E4083" t="s">
        <v>106</v>
      </c>
      <c r="F4083" t="s">
        <v>70</v>
      </c>
      <c r="G4083" t="s">
        <v>31</v>
      </c>
      <c r="H4083" s="1">
        <v>44230</v>
      </c>
      <c r="I4083" s="2">
        <v>44230.95</v>
      </c>
      <c r="J4083">
        <v>22.8</v>
      </c>
      <c r="K4083" t="s">
        <v>24</v>
      </c>
      <c r="L4083">
        <v>0</v>
      </c>
      <c r="M4083">
        <v>4</v>
      </c>
      <c r="N4083" t="s">
        <v>195</v>
      </c>
      <c r="O4083" s="3" t="str">
        <f>TEXT(Ticket_Table[[#This Row],[raised_date]],"YYYY-MM")</f>
        <v>2021-02</v>
      </c>
      <c r="P4083" s="3" t="str">
        <f>IF(Ticket_Table[[#This Row],[resolution_hrs]]&lt;=4,"Fast",IF(Ticket_Table[[#This Row],[resolution_hrs]]&lt;=24,"Normal",IF(Ticket_Table[[#This Row],[resolution_hrs]]&lt;=48,"Slow","Very Slow")))</f>
        <v>Normal</v>
      </c>
      <c r="Q4083" s="3">
        <f>YEAR(Ticket_Table[[#This Row],[raised_date]])</f>
        <v>2021</v>
      </c>
    </row>
    <row r="4084" spans="1:17">
      <c r="A4084" t="s">
        <v>4645</v>
      </c>
      <c r="B4084" t="s">
        <v>897</v>
      </c>
      <c r="C4084" t="s">
        <v>60</v>
      </c>
      <c r="D4084" t="s">
        <v>29</v>
      </c>
      <c r="E4084" t="s">
        <v>106</v>
      </c>
      <c r="F4084" t="s">
        <v>70</v>
      </c>
      <c r="G4084" t="s">
        <v>23</v>
      </c>
      <c r="H4084" s="1">
        <v>45257</v>
      </c>
      <c r="I4084" s="2">
        <v>45259.6166666667</v>
      </c>
      <c r="J4084">
        <v>62.8</v>
      </c>
      <c r="K4084" t="s">
        <v>32</v>
      </c>
      <c r="L4084">
        <v>0</v>
      </c>
      <c r="M4084">
        <v>3</v>
      </c>
      <c r="N4084" t="s">
        <v>1195</v>
      </c>
      <c r="O4084" s="3" t="str">
        <f>TEXT(Ticket_Table[[#This Row],[raised_date]],"YYYY-MM")</f>
        <v>2023-11</v>
      </c>
      <c r="P4084" s="3" t="str">
        <f>IF(Ticket_Table[[#This Row],[resolution_hrs]]&lt;=4,"Fast",IF(Ticket_Table[[#This Row],[resolution_hrs]]&lt;=24,"Normal",IF(Ticket_Table[[#This Row],[resolution_hrs]]&lt;=48,"Slow","Very Slow")))</f>
        <v>Very Slow</v>
      </c>
      <c r="Q4084" s="3">
        <f>YEAR(Ticket_Table[[#This Row],[raised_date]])</f>
        <v>2023</v>
      </c>
    </row>
    <row r="4085" spans="1:17">
      <c r="A4085" t="s">
        <v>4646</v>
      </c>
      <c r="B4085" t="s">
        <v>458</v>
      </c>
      <c r="C4085" t="s">
        <v>213</v>
      </c>
      <c r="D4085" t="s">
        <v>20</v>
      </c>
      <c r="E4085" t="s">
        <v>69</v>
      </c>
      <c r="F4085" t="s">
        <v>22</v>
      </c>
      <c r="G4085" t="s">
        <v>91</v>
      </c>
      <c r="H4085" s="1">
        <v>44473</v>
      </c>
      <c r="I4085" s="2">
        <v>44475.9333333333</v>
      </c>
      <c r="J4085">
        <v>70.4</v>
      </c>
      <c r="K4085" t="s">
        <v>24</v>
      </c>
      <c r="L4085">
        <v>0</v>
      </c>
      <c r="M4085">
        <v>4</v>
      </c>
      <c r="N4085" t="s">
        <v>216</v>
      </c>
      <c r="O4085" s="3" t="str">
        <f>TEXT(Ticket_Table[[#This Row],[raised_date]],"YYYY-MM")</f>
        <v>2021-10</v>
      </c>
      <c r="P4085" s="3" t="str">
        <f>IF(Ticket_Table[[#This Row],[resolution_hrs]]&lt;=4,"Fast",IF(Ticket_Table[[#This Row],[resolution_hrs]]&lt;=24,"Normal",IF(Ticket_Table[[#This Row],[resolution_hrs]]&lt;=48,"Slow","Very Slow")))</f>
        <v>Very Slow</v>
      </c>
      <c r="Q4085" s="3">
        <f>YEAR(Ticket_Table[[#This Row],[raised_date]])</f>
        <v>2021</v>
      </c>
    </row>
    <row r="4086" spans="1:17">
      <c r="A4086" t="s">
        <v>4647</v>
      </c>
      <c r="B4086" t="s">
        <v>922</v>
      </c>
      <c r="C4086" t="s">
        <v>19</v>
      </c>
      <c r="D4086" t="s">
        <v>29</v>
      </c>
      <c r="E4086" t="s">
        <v>83</v>
      </c>
      <c r="F4086" t="s">
        <v>22</v>
      </c>
      <c r="G4086" t="s">
        <v>23</v>
      </c>
      <c r="H4086" s="1">
        <v>44815</v>
      </c>
      <c r="I4086" s="2">
        <v>44815.7</v>
      </c>
      <c r="J4086">
        <v>16.8</v>
      </c>
      <c r="K4086" t="s">
        <v>24</v>
      </c>
      <c r="L4086">
        <v>1</v>
      </c>
      <c r="M4086">
        <v>3</v>
      </c>
      <c r="N4086" t="s">
        <v>35</v>
      </c>
      <c r="O4086" s="3" t="str">
        <f>TEXT(Ticket_Table[[#This Row],[raised_date]],"YYYY-MM")</f>
        <v>2022-09</v>
      </c>
      <c r="P4086" s="3" t="str">
        <f>IF(Ticket_Table[[#This Row],[resolution_hrs]]&lt;=4,"Fast",IF(Ticket_Table[[#This Row],[resolution_hrs]]&lt;=24,"Normal",IF(Ticket_Table[[#This Row],[resolution_hrs]]&lt;=48,"Slow","Very Slow")))</f>
        <v>Normal</v>
      </c>
      <c r="Q4086" s="3">
        <f>YEAR(Ticket_Table[[#This Row],[raised_date]])</f>
        <v>2022</v>
      </c>
    </row>
    <row r="4087" spans="1:17">
      <c r="A4087" t="s">
        <v>4648</v>
      </c>
      <c r="B4087" t="s">
        <v>744</v>
      </c>
      <c r="C4087" t="s">
        <v>19</v>
      </c>
      <c r="D4087" t="s">
        <v>36</v>
      </c>
      <c r="E4087" t="s">
        <v>83</v>
      </c>
      <c r="F4087" t="s">
        <v>38</v>
      </c>
      <c r="G4087" t="s">
        <v>31</v>
      </c>
      <c r="H4087" s="1">
        <v>44210</v>
      </c>
      <c r="I4087" s="2">
        <v>44211.3208333333</v>
      </c>
      <c r="J4087">
        <v>31.7</v>
      </c>
      <c r="K4087" t="s">
        <v>32</v>
      </c>
      <c r="L4087">
        <v>0</v>
      </c>
      <c r="M4087">
        <v>4</v>
      </c>
      <c r="N4087" t="s">
        <v>214</v>
      </c>
      <c r="O4087" s="3" t="str">
        <f>TEXT(Ticket_Table[[#This Row],[raised_date]],"YYYY-MM")</f>
        <v>2021-01</v>
      </c>
      <c r="P4087" s="3" t="str">
        <f>IF(Ticket_Table[[#This Row],[resolution_hrs]]&lt;=4,"Fast",IF(Ticket_Table[[#This Row],[resolution_hrs]]&lt;=24,"Normal",IF(Ticket_Table[[#This Row],[resolution_hrs]]&lt;=48,"Slow","Very Slow")))</f>
        <v>Slow</v>
      </c>
      <c r="Q4087" s="3">
        <f>YEAR(Ticket_Table[[#This Row],[raised_date]])</f>
        <v>2021</v>
      </c>
    </row>
    <row r="4088" spans="1:17">
      <c r="A4088" t="s">
        <v>4649</v>
      </c>
      <c r="B4088" t="s">
        <v>298</v>
      </c>
      <c r="C4088" t="s">
        <v>117</v>
      </c>
      <c r="D4088" t="s">
        <v>43</v>
      </c>
      <c r="E4088" t="s">
        <v>83</v>
      </c>
      <c r="F4088" t="s">
        <v>22</v>
      </c>
      <c r="G4088" t="s">
        <v>23</v>
      </c>
      <c r="H4088" s="1">
        <v>44812</v>
      </c>
      <c r="I4088" s="2">
        <v>44815.3625</v>
      </c>
      <c r="J4088">
        <v>80.7</v>
      </c>
      <c r="K4088" t="s">
        <v>32</v>
      </c>
      <c r="L4088">
        <v>0</v>
      </c>
      <c r="M4088">
        <v>4</v>
      </c>
      <c r="N4088" t="s">
        <v>605</v>
      </c>
      <c r="O4088" s="3" t="str">
        <f>TEXT(Ticket_Table[[#This Row],[raised_date]],"YYYY-MM")</f>
        <v>2022-09</v>
      </c>
      <c r="P4088" s="3" t="str">
        <f>IF(Ticket_Table[[#This Row],[resolution_hrs]]&lt;=4,"Fast",IF(Ticket_Table[[#This Row],[resolution_hrs]]&lt;=24,"Normal",IF(Ticket_Table[[#This Row],[resolution_hrs]]&lt;=48,"Slow","Very Slow")))</f>
        <v>Very Slow</v>
      </c>
      <c r="Q4088" s="3">
        <f>YEAR(Ticket_Table[[#This Row],[raised_date]])</f>
        <v>2022</v>
      </c>
    </row>
    <row r="4089" spans="1:17">
      <c r="A4089" t="s">
        <v>4650</v>
      </c>
      <c r="B4089" t="s">
        <v>491</v>
      </c>
      <c r="C4089" t="s">
        <v>42</v>
      </c>
      <c r="D4089" t="s">
        <v>90</v>
      </c>
      <c r="E4089" t="s">
        <v>56</v>
      </c>
      <c r="F4089" t="s">
        <v>22</v>
      </c>
      <c r="G4089" t="s">
        <v>74</v>
      </c>
      <c r="H4089" s="1">
        <v>44651</v>
      </c>
      <c r="I4089" s="2">
        <v>44652.1125</v>
      </c>
      <c r="J4089">
        <v>26.7</v>
      </c>
      <c r="K4089" t="s">
        <v>24</v>
      </c>
      <c r="L4089">
        <v>0</v>
      </c>
      <c r="M4089">
        <v>1</v>
      </c>
      <c r="N4089" t="s">
        <v>350</v>
      </c>
      <c r="O4089" s="3" t="str">
        <f>TEXT(Ticket_Table[[#This Row],[raised_date]],"YYYY-MM")</f>
        <v>2022-03</v>
      </c>
      <c r="P4089" s="3" t="str">
        <f>IF(Ticket_Table[[#This Row],[resolution_hrs]]&lt;=4,"Fast",IF(Ticket_Table[[#This Row],[resolution_hrs]]&lt;=24,"Normal",IF(Ticket_Table[[#This Row],[resolution_hrs]]&lt;=48,"Slow","Very Slow")))</f>
        <v>Slow</v>
      </c>
      <c r="Q4089" s="3">
        <f>YEAR(Ticket_Table[[#This Row],[raised_date]])</f>
        <v>2022</v>
      </c>
    </row>
    <row r="4090" spans="1:17">
      <c r="A4090" t="s">
        <v>4651</v>
      </c>
      <c r="B4090" t="s">
        <v>917</v>
      </c>
      <c r="C4090" t="s">
        <v>19</v>
      </c>
      <c r="D4090" t="s">
        <v>20</v>
      </c>
      <c r="E4090" t="s">
        <v>166</v>
      </c>
      <c r="F4090" t="s">
        <v>38</v>
      </c>
      <c r="G4090" t="s">
        <v>31</v>
      </c>
      <c r="H4090" s="1">
        <v>44636</v>
      </c>
      <c r="I4090" s="2">
        <v>44637.3458333333</v>
      </c>
      <c r="J4090">
        <v>32.3</v>
      </c>
      <c r="K4090" t="s">
        <v>32</v>
      </c>
      <c r="L4090">
        <v>0</v>
      </c>
      <c r="M4090">
        <v>4</v>
      </c>
      <c r="N4090" t="s">
        <v>914</v>
      </c>
      <c r="O4090" s="3" t="str">
        <f>TEXT(Ticket_Table[[#This Row],[raised_date]],"YYYY-MM")</f>
        <v>2022-03</v>
      </c>
      <c r="P4090" s="3" t="str">
        <f>IF(Ticket_Table[[#This Row],[resolution_hrs]]&lt;=4,"Fast",IF(Ticket_Table[[#This Row],[resolution_hrs]]&lt;=24,"Normal",IF(Ticket_Table[[#This Row],[resolution_hrs]]&lt;=48,"Slow","Very Slow")))</f>
        <v>Slow</v>
      </c>
      <c r="Q4090" s="3">
        <f>YEAR(Ticket_Table[[#This Row],[raised_date]])</f>
        <v>2022</v>
      </c>
    </row>
    <row r="4091" spans="1:17">
      <c r="A4091" t="s">
        <v>4652</v>
      </c>
      <c r="B4091" t="s">
        <v>183</v>
      </c>
      <c r="C4091" t="s">
        <v>102</v>
      </c>
      <c r="D4091" t="s">
        <v>20</v>
      </c>
      <c r="E4091" t="s">
        <v>51</v>
      </c>
      <c r="F4091" t="s">
        <v>70</v>
      </c>
      <c r="G4091" t="s">
        <v>46</v>
      </c>
      <c r="H4091" s="1">
        <v>44841</v>
      </c>
      <c r="I4091" s="2">
        <v>44841.5958333333</v>
      </c>
      <c r="J4091">
        <v>14.3</v>
      </c>
      <c r="K4091" t="s">
        <v>24</v>
      </c>
      <c r="L4091">
        <v>0</v>
      </c>
      <c r="M4091">
        <v>4</v>
      </c>
      <c r="N4091" t="s">
        <v>538</v>
      </c>
      <c r="O4091" s="3" t="str">
        <f>TEXT(Ticket_Table[[#This Row],[raised_date]],"YYYY-MM")</f>
        <v>2022-10</v>
      </c>
      <c r="P4091" s="3" t="str">
        <f>IF(Ticket_Table[[#This Row],[resolution_hrs]]&lt;=4,"Fast",IF(Ticket_Table[[#This Row],[resolution_hrs]]&lt;=24,"Normal",IF(Ticket_Table[[#This Row],[resolution_hrs]]&lt;=48,"Slow","Very Slow")))</f>
        <v>Normal</v>
      </c>
      <c r="Q4091" s="3">
        <f>YEAR(Ticket_Table[[#This Row],[raised_date]])</f>
        <v>2022</v>
      </c>
    </row>
    <row r="4092" spans="1:17">
      <c r="A4092" t="s">
        <v>4653</v>
      </c>
      <c r="B4092" t="s">
        <v>1337</v>
      </c>
      <c r="C4092" t="s">
        <v>55</v>
      </c>
      <c r="D4092" t="s">
        <v>36</v>
      </c>
      <c r="E4092" t="s">
        <v>21</v>
      </c>
      <c r="F4092" t="s">
        <v>45</v>
      </c>
      <c r="G4092" t="s">
        <v>31</v>
      </c>
      <c r="H4092" s="1">
        <v>44241</v>
      </c>
      <c r="I4092" s="2">
        <v>44241.0458333333</v>
      </c>
      <c r="J4092">
        <v>1.1</v>
      </c>
      <c r="K4092" t="s">
        <v>24</v>
      </c>
      <c r="L4092">
        <v>2</v>
      </c>
      <c r="M4092">
        <v>4</v>
      </c>
      <c r="N4092" t="s">
        <v>221</v>
      </c>
      <c r="O4092" s="3" t="str">
        <f>TEXT(Ticket_Table[[#This Row],[raised_date]],"YYYY-MM")</f>
        <v>2021-02</v>
      </c>
      <c r="P4092" s="3" t="str">
        <f>IF(Ticket_Table[[#This Row],[resolution_hrs]]&lt;=4,"Fast",IF(Ticket_Table[[#This Row],[resolution_hrs]]&lt;=24,"Normal",IF(Ticket_Table[[#This Row],[resolution_hrs]]&lt;=48,"Slow","Very Slow")))</f>
        <v>Fast</v>
      </c>
      <c r="Q4092" s="3">
        <f>YEAR(Ticket_Table[[#This Row],[raised_date]])</f>
        <v>2021</v>
      </c>
    </row>
    <row r="4093" spans="1:17">
      <c r="A4093" t="s">
        <v>4654</v>
      </c>
      <c r="B4093" t="s">
        <v>293</v>
      </c>
      <c r="C4093" t="s">
        <v>55</v>
      </c>
      <c r="D4093" t="s">
        <v>20</v>
      </c>
      <c r="E4093" t="s">
        <v>83</v>
      </c>
      <c r="F4093" t="s">
        <v>45</v>
      </c>
      <c r="G4093" t="s">
        <v>31</v>
      </c>
      <c r="H4093" s="1">
        <v>44762</v>
      </c>
      <c r="I4093" s="2">
        <v>44762.1791666667</v>
      </c>
      <c r="J4093">
        <v>4.3</v>
      </c>
      <c r="K4093" t="s">
        <v>32</v>
      </c>
      <c r="L4093">
        <v>2</v>
      </c>
      <c r="M4093">
        <v>2</v>
      </c>
      <c r="N4093" t="s">
        <v>462</v>
      </c>
      <c r="O4093" s="3" t="str">
        <f>TEXT(Ticket_Table[[#This Row],[raised_date]],"YYYY-MM")</f>
        <v>2022-07</v>
      </c>
      <c r="P4093" s="3" t="str">
        <f>IF(Ticket_Table[[#This Row],[resolution_hrs]]&lt;=4,"Fast",IF(Ticket_Table[[#This Row],[resolution_hrs]]&lt;=24,"Normal",IF(Ticket_Table[[#This Row],[resolution_hrs]]&lt;=48,"Slow","Very Slow")))</f>
        <v>Normal</v>
      </c>
      <c r="Q4093" s="3">
        <f>YEAR(Ticket_Table[[#This Row],[raised_date]])</f>
        <v>2022</v>
      </c>
    </row>
    <row r="4094" spans="1:17">
      <c r="A4094" t="s">
        <v>4655</v>
      </c>
      <c r="B4094" t="s">
        <v>1112</v>
      </c>
      <c r="C4094" t="s">
        <v>78</v>
      </c>
      <c r="D4094" t="s">
        <v>29</v>
      </c>
      <c r="E4094" t="s">
        <v>106</v>
      </c>
      <c r="F4094" t="s">
        <v>22</v>
      </c>
      <c r="G4094" t="s">
        <v>23</v>
      </c>
      <c r="H4094" s="1">
        <v>45244</v>
      </c>
      <c r="I4094" s="2">
        <v>45246.0583333333</v>
      </c>
      <c r="J4094">
        <v>49.4</v>
      </c>
      <c r="K4094" t="s">
        <v>24</v>
      </c>
      <c r="L4094">
        <v>0</v>
      </c>
      <c r="M4094">
        <v>4</v>
      </c>
      <c r="N4094" t="s">
        <v>794</v>
      </c>
      <c r="O4094" s="3" t="str">
        <f>TEXT(Ticket_Table[[#This Row],[raised_date]],"YYYY-MM")</f>
        <v>2023-11</v>
      </c>
      <c r="P4094" s="3" t="str">
        <f>IF(Ticket_Table[[#This Row],[resolution_hrs]]&lt;=4,"Fast",IF(Ticket_Table[[#This Row],[resolution_hrs]]&lt;=24,"Normal",IF(Ticket_Table[[#This Row],[resolution_hrs]]&lt;=48,"Slow","Very Slow")))</f>
        <v>Very Slow</v>
      </c>
      <c r="Q4094" s="3">
        <f>YEAR(Ticket_Table[[#This Row],[raised_date]])</f>
        <v>2023</v>
      </c>
    </row>
    <row r="4095" spans="1:17">
      <c r="A4095" t="s">
        <v>4656</v>
      </c>
      <c r="B4095" t="s">
        <v>491</v>
      </c>
      <c r="C4095" t="s">
        <v>287</v>
      </c>
      <c r="D4095" t="s">
        <v>29</v>
      </c>
      <c r="E4095" t="s">
        <v>21</v>
      </c>
      <c r="F4095" t="s">
        <v>22</v>
      </c>
      <c r="G4095" t="s">
        <v>74</v>
      </c>
      <c r="H4095" s="1">
        <v>44513</v>
      </c>
      <c r="I4095" s="2">
        <v>44514.225</v>
      </c>
      <c r="J4095">
        <v>29.4</v>
      </c>
      <c r="K4095" t="s">
        <v>24</v>
      </c>
      <c r="L4095">
        <v>0</v>
      </c>
      <c r="M4095">
        <v>4</v>
      </c>
      <c r="N4095" t="s">
        <v>73</v>
      </c>
      <c r="O4095" s="3" t="str">
        <f>TEXT(Ticket_Table[[#This Row],[raised_date]],"YYYY-MM")</f>
        <v>2021-11</v>
      </c>
      <c r="P4095" s="3" t="str">
        <f>IF(Ticket_Table[[#This Row],[resolution_hrs]]&lt;=4,"Fast",IF(Ticket_Table[[#This Row],[resolution_hrs]]&lt;=24,"Normal",IF(Ticket_Table[[#This Row],[resolution_hrs]]&lt;=48,"Slow","Very Slow")))</f>
        <v>Slow</v>
      </c>
      <c r="Q4095" s="3">
        <f>YEAR(Ticket_Table[[#This Row],[raised_date]])</f>
        <v>2021</v>
      </c>
    </row>
    <row r="4096" spans="1:17">
      <c r="A4096" t="s">
        <v>4657</v>
      </c>
      <c r="B4096" t="s">
        <v>33</v>
      </c>
      <c r="C4096" t="s">
        <v>78</v>
      </c>
      <c r="D4096" t="s">
        <v>43</v>
      </c>
      <c r="E4096" t="s">
        <v>166</v>
      </c>
      <c r="F4096" t="s">
        <v>38</v>
      </c>
      <c r="G4096" t="s">
        <v>91</v>
      </c>
      <c r="H4096" s="1">
        <v>44390</v>
      </c>
      <c r="I4096" s="2">
        <v>44391.3916666667</v>
      </c>
      <c r="J4096">
        <v>33.4</v>
      </c>
      <c r="K4096" t="s">
        <v>32</v>
      </c>
      <c r="L4096">
        <v>0</v>
      </c>
      <c r="M4096">
        <v>4</v>
      </c>
      <c r="N4096" t="s">
        <v>77</v>
      </c>
      <c r="O4096" s="3" t="str">
        <f>TEXT(Ticket_Table[[#This Row],[raised_date]],"YYYY-MM")</f>
        <v>2021-07</v>
      </c>
      <c r="P4096" s="3" t="str">
        <f>IF(Ticket_Table[[#This Row],[resolution_hrs]]&lt;=4,"Fast",IF(Ticket_Table[[#This Row],[resolution_hrs]]&lt;=24,"Normal",IF(Ticket_Table[[#This Row],[resolution_hrs]]&lt;=48,"Slow","Very Slow")))</f>
        <v>Slow</v>
      </c>
      <c r="Q4096" s="3">
        <f>YEAR(Ticket_Table[[#This Row],[raised_date]])</f>
        <v>2021</v>
      </c>
    </row>
    <row r="4097" spans="1:17">
      <c r="A4097" t="s">
        <v>4658</v>
      </c>
      <c r="B4097" t="s">
        <v>1019</v>
      </c>
      <c r="C4097" t="s">
        <v>95</v>
      </c>
      <c r="D4097" t="s">
        <v>43</v>
      </c>
      <c r="E4097" t="s">
        <v>106</v>
      </c>
      <c r="F4097" t="s">
        <v>70</v>
      </c>
      <c r="G4097" t="s">
        <v>46</v>
      </c>
      <c r="H4097" s="1">
        <v>44274</v>
      </c>
      <c r="I4097" s="2">
        <v>44274.2916666667</v>
      </c>
      <c r="J4097">
        <v>7</v>
      </c>
      <c r="K4097" t="s">
        <v>24</v>
      </c>
      <c r="L4097">
        <v>1</v>
      </c>
      <c r="M4097">
        <v>4</v>
      </c>
      <c r="N4097" t="s">
        <v>541</v>
      </c>
      <c r="O4097" s="3" t="str">
        <f>TEXT(Ticket_Table[[#This Row],[raised_date]],"YYYY-MM")</f>
        <v>2021-03</v>
      </c>
      <c r="P4097" s="3" t="str">
        <f>IF(Ticket_Table[[#This Row],[resolution_hrs]]&lt;=4,"Fast",IF(Ticket_Table[[#This Row],[resolution_hrs]]&lt;=24,"Normal",IF(Ticket_Table[[#This Row],[resolution_hrs]]&lt;=48,"Slow","Very Slow")))</f>
        <v>Normal</v>
      </c>
      <c r="Q4097" s="3">
        <f>YEAR(Ticket_Table[[#This Row],[raised_date]])</f>
        <v>2021</v>
      </c>
    </row>
    <row r="4098" spans="1:17">
      <c r="A4098" t="s">
        <v>4659</v>
      </c>
      <c r="B4098" t="s">
        <v>515</v>
      </c>
      <c r="C4098" t="s">
        <v>102</v>
      </c>
      <c r="D4098" t="s">
        <v>43</v>
      </c>
      <c r="E4098" t="s">
        <v>44</v>
      </c>
      <c r="F4098" t="s">
        <v>22</v>
      </c>
      <c r="G4098" t="s">
        <v>23</v>
      </c>
      <c r="H4098" s="1">
        <v>45139</v>
      </c>
      <c r="I4098" s="2">
        <v>45140.9666666667</v>
      </c>
      <c r="J4098">
        <v>47.2</v>
      </c>
      <c r="K4098" t="s">
        <v>24</v>
      </c>
      <c r="L4098">
        <v>0</v>
      </c>
      <c r="M4098">
        <v>3</v>
      </c>
      <c r="N4098" t="s">
        <v>398</v>
      </c>
      <c r="O4098" s="3" t="str">
        <f>TEXT(Ticket_Table[[#This Row],[raised_date]],"YYYY-MM")</f>
        <v>2023-08</v>
      </c>
      <c r="P4098" s="3" t="str">
        <f>IF(Ticket_Table[[#This Row],[resolution_hrs]]&lt;=4,"Fast",IF(Ticket_Table[[#This Row],[resolution_hrs]]&lt;=24,"Normal",IF(Ticket_Table[[#This Row],[resolution_hrs]]&lt;=48,"Slow","Very Slow")))</f>
        <v>Slow</v>
      </c>
      <c r="Q4098" s="3">
        <f>YEAR(Ticket_Table[[#This Row],[raised_date]])</f>
        <v>2023</v>
      </c>
    </row>
    <row r="4099" spans="1:17">
      <c r="A4099" t="s">
        <v>4660</v>
      </c>
      <c r="B4099" t="s">
        <v>395</v>
      </c>
      <c r="C4099" t="s">
        <v>175</v>
      </c>
      <c r="D4099" t="s">
        <v>29</v>
      </c>
      <c r="E4099" t="s">
        <v>166</v>
      </c>
      <c r="F4099" t="s">
        <v>38</v>
      </c>
      <c r="G4099" t="s">
        <v>31</v>
      </c>
      <c r="H4099" s="1">
        <v>44925</v>
      </c>
      <c r="I4099" s="2">
        <v>44925.2625</v>
      </c>
      <c r="J4099">
        <v>6.3</v>
      </c>
      <c r="K4099" t="s">
        <v>24</v>
      </c>
      <c r="L4099">
        <v>0</v>
      </c>
      <c r="M4099">
        <v>3</v>
      </c>
      <c r="N4099" t="s">
        <v>127</v>
      </c>
      <c r="O4099" s="3" t="str">
        <f>TEXT(Ticket_Table[[#This Row],[raised_date]],"YYYY-MM")</f>
        <v>2022-12</v>
      </c>
      <c r="P4099" s="3" t="str">
        <f>IF(Ticket_Table[[#This Row],[resolution_hrs]]&lt;=4,"Fast",IF(Ticket_Table[[#This Row],[resolution_hrs]]&lt;=24,"Normal",IF(Ticket_Table[[#This Row],[resolution_hrs]]&lt;=48,"Slow","Very Slow")))</f>
        <v>Normal</v>
      </c>
      <c r="Q4099" s="3">
        <f>YEAR(Ticket_Table[[#This Row],[raised_date]])</f>
        <v>2022</v>
      </c>
    </row>
    <row r="4100" spans="1:17">
      <c r="A4100" t="s">
        <v>4661</v>
      </c>
      <c r="B4100" t="s">
        <v>269</v>
      </c>
      <c r="C4100" t="s">
        <v>133</v>
      </c>
      <c r="D4100" t="s">
        <v>43</v>
      </c>
      <c r="E4100" t="s">
        <v>56</v>
      </c>
      <c r="F4100" t="s">
        <v>22</v>
      </c>
      <c r="G4100" t="s">
        <v>31</v>
      </c>
      <c r="H4100" s="1">
        <v>44516</v>
      </c>
      <c r="I4100" s="2">
        <v>44518.2791666667</v>
      </c>
      <c r="J4100">
        <v>54.7</v>
      </c>
      <c r="K4100" t="s">
        <v>24</v>
      </c>
      <c r="L4100">
        <v>1</v>
      </c>
      <c r="M4100">
        <v>5</v>
      </c>
      <c r="N4100" t="s">
        <v>135</v>
      </c>
      <c r="O4100" s="3" t="str">
        <f>TEXT(Ticket_Table[[#This Row],[raised_date]],"YYYY-MM")</f>
        <v>2021-11</v>
      </c>
      <c r="P4100" s="3" t="str">
        <f>IF(Ticket_Table[[#This Row],[resolution_hrs]]&lt;=4,"Fast",IF(Ticket_Table[[#This Row],[resolution_hrs]]&lt;=24,"Normal",IF(Ticket_Table[[#This Row],[resolution_hrs]]&lt;=48,"Slow","Very Slow")))</f>
        <v>Very Slow</v>
      </c>
      <c r="Q4100" s="3">
        <f>YEAR(Ticket_Table[[#This Row],[raised_date]])</f>
        <v>2021</v>
      </c>
    </row>
    <row r="4101" spans="1:17">
      <c r="A4101" t="s">
        <v>4662</v>
      </c>
      <c r="B4101" t="s">
        <v>403</v>
      </c>
      <c r="C4101" t="s">
        <v>140</v>
      </c>
      <c r="D4101" t="s">
        <v>43</v>
      </c>
      <c r="E4101" t="s">
        <v>83</v>
      </c>
      <c r="F4101" t="s">
        <v>38</v>
      </c>
      <c r="G4101" t="s">
        <v>23</v>
      </c>
      <c r="H4101" s="1">
        <v>44480</v>
      </c>
      <c r="I4101" s="2">
        <v>44480.7833333333</v>
      </c>
      <c r="J4101">
        <v>18.8</v>
      </c>
      <c r="K4101" t="s">
        <v>24</v>
      </c>
      <c r="L4101">
        <v>0</v>
      </c>
      <c r="M4101">
        <v>4</v>
      </c>
      <c r="N4101" t="s">
        <v>367</v>
      </c>
      <c r="O4101" s="3" t="str">
        <f>TEXT(Ticket_Table[[#This Row],[raised_date]],"YYYY-MM")</f>
        <v>2021-10</v>
      </c>
      <c r="P4101" s="3" t="str">
        <f>IF(Ticket_Table[[#This Row],[resolution_hrs]]&lt;=4,"Fast",IF(Ticket_Table[[#This Row],[resolution_hrs]]&lt;=24,"Normal",IF(Ticket_Table[[#This Row],[resolution_hrs]]&lt;=48,"Slow","Very Slow")))</f>
        <v>Normal</v>
      </c>
      <c r="Q4101" s="3">
        <f>YEAR(Ticket_Table[[#This Row],[raised_date]])</f>
        <v>2021</v>
      </c>
    </row>
    <row r="4102" spans="1:17">
      <c r="A4102" t="s">
        <v>4663</v>
      </c>
      <c r="B4102" t="s">
        <v>450</v>
      </c>
      <c r="C4102" t="s">
        <v>50</v>
      </c>
      <c r="D4102" t="s">
        <v>29</v>
      </c>
      <c r="E4102" t="s">
        <v>37</v>
      </c>
      <c r="F4102" t="s">
        <v>22</v>
      </c>
      <c r="G4102" t="s">
        <v>23</v>
      </c>
      <c r="H4102" s="1">
        <v>44739</v>
      </c>
      <c r="I4102" s="2">
        <v>44739.2791666667</v>
      </c>
      <c r="J4102">
        <v>6.7</v>
      </c>
      <c r="K4102" t="s">
        <v>24</v>
      </c>
      <c r="L4102">
        <v>0</v>
      </c>
      <c r="M4102">
        <v>5</v>
      </c>
      <c r="N4102" t="s">
        <v>1143</v>
      </c>
      <c r="O4102" s="3" t="str">
        <f>TEXT(Ticket_Table[[#This Row],[raised_date]],"YYYY-MM")</f>
        <v>2022-06</v>
      </c>
      <c r="P4102" s="3" t="str">
        <f>IF(Ticket_Table[[#This Row],[resolution_hrs]]&lt;=4,"Fast",IF(Ticket_Table[[#This Row],[resolution_hrs]]&lt;=24,"Normal",IF(Ticket_Table[[#This Row],[resolution_hrs]]&lt;=48,"Slow","Very Slow")))</f>
        <v>Normal</v>
      </c>
      <c r="Q4102" s="3">
        <f>YEAR(Ticket_Table[[#This Row],[raised_date]])</f>
        <v>2022</v>
      </c>
    </row>
    <row r="4103" spans="1:17">
      <c r="A4103" t="s">
        <v>4664</v>
      </c>
      <c r="B4103" t="s">
        <v>18</v>
      </c>
      <c r="C4103" t="s">
        <v>102</v>
      </c>
      <c r="D4103" t="s">
        <v>36</v>
      </c>
      <c r="E4103" t="s">
        <v>30</v>
      </c>
      <c r="F4103" t="s">
        <v>22</v>
      </c>
      <c r="G4103" t="s">
        <v>31</v>
      </c>
      <c r="H4103" s="1">
        <v>44948</v>
      </c>
      <c r="I4103" s="2">
        <v>44949.2583333333</v>
      </c>
      <c r="J4103">
        <v>30.2</v>
      </c>
      <c r="K4103" t="s">
        <v>24</v>
      </c>
      <c r="L4103">
        <v>0</v>
      </c>
      <c r="M4103">
        <v>3</v>
      </c>
      <c r="N4103" t="s">
        <v>350</v>
      </c>
      <c r="O4103" s="3" t="str">
        <f>TEXT(Ticket_Table[[#This Row],[raised_date]],"YYYY-MM")</f>
        <v>2023-01</v>
      </c>
      <c r="P4103" s="3" t="str">
        <f>IF(Ticket_Table[[#This Row],[resolution_hrs]]&lt;=4,"Fast",IF(Ticket_Table[[#This Row],[resolution_hrs]]&lt;=24,"Normal",IF(Ticket_Table[[#This Row],[resolution_hrs]]&lt;=48,"Slow","Very Slow")))</f>
        <v>Slow</v>
      </c>
      <c r="Q4103" s="3">
        <f>YEAR(Ticket_Table[[#This Row],[raised_date]])</f>
        <v>2023</v>
      </c>
    </row>
    <row r="4104" spans="1:17">
      <c r="A4104" t="s">
        <v>4665</v>
      </c>
      <c r="B4104" t="s">
        <v>685</v>
      </c>
      <c r="C4104" t="s">
        <v>133</v>
      </c>
      <c r="D4104" t="s">
        <v>20</v>
      </c>
      <c r="E4104" t="s">
        <v>106</v>
      </c>
      <c r="F4104" t="s">
        <v>22</v>
      </c>
      <c r="G4104" t="s">
        <v>46</v>
      </c>
      <c r="H4104" s="1">
        <v>44708</v>
      </c>
      <c r="I4104" s="2">
        <v>44708.4791666667</v>
      </c>
      <c r="J4104">
        <v>11.5</v>
      </c>
      <c r="K4104" t="s">
        <v>24</v>
      </c>
      <c r="L4104">
        <v>0</v>
      </c>
      <c r="M4104">
        <v>4</v>
      </c>
      <c r="N4104" t="s">
        <v>554</v>
      </c>
      <c r="O4104" s="3" t="str">
        <f>TEXT(Ticket_Table[[#This Row],[raised_date]],"YYYY-MM")</f>
        <v>2022-05</v>
      </c>
      <c r="P4104" s="3" t="str">
        <f>IF(Ticket_Table[[#This Row],[resolution_hrs]]&lt;=4,"Fast",IF(Ticket_Table[[#This Row],[resolution_hrs]]&lt;=24,"Normal",IF(Ticket_Table[[#This Row],[resolution_hrs]]&lt;=48,"Slow","Very Slow")))</f>
        <v>Normal</v>
      </c>
      <c r="Q4104" s="3">
        <f>YEAR(Ticket_Table[[#This Row],[raised_date]])</f>
        <v>2022</v>
      </c>
    </row>
    <row r="4105" spans="1:17">
      <c r="A4105" t="s">
        <v>4666</v>
      </c>
      <c r="B4105" t="s">
        <v>866</v>
      </c>
      <c r="C4105" t="s">
        <v>55</v>
      </c>
      <c r="D4105" t="s">
        <v>90</v>
      </c>
      <c r="E4105" t="s">
        <v>69</v>
      </c>
      <c r="F4105" t="s">
        <v>45</v>
      </c>
      <c r="G4105" t="s">
        <v>74</v>
      </c>
      <c r="H4105" s="1">
        <v>44674</v>
      </c>
      <c r="I4105" s="2">
        <v>44674.175</v>
      </c>
      <c r="J4105">
        <v>4.2</v>
      </c>
      <c r="K4105" t="s">
        <v>32</v>
      </c>
      <c r="L4105">
        <v>2</v>
      </c>
      <c r="M4105">
        <v>4</v>
      </c>
      <c r="N4105" t="s">
        <v>432</v>
      </c>
      <c r="O4105" s="3" t="str">
        <f>TEXT(Ticket_Table[[#This Row],[raised_date]],"YYYY-MM")</f>
        <v>2022-04</v>
      </c>
      <c r="P4105" s="3" t="str">
        <f>IF(Ticket_Table[[#This Row],[resolution_hrs]]&lt;=4,"Fast",IF(Ticket_Table[[#This Row],[resolution_hrs]]&lt;=24,"Normal",IF(Ticket_Table[[#This Row],[resolution_hrs]]&lt;=48,"Slow","Very Slow")))</f>
        <v>Normal</v>
      </c>
      <c r="Q4105" s="3">
        <f>YEAR(Ticket_Table[[#This Row],[raised_date]])</f>
        <v>2022</v>
      </c>
    </row>
    <row r="4106" spans="1:17">
      <c r="A4106" t="s">
        <v>4667</v>
      </c>
      <c r="B4106" t="s">
        <v>478</v>
      </c>
      <c r="C4106" t="s">
        <v>213</v>
      </c>
      <c r="D4106" t="s">
        <v>29</v>
      </c>
      <c r="E4106" t="s">
        <v>69</v>
      </c>
      <c r="F4106" t="s">
        <v>38</v>
      </c>
      <c r="G4106" t="s">
        <v>31</v>
      </c>
      <c r="H4106" s="1">
        <v>44721</v>
      </c>
      <c r="I4106" s="2">
        <v>44722.1083333333</v>
      </c>
      <c r="J4106">
        <v>26.6</v>
      </c>
      <c r="K4106" t="s">
        <v>32</v>
      </c>
      <c r="L4106">
        <v>1</v>
      </c>
      <c r="M4106">
        <v>4</v>
      </c>
      <c r="N4106" t="s">
        <v>272</v>
      </c>
      <c r="O4106" s="3" t="str">
        <f>TEXT(Ticket_Table[[#This Row],[raised_date]],"YYYY-MM")</f>
        <v>2022-06</v>
      </c>
      <c r="P4106" s="3" t="str">
        <f>IF(Ticket_Table[[#This Row],[resolution_hrs]]&lt;=4,"Fast",IF(Ticket_Table[[#This Row],[resolution_hrs]]&lt;=24,"Normal",IF(Ticket_Table[[#This Row],[resolution_hrs]]&lt;=48,"Slow","Very Slow")))</f>
        <v>Slow</v>
      </c>
      <c r="Q4106" s="3">
        <f>YEAR(Ticket_Table[[#This Row],[raised_date]])</f>
        <v>2022</v>
      </c>
    </row>
    <row r="4107" spans="1:17">
      <c r="A4107" t="s">
        <v>4668</v>
      </c>
      <c r="B4107" t="s">
        <v>304</v>
      </c>
      <c r="C4107" t="s">
        <v>175</v>
      </c>
      <c r="D4107" t="s">
        <v>29</v>
      </c>
      <c r="E4107" t="s">
        <v>30</v>
      </c>
      <c r="F4107" t="s">
        <v>38</v>
      </c>
      <c r="G4107" t="s">
        <v>23</v>
      </c>
      <c r="H4107" s="1">
        <v>44812</v>
      </c>
      <c r="I4107" s="2">
        <v>44812.6583333333</v>
      </c>
      <c r="J4107">
        <v>15.8</v>
      </c>
      <c r="K4107" t="s">
        <v>24</v>
      </c>
      <c r="L4107">
        <v>0</v>
      </c>
      <c r="M4107">
        <v>4</v>
      </c>
      <c r="N4107" t="s">
        <v>77</v>
      </c>
      <c r="O4107" s="3" t="str">
        <f>TEXT(Ticket_Table[[#This Row],[raised_date]],"YYYY-MM")</f>
        <v>2022-09</v>
      </c>
      <c r="P4107" s="3" t="str">
        <f>IF(Ticket_Table[[#This Row],[resolution_hrs]]&lt;=4,"Fast",IF(Ticket_Table[[#This Row],[resolution_hrs]]&lt;=24,"Normal",IF(Ticket_Table[[#This Row],[resolution_hrs]]&lt;=48,"Slow","Very Slow")))</f>
        <v>Normal</v>
      </c>
      <c r="Q4107" s="3">
        <f>YEAR(Ticket_Table[[#This Row],[raised_date]])</f>
        <v>2022</v>
      </c>
    </row>
    <row r="4108" spans="1:17">
      <c r="A4108" t="s">
        <v>4669</v>
      </c>
      <c r="B4108" t="s">
        <v>340</v>
      </c>
      <c r="C4108" t="s">
        <v>213</v>
      </c>
      <c r="D4108" t="s">
        <v>90</v>
      </c>
      <c r="E4108" t="s">
        <v>51</v>
      </c>
      <c r="F4108" t="s">
        <v>70</v>
      </c>
      <c r="G4108" t="s">
        <v>74</v>
      </c>
      <c r="H4108" s="1">
        <v>44385</v>
      </c>
      <c r="I4108" s="2">
        <v>44385.9125</v>
      </c>
      <c r="J4108">
        <v>21.9</v>
      </c>
      <c r="K4108" t="s">
        <v>24</v>
      </c>
      <c r="L4108">
        <v>0</v>
      </c>
      <c r="M4108">
        <v>2</v>
      </c>
      <c r="N4108" t="s">
        <v>439</v>
      </c>
      <c r="O4108" s="3" t="str">
        <f>TEXT(Ticket_Table[[#This Row],[raised_date]],"YYYY-MM")</f>
        <v>2021-07</v>
      </c>
      <c r="P4108" s="3" t="str">
        <f>IF(Ticket_Table[[#This Row],[resolution_hrs]]&lt;=4,"Fast",IF(Ticket_Table[[#This Row],[resolution_hrs]]&lt;=24,"Normal",IF(Ticket_Table[[#This Row],[resolution_hrs]]&lt;=48,"Slow","Very Slow")))</f>
        <v>Normal</v>
      </c>
      <c r="Q4108" s="3">
        <f>YEAR(Ticket_Table[[#This Row],[raised_date]])</f>
        <v>2021</v>
      </c>
    </row>
    <row r="4109" spans="1:17">
      <c r="A4109" t="s">
        <v>4670</v>
      </c>
      <c r="B4109" t="s">
        <v>749</v>
      </c>
      <c r="C4109" t="s">
        <v>261</v>
      </c>
      <c r="D4109" t="s">
        <v>90</v>
      </c>
      <c r="E4109" t="s">
        <v>51</v>
      </c>
      <c r="F4109" t="s">
        <v>70</v>
      </c>
      <c r="G4109" t="s">
        <v>23</v>
      </c>
      <c r="H4109" s="1">
        <v>45015</v>
      </c>
      <c r="I4109" s="2">
        <v>45016.2333333333</v>
      </c>
      <c r="J4109">
        <v>29.6</v>
      </c>
      <c r="K4109" t="s">
        <v>24</v>
      </c>
      <c r="L4109">
        <v>0</v>
      </c>
      <c r="M4109">
        <v>4</v>
      </c>
      <c r="N4109" t="s">
        <v>858</v>
      </c>
      <c r="O4109" s="3" t="str">
        <f>TEXT(Ticket_Table[[#This Row],[raised_date]],"YYYY-MM")</f>
        <v>2023-03</v>
      </c>
      <c r="P4109" s="3" t="str">
        <f>IF(Ticket_Table[[#This Row],[resolution_hrs]]&lt;=4,"Fast",IF(Ticket_Table[[#This Row],[resolution_hrs]]&lt;=24,"Normal",IF(Ticket_Table[[#This Row],[resolution_hrs]]&lt;=48,"Slow","Very Slow")))</f>
        <v>Slow</v>
      </c>
      <c r="Q4109" s="3">
        <f>YEAR(Ticket_Table[[#This Row],[raised_date]])</f>
        <v>2023</v>
      </c>
    </row>
    <row r="4110" spans="1:17">
      <c r="A4110" t="s">
        <v>4671</v>
      </c>
      <c r="B4110" t="s">
        <v>305</v>
      </c>
      <c r="C4110" t="s">
        <v>102</v>
      </c>
      <c r="D4110" t="s">
        <v>43</v>
      </c>
      <c r="E4110" t="s">
        <v>30</v>
      </c>
      <c r="F4110" t="s">
        <v>22</v>
      </c>
      <c r="G4110" t="s">
        <v>46</v>
      </c>
      <c r="H4110" s="1">
        <v>44642</v>
      </c>
      <c r="I4110" s="2">
        <v>44644.6916666667</v>
      </c>
      <c r="J4110">
        <v>64.6</v>
      </c>
      <c r="K4110" t="s">
        <v>24</v>
      </c>
      <c r="L4110">
        <v>0</v>
      </c>
      <c r="M4110">
        <v>4</v>
      </c>
      <c r="N4110" t="s">
        <v>241</v>
      </c>
      <c r="O4110" s="3" t="str">
        <f>TEXT(Ticket_Table[[#This Row],[raised_date]],"YYYY-MM")</f>
        <v>2022-03</v>
      </c>
      <c r="P4110" s="3" t="str">
        <f>IF(Ticket_Table[[#This Row],[resolution_hrs]]&lt;=4,"Fast",IF(Ticket_Table[[#This Row],[resolution_hrs]]&lt;=24,"Normal",IF(Ticket_Table[[#This Row],[resolution_hrs]]&lt;=48,"Slow","Very Slow")))</f>
        <v>Very Slow</v>
      </c>
      <c r="Q4110" s="3">
        <f>YEAR(Ticket_Table[[#This Row],[raised_date]])</f>
        <v>2022</v>
      </c>
    </row>
    <row r="4111" spans="1:17">
      <c r="A4111" t="s">
        <v>4672</v>
      </c>
      <c r="B4111" t="s">
        <v>772</v>
      </c>
      <c r="C4111" t="s">
        <v>140</v>
      </c>
      <c r="D4111" t="s">
        <v>90</v>
      </c>
      <c r="E4111" t="s">
        <v>37</v>
      </c>
      <c r="F4111" t="s">
        <v>70</v>
      </c>
      <c r="G4111" t="s">
        <v>74</v>
      </c>
      <c r="H4111" s="1">
        <v>44355</v>
      </c>
      <c r="I4111" s="2">
        <v>44356.6083333333</v>
      </c>
      <c r="J4111">
        <v>38.6</v>
      </c>
      <c r="K4111" t="s">
        <v>24</v>
      </c>
      <c r="L4111">
        <v>0</v>
      </c>
      <c r="M4111">
        <v>3</v>
      </c>
      <c r="N4111" t="s">
        <v>676</v>
      </c>
      <c r="O4111" s="3" t="str">
        <f>TEXT(Ticket_Table[[#This Row],[raised_date]],"YYYY-MM")</f>
        <v>2021-06</v>
      </c>
      <c r="P4111" s="3" t="str">
        <f>IF(Ticket_Table[[#This Row],[resolution_hrs]]&lt;=4,"Fast",IF(Ticket_Table[[#This Row],[resolution_hrs]]&lt;=24,"Normal",IF(Ticket_Table[[#This Row],[resolution_hrs]]&lt;=48,"Slow","Very Slow")))</f>
        <v>Slow</v>
      </c>
      <c r="Q4111" s="3">
        <f>YEAR(Ticket_Table[[#This Row],[raised_date]])</f>
        <v>2021</v>
      </c>
    </row>
    <row r="4112" spans="1:17">
      <c r="A4112" t="s">
        <v>4673</v>
      </c>
      <c r="B4112" t="s">
        <v>232</v>
      </c>
      <c r="C4112" t="s">
        <v>78</v>
      </c>
      <c r="D4112" t="s">
        <v>20</v>
      </c>
      <c r="E4112" t="s">
        <v>56</v>
      </c>
      <c r="F4112" t="s">
        <v>70</v>
      </c>
      <c r="G4112" t="s">
        <v>46</v>
      </c>
      <c r="H4112" s="1">
        <v>44861</v>
      </c>
      <c r="I4112" s="2">
        <v>44862.5</v>
      </c>
      <c r="J4112">
        <v>36</v>
      </c>
      <c r="K4112" t="s">
        <v>24</v>
      </c>
      <c r="L4112">
        <v>0</v>
      </c>
      <c r="M4112">
        <v>4</v>
      </c>
      <c r="N4112" t="s">
        <v>343</v>
      </c>
      <c r="O4112" s="3" t="str">
        <f>TEXT(Ticket_Table[[#This Row],[raised_date]],"YYYY-MM")</f>
        <v>2022-10</v>
      </c>
      <c r="P4112" s="3" t="str">
        <f>IF(Ticket_Table[[#This Row],[resolution_hrs]]&lt;=4,"Fast",IF(Ticket_Table[[#This Row],[resolution_hrs]]&lt;=24,"Normal",IF(Ticket_Table[[#This Row],[resolution_hrs]]&lt;=48,"Slow","Very Slow")))</f>
        <v>Slow</v>
      </c>
      <c r="Q4112" s="3">
        <f>YEAR(Ticket_Table[[#This Row],[raised_date]])</f>
        <v>2022</v>
      </c>
    </row>
    <row r="4113" spans="1:17">
      <c r="A4113" t="s">
        <v>4674</v>
      </c>
      <c r="B4113" t="s">
        <v>387</v>
      </c>
      <c r="C4113" t="s">
        <v>201</v>
      </c>
      <c r="D4113" t="s">
        <v>20</v>
      </c>
      <c r="E4113" t="s">
        <v>166</v>
      </c>
      <c r="F4113" t="s">
        <v>70</v>
      </c>
      <c r="G4113" t="s">
        <v>31</v>
      </c>
      <c r="H4113" s="1">
        <v>45185</v>
      </c>
      <c r="I4113" s="2">
        <v>45186.325</v>
      </c>
      <c r="J4113">
        <v>31.8</v>
      </c>
      <c r="K4113" t="s">
        <v>24</v>
      </c>
      <c r="L4113">
        <v>0</v>
      </c>
      <c r="M4113">
        <v>4</v>
      </c>
      <c r="N4113" t="s">
        <v>329</v>
      </c>
      <c r="O4113" s="3" t="str">
        <f>TEXT(Ticket_Table[[#This Row],[raised_date]],"YYYY-MM")</f>
        <v>2023-09</v>
      </c>
      <c r="P4113" s="3" t="str">
        <f>IF(Ticket_Table[[#This Row],[resolution_hrs]]&lt;=4,"Fast",IF(Ticket_Table[[#This Row],[resolution_hrs]]&lt;=24,"Normal",IF(Ticket_Table[[#This Row],[resolution_hrs]]&lt;=48,"Slow","Very Slow")))</f>
        <v>Slow</v>
      </c>
      <c r="Q4113" s="3">
        <f>YEAR(Ticket_Table[[#This Row],[raised_date]])</f>
        <v>2023</v>
      </c>
    </row>
    <row r="4114" spans="1:17">
      <c r="A4114" t="s">
        <v>4675</v>
      </c>
      <c r="B4114" t="s">
        <v>857</v>
      </c>
      <c r="C4114" t="s">
        <v>201</v>
      </c>
      <c r="D4114" t="s">
        <v>20</v>
      </c>
      <c r="E4114" t="s">
        <v>37</v>
      </c>
      <c r="F4114" t="s">
        <v>22</v>
      </c>
      <c r="G4114" t="s">
        <v>31</v>
      </c>
      <c r="H4114" s="1">
        <v>44551</v>
      </c>
      <c r="I4114" s="2">
        <v>44554.0791666667</v>
      </c>
      <c r="J4114">
        <v>73.9</v>
      </c>
      <c r="K4114" t="s">
        <v>32</v>
      </c>
      <c r="L4114">
        <v>0</v>
      </c>
      <c r="M4114">
        <v>3</v>
      </c>
      <c r="N4114" t="s">
        <v>558</v>
      </c>
      <c r="O4114" s="3" t="str">
        <f>TEXT(Ticket_Table[[#This Row],[raised_date]],"YYYY-MM")</f>
        <v>2021-12</v>
      </c>
      <c r="P4114" s="3" t="str">
        <f>IF(Ticket_Table[[#This Row],[resolution_hrs]]&lt;=4,"Fast",IF(Ticket_Table[[#This Row],[resolution_hrs]]&lt;=24,"Normal",IF(Ticket_Table[[#This Row],[resolution_hrs]]&lt;=48,"Slow","Very Slow")))</f>
        <v>Very Slow</v>
      </c>
      <c r="Q4114" s="3">
        <f>YEAR(Ticket_Table[[#This Row],[raised_date]])</f>
        <v>2021</v>
      </c>
    </row>
    <row r="4115" spans="1:17">
      <c r="A4115" t="s">
        <v>4676</v>
      </c>
      <c r="B4115" t="s">
        <v>320</v>
      </c>
      <c r="C4115" t="s">
        <v>50</v>
      </c>
      <c r="D4115" t="s">
        <v>20</v>
      </c>
      <c r="E4115" t="s">
        <v>21</v>
      </c>
      <c r="F4115" t="s">
        <v>45</v>
      </c>
      <c r="G4115" t="s">
        <v>23</v>
      </c>
      <c r="H4115" s="1">
        <v>45196</v>
      </c>
      <c r="I4115" s="2">
        <v>45196.175</v>
      </c>
      <c r="J4115">
        <v>4.2</v>
      </c>
      <c r="K4115" t="s">
        <v>32</v>
      </c>
      <c r="L4115">
        <v>0</v>
      </c>
      <c r="M4115">
        <v>3</v>
      </c>
      <c r="N4115" t="s">
        <v>305</v>
      </c>
      <c r="O4115" s="3" t="str">
        <f>TEXT(Ticket_Table[[#This Row],[raised_date]],"YYYY-MM")</f>
        <v>2023-09</v>
      </c>
      <c r="P4115" s="3" t="str">
        <f>IF(Ticket_Table[[#This Row],[resolution_hrs]]&lt;=4,"Fast",IF(Ticket_Table[[#This Row],[resolution_hrs]]&lt;=24,"Normal",IF(Ticket_Table[[#This Row],[resolution_hrs]]&lt;=48,"Slow","Very Slow")))</f>
        <v>Normal</v>
      </c>
      <c r="Q4115" s="3">
        <f>YEAR(Ticket_Table[[#This Row],[raised_date]])</f>
        <v>2023</v>
      </c>
    </row>
    <row r="4116" spans="1:17">
      <c r="A4116" t="s">
        <v>4677</v>
      </c>
      <c r="B4116" t="s">
        <v>365</v>
      </c>
      <c r="C4116" t="s">
        <v>28</v>
      </c>
      <c r="D4116" t="s">
        <v>20</v>
      </c>
      <c r="E4116" t="s">
        <v>83</v>
      </c>
      <c r="F4116" t="s">
        <v>22</v>
      </c>
      <c r="G4116" t="s">
        <v>46</v>
      </c>
      <c r="H4116" s="1">
        <v>44392</v>
      </c>
      <c r="I4116" s="2">
        <v>44396.3166666667</v>
      </c>
      <c r="J4116">
        <v>103.6</v>
      </c>
      <c r="K4116" t="s">
        <v>32</v>
      </c>
      <c r="L4116">
        <v>0</v>
      </c>
      <c r="M4116">
        <v>4</v>
      </c>
      <c r="N4116" t="s">
        <v>772</v>
      </c>
      <c r="O4116" s="3" t="str">
        <f>TEXT(Ticket_Table[[#This Row],[raised_date]],"YYYY-MM")</f>
        <v>2021-07</v>
      </c>
      <c r="P4116" s="3" t="str">
        <f>IF(Ticket_Table[[#This Row],[resolution_hrs]]&lt;=4,"Fast",IF(Ticket_Table[[#This Row],[resolution_hrs]]&lt;=24,"Normal",IF(Ticket_Table[[#This Row],[resolution_hrs]]&lt;=48,"Slow","Very Slow")))</f>
        <v>Very Slow</v>
      </c>
      <c r="Q4116" s="3">
        <f>YEAR(Ticket_Table[[#This Row],[raised_date]])</f>
        <v>2021</v>
      </c>
    </row>
    <row r="4117" spans="1:17">
      <c r="A4117" t="s">
        <v>4678</v>
      </c>
      <c r="B4117" t="s">
        <v>917</v>
      </c>
      <c r="C4117" t="s">
        <v>261</v>
      </c>
      <c r="D4117" t="s">
        <v>43</v>
      </c>
      <c r="E4117" t="s">
        <v>51</v>
      </c>
      <c r="F4117" t="s">
        <v>45</v>
      </c>
      <c r="G4117" t="s">
        <v>31</v>
      </c>
      <c r="H4117" s="1">
        <v>44812</v>
      </c>
      <c r="I4117" s="2">
        <v>44812.0875</v>
      </c>
      <c r="J4117">
        <v>2.1</v>
      </c>
      <c r="K4117" t="s">
        <v>24</v>
      </c>
      <c r="L4117">
        <v>0</v>
      </c>
      <c r="M4117">
        <v>2</v>
      </c>
      <c r="N4117" t="s">
        <v>687</v>
      </c>
      <c r="O4117" s="3" t="str">
        <f>TEXT(Ticket_Table[[#This Row],[raised_date]],"YYYY-MM")</f>
        <v>2022-09</v>
      </c>
      <c r="P4117" s="3" t="str">
        <f>IF(Ticket_Table[[#This Row],[resolution_hrs]]&lt;=4,"Fast",IF(Ticket_Table[[#This Row],[resolution_hrs]]&lt;=24,"Normal",IF(Ticket_Table[[#This Row],[resolution_hrs]]&lt;=48,"Slow","Very Slow")))</f>
        <v>Fast</v>
      </c>
      <c r="Q4117" s="3">
        <f>YEAR(Ticket_Table[[#This Row],[raised_date]])</f>
        <v>2022</v>
      </c>
    </row>
    <row r="4118" spans="1:17">
      <c r="A4118" t="s">
        <v>4679</v>
      </c>
      <c r="B4118" t="s">
        <v>1301</v>
      </c>
      <c r="C4118" t="s">
        <v>19</v>
      </c>
      <c r="D4118" t="s">
        <v>29</v>
      </c>
      <c r="E4118" t="s">
        <v>106</v>
      </c>
      <c r="F4118" t="s">
        <v>22</v>
      </c>
      <c r="G4118" t="s">
        <v>23</v>
      </c>
      <c r="H4118" s="1">
        <v>44273</v>
      </c>
      <c r="I4118" s="2">
        <v>44273.2791666667</v>
      </c>
      <c r="J4118">
        <v>6.7</v>
      </c>
      <c r="K4118" t="s">
        <v>24</v>
      </c>
      <c r="L4118">
        <v>0</v>
      </c>
      <c r="M4118">
        <v>3</v>
      </c>
      <c r="N4118" t="s">
        <v>1180</v>
      </c>
      <c r="O4118" s="3" t="str">
        <f>TEXT(Ticket_Table[[#This Row],[raised_date]],"YYYY-MM")</f>
        <v>2021-03</v>
      </c>
      <c r="P4118" s="3" t="str">
        <f>IF(Ticket_Table[[#This Row],[resolution_hrs]]&lt;=4,"Fast",IF(Ticket_Table[[#This Row],[resolution_hrs]]&lt;=24,"Normal",IF(Ticket_Table[[#This Row],[resolution_hrs]]&lt;=48,"Slow","Very Slow")))</f>
        <v>Normal</v>
      </c>
      <c r="Q4118" s="3">
        <f>YEAR(Ticket_Table[[#This Row],[raised_date]])</f>
        <v>2021</v>
      </c>
    </row>
    <row r="4119" spans="1:17">
      <c r="A4119" t="s">
        <v>4680</v>
      </c>
      <c r="B4119" t="s">
        <v>455</v>
      </c>
      <c r="C4119" t="s">
        <v>140</v>
      </c>
      <c r="D4119" t="s">
        <v>90</v>
      </c>
      <c r="E4119" t="s">
        <v>51</v>
      </c>
      <c r="F4119" t="s">
        <v>70</v>
      </c>
      <c r="G4119" t="s">
        <v>23</v>
      </c>
      <c r="H4119" s="1">
        <v>44978</v>
      </c>
      <c r="I4119" s="2">
        <v>44978.1458333333</v>
      </c>
      <c r="J4119">
        <v>3.5</v>
      </c>
      <c r="K4119" t="s">
        <v>24</v>
      </c>
      <c r="L4119">
        <v>0</v>
      </c>
      <c r="M4119">
        <v>4</v>
      </c>
      <c r="N4119" t="s">
        <v>478</v>
      </c>
      <c r="O4119" s="3" t="str">
        <f>TEXT(Ticket_Table[[#This Row],[raised_date]],"YYYY-MM")</f>
        <v>2023-02</v>
      </c>
      <c r="P4119" s="3" t="str">
        <f>IF(Ticket_Table[[#This Row],[resolution_hrs]]&lt;=4,"Fast",IF(Ticket_Table[[#This Row],[resolution_hrs]]&lt;=24,"Normal",IF(Ticket_Table[[#This Row],[resolution_hrs]]&lt;=48,"Slow","Very Slow")))</f>
        <v>Fast</v>
      </c>
      <c r="Q4119" s="3">
        <f>YEAR(Ticket_Table[[#This Row],[raised_date]])</f>
        <v>2023</v>
      </c>
    </row>
    <row r="4120" spans="1:17">
      <c r="A4120" t="s">
        <v>4681</v>
      </c>
      <c r="B4120" t="s">
        <v>549</v>
      </c>
      <c r="C4120" t="s">
        <v>261</v>
      </c>
      <c r="D4120" t="s">
        <v>29</v>
      </c>
      <c r="E4120" t="s">
        <v>69</v>
      </c>
      <c r="F4120" t="s">
        <v>70</v>
      </c>
      <c r="G4120" t="s">
        <v>31</v>
      </c>
      <c r="H4120" s="1">
        <v>44357</v>
      </c>
      <c r="I4120" s="2">
        <v>44357.8291666667</v>
      </c>
      <c r="J4120">
        <v>19.9</v>
      </c>
      <c r="K4120" t="s">
        <v>24</v>
      </c>
      <c r="L4120">
        <v>0</v>
      </c>
      <c r="M4120">
        <v>3</v>
      </c>
      <c r="N4120" t="s">
        <v>293</v>
      </c>
      <c r="O4120" s="3" t="str">
        <f>TEXT(Ticket_Table[[#This Row],[raised_date]],"YYYY-MM")</f>
        <v>2021-06</v>
      </c>
      <c r="P4120" s="3" t="str">
        <f>IF(Ticket_Table[[#This Row],[resolution_hrs]]&lt;=4,"Fast",IF(Ticket_Table[[#This Row],[resolution_hrs]]&lt;=24,"Normal",IF(Ticket_Table[[#This Row],[resolution_hrs]]&lt;=48,"Slow","Very Slow")))</f>
        <v>Normal</v>
      </c>
      <c r="Q4120" s="3">
        <f>YEAR(Ticket_Table[[#This Row],[raised_date]])</f>
        <v>2021</v>
      </c>
    </row>
    <row r="4121" spans="1:17">
      <c r="A4121" t="s">
        <v>4682</v>
      </c>
      <c r="B4121" t="s">
        <v>501</v>
      </c>
      <c r="C4121" t="s">
        <v>287</v>
      </c>
      <c r="D4121" t="s">
        <v>90</v>
      </c>
      <c r="E4121" t="s">
        <v>106</v>
      </c>
      <c r="F4121" t="s">
        <v>70</v>
      </c>
      <c r="G4121" t="s">
        <v>23</v>
      </c>
      <c r="H4121" s="1">
        <v>44311</v>
      </c>
      <c r="I4121" s="2">
        <v>44311.2375</v>
      </c>
      <c r="J4121">
        <v>5.7</v>
      </c>
      <c r="K4121" t="s">
        <v>24</v>
      </c>
      <c r="L4121">
        <v>0</v>
      </c>
      <c r="M4121">
        <v>4</v>
      </c>
      <c r="N4121" t="s">
        <v>172</v>
      </c>
      <c r="O4121" s="3" t="str">
        <f>TEXT(Ticket_Table[[#This Row],[raised_date]],"YYYY-MM")</f>
        <v>2021-04</v>
      </c>
      <c r="P4121" s="3" t="str">
        <f>IF(Ticket_Table[[#This Row],[resolution_hrs]]&lt;=4,"Fast",IF(Ticket_Table[[#This Row],[resolution_hrs]]&lt;=24,"Normal",IF(Ticket_Table[[#This Row],[resolution_hrs]]&lt;=48,"Slow","Very Slow")))</f>
        <v>Normal</v>
      </c>
      <c r="Q4121" s="3">
        <f>YEAR(Ticket_Table[[#This Row],[raised_date]])</f>
        <v>2021</v>
      </c>
    </row>
    <row r="4122" spans="1:17">
      <c r="A4122" t="s">
        <v>4683</v>
      </c>
      <c r="B4122" t="s">
        <v>485</v>
      </c>
      <c r="C4122" t="s">
        <v>55</v>
      </c>
      <c r="D4122" t="s">
        <v>43</v>
      </c>
      <c r="E4122" t="s">
        <v>21</v>
      </c>
      <c r="F4122" t="s">
        <v>70</v>
      </c>
      <c r="G4122" t="s">
        <v>23</v>
      </c>
      <c r="H4122" s="1">
        <v>44881</v>
      </c>
      <c r="I4122" s="2">
        <v>44881.3416666667</v>
      </c>
      <c r="J4122">
        <v>8.2</v>
      </c>
      <c r="K4122" t="s">
        <v>24</v>
      </c>
      <c r="L4122">
        <v>0</v>
      </c>
      <c r="M4122">
        <v>3</v>
      </c>
      <c r="N4122" t="s">
        <v>680</v>
      </c>
      <c r="O4122" s="3" t="str">
        <f>TEXT(Ticket_Table[[#This Row],[raised_date]],"YYYY-MM")</f>
        <v>2022-11</v>
      </c>
      <c r="P4122" s="3" t="str">
        <f>IF(Ticket_Table[[#This Row],[resolution_hrs]]&lt;=4,"Fast",IF(Ticket_Table[[#This Row],[resolution_hrs]]&lt;=24,"Normal",IF(Ticket_Table[[#This Row],[resolution_hrs]]&lt;=48,"Slow","Very Slow")))</f>
        <v>Normal</v>
      </c>
      <c r="Q4122" s="3">
        <f>YEAR(Ticket_Table[[#This Row],[raised_date]])</f>
        <v>2022</v>
      </c>
    </row>
    <row r="4123" spans="1:17">
      <c r="A4123" t="s">
        <v>4684</v>
      </c>
      <c r="B4123" t="s">
        <v>521</v>
      </c>
      <c r="C4123" t="s">
        <v>82</v>
      </c>
      <c r="D4123" t="s">
        <v>43</v>
      </c>
      <c r="E4123" t="s">
        <v>21</v>
      </c>
      <c r="F4123" t="s">
        <v>70</v>
      </c>
      <c r="G4123" t="s">
        <v>91</v>
      </c>
      <c r="H4123" s="1">
        <v>44909</v>
      </c>
      <c r="I4123" s="2">
        <v>44909.7125</v>
      </c>
      <c r="J4123">
        <v>17.1</v>
      </c>
      <c r="K4123" t="s">
        <v>24</v>
      </c>
      <c r="L4123">
        <v>0</v>
      </c>
      <c r="M4123">
        <v>5</v>
      </c>
      <c r="N4123" t="s">
        <v>103</v>
      </c>
      <c r="O4123" s="3" t="str">
        <f>TEXT(Ticket_Table[[#This Row],[raised_date]],"YYYY-MM")</f>
        <v>2022-12</v>
      </c>
      <c r="P4123" s="3" t="str">
        <f>IF(Ticket_Table[[#This Row],[resolution_hrs]]&lt;=4,"Fast",IF(Ticket_Table[[#This Row],[resolution_hrs]]&lt;=24,"Normal",IF(Ticket_Table[[#This Row],[resolution_hrs]]&lt;=48,"Slow","Very Slow")))</f>
        <v>Normal</v>
      </c>
      <c r="Q4123" s="3">
        <f>YEAR(Ticket_Table[[#This Row],[raised_date]])</f>
        <v>2022</v>
      </c>
    </row>
    <row r="4124" spans="1:17">
      <c r="A4124" t="s">
        <v>4685</v>
      </c>
      <c r="B4124" t="s">
        <v>824</v>
      </c>
      <c r="C4124" t="s">
        <v>117</v>
      </c>
      <c r="D4124" t="s">
        <v>36</v>
      </c>
      <c r="E4124" t="s">
        <v>83</v>
      </c>
      <c r="F4124" t="s">
        <v>70</v>
      </c>
      <c r="G4124" t="s">
        <v>23</v>
      </c>
      <c r="H4124" s="1">
        <v>45086</v>
      </c>
      <c r="I4124" s="2">
        <v>45087.875</v>
      </c>
      <c r="J4124">
        <v>45</v>
      </c>
      <c r="K4124" t="s">
        <v>24</v>
      </c>
      <c r="L4124">
        <v>0</v>
      </c>
      <c r="M4124">
        <v>3</v>
      </c>
      <c r="N4124" t="s">
        <v>455</v>
      </c>
      <c r="O4124" s="3" t="str">
        <f>TEXT(Ticket_Table[[#This Row],[raised_date]],"YYYY-MM")</f>
        <v>2023-06</v>
      </c>
      <c r="P4124" s="3" t="str">
        <f>IF(Ticket_Table[[#This Row],[resolution_hrs]]&lt;=4,"Fast",IF(Ticket_Table[[#This Row],[resolution_hrs]]&lt;=24,"Normal",IF(Ticket_Table[[#This Row],[resolution_hrs]]&lt;=48,"Slow","Very Slow")))</f>
        <v>Slow</v>
      </c>
      <c r="Q4124" s="3">
        <f>YEAR(Ticket_Table[[#This Row],[raised_date]])</f>
        <v>2023</v>
      </c>
    </row>
    <row r="4125" spans="1:17">
      <c r="A4125" t="s">
        <v>4686</v>
      </c>
      <c r="B4125" t="s">
        <v>255</v>
      </c>
      <c r="C4125" t="s">
        <v>42</v>
      </c>
      <c r="D4125" t="s">
        <v>36</v>
      </c>
      <c r="E4125" t="s">
        <v>44</v>
      </c>
      <c r="F4125" t="s">
        <v>38</v>
      </c>
      <c r="G4125" t="s">
        <v>23</v>
      </c>
      <c r="H4125" s="1">
        <v>45050</v>
      </c>
      <c r="I4125" s="2">
        <v>45051.0875</v>
      </c>
      <c r="J4125">
        <v>26.1</v>
      </c>
      <c r="K4125" t="s">
        <v>32</v>
      </c>
      <c r="L4125">
        <v>0</v>
      </c>
      <c r="M4125">
        <v>3</v>
      </c>
      <c r="N4125" t="s">
        <v>544</v>
      </c>
      <c r="O4125" s="3" t="str">
        <f>TEXT(Ticket_Table[[#This Row],[raised_date]],"YYYY-MM")</f>
        <v>2023-05</v>
      </c>
      <c r="P4125" s="3" t="str">
        <f>IF(Ticket_Table[[#This Row],[resolution_hrs]]&lt;=4,"Fast",IF(Ticket_Table[[#This Row],[resolution_hrs]]&lt;=24,"Normal",IF(Ticket_Table[[#This Row],[resolution_hrs]]&lt;=48,"Slow","Very Slow")))</f>
        <v>Slow</v>
      </c>
      <c r="Q4125" s="3">
        <f>YEAR(Ticket_Table[[#This Row],[raised_date]])</f>
        <v>2023</v>
      </c>
    </row>
    <row r="4126" spans="1:17">
      <c r="A4126" t="s">
        <v>4687</v>
      </c>
      <c r="B4126" t="s">
        <v>145</v>
      </c>
      <c r="C4126" t="s">
        <v>19</v>
      </c>
      <c r="D4126" t="s">
        <v>43</v>
      </c>
      <c r="E4126" t="s">
        <v>69</v>
      </c>
      <c r="F4126" t="s">
        <v>38</v>
      </c>
      <c r="G4126" t="s">
        <v>23</v>
      </c>
      <c r="H4126" s="1">
        <v>44443</v>
      </c>
      <c r="I4126" s="2">
        <v>44443.6125</v>
      </c>
      <c r="J4126">
        <v>14.7</v>
      </c>
      <c r="K4126" t="s">
        <v>24</v>
      </c>
      <c r="L4126">
        <v>1</v>
      </c>
      <c r="M4126">
        <v>4</v>
      </c>
      <c r="N4126" t="s">
        <v>621</v>
      </c>
      <c r="O4126" s="3" t="str">
        <f>TEXT(Ticket_Table[[#This Row],[raised_date]],"YYYY-MM")</f>
        <v>2021-09</v>
      </c>
      <c r="P4126" s="3" t="str">
        <f>IF(Ticket_Table[[#This Row],[resolution_hrs]]&lt;=4,"Fast",IF(Ticket_Table[[#This Row],[resolution_hrs]]&lt;=24,"Normal",IF(Ticket_Table[[#This Row],[resolution_hrs]]&lt;=48,"Slow","Very Slow")))</f>
        <v>Normal</v>
      </c>
      <c r="Q4126" s="3">
        <f>YEAR(Ticket_Table[[#This Row],[raised_date]])</f>
        <v>2021</v>
      </c>
    </row>
    <row r="4127" spans="1:17">
      <c r="A4127" t="s">
        <v>4688</v>
      </c>
      <c r="B4127" t="s">
        <v>866</v>
      </c>
      <c r="C4127" t="s">
        <v>133</v>
      </c>
      <c r="D4127" t="s">
        <v>43</v>
      </c>
      <c r="E4127" t="s">
        <v>30</v>
      </c>
      <c r="F4127" t="s">
        <v>38</v>
      </c>
      <c r="G4127" t="s">
        <v>46</v>
      </c>
      <c r="H4127" s="1">
        <v>44661</v>
      </c>
      <c r="I4127" s="2">
        <v>44661.1875</v>
      </c>
      <c r="J4127">
        <v>4.5</v>
      </c>
      <c r="K4127" t="s">
        <v>24</v>
      </c>
      <c r="L4127">
        <v>0</v>
      </c>
      <c r="M4127">
        <v>2</v>
      </c>
      <c r="N4127" t="s">
        <v>1143</v>
      </c>
      <c r="O4127" s="3" t="str">
        <f>TEXT(Ticket_Table[[#This Row],[raised_date]],"YYYY-MM")</f>
        <v>2022-04</v>
      </c>
      <c r="P4127" s="3" t="str">
        <f>IF(Ticket_Table[[#This Row],[resolution_hrs]]&lt;=4,"Fast",IF(Ticket_Table[[#This Row],[resolution_hrs]]&lt;=24,"Normal",IF(Ticket_Table[[#This Row],[resolution_hrs]]&lt;=48,"Slow","Very Slow")))</f>
        <v>Normal</v>
      </c>
      <c r="Q4127" s="3">
        <f>YEAR(Ticket_Table[[#This Row],[raised_date]])</f>
        <v>2022</v>
      </c>
    </row>
    <row r="4128" spans="1:17">
      <c r="A4128" t="s">
        <v>4689</v>
      </c>
      <c r="B4128" t="s">
        <v>163</v>
      </c>
      <c r="C4128" t="s">
        <v>78</v>
      </c>
      <c r="D4128" t="s">
        <v>90</v>
      </c>
      <c r="E4128" t="s">
        <v>51</v>
      </c>
      <c r="F4128" t="s">
        <v>22</v>
      </c>
      <c r="G4128" t="s">
        <v>31</v>
      </c>
      <c r="H4128" s="1">
        <v>44220</v>
      </c>
      <c r="I4128" s="2">
        <v>44223.3125</v>
      </c>
      <c r="J4128">
        <v>79.5</v>
      </c>
      <c r="K4128" t="s">
        <v>32</v>
      </c>
      <c r="L4128">
        <v>2</v>
      </c>
      <c r="M4128">
        <v>4</v>
      </c>
      <c r="N4128" t="s">
        <v>512</v>
      </c>
      <c r="O4128" s="3" t="str">
        <f>TEXT(Ticket_Table[[#This Row],[raised_date]],"YYYY-MM")</f>
        <v>2021-01</v>
      </c>
      <c r="P4128" s="3" t="str">
        <f>IF(Ticket_Table[[#This Row],[resolution_hrs]]&lt;=4,"Fast",IF(Ticket_Table[[#This Row],[resolution_hrs]]&lt;=24,"Normal",IF(Ticket_Table[[#This Row],[resolution_hrs]]&lt;=48,"Slow","Very Slow")))</f>
        <v>Very Slow</v>
      </c>
      <c r="Q4128" s="3">
        <f>YEAR(Ticket_Table[[#This Row],[raised_date]])</f>
        <v>2021</v>
      </c>
    </row>
    <row r="4129" spans="1:17">
      <c r="A4129" t="s">
        <v>4690</v>
      </c>
      <c r="B4129" t="s">
        <v>895</v>
      </c>
      <c r="C4129" t="s">
        <v>102</v>
      </c>
      <c r="D4129" t="s">
        <v>43</v>
      </c>
      <c r="E4129" t="s">
        <v>83</v>
      </c>
      <c r="F4129" t="s">
        <v>70</v>
      </c>
      <c r="G4129" t="s">
        <v>31</v>
      </c>
      <c r="H4129" s="1">
        <v>44980</v>
      </c>
      <c r="I4129" s="2">
        <v>44982.6416666667</v>
      </c>
      <c r="J4129">
        <v>63.4</v>
      </c>
      <c r="K4129" t="s">
        <v>32</v>
      </c>
      <c r="L4129">
        <v>1</v>
      </c>
      <c r="M4129">
        <v>4</v>
      </c>
      <c r="N4129" t="s">
        <v>174</v>
      </c>
      <c r="O4129" s="3" t="str">
        <f>TEXT(Ticket_Table[[#This Row],[raised_date]],"YYYY-MM")</f>
        <v>2023-02</v>
      </c>
      <c r="P4129" s="3" t="str">
        <f>IF(Ticket_Table[[#This Row],[resolution_hrs]]&lt;=4,"Fast",IF(Ticket_Table[[#This Row],[resolution_hrs]]&lt;=24,"Normal",IF(Ticket_Table[[#This Row],[resolution_hrs]]&lt;=48,"Slow","Very Slow")))</f>
        <v>Very Slow</v>
      </c>
      <c r="Q4129" s="3">
        <f>YEAR(Ticket_Table[[#This Row],[raised_date]])</f>
        <v>2023</v>
      </c>
    </row>
    <row r="4130" spans="1:17">
      <c r="A4130" t="s">
        <v>4691</v>
      </c>
      <c r="B4130" t="s">
        <v>87</v>
      </c>
      <c r="C4130" t="s">
        <v>50</v>
      </c>
      <c r="D4130" t="s">
        <v>29</v>
      </c>
      <c r="E4130" t="s">
        <v>83</v>
      </c>
      <c r="F4130" t="s">
        <v>70</v>
      </c>
      <c r="G4130" t="s">
        <v>46</v>
      </c>
      <c r="H4130" s="1">
        <v>44307</v>
      </c>
      <c r="I4130" s="2">
        <v>44307.8333333333</v>
      </c>
      <c r="J4130">
        <v>20</v>
      </c>
      <c r="K4130" t="s">
        <v>24</v>
      </c>
      <c r="L4130">
        <v>0</v>
      </c>
      <c r="M4130">
        <v>4</v>
      </c>
      <c r="N4130" t="s">
        <v>325</v>
      </c>
      <c r="O4130" s="3" t="str">
        <f>TEXT(Ticket_Table[[#This Row],[raised_date]],"YYYY-MM")</f>
        <v>2021-04</v>
      </c>
      <c r="P4130" s="3" t="str">
        <f>IF(Ticket_Table[[#This Row],[resolution_hrs]]&lt;=4,"Fast",IF(Ticket_Table[[#This Row],[resolution_hrs]]&lt;=24,"Normal",IF(Ticket_Table[[#This Row],[resolution_hrs]]&lt;=48,"Slow","Very Slow")))</f>
        <v>Normal</v>
      </c>
      <c r="Q4130" s="3">
        <f>YEAR(Ticket_Table[[#This Row],[raised_date]])</f>
        <v>2021</v>
      </c>
    </row>
    <row r="4131" spans="1:17">
      <c r="A4131" t="s">
        <v>4692</v>
      </c>
      <c r="B4131" t="s">
        <v>1337</v>
      </c>
      <c r="C4131" t="s">
        <v>175</v>
      </c>
      <c r="D4131" t="s">
        <v>90</v>
      </c>
      <c r="E4131" t="s">
        <v>44</v>
      </c>
      <c r="F4131" t="s">
        <v>70</v>
      </c>
      <c r="G4131" t="s">
        <v>74</v>
      </c>
      <c r="H4131" s="1">
        <v>44821</v>
      </c>
      <c r="I4131" s="2">
        <v>44821.65</v>
      </c>
      <c r="J4131">
        <v>15.6</v>
      </c>
      <c r="K4131" t="s">
        <v>24</v>
      </c>
      <c r="L4131">
        <v>1</v>
      </c>
      <c r="M4131">
        <v>3</v>
      </c>
      <c r="N4131" t="s">
        <v>955</v>
      </c>
      <c r="O4131" s="3" t="str">
        <f>TEXT(Ticket_Table[[#This Row],[raised_date]],"YYYY-MM")</f>
        <v>2022-09</v>
      </c>
      <c r="P4131" s="3" t="str">
        <f>IF(Ticket_Table[[#This Row],[resolution_hrs]]&lt;=4,"Fast",IF(Ticket_Table[[#This Row],[resolution_hrs]]&lt;=24,"Normal",IF(Ticket_Table[[#This Row],[resolution_hrs]]&lt;=48,"Slow","Very Slow")))</f>
        <v>Normal</v>
      </c>
      <c r="Q4131" s="3">
        <f>YEAR(Ticket_Table[[#This Row],[raised_date]])</f>
        <v>2022</v>
      </c>
    </row>
    <row r="4132" spans="1:17">
      <c r="A4132" t="s">
        <v>4693</v>
      </c>
      <c r="B4132" t="s">
        <v>391</v>
      </c>
      <c r="C4132" t="s">
        <v>68</v>
      </c>
      <c r="D4132" t="s">
        <v>43</v>
      </c>
      <c r="E4132" t="s">
        <v>21</v>
      </c>
      <c r="F4132" t="s">
        <v>70</v>
      </c>
      <c r="G4132" t="s">
        <v>91</v>
      </c>
      <c r="H4132" s="1">
        <v>45270</v>
      </c>
      <c r="I4132" s="2">
        <v>45272.3666666667</v>
      </c>
      <c r="J4132">
        <v>56.8</v>
      </c>
      <c r="K4132" t="s">
        <v>32</v>
      </c>
      <c r="L4132">
        <v>0</v>
      </c>
      <c r="M4132">
        <v>5</v>
      </c>
      <c r="N4132" t="s">
        <v>866</v>
      </c>
      <c r="O4132" s="3" t="str">
        <f>TEXT(Ticket_Table[[#This Row],[raised_date]],"YYYY-MM")</f>
        <v>2023-12</v>
      </c>
      <c r="P4132" s="3" t="str">
        <f>IF(Ticket_Table[[#This Row],[resolution_hrs]]&lt;=4,"Fast",IF(Ticket_Table[[#This Row],[resolution_hrs]]&lt;=24,"Normal",IF(Ticket_Table[[#This Row],[resolution_hrs]]&lt;=48,"Slow","Very Slow")))</f>
        <v>Very Slow</v>
      </c>
      <c r="Q4132" s="3">
        <f>YEAR(Ticket_Table[[#This Row],[raised_date]])</f>
        <v>2023</v>
      </c>
    </row>
    <row r="4133" spans="1:17">
      <c r="A4133" t="s">
        <v>4694</v>
      </c>
      <c r="B4133" t="s">
        <v>1226</v>
      </c>
      <c r="C4133" t="s">
        <v>102</v>
      </c>
      <c r="D4133" t="s">
        <v>90</v>
      </c>
      <c r="E4133" t="s">
        <v>69</v>
      </c>
      <c r="F4133" t="s">
        <v>70</v>
      </c>
      <c r="G4133" t="s">
        <v>23</v>
      </c>
      <c r="H4133" s="1">
        <v>44281</v>
      </c>
      <c r="I4133" s="2">
        <v>44282.0708333333</v>
      </c>
      <c r="J4133">
        <v>25.7</v>
      </c>
      <c r="K4133" t="s">
        <v>24</v>
      </c>
      <c r="L4133">
        <v>0</v>
      </c>
      <c r="M4133">
        <v>4</v>
      </c>
      <c r="N4133" t="s">
        <v>304</v>
      </c>
      <c r="O4133" s="3" t="str">
        <f>TEXT(Ticket_Table[[#This Row],[raised_date]],"YYYY-MM")</f>
        <v>2021-03</v>
      </c>
      <c r="P4133" s="3" t="str">
        <f>IF(Ticket_Table[[#This Row],[resolution_hrs]]&lt;=4,"Fast",IF(Ticket_Table[[#This Row],[resolution_hrs]]&lt;=24,"Normal",IF(Ticket_Table[[#This Row],[resolution_hrs]]&lt;=48,"Slow","Very Slow")))</f>
        <v>Slow</v>
      </c>
      <c r="Q4133" s="3">
        <f>YEAR(Ticket_Table[[#This Row],[raised_date]])</f>
        <v>2021</v>
      </c>
    </row>
    <row r="4134" spans="1:17">
      <c r="A4134" t="s">
        <v>4695</v>
      </c>
      <c r="B4134" t="s">
        <v>353</v>
      </c>
      <c r="C4134" t="s">
        <v>68</v>
      </c>
      <c r="D4134" t="s">
        <v>90</v>
      </c>
      <c r="E4134" t="s">
        <v>106</v>
      </c>
      <c r="F4134" t="s">
        <v>22</v>
      </c>
      <c r="G4134" t="s">
        <v>46</v>
      </c>
      <c r="H4134" s="1">
        <v>44850</v>
      </c>
      <c r="I4134" s="2">
        <v>44851.325</v>
      </c>
      <c r="J4134">
        <v>31.8</v>
      </c>
      <c r="K4134" t="s">
        <v>24</v>
      </c>
      <c r="L4134">
        <v>1</v>
      </c>
      <c r="M4134">
        <v>2</v>
      </c>
      <c r="N4134" t="s">
        <v>1058</v>
      </c>
      <c r="O4134" s="3" t="str">
        <f>TEXT(Ticket_Table[[#This Row],[raised_date]],"YYYY-MM")</f>
        <v>2022-10</v>
      </c>
      <c r="P4134" s="3" t="str">
        <f>IF(Ticket_Table[[#This Row],[resolution_hrs]]&lt;=4,"Fast",IF(Ticket_Table[[#This Row],[resolution_hrs]]&lt;=24,"Normal",IF(Ticket_Table[[#This Row],[resolution_hrs]]&lt;=48,"Slow","Very Slow")))</f>
        <v>Slow</v>
      </c>
      <c r="Q4134" s="3">
        <f>YEAR(Ticket_Table[[#This Row],[raised_date]])</f>
        <v>2022</v>
      </c>
    </row>
    <row r="4135" spans="1:17">
      <c r="A4135" t="s">
        <v>4696</v>
      </c>
      <c r="B4135" t="s">
        <v>81</v>
      </c>
      <c r="C4135" t="s">
        <v>78</v>
      </c>
      <c r="D4135" t="s">
        <v>20</v>
      </c>
      <c r="E4135" t="s">
        <v>69</v>
      </c>
      <c r="F4135" t="s">
        <v>22</v>
      </c>
      <c r="G4135" t="s">
        <v>23</v>
      </c>
      <c r="H4135" s="1">
        <v>44503</v>
      </c>
      <c r="I4135" s="2">
        <v>44505.7</v>
      </c>
      <c r="J4135">
        <v>64.8</v>
      </c>
      <c r="K4135" t="s">
        <v>24</v>
      </c>
      <c r="L4135">
        <v>2</v>
      </c>
      <c r="M4135">
        <v>3</v>
      </c>
      <c r="N4135" t="s">
        <v>737</v>
      </c>
      <c r="O4135" s="3" t="str">
        <f>TEXT(Ticket_Table[[#This Row],[raised_date]],"YYYY-MM")</f>
        <v>2021-11</v>
      </c>
      <c r="P4135" s="3" t="str">
        <f>IF(Ticket_Table[[#This Row],[resolution_hrs]]&lt;=4,"Fast",IF(Ticket_Table[[#This Row],[resolution_hrs]]&lt;=24,"Normal",IF(Ticket_Table[[#This Row],[resolution_hrs]]&lt;=48,"Slow","Very Slow")))</f>
        <v>Very Slow</v>
      </c>
      <c r="Q4135" s="3">
        <f>YEAR(Ticket_Table[[#This Row],[raised_date]])</f>
        <v>2021</v>
      </c>
    </row>
    <row r="4136" spans="1:17">
      <c r="A4136" t="s">
        <v>4697</v>
      </c>
      <c r="B4136" t="s">
        <v>1006</v>
      </c>
      <c r="C4136" t="s">
        <v>117</v>
      </c>
      <c r="D4136" t="s">
        <v>36</v>
      </c>
      <c r="E4136" t="s">
        <v>69</v>
      </c>
      <c r="F4136" t="s">
        <v>22</v>
      </c>
      <c r="G4136" t="s">
        <v>23</v>
      </c>
      <c r="H4136" s="1">
        <v>44866</v>
      </c>
      <c r="I4136" s="2">
        <v>44869.3125</v>
      </c>
      <c r="J4136">
        <v>79.5</v>
      </c>
      <c r="K4136" t="s">
        <v>32</v>
      </c>
      <c r="L4136">
        <v>0</v>
      </c>
      <c r="M4136">
        <v>4</v>
      </c>
      <c r="N4136" t="s">
        <v>716</v>
      </c>
      <c r="O4136" s="3" t="str">
        <f>TEXT(Ticket_Table[[#This Row],[raised_date]],"YYYY-MM")</f>
        <v>2022-11</v>
      </c>
      <c r="P4136" s="3" t="str">
        <f>IF(Ticket_Table[[#This Row],[resolution_hrs]]&lt;=4,"Fast",IF(Ticket_Table[[#This Row],[resolution_hrs]]&lt;=24,"Normal",IF(Ticket_Table[[#This Row],[resolution_hrs]]&lt;=48,"Slow","Very Slow")))</f>
        <v>Very Slow</v>
      </c>
      <c r="Q4136" s="3">
        <f>YEAR(Ticket_Table[[#This Row],[raised_date]])</f>
        <v>2022</v>
      </c>
    </row>
    <row r="4137" spans="1:17">
      <c r="A4137" t="s">
        <v>4698</v>
      </c>
      <c r="B4137" t="s">
        <v>245</v>
      </c>
      <c r="C4137" t="s">
        <v>60</v>
      </c>
      <c r="D4137" t="s">
        <v>90</v>
      </c>
      <c r="E4137" t="s">
        <v>51</v>
      </c>
      <c r="F4137" t="s">
        <v>38</v>
      </c>
      <c r="G4137" t="s">
        <v>46</v>
      </c>
      <c r="H4137" s="1">
        <v>45225</v>
      </c>
      <c r="I4137" s="2">
        <v>45225.1791666667</v>
      </c>
      <c r="J4137">
        <v>4.3</v>
      </c>
      <c r="K4137" t="s">
        <v>24</v>
      </c>
      <c r="L4137">
        <v>0</v>
      </c>
      <c r="M4137">
        <v>5</v>
      </c>
      <c r="N4137" t="s">
        <v>782</v>
      </c>
      <c r="O4137" s="3" t="str">
        <f>TEXT(Ticket_Table[[#This Row],[raised_date]],"YYYY-MM")</f>
        <v>2023-10</v>
      </c>
      <c r="P4137" s="3" t="str">
        <f>IF(Ticket_Table[[#This Row],[resolution_hrs]]&lt;=4,"Fast",IF(Ticket_Table[[#This Row],[resolution_hrs]]&lt;=24,"Normal",IF(Ticket_Table[[#This Row],[resolution_hrs]]&lt;=48,"Slow","Very Slow")))</f>
        <v>Normal</v>
      </c>
      <c r="Q4137" s="3">
        <f>YEAR(Ticket_Table[[#This Row],[raised_date]])</f>
        <v>2023</v>
      </c>
    </row>
    <row r="4138" spans="1:17">
      <c r="A4138" t="s">
        <v>4699</v>
      </c>
      <c r="B4138" t="s">
        <v>132</v>
      </c>
      <c r="C4138" t="s">
        <v>287</v>
      </c>
      <c r="D4138" t="s">
        <v>90</v>
      </c>
      <c r="E4138" t="s">
        <v>106</v>
      </c>
      <c r="F4138" t="s">
        <v>38</v>
      </c>
      <c r="G4138" t="s">
        <v>74</v>
      </c>
      <c r="H4138" s="1">
        <v>44649</v>
      </c>
      <c r="I4138" s="2">
        <v>44649.775</v>
      </c>
      <c r="J4138">
        <v>18.6</v>
      </c>
      <c r="K4138" t="s">
        <v>24</v>
      </c>
      <c r="L4138">
        <v>1</v>
      </c>
      <c r="M4138">
        <v>2</v>
      </c>
      <c r="N4138" t="s">
        <v>716</v>
      </c>
      <c r="O4138" s="3" t="str">
        <f>TEXT(Ticket_Table[[#This Row],[raised_date]],"YYYY-MM")</f>
        <v>2022-03</v>
      </c>
      <c r="P4138" s="3" t="str">
        <f>IF(Ticket_Table[[#This Row],[resolution_hrs]]&lt;=4,"Fast",IF(Ticket_Table[[#This Row],[resolution_hrs]]&lt;=24,"Normal",IF(Ticket_Table[[#This Row],[resolution_hrs]]&lt;=48,"Slow","Very Slow")))</f>
        <v>Normal</v>
      </c>
      <c r="Q4138" s="3">
        <f>YEAR(Ticket_Table[[#This Row],[raised_date]])</f>
        <v>2022</v>
      </c>
    </row>
    <row r="4139" spans="1:17">
      <c r="A4139" t="s">
        <v>4700</v>
      </c>
      <c r="B4139" t="s">
        <v>121</v>
      </c>
      <c r="C4139" t="s">
        <v>60</v>
      </c>
      <c r="D4139" t="s">
        <v>20</v>
      </c>
      <c r="E4139" t="s">
        <v>37</v>
      </c>
      <c r="F4139" t="s">
        <v>45</v>
      </c>
      <c r="G4139" t="s">
        <v>31</v>
      </c>
      <c r="H4139" s="1">
        <v>44510</v>
      </c>
      <c r="I4139" s="2">
        <v>44510.1875</v>
      </c>
      <c r="J4139">
        <v>4.5</v>
      </c>
      <c r="K4139" t="s">
        <v>32</v>
      </c>
      <c r="L4139">
        <v>2</v>
      </c>
      <c r="M4139">
        <v>5</v>
      </c>
      <c r="N4139" t="s">
        <v>1297</v>
      </c>
      <c r="O4139" s="3" t="str">
        <f>TEXT(Ticket_Table[[#This Row],[raised_date]],"YYYY-MM")</f>
        <v>2021-11</v>
      </c>
      <c r="P4139" s="3" t="str">
        <f>IF(Ticket_Table[[#This Row],[resolution_hrs]]&lt;=4,"Fast",IF(Ticket_Table[[#This Row],[resolution_hrs]]&lt;=24,"Normal",IF(Ticket_Table[[#This Row],[resolution_hrs]]&lt;=48,"Slow","Very Slow")))</f>
        <v>Normal</v>
      </c>
      <c r="Q4139" s="3">
        <f>YEAR(Ticket_Table[[#This Row],[raised_date]])</f>
        <v>2021</v>
      </c>
    </row>
    <row r="4140" spans="1:17">
      <c r="A4140" t="s">
        <v>4701</v>
      </c>
      <c r="B4140" t="s">
        <v>171</v>
      </c>
      <c r="C4140" t="s">
        <v>82</v>
      </c>
      <c r="D4140" t="s">
        <v>43</v>
      </c>
      <c r="E4140" t="s">
        <v>106</v>
      </c>
      <c r="F4140" t="s">
        <v>38</v>
      </c>
      <c r="G4140" t="s">
        <v>31</v>
      </c>
      <c r="H4140" s="1">
        <v>44300</v>
      </c>
      <c r="I4140" s="2">
        <v>44300.7375</v>
      </c>
      <c r="J4140">
        <v>17.7</v>
      </c>
      <c r="K4140" t="s">
        <v>24</v>
      </c>
      <c r="L4140">
        <v>0</v>
      </c>
      <c r="M4140">
        <v>4</v>
      </c>
      <c r="N4140" t="s">
        <v>363</v>
      </c>
      <c r="O4140" s="3" t="str">
        <f>TEXT(Ticket_Table[[#This Row],[raised_date]],"YYYY-MM")</f>
        <v>2021-04</v>
      </c>
      <c r="P4140" s="3" t="str">
        <f>IF(Ticket_Table[[#This Row],[resolution_hrs]]&lt;=4,"Fast",IF(Ticket_Table[[#This Row],[resolution_hrs]]&lt;=24,"Normal",IF(Ticket_Table[[#This Row],[resolution_hrs]]&lt;=48,"Slow","Very Slow")))</f>
        <v>Normal</v>
      </c>
      <c r="Q4140" s="3">
        <f>YEAR(Ticket_Table[[#This Row],[raised_date]])</f>
        <v>2021</v>
      </c>
    </row>
    <row r="4141" spans="1:17">
      <c r="A4141" t="s">
        <v>4702</v>
      </c>
      <c r="B4141" t="s">
        <v>1100</v>
      </c>
      <c r="C4141" t="s">
        <v>117</v>
      </c>
      <c r="D4141" t="s">
        <v>90</v>
      </c>
      <c r="E4141" t="s">
        <v>83</v>
      </c>
      <c r="F4141" t="s">
        <v>22</v>
      </c>
      <c r="G4141" t="s">
        <v>23</v>
      </c>
      <c r="H4141" s="1">
        <v>45001</v>
      </c>
      <c r="I4141" s="2">
        <v>45002.4041666667</v>
      </c>
      <c r="J4141">
        <v>33.7</v>
      </c>
      <c r="K4141" t="s">
        <v>24</v>
      </c>
      <c r="L4141">
        <v>0</v>
      </c>
      <c r="M4141">
        <v>3</v>
      </c>
      <c r="N4141" t="s">
        <v>132</v>
      </c>
      <c r="O4141" s="3" t="str">
        <f>TEXT(Ticket_Table[[#This Row],[raised_date]],"YYYY-MM")</f>
        <v>2023-03</v>
      </c>
      <c r="P4141" s="3" t="str">
        <f>IF(Ticket_Table[[#This Row],[resolution_hrs]]&lt;=4,"Fast",IF(Ticket_Table[[#This Row],[resolution_hrs]]&lt;=24,"Normal",IF(Ticket_Table[[#This Row],[resolution_hrs]]&lt;=48,"Slow","Very Slow")))</f>
        <v>Slow</v>
      </c>
      <c r="Q4141" s="3">
        <f>YEAR(Ticket_Table[[#This Row],[raised_date]])</f>
        <v>2023</v>
      </c>
    </row>
    <row r="4142" spans="1:17">
      <c r="A4142" t="s">
        <v>4703</v>
      </c>
      <c r="B4142" t="s">
        <v>552</v>
      </c>
      <c r="C4142" t="s">
        <v>42</v>
      </c>
      <c r="D4142" t="s">
        <v>20</v>
      </c>
      <c r="E4142" t="s">
        <v>44</v>
      </c>
      <c r="F4142" t="s">
        <v>38</v>
      </c>
      <c r="G4142" t="s">
        <v>74</v>
      </c>
      <c r="H4142" s="1">
        <v>45109</v>
      </c>
      <c r="I4142" s="2">
        <v>45110.3625</v>
      </c>
      <c r="J4142">
        <v>32.7</v>
      </c>
      <c r="K4142" t="s">
        <v>32</v>
      </c>
      <c r="L4142">
        <v>0</v>
      </c>
      <c r="M4142">
        <v>4</v>
      </c>
      <c r="N4142" t="s">
        <v>447</v>
      </c>
      <c r="O4142" s="3" t="str">
        <f>TEXT(Ticket_Table[[#This Row],[raised_date]],"YYYY-MM")</f>
        <v>2023-07</v>
      </c>
      <c r="P4142" s="3" t="str">
        <f>IF(Ticket_Table[[#This Row],[resolution_hrs]]&lt;=4,"Fast",IF(Ticket_Table[[#This Row],[resolution_hrs]]&lt;=24,"Normal",IF(Ticket_Table[[#This Row],[resolution_hrs]]&lt;=48,"Slow","Very Slow")))</f>
        <v>Slow</v>
      </c>
      <c r="Q4142" s="3">
        <f>YEAR(Ticket_Table[[#This Row],[raised_date]])</f>
        <v>2023</v>
      </c>
    </row>
    <row r="4143" spans="1:17">
      <c r="A4143" t="s">
        <v>4704</v>
      </c>
      <c r="B4143" t="s">
        <v>314</v>
      </c>
      <c r="C4143" t="s">
        <v>95</v>
      </c>
      <c r="D4143" t="s">
        <v>29</v>
      </c>
      <c r="E4143" t="s">
        <v>69</v>
      </c>
      <c r="F4143" t="s">
        <v>38</v>
      </c>
      <c r="G4143" t="s">
        <v>23</v>
      </c>
      <c r="H4143" s="1">
        <v>45230</v>
      </c>
      <c r="I4143" s="2">
        <v>45230.3916666667</v>
      </c>
      <c r="J4143">
        <v>9.4</v>
      </c>
      <c r="K4143" t="s">
        <v>24</v>
      </c>
      <c r="L4143">
        <v>0</v>
      </c>
      <c r="M4143">
        <v>3</v>
      </c>
      <c r="N4143" t="s">
        <v>552</v>
      </c>
      <c r="O4143" s="3" t="str">
        <f>TEXT(Ticket_Table[[#This Row],[raised_date]],"YYYY-MM")</f>
        <v>2023-10</v>
      </c>
      <c r="P4143" s="3" t="str">
        <f>IF(Ticket_Table[[#This Row],[resolution_hrs]]&lt;=4,"Fast",IF(Ticket_Table[[#This Row],[resolution_hrs]]&lt;=24,"Normal",IF(Ticket_Table[[#This Row],[resolution_hrs]]&lt;=48,"Slow","Very Slow")))</f>
        <v>Normal</v>
      </c>
      <c r="Q4143" s="3">
        <f>YEAR(Ticket_Table[[#This Row],[raised_date]])</f>
        <v>2023</v>
      </c>
    </row>
    <row r="4144" spans="1:17">
      <c r="A4144" t="s">
        <v>4705</v>
      </c>
      <c r="B4144" t="s">
        <v>197</v>
      </c>
      <c r="C4144" t="s">
        <v>102</v>
      </c>
      <c r="D4144" t="s">
        <v>20</v>
      </c>
      <c r="E4144" t="s">
        <v>106</v>
      </c>
      <c r="F4144" t="s">
        <v>70</v>
      </c>
      <c r="G4144" t="s">
        <v>23</v>
      </c>
      <c r="H4144" s="1">
        <v>44381</v>
      </c>
      <c r="I4144" s="2">
        <v>44381.975</v>
      </c>
      <c r="J4144">
        <v>23.4</v>
      </c>
      <c r="K4144" t="s">
        <v>24</v>
      </c>
      <c r="L4144">
        <v>2</v>
      </c>
      <c r="M4144">
        <v>5</v>
      </c>
      <c r="N4144" t="s">
        <v>550</v>
      </c>
      <c r="O4144" s="3" t="str">
        <f>TEXT(Ticket_Table[[#This Row],[raised_date]],"YYYY-MM")</f>
        <v>2021-07</v>
      </c>
      <c r="P4144" s="3" t="str">
        <f>IF(Ticket_Table[[#This Row],[resolution_hrs]]&lt;=4,"Fast",IF(Ticket_Table[[#This Row],[resolution_hrs]]&lt;=24,"Normal",IF(Ticket_Table[[#This Row],[resolution_hrs]]&lt;=48,"Slow","Very Slow")))</f>
        <v>Normal</v>
      </c>
      <c r="Q4144" s="3">
        <f>YEAR(Ticket_Table[[#This Row],[raised_date]])</f>
        <v>2021</v>
      </c>
    </row>
    <row r="4145" spans="1:17">
      <c r="A4145" t="s">
        <v>4706</v>
      </c>
      <c r="B4145" t="s">
        <v>1013</v>
      </c>
      <c r="C4145" t="s">
        <v>60</v>
      </c>
      <c r="D4145" t="s">
        <v>36</v>
      </c>
      <c r="E4145" t="s">
        <v>83</v>
      </c>
      <c r="F4145" t="s">
        <v>70</v>
      </c>
      <c r="G4145" t="s">
        <v>23</v>
      </c>
      <c r="H4145" s="1">
        <v>44651</v>
      </c>
      <c r="I4145" s="2">
        <v>44651.2458333333</v>
      </c>
      <c r="J4145">
        <v>5.9</v>
      </c>
      <c r="K4145" t="s">
        <v>24</v>
      </c>
      <c r="L4145">
        <v>0</v>
      </c>
      <c r="M4145">
        <v>4</v>
      </c>
      <c r="N4145" t="s">
        <v>180</v>
      </c>
      <c r="O4145" s="3" t="str">
        <f>TEXT(Ticket_Table[[#This Row],[raised_date]],"YYYY-MM")</f>
        <v>2022-03</v>
      </c>
      <c r="P4145" s="3" t="str">
        <f>IF(Ticket_Table[[#This Row],[resolution_hrs]]&lt;=4,"Fast",IF(Ticket_Table[[#This Row],[resolution_hrs]]&lt;=24,"Normal",IF(Ticket_Table[[#This Row],[resolution_hrs]]&lt;=48,"Slow","Very Slow")))</f>
        <v>Normal</v>
      </c>
      <c r="Q4145" s="3">
        <f>YEAR(Ticket_Table[[#This Row],[raised_date]])</f>
        <v>2022</v>
      </c>
    </row>
    <row r="4146" spans="1:17">
      <c r="A4146" t="s">
        <v>4707</v>
      </c>
      <c r="B4146" t="s">
        <v>1301</v>
      </c>
      <c r="C4146" t="s">
        <v>50</v>
      </c>
      <c r="D4146" t="s">
        <v>36</v>
      </c>
      <c r="E4146" t="s">
        <v>166</v>
      </c>
      <c r="F4146" t="s">
        <v>45</v>
      </c>
      <c r="G4146" t="s">
        <v>23</v>
      </c>
      <c r="H4146" s="1">
        <v>45081</v>
      </c>
      <c r="I4146" s="2">
        <v>45081.0791666667</v>
      </c>
      <c r="J4146">
        <v>1.9</v>
      </c>
      <c r="K4146" t="s">
        <v>24</v>
      </c>
      <c r="L4146">
        <v>2</v>
      </c>
      <c r="M4146">
        <v>4</v>
      </c>
      <c r="N4146" t="s">
        <v>1013</v>
      </c>
      <c r="O4146" s="3" t="str">
        <f>TEXT(Ticket_Table[[#This Row],[raised_date]],"YYYY-MM")</f>
        <v>2023-06</v>
      </c>
      <c r="P4146" s="3" t="str">
        <f>IF(Ticket_Table[[#This Row],[resolution_hrs]]&lt;=4,"Fast",IF(Ticket_Table[[#This Row],[resolution_hrs]]&lt;=24,"Normal",IF(Ticket_Table[[#This Row],[resolution_hrs]]&lt;=48,"Slow","Very Slow")))</f>
        <v>Fast</v>
      </c>
      <c r="Q4146" s="3">
        <f>YEAR(Ticket_Table[[#This Row],[raised_date]])</f>
        <v>2023</v>
      </c>
    </row>
    <row r="4147" spans="1:17">
      <c r="A4147" t="s">
        <v>4708</v>
      </c>
      <c r="B4147" t="s">
        <v>110</v>
      </c>
      <c r="C4147" t="s">
        <v>50</v>
      </c>
      <c r="D4147" t="s">
        <v>43</v>
      </c>
      <c r="E4147" t="s">
        <v>21</v>
      </c>
      <c r="F4147" t="s">
        <v>70</v>
      </c>
      <c r="G4147" t="s">
        <v>46</v>
      </c>
      <c r="H4147" s="1">
        <v>44790</v>
      </c>
      <c r="I4147" s="2">
        <v>44792.7041666667</v>
      </c>
      <c r="J4147">
        <v>64.9</v>
      </c>
      <c r="K4147" t="s">
        <v>32</v>
      </c>
      <c r="L4147">
        <v>1</v>
      </c>
      <c r="M4147">
        <v>5</v>
      </c>
      <c r="N4147" t="s">
        <v>474</v>
      </c>
      <c r="O4147" s="3" t="str">
        <f>TEXT(Ticket_Table[[#This Row],[raised_date]],"YYYY-MM")</f>
        <v>2022-08</v>
      </c>
      <c r="P4147" s="3" t="str">
        <f>IF(Ticket_Table[[#This Row],[resolution_hrs]]&lt;=4,"Fast",IF(Ticket_Table[[#This Row],[resolution_hrs]]&lt;=24,"Normal",IF(Ticket_Table[[#This Row],[resolution_hrs]]&lt;=48,"Slow","Very Slow")))</f>
        <v>Very Slow</v>
      </c>
      <c r="Q4147" s="3">
        <f>YEAR(Ticket_Table[[#This Row],[raised_date]])</f>
        <v>2022</v>
      </c>
    </row>
    <row r="4148" spans="1:17">
      <c r="A4148" t="s">
        <v>4709</v>
      </c>
      <c r="B4148" t="s">
        <v>485</v>
      </c>
      <c r="C4148" t="s">
        <v>42</v>
      </c>
      <c r="D4148" t="s">
        <v>43</v>
      </c>
      <c r="E4148" t="s">
        <v>44</v>
      </c>
      <c r="F4148" t="s">
        <v>45</v>
      </c>
      <c r="G4148" t="s">
        <v>23</v>
      </c>
      <c r="H4148" s="1">
        <v>45004</v>
      </c>
      <c r="I4148" s="2">
        <v>45004.0708333333</v>
      </c>
      <c r="J4148">
        <v>1.7</v>
      </c>
      <c r="K4148" t="s">
        <v>24</v>
      </c>
      <c r="L4148">
        <v>0</v>
      </c>
      <c r="M4148">
        <v>2</v>
      </c>
      <c r="N4148" t="s">
        <v>607</v>
      </c>
      <c r="O4148" s="3" t="str">
        <f>TEXT(Ticket_Table[[#This Row],[raised_date]],"YYYY-MM")</f>
        <v>2023-03</v>
      </c>
      <c r="P4148" s="3" t="str">
        <f>IF(Ticket_Table[[#This Row],[resolution_hrs]]&lt;=4,"Fast",IF(Ticket_Table[[#This Row],[resolution_hrs]]&lt;=24,"Normal",IF(Ticket_Table[[#This Row],[resolution_hrs]]&lt;=48,"Slow","Very Slow")))</f>
        <v>Fast</v>
      </c>
      <c r="Q4148" s="3">
        <f>YEAR(Ticket_Table[[#This Row],[raised_date]])</f>
        <v>2023</v>
      </c>
    </row>
    <row r="4149" spans="1:17">
      <c r="A4149" t="s">
        <v>4710</v>
      </c>
      <c r="B4149" t="s">
        <v>817</v>
      </c>
      <c r="C4149" t="s">
        <v>201</v>
      </c>
      <c r="D4149" t="s">
        <v>36</v>
      </c>
      <c r="E4149" t="s">
        <v>56</v>
      </c>
      <c r="F4149" t="s">
        <v>22</v>
      </c>
      <c r="G4149" t="s">
        <v>91</v>
      </c>
      <c r="H4149" s="1">
        <v>44500</v>
      </c>
      <c r="I4149" s="2">
        <v>44500.1</v>
      </c>
      <c r="J4149">
        <v>2.4</v>
      </c>
      <c r="K4149" t="s">
        <v>24</v>
      </c>
      <c r="L4149">
        <v>0</v>
      </c>
      <c r="M4149">
        <v>5</v>
      </c>
      <c r="N4149" t="s">
        <v>279</v>
      </c>
      <c r="O4149" s="3" t="str">
        <f>TEXT(Ticket_Table[[#This Row],[raised_date]],"YYYY-MM")</f>
        <v>2021-10</v>
      </c>
      <c r="P4149" s="3" t="str">
        <f>IF(Ticket_Table[[#This Row],[resolution_hrs]]&lt;=4,"Fast",IF(Ticket_Table[[#This Row],[resolution_hrs]]&lt;=24,"Normal",IF(Ticket_Table[[#This Row],[resolution_hrs]]&lt;=48,"Slow","Very Slow")))</f>
        <v>Fast</v>
      </c>
      <c r="Q4149" s="3">
        <f>YEAR(Ticket_Table[[#This Row],[raised_date]])</f>
        <v>2021</v>
      </c>
    </row>
    <row r="4150" spans="1:17">
      <c r="A4150" t="s">
        <v>4711</v>
      </c>
      <c r="B4150" t="s">
        <v>495</v>
      </c>
      <c r="C4150" t="s">
        <v>78</v>
      </c>
      <c r="D4150" t="s">
        <v>36</v>
      </c>
      <c r="E4150" t="s">
        <v>30</v>
      </c>
      <c r="F4150" t="s">
        <v>22</v>
      </c>
      <c r="G4150" t="s">
        <v>23</v>
      </c>
      <c r="H4150" s="1">
        <v>44467</v>
      </c>
      <c r="I4150" s="2">
        <v>44469.1583333333</v>
      </c>
      <c r="J4150">
        <v>51.8</v>
      </c>
      <c r="K4150" t="s">
        <v>24</v>
      </c>
      <c r="L4150">
        <v>0</v>
      </c>
      <c r="M4150">
        <v>1</v>
      </c>
      <c r="N4150" t="s">
        <v>1202</v>
      </c>
      <c r="O4150" s="3" t="str">
        <f>TEXT(Ticket_Table[[#This Row],[raised_date]],"YYYY-MM")</f>
        <v>2021-09</v>
      </c>
      <c r="P4150" s="3" t="str">
        <f>IF(Ticket_Table[[#This Row],[resolution_hrs]]&lt;=4,"Fast",IF(Ticket_Table[[#This Row],[resolution_hrs]]&lt;=24,"Normal",IF(Ticket_Table[[#This Row],[resolution_hrs]]&lt;=48,"Slow","Very Slow")))</f>
        <v>Very Slow</v>
      </c>
      <c r="Q4150" s="3">
        <f>YEAR(Ticket_Table[[#This Row],[raised_date]])</f>
        <v>2021</v>
      </c>
    </row>
    <row r="4151" spans="1:17">
      <c r="A4151" t="s">
        <v>4712</v>
      </c>
      <c r="B4151" t="s">
        <v>804</v>
      </c>
      <c r="C4151" t="s">
        <v>261</v>
      </c>
      <c r="D4151" t="s">
        <v>90</v>
      </c>
      <c r="E4151" t="s">
        <v>83</v>
      </c>
      <c r="F4151" t="s">
        <v>70</v>
      </c>
      <c r="G4151" t="s">
        <v>23</v>
      </c>
      <c r="H4151" s="1">
        <v>44885</v>
      </c>
      <c r="I4151" s="2">
        <v>44886.0291666667</v>
      </c>
      <c r="J4151">
        <v>24.7</v>
      </c>
      <c r="K4151" t="s">
        <v>24</v>
      </c>
      <c r="L4151">
        <v>0</v>
      </c>
      <c r="M4151">
        <v>4</v>
      </c>
      <c r="N4151" t="s">
        <v>145</v>
      </c>
      <c r="O4151" s="3" t="str">
        <f>TEXT(Ticket_Table[[#This Row],[raised_date]],"YYYY-MM")</f>
        <v>2022-11</v>
      </c>
      <c r="P4151" s="3" t="str">
        <f>IF(Ticket_Table[[#This Row],[resolution_hrs]]&lt;=4,"Fast",IF(Ticket_Table[[#This Row],[resolution_hrs]]&lt;=24,"Normal",IF(Ticket_Table[[#This Row],[resolution_hrs]]&lt;=48,"Slow","Very Slow")))</f>
        <v>Slow</v>
      </c>
      <c r="Q4151" s="3">
        <f>YEAR(Ticket_Table[[#This Row],[raised_date]])</f>
        <v>2022</v>
      </c>
    </row>
    <row r="4152" spans="1:17">
      <c r="A4152" t="s">
        <v>4713</v>
      </c>
      <c r="B4152" t="s">
        <v>1243</v>
      </c>
      <c r="C4152" t="s">
        <v>261</v>
      </c>
      <c r="D4152" t="s">
        <v>36</v>
      </c>
      <c r="E4152" t="s">
        <v>69</v>
      </c>
      <c r="F4152" t="s">
        <v>70</v>
      </c>
      <c r="G4152" t="s">
        <v>23</v>
      </c>
      <c r="H4152" s="1">
        <v>44366</v>
      </c>
      <c r="I4152" s="2">
        <v>44366.5666666667</v>
      </c>
      <c r="J4152">
        <v>13.6</v>
      </c>
      <c r="K4152" t="s">
        <v>24</v>
      </c>
      <c r="L4152">
        <v>0</v>
      </c>
      <c r="M4152">
        <v>4</v>
      </c>
      <c r="N4152" t="s">
        <v>822</v>
      </c>
      <c r="O4152" s="3" t="str">
        <f>TEXT(Ticket_Table[[#This Row],[raised_date]],"YYYY-MM")</f>
        <v>2021-06</v>
      </c>
      <c r="P4152" s="3" t="str">
        <f>IF(Ticket_Table[[#This Row],[resolution_hrs]]&lt;=4,"Fast",IF(Ticket_Table[[#This Row],[resolution_hrs]]&lt;=24,"Normal",IF(Ticket_Table[[#This Row],[resolution_hrs]]&lt;=48,"Slow","Very Slow")))</f>
        <v>Normal</v>
      </c>
      <c r="Q4152" s="3">
        <f>YEAR(Ticket_Table[[#This Row],[raised_date]])</f>
        <v>2021</v>
      </c>
    </row>
    <row r="4153" spans="1:17">
      <c r="A4153" t="s">
        <v>4714</v>
      </c>
      <c r="B4153" t="s">
        <v>382</v>
      </c>
      <c r="C4153" t="s">
        <v>175</v>
      </c>
      <c r="D4153" t="s">
        <v>43</v>
      </c>
      <c r="E4153" t="s">
        <v>44</v>
      </c>
      <c r="F4153" t="s">
        <v>38</v>
      </c>
      <c r="G4153" t="s">
        <v>23</v>
      </c>
      <c r="H4153" s="1">
        <v>45171</v>
      </c>
      <c r="I4153" s="2">
        <v>45171.425</v>
      </c>
      <c r="J4153">
        <v>10.2</v>
      </c>
      <c r="K4153" t="s">
        <v>24</v>
      </c>
      <c r="L4153">
        <v>0</v>
      </c>
      <c r="M4153">
        <v>4</v>
      </c>
      <c r="N4153" t="s">
        <v>198</v>
      </c>
      <c r="O4153" s="3" t="str">
        <f>TEXT(Ticket_Table[[#This Row],[raised_date]],"YYYY-MM")</f>
        <v>2023-09</v>
      </c>
      <c r="P4153" s="3" t="str">
        <f>IF(Ticket_Table[[#This Row],[resolution_hrs]]&lt;=4,"Fast",IF(Ticket_Table[[#This Row],[resolution_hrs]]&lt;=24,"Normal",IF(Ticket_Table[[#This Row],[resolution_hrs]]&lt;=48,"Slow","Very Slow")))</f>
        <v>Normal</v>
      </c>
      <c r="Q4153" s="3">
        <f>YEAR(Ticket_Table[[#This Row],[raised_date]])</f>
        <v>2023</v>
      </c>
    </row>
    <row r="4154" spans="1:17">
      <c r="A4154" t="s">
        <v>4715</v>
      </c>
      <c r="B4154" t="s">
        <v>1191</v>
      </c>
      <c r="C4154" t="s">
        <v>261</v>
      </c>
      <c r="D4154" t="s">
        <v>36</v>
      </c>
      <c r="E4154" t="s">
        <v>21</v>
      </c>
      <c r="F4154" t="s">
        <v>45</v>
      </c>
      <c r="G4154" t="s">
        <v>31</v>
      </c>
      <c r="H4154" s="1">
        <v>44297</v>
      </c>
      <c r="I4154" s="2">
        <v>44297.0583333333</v>
      </c>
      <c r="J4154">
        <v>1.4</v>
      </c>
      <c r="K4154" t="s">
        <v>24</v>
      </c>
      <c r="L4154">
        <v>0</v>
      </c>
      <c r="M4154">
        <v>4</v>
      </c>
      <c r="N4154" t="s">
        <v>2654</v>
      </c>
      <c r="O4154" s="3" t="str">
        <f>TEXT(Ticket_Table[[#This Row],[raised_date]],"YYYY-MM")</f>
        <v>2021-04</v>
      </c>
      <c r="P4154" s="3" t="str">
        <f>IF(Ticket_Table[[#This Row],[resolution_hrs]]&lt;=4,"Fast",IF(Ticket_Table[[#This Row],[resolution_hrs]]&lt;=24,"Normal",IF(Ticket_Table[[#This Row],[resolution_hrs]]&lt;=48,"Slow","Very Slow")))</f>
        <v>Fast</v>
      </c>
      <c r="Q4154" s="3">
        <f>YEAR(Ticket_Table[[#This Row],[raised_date]])</f>
        <v>2021</v>
      </c>
    </row>
    <row r="4155" spans="1:17">
      <c r="A4155" t="s">
        <v>4716</v>
      </c>
      <c r="B4155" t="s">
        <v>191</v>
      </c>
      <c r="C4155" t="s">
        <v>102</v>
      </c>
      <c r="D4155" t="s">
        <v>43</v>
      </c>
      <c r="E4155" t="s">
        <v>106</v>
      </c>
      <c r="F4155" t="s">
        <v>70</v>
      </c>
      <c r="G4155" t="s">
        <v>23</v>
      </c>
      <c r="H4155" s="1">
        <v>45014</v>
      </c>
      <c r="I4155" s="2">
        <v>45016.05</v>
      </c>
      <c r="J4155">
        <v>49.2</v>
      </c>
      <c r="K4155" t="s">
        <v>32</v>
      </c>
      <c r="L4155">
        <v>0</v>
      </c>
      <c r="M4155">
        <v>5</v>
      </c>
      <c r="N4155" t="s">
        <v>176</v>
      </c>
      <c r="O4155" s="3" t="str">
        <f>TEXT(Ticket_Table[[#This Row],[raised_date]],"YYYY-MM")</f>
        <v>2023-03</v>
      </c>
      <c r="P4155" s="3" t="str">
        <f>IF(Ticket_Table[[#This Row],[resolution_hrs]]&lt;=4,"Fast",IF(Ticket_Table[[#This Row],[resolution_hrs]]&lt;=24,"Normal",IF(Ticket_Table[[#This Row],[resolution_hrs]]&lt;=48,"Slow","Very Slow")))</f>
        <v>Very Slow</v>
      </c>
      <c r="Q4155" s="3">
        <f>YEAR(Ticket_Table[[#This Row],[raised_date]])</f>
        <v>2023</v>
      </c>
    </row>
    <row r="4156" spans="1:17">
      <c r="A4156" t="s">
        <v>4717</v>
      </c>
      <c r="B4156" t="s">
        <v>1013</v>
      </c>
      <c r="C4156" t="s">
        <v>19</v>
      </c>
      <c r="D4156" t="s">
        <v>29</v>
      </c>
      <c r="E4156" t="s">
        <v>166</v>
      </c>
      <c r="F4156" t="s">
        <v>22</v>
      </c>
      <c r="G4156" t="s">
        <v>31</v>
      </c>
      <c r="H4156" s="1">
        <v>44734</v>
      </c>
      <c r="I4156" s="2">
        <v>44737.8458333333</v>
      </c>
      <c r="J4156">
        <v>92.3</v>
      </c>
      <c r="K4156" t="s">
        <v>32</v>
      </c>
      <c r="L4156">
        <v>0</v>
      </c>
      <c r="M4156">
        <v>3</v>
      </c>
      <c r="N4156" t="s">
        <v>1195</v>
      </c>
      <c r="O4156" s="3" t="str">
        <f>TEXT(Ticket_Table[[#This Row],[raised_date]],"YYYY-MM")</f>
        <v>2022-06</v>
      </c>
      <c r="P4156" s="3" t="str">
        <f>IF(Ticket_Table[[#This Row],[resolution_hrs]]&lt;=4,"Fast",IF(Ticket_Table[[#This Row],[resolution_hrs]]&lt;=24,"Normal",IF(Ticket_Table[[#This Row],[resolution_hrs]]&lt;=48,"Slow","Very Slow")))</f>
        <v>Very Slow</v>
      </c>
      <c r="Q4156" s="3">
        <f>YEAR(Ticket_Table[[#This Row],[raised_date]])</f>
        <v>2022</v>
      </c>
    </row>
    <row r="4157" spans="1:17">
      <c r="A4157" t="s">
        <v>4718</v>
      </c>
      <c r="B4157" t="s">
        <v>197</v>
      </c>
      <c r="C4157" t="s">
        <v>261</v>
      </c>
      <c r="D4157" t="s">
        <v>36</v>
      </c>
      <c r="E4157" t="s">
        <v>56</v>
      </c>
      <c r="F4157" t="s">
        <v>38</v>
      </c>
      <c r="G4157" t="s">
        <v>46</v>
      </c>
      <c r="H4157" s="1">
        <v>44371</v>
      </c>
      <c r="I4157" s="2">
        <v>44371.9083333333</v>
      </c>
      <c r="J4157">
        <v>21.8</v>
      </c>
      <c r="K4157" t="s">
        <v>24</v>
      </c>
      <c r="L4157">
        <v>0</v>
      </c>
      <c r="M4157">
        <v>3</v>
      </c>
      <c r="N4157" t="s">
        <v>143</v>
      </c>
      <c r="O4157" s="3" t="str">
        <f>TEXT(Ticket_Table[[#This Row],[raised_date]],"YYYY-MM")</f>
        <v>2021-06</v>
      </c>
      <c r="P4157" s="3" t="str">
        <f>IF(Ticket_Table[[#This Row],[resolution_hrs]]&lt;=4,"Fast",IF(Ticket_Table[[#This Row],[resolution_hrs]]&lt;=24,"Normal",IF(Ticket_Table[[#This Row],[resolution_hrs]]&lt;=48,"Slow","Very Slow")))</f>
        <v>Normal</v>
      </c>
      <c r="Q4157" s="3">
        <f>YEAR(Ticket_Table[[#This Row],[raised_date]])</f>
        <v>2021</v>
      </c>
    </row>
    <row r="4158" spans="1:17">
      <c r="A4158" t="s">
        <v>4719</v>
      </c>
      <c r="B4158" t="s">
        <v>822</v>
      </c>
      <c r="C4158" t="s">
        <v>42</v>
      </c>
      <c r="D4158" t="s">
        <v>43</v>
      </c>
      <c r="E4158" t="s">
        <v>21</v>
      </c>
      <c r="F4158" t="s">
        <v>70</v>
      </c>
      <c r="G4158" t="s">
        <v>31</v>
      </c>
      <c r="H4158" s="1">
        <v>45013</v>
      </c>
      <c r="I4158" s="2">
        <v>45015.9083333333</v>
      </c>
      <c r="J4158">
        <v>69.8</v>
      </c>
      <c r="K4158" t="s">
        <v>32</v>
      </c>
      <c r="L4158">
        <v>1</v>
      </c>
      <c r="M4158">
        <v>3</v>
      </c>
      <c r="N4158" t="s">
        <v>614</v>
      </c>
      <c r="O4158" s="3" t="str">
        <f>TEXT(Ticket_Table[[#This Row],[raised_date]],"YYYY-MM")</f>
        <v>2023-03</v>
      </c>
      <c r="P4158" s="3" t="str">
        <f>IF(Ticket_Table[[#This Row],[resolution_hrs]]&lt;=4,"Fast",IF(Ticket_Table[[#This Row],[resolution_hrs]]&lt;=24,"Normal",IF(Ticket_Table[[#This Row],[resolution_hrs]]&lt;=48,"Slow","Very Slow")))</f>
        <v>Very Slow</v>
      </c>
      <c r="Q4158" s="3">
        <f>YEAR(Ticket_Table[[#This Row],[raised_date]])</f>
        <v>2023</v>
      </c>
    </row>
    <row r="4159" spans="1:17">
      <c r="A4159" t="s">
        <v>4720</v>
      </c>
      <c r="B4159" t="s">
        <v>395</v>
      </c>
      <c r="C4159" t="s">
        <v>95</v>
      </c>
      <c r="D4159" t="s">
        <v>20</v>
      </c>
      <c r="E4159" t="s">
        <v>166</v>
      </c>
      <c r="F4159" t="s">
        <v>22</v>
      </c>
      <c r="G4159" t="s">
        <v>46</v>
      </c>
      <c r="H4159" s="1">
        <v>45224</v>
      </c>
      <c r="I4159" s="2">
        <v>45226.6416666667</v>
      </c>
      <c r="J4159">
        <v>63.4</v>
      </c>
      <c r="K4159" t="s">
        <v>24</v>
      </c>
      <c r="L4159">
        <v>0</v>
      </c>
      <c r="M4159">
        <v>4</v>
      </c>
      <c r="N4159" t="s">
        <v>112</v>
      </c>
      <c r="O4159" s="3" t="str">
        <f>TEXT(Ticket_Table[[#This Row],[raised_date]],"YYYY-MM")</f>
        <v>2023-10</v>
      </c>
      <c r="P4159" s="3" t="str">
        <f>IF(Ticket_Table[[#This Row],[resolution_hrs]]&lt;=4,"Fast",IF(Ticket_Table[[#This Row],[resolution_hrs]]&lt;=24,"Normal",IF(Ticket_Table[[#This Row],[resolution_hrs]]&lt;=48,"Slow","Very Slow")))</f>
        <v>Very Slow</v>
      </c>
      <c r="Q4159" s="3">
        <f>YEAR(Ticket_Table[[#This Row],[raised_date]])</f>
        <v>2023</v>
      </c>
    </row>
    <row r="4160" spans="1:17">
      <c r="A4160" t="s">
        <v>4721</v>
      </c>
      <c r="B4160" t="s">
        <v>735</v>
      </c>
      <c r="C4160" t="s">
        <v>68</v>
      </c>
      <c r="D4160" t="s">
        <v>90</v>
      </c>
      <c r="E4160" t="s">
        <v>30</v>
      </c>
      <c r="F4160" t="s">
        <v>70</v>
      </c>
      <c r="G4160" t="s">
        <v>74</v>
      </c>
      <c r="H4160" s="1">
        <v>45086</v>
      </c>
      <c r="I4160" s="2">
        <v>45087.4875</v>
      </c>
      <c r="J4160">
        <v>35.7</v>
      </c>
      <c r="K4160" t="s">
        <v>24</v>
      </c>
      <c r="L4160">
        <v>0</v>
      </c>
      <c r="M4160">
        <v>4</v>
      </c>
      <c r="N4160" t="s">
        <v>1123</v>
      </c>
      <c r="O4160" s="3" t="str">
        <f>TEXT(Ticket_Table[[#This Row],[raised_date]],"YYYY-MM")</f>
        <v>2023-06</v>
      </c>
      <c r="P4160" s="3" t="str">
        <f>IF(Ticket_Table[[#This Row],[resolution_hrs]]&lt;=4,"Fast",IF(Ticket_Table[[#This Row],[resolution_hrs]]&lt;=24,"Normal",IF(Ticket_Table[[#This Row],[resolution_hrs]]&lt;=48,"Slow","Very Slow")))</f>
        <v>Slow</v>
      </c>
      <c r="Q4160" s="3">
        <f>YEAR(Ticket_Table[[#This Row],[raised_date]])</f>
        <v>2023</v>
      </c>
    </row>
    <row r="4161" spans="1:17">
      <c r="A4161" t="s">
        <v>4722</v>
      </c>
      <c r="B4161" t="s">
        <v>658</v>
      </c>
      <c r="C4161" t="s">
        <v>60</v>
      </c>
      <c r="D4161" t="s">
        <v>43</v>
      </c>
      <c r="E4161" t="s">
        <v>44</v>
      </c>
      <c r="F4161" t="s">
        <v>38</v>
      </c>
      <c r="G4161" t="s">
        <v>46</v>
      </c>
      <c r="H4161" s="1">
        <v>44464</v>
      </c>
      <c r="I4161" s="2">
        <v>44464.4041666667</v>
      </c>
      <c r="J4161">
        <v>9.7</v>
      </c>
      <c r="K4161" t="s">
        <v>24</v>
      </c>
      <c r="L4161">
        <v>1</v>
      </c>
      <c r="M4161">
        <v>4</v>
      </c>
      <c r="N4161" t="s">
        <v>662</v>
      </c>
      <c r="O4161" s="3" t="str">
        <f>TEXT(Ticket_Table[[#This Row],[raised_date]],"YYYY-MM")</f>
        <v>2021-09</v>
      </c>
      <c r="P4161" s="3" t="str">
        <f>IF(Ticket_Table[[#This Row],[resolution_hrs]]&lt;=4,"Fast",IF(Ticket_Table[[#This Row],[resolution_hrs]]&lt;=24,"Normal",IF(Ticket_Table[[#This Row],[resolution_hrs]]&lt;=48,"Slow","Very Slow")))</f>
        <v>Normal</v>
      </c>
      <c r="Q4161" s="3">
        <f>YEAR(Ticket_Table[[#This Row],[raised_date]])</f>
        <v>2021</v>
      </c>
    </row>
    <row r="4162" spans="1:17">
      <c r="A4162" t="s">
        <v>4723</v>
      </c>
      <c r="B4162" t="s">
        <v>955</v>
      </c>
      <c r="C4162" t="s">
        <v>19</v>
      </c>
      <c r="D4162" t="s">
        <v>36</v>
      </c>
      <c r="E4162" t="s">
        <v>37</v>
      </c>
      <c r="F4162" t="s">
        <v>38</v>
      </c>
      <c r="G4162" t="s">
        <v>46</v>
      </c>
      <c r="H4162" s="1">
        <v>44473</v>
      </c>
      <c r="I4162" s="2">
        <v>44473.2</v>
      </c>
      <c r="J4162">
        <v>4.8</v>
      </c>
      <c r="K4162" t="s">
        <v>24</v>
      </c>
      <c r="L4162">
        <v>1</v>
      </c>
      <c r="M4162">
        <v>5</v>
      </c>
      <c r="N4162" t="s">
        <v>579</v>
      </c>
      <c r="O4162" s="3" t="str">
        <f>TEXT(Ticket_Table[[#This Row],[raised_date]],"YYYY-MM")</f>
        <v>2021-10</v>
      </c>
      <c r="P4162" s="3" t="str">
        <f>IF(Ticket_Table[[#This Row],[resolution_hrs]]&lt;=4,"Fast",IF(Ticket_Table[[#This Row],[resolution_hrs]]&lt;=24,"Normal",IF(Ticket_Table[[#This Row],[resolution_hrs]]&lt;=48,"Slow","Very Slow")))</f>
        <v>Normal</v>
      </c>
      <c r="Q4162" s="3">
        <f>YEAR(Ticket_Table[[#This Row],[raised_date]])</f>
        <v>2021</v>
      </c>
    </row>
    <row r="4163" spans="1:17">
      <c r="A4163" t="s">
        <v>4724</v>
      </c>
      <c r="B4163" t="s">
        <v>716</v>
      </c>
      <c r="C4163" t="s">
        <v>261</v>
      </c>
      <c r="D4163" t="s">
        <v>36</v>
      </c>
      <c r="E4163" t="s">
        <v>51</v>
      </c>
      <c r="F4163" t="s">
        <v>70</v>
      </c>
      <c r="G4163" t="s">
        <v>23</v>
      </c>
      <c r="H4163" s="1">
        <v>45181</v>
      </c>
      <c r="I4163" s="2">
        <v>45183.4625</v>
      </c>
      <c r="J4163">
        <v>59.1</v>
      </c>
      <c r="K4163" t="s">
        <v>32</v>
      </c>
      <c r="L4163">
        <v>2</v>
      </c>
      <c r="M4163">
        <v>5</v>
      </c>
      <c r="N4163" t="s">
        <v>347</v>
      </c>
      <c r="O4163" s="3" t="str">
        <f>TEXT(Ticket_Table[[#This Row],[raised_date]],"YYYY-MM")</f>
        <v>2023-09</v>
      </c>
      <c r="P4163" s="3" t="str">
        <f>IF(Ticket_Table[[#This Row],[resolution_hrs]]&lt;=4,"Fast",IF(Ticket_Table[[#This Row],[resolution_hrs]]&lt;=24,"Normal",IF(Ticket_Table[[#This Row],[resolution_hrs]]&lt;=48,"Slow","Very Slow")))</f>
        <v>Very Slow</v>
      </c>
      <c r="Q4163" s="3">
        <f>YEAR(Ticket_Table[[#This Row],[raised_date]])</f>
        <v>2023</v>
      </c>
    </row>
    <row r="4164" spans="1:17">
      <c r="A4164" t="s">
        <v>4725</v>
      </c>
      <c r="B4164" t="s">
        <v>290</v>
      </c>
      <c r="C4164" t="s">
        <v>133</v>
      </c>
      <c r="D4164" t="s">
        <v>29</v>
      </c>
      <c r="E4164" t="s">
        <v>44</v>
      </c>
      <c r="F4164" t="s">
        <v>70</v>
      </c>
      <c r="G4164" t="s">
        <v>23</v>
      </c>
      <c r="H4164" s="1">
        <v>44602</v>
      </c>
      <c r="I4164" s="2">
        <v>44603.7208333333</v>
      </c>
      <c r="J4164">
        <v>41.3</v>
      </c>
      <c r="K4164" t="s">
        <v>24</v>
      </c>
      <c r="L4164">
        <v>0</v>
      </c>
      <c r="M4164">
        <v>3</v>
      </c>
      <c r="N4164" t="s">
        <v>525</v>
      </c>
      <c r="O4164" s="3" t="str">
        <f>TEXT(Ticket_Table[[#This Row],[raised_date]],"YYYY-MM")</f>
        <v>2022-02</v>
      </c>
      <c r="P4164" s="3" t="str">
        <f>IF(Ticket_Table[[#This Row],[resolution_hrs]]&lt;=4,"Fast",IF(Ticket_Table[[#This Row],[resolution_hrs]]&lt;=24,"Normal",IF(Ticket_Table[[#This Row],[resolution_hrs]]&lt;=48,"Slow","Very Slow")))</f>
        <v>Slow</v>
      </c>
      <c r="Q4164" s="3">
        <f>YEAR(Ticket_Table[[#This Row],[raised_date]])</f>
        <v>2022</v>
      </c>
    </row>
    <row r="4165" spans="1:17">
      <c r="A4165" t="s">
        <v>4726</v>
      </c>
      <c r="B4165" t="s">
        <v>489</v>
      </c>
      <c r="C4165" t="s">
        <v>175</v>
      </c>
      <c r="D4165" t="s">
        <v>20</v>
      </c>
      <c r="E4165" t="s">
        <v>56</v>
      </c>
      <c r="F4165" t="s">
        <v>45</v>
      </c>
      <c r="G4165" t="s">
        <v>31</v>
      </c>
      <c r="H4165" s="1">
        <v>45196</v>
      </c>
      <c r="I4165" s="2">
        <v>45196.25</v>
      </c>
      <c r="J4165">
        <v>6</v>
      </c>
      <c r="K4165" t="s">
        <v>32</v>
      </c>
      <c r="L4165">
        <v>0</v>
      </c>
      <c r="M4165">
        <v>4</v>
      </c>
      <c r="N4165" t="s">
        <v>640</v>
      </c>
      <c r="O4165" s="3" t="str">
        <f>TEXT(Ticket_Table[[#This Row],[raised_date]],"YYYY-MM")</f>
        <v>2023-09</v>
      </c>
      <c r="P4165" s="3" t="str">
        <f>IF(Ticket_Table[[#This Row],[resolution_hrs]]&lt;=4,"Fast",IF(Ticket_Table[[#This Row],[resolution_hrs]]&lt;=24,"Normal",IF(Ticket_Table[[#This Row],[resolution_hrs]]&lt;=48,"Slow","Very Slow")))</f>
        <v>Normal</v>
      </c>
      <c r="Q4165" s="3">
        <f>YEAR(Ticket_Table[[#This Row],[raised_date]])</f>
        <v>2023</v>
      </c>
    </row>
    <row r="4166" spans="1:17">
      <c r="A4166" t="s">
        <v>4727</v>
      </c>
      <c r="B4166" t="s">
        <v>397</v>
      </c>
      <c r="C4166" t="s">
        <v>64</v>
      </c>
      <c r="D4166" t="s">
        <v>43</v>
      </c>
      <c r="E4166" t="s">
        <v>37</v>
      </c>
      <c r="F4166" t="s">
        <v>38</v>
      </c>
      <c r="G4166" t="s">
        <v>74</v>
      </c>
      <c r="H4166" s="1">
        <v>45006</v>
      </c>
      <c r="I4166" s="2">
        <v>45007.2583333333</v>
      </c>
      <c r="J4166">
        <v>30.2</v>
      </c>
      <c r="K4166" t="s">
        <v>32</v>
      </c>
      <c r="L4166">
        <v>0</v>
      </c>
      <c r="M4166">
        <v>2</v>
      </c>
      <c r="N4166" t="s">
        <v>640</v>
      </c>
      <c r="O4166" s="3" t="str">
        <f>TEXT(Ticket_Table[[#This Row],[raised_date]],"YYYY-MM")</f>
        <v>2023-03</v>
      </c>
      <c r="P4166" s="3" t="str">
        <f>IF(Ticket_Table[[#This Row],[resolution_hrs]]&lt;=4,"Fast",IF(Ticket_Table[[#This Row],[resolution_hrs]]&lt;=24,"Normal",IF(Ticket_Table[[#This Row],[resolution_hrs]]&lt;=48,"Slow","Very Slow")))</f>
        <v>Slow</v>
      </c>
      <c r="Q4166" s="3">
        <f>YEAR(Ticket_Table[[#This Row],[raised_date]])</f>
        <v>2023</v>
      </c>
    </row>
    <row r="4167" spans="1:17">
      <c r="A4167" t="s">
        <v>4728</v>
      </c>
      <c r="B4167" t="s">
        <v>523</v>
      </c>
      <c r="C4167" t="s">
        <v>19</v>
      </c>
      <c r="D4167" t="s">
        <v>20</v>
      </c>
      <c r="E4167" t="s">
        <v>37</v>
      </c>
      <c r="F4167" t="s">
        <v>70</v>
      </c>
      <c r="G4167" t="s">
        <v>23</v>
      </c>
      <c r="H4167" s="1">
        <v>44598</v>
      </c>
      <c r="I4167" s="2">
        <v>44599.5958333333</v>
      </c>
      <c r="J4167">
        <v>38.3</v>
      </c>
      <c r="K4167" t="s">
        <v>24</v>
      </c>
      <c r="L4167">
        <v>0</v>
      </c>
      <c r="M4167">
        <v>5</v>
      </c>
      <c r="N4167" t="s">
        <v>138</v>
      </c>
      <c r="O4167" s="3" t="str">
        <f>TEXT(Ticket_Table[[#This Row],[raised_date]],"YYYY-MM")</f>
        <v>2022-02</v>
      </c>
      <c r="P4167" s="3" t="str">
        <f>IF(Ticket_Table[[#This Row],[resolution_hrs]]&lt;=4,"Fast",IF(Ticket_Table[[#This Row],[resolution_hrs]]&lt;=24,"Normal",IF(Ticket_Table[[#This Row],[resolution_hrs]]&lt;=48,"Slow","Very Slow")))</f>
        <v>Slow</v>
      </c>
      <c r="Q4167" s="3">
        <f>YEAR(Ticket_Table[[#This Row],[raised_date]])</f>
        <v>2022</v>
      </c>
    </row>
    <row r="4168" spans="1:17">
      <c r="A4168" t="s">
        <v>4729</v>
      </c>
      <c r="B4168" t="s">
        <v>120</v>
      </c>
      <c r="C4168" t="s">
        <v>201</v>
      </c>
      <c r="D4168" t="s">
        <v>29</v>
      </c>
      <c r="E4168" t="s">
        <v>30</v>
      </c>
      <c r="F4168" t="s">
        <v>22</v>
      </c>
      <c r="G4168" t="s">
        <v>23</v>
      </c>
      <c r="H4168" s="1">
        <v>45270</v>
      </c>
      <c r="I4168" s="2">
        <v>45270.7875</v>
      </c>
      <c r="J4168">
        <v>18.9</v>
      </c>
      <c r="K4168" t="s">
        <v>24</v>
      </c>
      <c r="L4168">
        <v>0</v>
      </c>
      <c r="M4168">
        <v>5</v>
      </c>
      <c r="N4168" t="s">
        <v>792</v>
      </c>
      <c r="O4168" s="3" t="str">
        <f>TEXT(Ticket_Table[[#This Row],[raised_date]],"YYYY-MM")</f>
        <v>2023-12</v>
      </c>
      <c r="P4168" s="3" t="str">
        <f>IF(Ticket_Table[[#This Row],[resolution_hrs]]&lt;=4,"Fast",IF(Ticket_Table[[#This Row],[resolution_hrs]]&lt;=24,"Normal",IF(Ticket_Table[[#This Row],[resolution_hrs]]&lt;=48,"Slow","Very Slow")))</f>
        <v>Normal</v>
      </c>
      <c r="Q4168" s="3">
        <f>YEAR(Ticket_Table[[#This Row],[raised_date]])</f>
        <v>2023</v>
      </c>
    </row>
    <row r="4169" spans="1:17">
      <c r="A4169" t="s">
        <v>4730</v>
      </c>
      <c r="B4169" t="s">
        <v>94</v>
      </c>
      <c r="C4169" t="s">
        <v>68</v>
      </c>
      <c r="D4169" t="s">
        <v>90</v>
      </c>
      <c r="E4169" t="s">
        <v>51</v>
      </c>
      <c r="F4169" t="s">
        <v>38</v>
      </c>
      <c r="G4169" t="s">
        <v>23</v>
      </c>
      <c r="H4169" s="1">
        <v>44701</v>
      </c>
      <c r="I4169" s="2">
        <v>44701.2541666667</v>
      </c>
      <c r="J4169">
        <v>6.1</v>
      </c>
      <c r="K4169" t="s">
        <v>24</v>
      </c>
      <c r="L4169">
        <v>0</v>
      </c>
      <c r="M4169">
        <v>5</v>
      </c>
      <c r="N4169" t="s">
        <v>542</v>
      </c>
      <c r="O4169" s="3" t="str">
        <f>TEXT(Ticket_Table[[#This Row],[raised_date]],"YYYY-MM")</f>
        <v>2022-05</v>
      </c>
      <c r="P4169" s="3" t="str">
        <f>IF(Ticket_Table[[#This Row],[resolution_hrs]]&lt;=4,"Fast",IF(Ticket_Table[[#This Row],[resolution_hrs]]&lt;=24,"Normal",IF(Ticket_Table[[#This Row],[resolution_hrs]]&lt;=48,"Slow","Very Slow")))</f>
        <v>Normal</v>
      </c>
      <c r="Q4169" s="3">
        <f>YEAR(Ticket_Table[[#This Row],[raised_date]])</f>
        <v>2022</v>
      </c>
    </row>
    <row r="4170" spans="1:17">
      <c r="A4170" t="s">
        <v>4731</v>
      </c>
      <c r="B4170" t="s">
        <v>401</v>
      </c>
      <c r="C4170" t="s">
        <v>117</v>
      </c>
      <c r="D4170" t="s">
        <v>20</v>
      </c>
      <c r="E4170" t="s">
        <v>37</v>
      </c>
      <c r="F4170" t="s">
        <v>22</v>
      </c>
      <c r="G4170" t="s">
        <v>74</v>
      </c>
      <c r="H4170" s="1">
        <v>44693</v>
      </c>
      <c r="I4170" s="2">
        <v>44693.4583333333</v>
      </c>
      <c r="J4170">
        <v>11</v>
      </c>
      <c r="K4170" t="s">
        <v>24</v>
      </c>
      <c r="L4170">
        <v>0</v>
      </c>
      <c r="M4170">
        <v>4</v>
      </c>
      <c r="N4170" t="s">
        <v>605</v>
      </c>
      <c r="O4170" s="3" t="str">
        <f>TEXT(Ticket_Table[[#This Row],[raised_date]],"YYYY-MM")</f>
        <v>2022-05</v>
      </c>
      <c r="P4170" s="3" t="str">
        <f>IF(Ticket_Table[[#This Row],[resolution_hrs]]&lt;=4,"Fast",IF(Ticket_Table[[#This Row],[resolution_hrs]]&lt;=24,"Normal",IF(Ticket_Table[[#This Row],[resolution_hrs]]&lt;=48,"Slow","Very Slow")))</f>
        <v>Normal</v>
      </c>
      <c r="Q4170" s="3">
        <f>YEAR(Ticket_Table[[#This Row],[raised_date]])</f>
        <v>2022</v>
      </c>
    </row>
    <row r="4171" spans="1:17">
      <c r="A4171" t="s">
        <v>4732</v>
      </c>
      <c r="B4171" t="s">
        <v>158</v>
      </c>
      <c r="C4171" t="s">
        <v>64</v>
      </c>
      <c r="D4171" t="s">
        <v>29</v>
      </c>
      <c r="E4171" t="s">
        <v>83</v>
      </c>
      <c r="F4171" t="s">
        <v>22</v>
      </c>
      <c r="G4171" t="s">
        <v>74</v>
      </c>
      <c r="H4171" s="1">
        <v>44343</v>
      </c>
      <c r="I4171" s="2">
        <v>44344.4</v>
      </c>
      <c r="J4171">
        <v>33.6</v>
      </c>
      <c r="K4171" t="s">
        <v>24</v>
      </c>
      <c r="L4171">
        <v>0</v>
      </c>
      <c r="M4171">
        <v>4</v>
      </c>
      <c r="N4171" t="s">
        <v>1093</v>
      </c>
      <c r="O4171" s="3" t="str">
        <f>TEXT(Ticket_Table[[#This Row],[raised_date]],"YYYY-MM")</f>
        <v>2021-05</v>
      </c>
      <c r="P4171" s="3" t="str">
        <f>IF(Ticket_Table[[#This Row],[resolution_hrs]]&lt;=4,"Fast",IF(Ticket_Table[[#This Row],[resolution_hrs]]&lt;=24,"Normal",IF(Ticket_Table[[#This Row],[resolution_hrs]]&lt;=48,"Slow","Very Slow")))</f>
        <v>Slow</v>
      </c>
      <c r="Q4171" s="3">
        <f>YEAR(Ticket_Table[[#This Row],[raised_date]])</f>
        <v>2021</v>
      </c>
    </row>
    <row r="4172" spans="1:17">
      <c r="A4172" t="s">
        <v>4733</v>
      </c>
      <c r="B4172" t="s">
        <v>87</v>
      </c>
      <c r="C4172" t="s">
        <v>60</v>
      </c>
      <c r="D4172" t="s">
        <v>43</v>
      </c>
      <c r="E4172" t="s">
        <v>21</v>
      </c>
      <c r="F4172" t="s">
        <v>70</v>
      </c>
      <c r="G4172" t="s">
        <v>23</v>
      </c>
      <c r="H4172" s="1">
        <v>44742</v>
      </c>
      <c r="I4172" s="2">
        <v>44744.2208333333</v>
      </c>
      <c r="J4172">
        <v>53.3</v>
      </c>
      <c r="K4172" t="s">
        <v>32</v>
      </c>
      <c r="L4172">
        <v>0</v>
      </c>
      <c r="M4172">
        <v>4</v>
      </c>
      <c r="N4172" t="s">
        <v>169</v>
      </c>
      <c r="O4172" s="3" t="str">
        <f>TEXT(Ticket_Table[[#This Row],[raised_date]],"YYYY-MM")</f>
        <v>2022-06</v>
      </c>
      <c r="P4172" s="3" t="str">
        <f>IF(Ticket_Table[[#This Row],[resolution_hrs]]&lt;=4,"Fast",IF(Ticket_Table[[#This Row],[resolution_hrs]]&lt;=24,"Normal",IF(Ticket_Table[[#This Row],[resolution_hrs]]&lt;=48,"Slow","Very Slow")))</f>
        <v>Very Slow</v>
      </c>
      <c r="Q4172" s="3">
        <f>YEAR(Ticket_Table[[#This Row],[raised_date]])</f>
        <v>2022</v>
      </c>
    </row>
    <row r="4173" spans="1:17">
      <c r="A4173" t="s">
        <v>4734</v>
      </c>
      <c r="B4173" t="s">
        <v>499</v>
      </c>
      <c r="C4173" t="s">
        <v>19</v>
      </c>
      <c r="D4173" t="s">
        <v>90</v>
      </c>
      <c r="E4173" t="s">
        <v>37</v>
      </c>
      <c r="F4173" t="s">
        <v>22</v>
      </c>
      <c r="G4173" t="s">
        <v>31</v>
      </c>
      <c r="H4173" s="1">
        <v>45077</v>
      </c>
      <c r="I4173" s="2">
        <v>45079.0583333333</v>
      </c>
      <c r="J4173">
        <v>49.4</v>
      </c>
      <c r="K4173" t="s">
        <v>24</v>
      </c>
      <c r="L4173">
        <v>0</v>
      </c>
      <c r="M4173">
        <v>3</v>
      </c>
      <c r="N4173" t="s">
        <v>966</v>
      </c>
      <c r="O4173" s="3" t="str">
        <f>TEXT(Ticket_Table[[#This Row],[raised_date]],"YYYY-MM")</f>
        <v>2023-05</v>
      </c>
      <c r="P41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173" s="3">
        <f>YEAR(Ticket_Table[[#This Row],[raised_date]])</f>
        <v>2023</v>
      </c>
    </row>
    <row r="4174" spans="1:17">
      <c r="A4174" t="s">
        <v>4735</v>
      </c>
      <c r="B4174" t="s">
        <v>18</v>
      </c>
      <c r="C4174" t="s">
        <v>140</v>
      </c>
      <c r="D4174" t="s">
        <v>36</v>
      </c>
      <c r="E4174" t="s">
        <v>37</v>
      </c>
      <c r="F4174" t="s">
        <v>70</v>
      </c>
      <c r="G4174" t="s">
        <v>31</v>
      </c>
      <c r="H4174" s="1">
        <v>44859</v>
      </c>
      <c r="I4174" s="2">
        <v>44861.2166666667</v>
      </c>
      <c r="J4174">
        <v>53.2</v>
      </c>
      <c r="K4174" t="s">
        <v>32</v>
      </c>
      <c r="L4174">
        <v>0</v>
      </c>
      <c r="M4174">
        <v>2</v>
      </c>
      <c r="N4174" t="s">
        <v>722</v>
      </c>
      <c r="O4174" s="3" t="str">
        <f>TEXT(Ticket_Table[[#This Row],[raised_date]],"YYYY-MM")</f>
        <v>2022-10</v>
      </c>
      <c r="P4174" s="3" t="str">
        <f>IF(Ticket_Table[[#This Row],[resolution_hrs]]&lt;=4,"Fast",IF(Ticket_Table[[#This Row],[resolution_hrs]]&lt;=24,"Normal",IF(Ticket_Table[[#This Row],[resolution_hrs]]&lt;=48,"Slow","Very Slow")))</f>
        <v>Very Slow</v>
      </c>
      <c r="Q4174" s="3">
        <f>YEAR(Ticket_Table[[#This Row],[raised_date]])</f>
        <v>2022</v>
      </c>
    </row>
    <row r="4175" spans="1:17">
      <c r="A4175" t="s">
        <v>4736</v>
      </c>
      <c r="B4175" t="s">
        <v>59</v>
      </c>
      <c r="C4175" t="s">
        <v>28</v>
      </c>
      <c r="D4175" t="s">
        <v>29</v>
      </c>
      <c r="E4175" t="s">
        <v>21</v>
      </c>
      <c r="F4175" t="s">
        <v>22</v>
      </c>
      <c r="G4175" t="s">
        <v>74</v>
      </c>
      <c r="H4175" s="1">
        <v>44380</v>
      </c>
      <c r="I4175" s="2">
        <v>44384.4541666667</v>
      </c>
      <c r="J4175">
        <v>106.9</v>
      </c>
      <c r="K4175" t="s">
        <v>32</v>
      </c>
      <c r="L4175">
        <v>1</v>
      </c>
      <c r="M4175">
        <v>5</v>
      </c>
      <c r="N4175" t="s">
        <v>515</v>
      </c>
      <c r="O4175" s="3" t="str">
        <f>TEXT(Ticket_Table[[#This Row],[raised_date]],"YYYY-MM")</f>
        <v>2021-07</v>
      </c>
      <c r="P4175" s="3" t="str">
        <f>IF(Ticket_Table[[#This Row],[resolution_hrs]]&lt;=4,"Fast",IF(Ticket_Table[[#This Row],[resolution_hrs]]&lt;=24,"Normal",IF(Ticket_Table[[#This Row],[resolution_hrs]]&lt;=48,"Slow","Very Slow")))</f>
        <v>Very Slow</v>
      </c>
      <c r="Q4175" s="3">
        <f>YEAR(Ticket_Table[[#This Row],[raised_date]])</f>
        <v>2021</v>
      </c>
    </row>
    <row r="4176" spans="1:17">
      <c r="A4176" t="s">
        <v>4737</v>
      </c>
      <c r="B4176" t="s">
        <v>439</v>
      </c>
      <c r="C4176" t="s">
        <v>82</v>
      </c>
      <c r="D4176" t="s">
        <v>36</v>
      </c>
      <c r="E4176" t="s">
        <v>106</v>
      </c>
      <c r="F4176" t="s">
        <v>38</v>
      </c>
      <c r="G4176" t="s">
        <v>46</v>
      </c>
      <c r="H4176" s="1">
        <v>44427</v>
      </c>
      <c r="I4176" s="2">
        <v>44427.4166666667</v>
      </c>
      <c r="J4176">
        <v>10</v>
      </c>
      <c r="K4176" t="s">
        <v>24</v>
      </c>
      <c r="L4176">
        <v>1</v>
      </c>
      <c r="M4176">
        <v>4</v>
      </c>
      <c r="N4176" t="s">
        <v>1064</v>
      </c>
      <c r="O4176" s="3" t="str">
        <f>TEXT(Ticket_Table[[#This Row],[raised_date]],"YYYY-MM")</f>
        <v>2021-08</v>
      </c>
      <c r="P4176" s="3" t="str">
        <f>IF(Ticket_Table[[#This Row],[resolution_hrs]]&lt;=4,"Fast",IF(Ticket_Table[[#This Row],[resolution_hrs]]&lt;=24,"Normal",IF(Ticket_Table[[#This Row],[resolution_hrs]]&lt;=48,"Slow","Very Slow")))</f>
        <v>Normal</v>
      </c>
      <c r="Q4176" s="3">
        <f>YEAR(Ticket_Table[[#This Row],[raised_date]])</f>
        <v>2021</v>
      </c>
    </row>
    <row r="4177" spans="1:17">
      <c r="A4177" t="s">
        <v>4738</v>
      </c>
      <c r="B4177" t="s">
        <v>506</v>
      </c>
      <c r="C4177" t="s">
        <v>78</v>
      </c>
      <c r="D4177" t="s">
        <v>90</v>
      </c>
      <c r="E4177" t="s">
        <v>30</v>
      </c>
      <c r="F4177" t="s">
        <v>22</v>
      </c>
      <c r="G4177" t="s">
        <v>46</v>
      </c>
      <c r="H4177" s="1">
        <v>45044</v>
      </c>
      <c r="I4177" s="2">
        <v>45046.2125</v>
      </c>
      <c r="J4177">
        <v>53.1</v>
      </c>
      <c r="K4177" t="s">
        <v>24</v>
      </c>
      <c r="L4177">
        <v>0</v>
      </c>
      <c r="M4177">
        <v>5</v>
      </c>
      <c r="N4177" t="s">
        <v>1006</v>
      </c>
      <c r="O4177" s="3" t="str">
        <f>TEXT(Ticket_Table[[#This Row],[raised_date]],"YYYY-MM")</f>
        <v>2023-04</v>
      </c>
      <c r="P4177" s="3" t="str">
        <f>IF(Ticket_Table[[#This Row],[resolution_hrs]]&lt;=4,"Fast",IF(Ticket_Table[[#This Row],[resolution_hrs]]&lt;=24,"Normal",IF(Ticket_Table[[#This Row],[resolution_hrs]]&lt;=48,"Slow","Very Slow")))</f>
        <v>Very Slow</v>
      </c>
      <c r="Q4177" s="3">
        <f>YEAR(Ticket_Table[[#This Row],[raised_date]])</f>
        <v>2023</v>
      </c>
    </row>
    <row r="4178" spans="1:17">
      <c r="A4178" t="s">
        <v>4739</v>
      </c>
      <c r="B4178" t="s">
        <v>110</v>
      </c>
      <c r="C4178" t="s">
        <v>68</v>
      </c>
      <c r="D4178" t="s">
        <v>29</v>
      </c>
      <c r="E4178" t="s">
        <v>37</v>
      </c>
      <c r="F4178" t="s">
        <v>22</v>
      </c>
      <c r="G4178" t="s">
        <v>23</v>
      </c>
      <c r="H4178" s="1">
        <v>45064</v>
      </c>
      <c r="I4178" s="2">
        <v>45065.6666666667</v>
      </c>
      <c r="J4178">
        <v>40</v>
      </c>
      <c r="K4178" t="s">
        <v>24</v>
      </c>
      <c r="L4178">
        <v>1</v>
      </c>
      <c r="M4178">
        <v>5</v>
      </c>
      <c r="N4178" t="s">
        <v>485</v>
      </c>
      <c r="O4178" s="3" t="str">
        <f>TEXT(Ticket_Table[[#This Row],[raised_date]],"YYYY-MM")</f>
        <v>2023-05</v>
      </c>
      <c r="P4178" s="3" t="str">
        <f>IF(Ticket_Table[[#This Row],[resolution_hrs]]&lt;=4,"Fast",IF(Ticket_Table[[#This Row],[resolution_hrs]]&lt;=24,"Normal",IF(Ticket_Table[[#This Row],[resolution_hrs]]&lt;=48,"Slow","Very Slow")))</f>
        <v>Slow</v>
      </c>
      <c r="Q4178" s="3">
        <f>YEAR(Ticket_Table[[#This Row],[raised_date]])</f>
        <v>2023</v>
      </c>
    </row>
    <row r="4179" spans="1:17">
      <c r="A4179" t="s">
        <v>4740</v>
      </c>
      <c r="B4179" t="s">
        <v>594</v>
      </c>
      <c r="C4179" t="s">
        <v>261</v>
      </c>
      <c r="D4179" t="s">
        <v>29</v>
      </c>
      <c r="E4179" t="s">
        <v>37</v>
      </c>
      <c r="F4179" t="s">
        <v>22</v>
      </c>
      <c r="G4179" t="s">
        <v>23</v>
      </c>
      <c r="H4179" s="1">
        <v>44945</v>
      </c>
      <c r="I4179" s="2">
        <v>44945.1041666667</v>
      </c>
      <c r="J4179">
        <v>2.5</v>
      </c>
      <c r="K4179" t="s">
        <v>24</v>
      </c>
      <c r="L4179">
        <v>0</v>
      </c>
      <c r="M4179">
        <v>5</v>
      </c>
      <c r="N4179" t="s">
        <v>2204</v>
      </c>
      <c r="O4179" s="3" t="str">
        <f>TEXT(Ticket_Table[[#This Row],[raised_date]],"YYYY-MM")</f>
        <v>2023-01</v>
      </c>
      <c r="P4179" s="3" t="str">
        <f>IF(Ticket_Table[[#This Row],[resolution_hrs]]&lt;=4,"Fast",IF(Ticket_Table[[#This Row],[resolution_hrs]]&lt;=24,"Normal",IF(Ticket_Table[[#This Row],[resolution_hrs]]&lt;=48,"Slow","Very Slow")))</f>
        <v>Fast</v>
      </c>
      <c r="Q4179" s="3">
        <f>YEAR(Ticket_Table[[#This Row],[raised_date]])</f>
        <v>2023</v>
      </c>
    </row>
    <row r="4180" spans="1:17">
      <c r="A4180" t="s">
        <v>4741</v>
      </c>
      <c r="B4180" t="s">
        <v>675</v>
      </c>
      <c r="C4180" t="s">
        <v>287</v>
      </c>
      <c r="D4180" t="s">
        <v>90</v>
      </c>
      <c r="E4180" t="s">
        <v>51</v>
      </c>
      <c r="F4180" t="s">
        <v>45</v>
      </c>
      <c r="G4180" t="s">
        <v>46</v>
      </c>
      <c r="H4180" s="1">
        <v>44910</v>
      </c>
      <c r="I4180" s="2">
        <v>44910.1166666667</v>
      </c>
      <c r="J4180">
        <v>2.8</v>
      </c>
      <c r="K4180" t="s">
        <v>24</v>
      </c>
      <c r="L4180">
        <v>0</v>
      </c>
      <c r="M4180">
        <v>4</v>
      </c>
      <c r="N4180" t="s">
        <v>1278</v>
      </c>
      <c r="O4180" s="3" t="str">
        <f>TEXT(Ticket_Table[[#This Row],[raised_date]],"YYYY-MM")</f>
        <v>2022-12</v>
      </c>
      <c r="P4180" s="3" t="str">
        <f>IF(Ticket_Table[[#This Row],[resolution_hrs]]&lt;=4,"Fast",IF(Ticket_Table[[#This Row],[resolution_hrs]]&lt;=24,"Normal",IF(Ticket_Table[[#This Row],[resolution_hrs]]&lt;=48,"Slow","Very Slow")))</f>
        <v>Fast</v>
      </c>
      <c r="Q4180" s="3">
        <f>YEAR(Ticket_Table[[#This Row],[raised_date]])</f>
        <v>2022</v>
      </c>
    </row>
    <row r="4181" spans="1:17">
      <c r="A4181" t="s">
        <v>4742</v>
      </c>
      <c r="B4181" t="s">
        <v>317</v>
      </c>
      <c r="C4181" t="s">
        <v>140</v>
      </c>
      <c r="D4181" t="s">
        <v>43</v>
      </c>
      <c r="E4181" t="s">
        <v>166</v>
      </c>
      <c r="F4181" t="s">
        <v>38</v>
      </c>
      <c r="G4181" t="s">
        <v>23</v>
      </c>
      <c r="H4181" s="1">
        <v>44587</v>
      </c>
      <c r="I4181" s="2">
        <v>44588.0791666667</v>
      </c>
      <c r="J4181">
        <v>25.9</v>
      </c>
      <c r="K4181" t="s">
        <v>32</v>
      </c>
      <c r="L4181">
        <v>0</v>
      </c>
      <c r="M4181">
        <v>2</v>
      </c>
      <c r="N4181" t="s">
        <v>368</v>
      </c>
      <c r="O4181" s="3" t="str">
        <f>TEXT(Ticket_Table[[#This Row],[raised_date]],"YYYY-MM")</f>
        <v>2022-01</v>
      </c>
      <c r="P4181" s="3" t="str">
        <f>IF(Ticket_Table[[#This Row],[resolution_hrs]]&lt;=4,"Fast",IF(Ticket_Table[[#This Row],[resolution_hrs]]&lt;=24,"Normal",IF(Ticket_Table[[#This Row],[resolution_hrs]]&lt;=48,"Slow","Very Slow")))</f>
        <v>Slow</v>
      </c>
      <c r="Q4181" s="3">
        <f>YEAR(Ticket_Table[[#This Row],[raised_date]])</f>
        <v>2022</v>
      </c>
    </row>
    <row r="4182" spans="1:17">
      <c r="A4182" t="s">
        <v>4743</v>
      </c>
      <c r="B4182" t="s">
        <v>238</v>
      </c>
      <c r="C4182" t="s">
        <v>133</v>
      </c>
      <c r="D4182" t="s">
        <v>29</v>
      </c>
      <c r="E4182" t="s">
        <v>106</v>
      </c>
      <c r="F4182" t="s">
        <v>22</v>
      </c>
      <c r="G4182" t="s">
        <v>23</v>
      </c>
      <c r="H4182" s="1">
        <v>44853</v>
      </c>
      <c r="I4182" s="2">
        <v>44857.0166666667</v>
      </c>
      <c r="J4182">
        <v>96.4</v>
      </c>
      <c r="K4182" t="s">
        <v>32</v>
      </c>
      <c r="L4182">
        <v>2</v>
      </c>
      <c r="M4182">
        <v>3</v>
      </c>
      <c r="N4182" t="s">
        <v>800</v>
      </c>
      <c r="O4182" s="3" t="str">
        <f>TEXT(Ticket_Table[[#This Row],[raised_date]],"YYYY-MM")</f>
        <v>2022-10</v>
      </c>
      <c r="P4182" s="3" t="str">
        <f>IF(Ticket_Table[[#This Row],[resolution_hrs]]&lt;=4,"Fast",IF(Ticket_Table[[#This Row],[resolution_hrs]]&lt;=24,"Normal",IF(Ticket_Table[[#This Row],[resolution_hrs]]&lt;=48,"Slow","Very Slow")))</f>
        <v>Very Slow</v>
      </c>
      <c r="Q4182" s="3">
        <f>YEAR(Ticket_Table[[#This Row],[raised_date]])</f>
        <v>2022</v>
      </c>
    </row>
    <row r="4183" spans="1:17">
      <c r="A4183" t="s">
        <v>4744</v>
      </c>
      <c r="B4183" t="s">
        <v>558</v>
      </c>
      <c r="C4183" t="s">
        <v>42</v>
      </c>
      <c r="D4183" t="s">
        <v>90</v>
      </c>
      <c r="E4183" t="s">
        <v>69</v>
      </c>
      <c r="F4183" t="s">
        <v>38</v>
      </c>
      <c r="G4183" t="s">
        <v>23</v>
      </c>
      <c r="H4183" s="1">
        <v>44902</v>
      </c>
      <c r="I4183" s="2">
        <v>44903.1708333333</v>
      </c>
      <c r="J4183">
        <v>28.1</v>
      </c>
      <c r="K4183" t="s">
        <v>32</v>
      </c>
      <c r="L4183">
        <v>0</v>
      </c>
      <c r="M4183">
        <v>4</v>
      </c>
      <c r="N4183" t="s">
        <v>1112</v>
      </c>
      <c r="O4183" s="3" t="str">
        <f>TEXT(Ticket_Table[[#This Row],[raised_date]],"YYYY-MM")</f>
        <v>2022-12</v>
      </c>
      <c r="P4183" s="3" t="str">
        <f>IF(Ticket_Table[[#This Row],[resolution_hrs]]&lt;=4,"Fast",IF(Ticket_Table[[#This Row],[resolution_hrs]]&lt;=24,"Normal",IF(Ticket_Table[[#This Row],[resolution_hrs]]&lt;=48,"Slow","Very Slow")))</f>
        <v>Slow</v>
      </c>
      <c r="Q4183" s="3">
        <f>YEAR(Ticket_Table[[#This Row],[raised_date]])</f>
        <v>2022</v>
      </c>
    </row>
    <row r="4184" spans="1:17">
      <c r="A4184" t="s">
        <v>4745</v>
      </c>
      <c r="B4184" t="s">
        <v>334</v>
      </c>
      <c r="C4184" t="s">
        <v>50</v>
      </c>
      <c r="D4184" t="s">
        <v>20</v>
      </c>
      <c r="E4184" t="s">
        <v>106</v>
      </c>
      <c r="F4184" t="s">
        <v>70</v>
      </c>
      <c r="G4184" t="s">
        <v>46</v>
      </c>
      <c r="H4184" s="1">
        <v>44246</v>
      </c>
      <c r="I4184" s="2">
        <v>44248.575</v>
      </c>
      <c r="J4184">
        <v>61.8</v>
      </c>
      <c r="K4184" t="s">
        <v>32</v>
      </c>
      <c r="L4184">
        <v>0</v>
      </c>
      <c r="M4184">
        <v>1</v>
      </c>
      <c r="N4184" t="s">
        <v>974</v>
      </c>
      <c r="O4184" s="3" t="str">
        <f>TEXT(Ticket_Table[[#This Row],[raised_date]],"YYYY-MM")</f>
        <v>2021-02</v>
      </c>
      <c r="P4184" s="3" t="str">
        <f>IF(Ticket_Table[[#This Row],[resolution_hrs]]&lt;=4,"Fast",IF(Ticket_Table[[#This Row],[resolution_hrs]]&lt;=24,"Normal",IF(Ticket_Table[[#This Row],[resolution_hrs]]&lt;=48,"Slow","Very Slow")))</f>
        <v>Very Slow</v>
      </c>
      <c r="Q4184" s="3">
        <f>YEAR(Ticket_Table[[#This Row],[raised_date]])</f>
        <v>2021</v>
      </c>
    </row>
    <row r="4185" spans="1:17">
      <c r="A4185" t="s">
        <v>4746</v>
      </c>
      <c r="B4185" t="s">
        <v>304</v>
      </c>
      <c r="C4185" t="s">
        <v>50</v>
      </c>
      <c r="D4185" t="s">
        <v>36</v>
      </c>
      <c r="E4185" t="s">
        <v>21</v>
      </c>
      <c r="F4185" t="s">
        <v>45</v>
      </c>
      <c r="G4185" t="s">
        <v>23</v>
      </c>
      <c r="H4185" s="1">
        <v>44821</v>
      </c>
      <c r="I4185" s="2">
        <v>44821.2291666667</v>
      </c>
      <c r="J4185">
        <v>5.5</v>
      </c>
      <c r="K4185" t="s">
        <v>32</v>
      </c>
      <c r="L4185">
        <v>2</v>
      </c>
      <c r="M4185">
        <v>1</v>
      </c>
      <c r="N4185" t="s">
        <v>178</v>
      </c>
      <c r="O4185" s="3" t="str">
        <f>TEXT(Ticket_Table[[#This Row],[raised_date]],"YYYY-MM")</f>
        <v>2022-09</v>
      </c>
      <c r="P4185" s="3" t="str">
        <f>IF(Ticket_Table[[#This Row],[resolution_hrs]]&lt;=4,"Fast",IF(Ticket_Table[[#This Row],[resolution_hrs]]&lt;=24,"Normal",IF(Ticket_Table[[#This Row],[resolution_hrs]]&lt;=48,"Slow","Very Slow")))</f>
        <v>Normal</v>
      </c>
      <c r="Q4185" s="3">
        <f>YEAR(Ticket_Table[[#This Row],[raised_date]])</f>
        <v>2022</v>
      </c>
    </row>
    <row r="4186" spans="1:17">
      <c r="A4186" t="s">
        <v>4747</v>
      </c>
      <c r="B4186" t="s">
        <v>966</v>
      </c>
      <c r="C4186" t="s">
        <v>287</v>
      </c>
      <c r="D4186" t="s">
        <v>29</v>
      </c>
      <c r="E4186" t="s">
        <v>51</v>
      </c>
      <c r="F4186" t="s">
        <v>70</v>
      </c>
      <c r="G4186" t="s">
        <v>23</v>
      </c>
      <c r="H4186" s="1">
        <v>44543</v>
      </c>
      <c r="I4186" s="2">
        <v>44544.8041666667</v>
      </c>
      <c r="J4186">
        <v>43.3</v>
      </c>
      <c r="K4186" t="s">
        <v>24</v>
      </c>
      <c r="L4186">
        <v>0</v>
      </c>
      <c r="M4186">
        <v>4</v>
      </c>
      <c r="N4186" t="s">
        <v>835</v>
      </c>
      <c r="O4186" s="3" t="str">
        <f>TEXT(Ticket_Table[[#This Row],[raised_date]],"YYYY-MM")</f>
        <v>2021-12</v>
      </c>
      <c r="P4186" s="3" t="str">
        <f>IF(Ticket_Table[[#This Row],[resolution_hrs]]&lt;=4,"Fast",IF(Ticket_Table[[#This Row],[resolution_hrs]]&lt;=24,"Normal",IF(Ticket_Table[[#This Row],[resolution_hrs]]&lt;=48,"Slow","Very Slow")))</f>
        <v>Slow</v>
      </c>
      <c r="Q4186" s="3">
        <f>YEAR(Ticket_Table[[#This Row],[raised_date]])</f>
        <v>2021</v>
      </c>
    </row>
    <row r="4187" spans="1:17">
      <c r="A4187" t="s">
        <v>4748</v>
      </c>
      <c r="B4187" t="s">
        <v>442</v>
      </c>
      <c r="C4187" t="s">
        <v>95</v>
      </c>
      <c r="D4187" t="s">
        <v>20</v>
      </c>
      <c r="E4187" t="s">
        <v>30</v>
      </c>
      <c r="F4187" t="s">
        <v>38</v>
      </c>
      <c r="G4187" t="s">
        <v>31</v>
      </c>
      <c r="H4187" s="1">
        <v>44913</v>
      </c>
      <c r="I4187" s="2">
        <v>44913.2041666667</v>
      </c>
      <c r="J4187">
        <v>4.9</v>
      </c>
      <c r="K4187" t="s">
        <v>24</v>
      </c>
      <c r="L4187">
        <v>1</v>
      </c>
      <c r="M4187">
        <v>5</v>
      </c>
      <c r="N4187" t="s">
        <v>1291</v>
      </c>
      <c r="O4187" s="3" t="str">
        <f>TEXT(Ticket_Table[[#This Row],[raised_date]],"YYYY-MM")</f>
        <v>2022-12</v>
      </c>
      <c r="P4187" s="3" t="str">
        <f>IF(Ticket_Table[[#This Row],[resolution_hrs]]&lt;=4,"Fast",IF(Ticket_Table[[#This Row],[resolution_hrs]]&lt;=24,"Normal",IF(Ticket_Table[[#This Row],[resolution_hrs]]&lt;=48,"Slow","Very Slow")))</f>
        <v>Normal</v>
      </c>
      <c r="Q4187" s="3">
        <f>YEAR(Ticket_Table[[#This Row],[raised_date]])</f>
        <v>2022</v>
      </c>
    </row>
    <row r="4188" spans="1:17">
      <c r="A4188" t="s">
        <v>4749</v>
      </c>
      <c r="B4188" t="s">
        <v>468</v>
      </c>
      <c r="C4188" t="s">
        <v>261</v>
      </c>
      <c r="D4188" t="s">
        <v>29</v>
      </c>
      <c r="E4188" t="s">
        <v>44</v>
      </c>
      <c r="F4188" t="s">
        <v>22</v>
      </c>
      <c r="G4188" t="s">
        <v>31</v>
      </c>
      <c r="H4188" s="1">
        <v>45102</v>
      </c>
      <c r="I4188" s="2">
        <v>45105.1</v>
      </c>
      <c r="J4188">
        <v>74.4</v>
      </c>
      <c r="K4188" t="s">
        <v>32</v>
      </c>
      <c r="L4188">
        <v>0</v>
      </c>
      <c r="M4188">
        <v>5</v>
      </c>
      <c r="N4188" t="s">
        <v>105</v>
      </c>
      <c r="O4188" s="3" t="str">
        <f>TEXT(Ticket_Table[[#This Row],[raised_date]],"YYYY-MM")</f>
        <v>2023-06</v>
      </c>
      <c r="P4188" s="3" t="str">
        <f>IF(Ticket_Table[[#This Row],[resolution_hrs]]&lt;=4,"Fast",IF(Ticket_Table[[#This Row],[resolution_hrs]]&lt;=24,"Normal",IF(Ticket_Table[[#This Row],[resolution_hrs]]&lt;=48,"Slow","Very Slow")))</f>
        <v>Very Slow</v>
      </c>
      <c r="Q4188" s="3">
        <f>YEAR(Ticket_Table[[#This Row],[raised_date]])</f>
        <v>2023</v>
      </c>
    </row>
    <row r="4189" spans="1:17">
      <c r="A4189" t="s">
        <v>4750</v>
      </c>
      <c r="B4189" t="s">
        <v>163</v>
      </c>
      <c r="C4189" t="s">
        <v>19</v>
      </c>
      <c r="D4189" t="s">
        <v>43</v>
      </c>
      <c r="E4189" t="s">
        <v>51</v>
      </c>
      <c r="F4189" t="s">
        <v>70</v>
      </c>
      <c r="G4189" t="s">
        <v>46</v>
      </c>
      <c r="H4189" s="1">
        <v>44495</v>
      </c>
      <c r="I4189" s="2">
        <v>44497.1958333333</v>
      </c>
      <c r="J4189">
        <v>52.7</v>
      </c>
      <c r="K4189" t="s">
        <v>32</v>
      </c>
      <c r="L4189">
        <v>0</v>
      </c>
      <c r="M4189">
        <v>3</v>
      </c>
      <c r="N4189" t="s">
        <v>146</v>
      </c>
      <c r="O4189" s="3" t="str">
        <f>TEXT(Ticket_Table[[#This Row],[raised_date]],"YYYY-MM")</f>
        <v>2021-10</v>
      </c>
      <c r="P4189" s="3" t="str">
        <f>IF(Ticket_Table[[#This Row],[resolution_hrs]]&lt;=4,"Fast",IF(Ticket_Table[[#This Row],[resolution_hrs]]&lt;=24,"Normal",IF(Ticket_Table[[#This Row],[resolution_hrs]]&lt;=48,"Slow","Very Slow")))</f>
        <v>Very Slow</v>
      </c>
      <c r="Q4189" s="3">
        <f>YEAR(Ticket_Table[[#This Row],[raised_date]])</f>
        <v>2021</v>
      </c>
    </row>
    <row r="4190" spans="1:17">
      <c r="A4190" t="s">
        <v>4751</v>
      </c>
      <c r="B4190" t="s">
        <v>917</v>
      </c>
      <c r="C4190" t="s">
        <v>60</v>
      </c>
      <c r="D4190" t="s">
        <v>90</v>
      </c>
      <c r="E4190" t="s">
        <v>56</v>
      </c>
      <c r="F4190" t="s">
        <v>45</v>
      </c>
      <c r="G4190" t="s">
        <v>46</v>
      </c>
      <c r="H4190" s="1">
        <v>45099</v>
      </c>
      <c r="I4190" s="2">
        <v>45099.0458333333</v>
      </c>
      <c r="J4190">
        <v>1.1</v>
      </c>
      <c r="K4190" t="s">
        <v>24</v>
      </c>
      <c r="L4190">
        <v>3</v>
      </c>
      <c r="M4190">
        <v>5</v>
      </c>
      <c r="N4190" t="s">
        <v>1050</v>
      </c>
      <c r="O4190" s="3" t="str">
        <f>TEXT(Ticket_Table[[#This Row],[raised_date]],"YYYY-MM")</f>
        <v>2023-06</v>
      </c>
      <c r="P4190" s="3" t="str">
        <f>IF(Ticket_Table[[#This Row],[resolution_hrs]]&lt;=4,"Fast",IF(Ticket_Table[[#This Row],[resolution_hrs]]&lt;=24,"Normal",IF(Ticket_Table[[#This Row],[resolution_hrs]]&lt;=48,"Slow","Very Slow")))</f>
        <v>Fast</v>
      </c>
      <c r="Q4190" s="3">
        <f>YEAR(Ticket_Table[[#This Row],[raised_date]])</f>
        <v>2023</v>
      </c>
    </row>
    <row r="4191" spans="1:17">
      <c r="A4191" t="s">
        <v>4752</v>
      </c>
      <c r="B4191" t="s">
        <v>970</v>
      </c>
      <c r="C4191" t="s">
        <v>102</v>
      </c>
      <c r="D4191" t="s">
        <v>29</v>
      </c>
      <c r="E4191" t="s">
        <v>21</v>
      </c>
      <c r="F4191" t="s">
        <v>70</v>
      </c>
      <c r="G4191" t="s">
        <v>23</v>
      </c>
      <c r="H4191" s="1">
        <v>44288</v>
      </c>
      <c r="I4191" s="2">
        <v>44290.9375</v>
      </c>
      <c r="J4191">
        <v>70.5</v>
      </c>
      <c r="K4191" t="s">
        <v>32</v>
      </c>
      <c r="L4191">
        <v>0</v>
      </c>
      <c r="M4191">
        <v>4</v>
      </c>
      <c r="N4191" t="s">
        <v>782</v>
      </c>
      <c r="O4191" s="3" t="str">
        <f>TEXT(Ticket_Table[[#This Row],[raised_date]],"YYYY-MM")</f>
        <v>2021-04</v>
      </c>
      <c r="P4191" s="3" t="str">
        <f>IF(Ticket_Table[[#This Row],[resolution_hrs]]&lt;=4,"Fast",IF(Ticket_Table[[#This Row],[resolution_hrs]]&lt;=24,"Normal",IF(Ticket_Table[[#This Row],[resolution_hrs]]&lt;=48,"Slow","Very Slow")))</f>
        <v>Very Slow</v>
      </c>
      <c r="Q4191" s="3">
        <f>YEAR(Ticket_Table[[#This Row],[raised_date]])</f>
        <v>2021</v>
      </c>
    </row>
    <row r="4192" spans="1:17">
      <c r="A4192" t="s">
        <v>4753</v>
      </c>
      <c r="B4192" t="s">
        <v>926</v>
      </c>
      <c r="C4192" t="s">
        <v>55</v>
      </c>
      <c r="D4192" t="s">
        <v>90</v>
      </c>
      <c r="E4192" t="s">
        <v>166</v>
      </c>
      <c r="F4192" t="s">
        <v>22</v>
      </c>
      <c r="G4192" t="s">
        <v>23</v>
      </c>
      <c r="H4192" s="1">
        <v>44675</v>
      </c>
      <c r="I4192" s="2">
        <v>44678.8583333333</v>
      </c>
      <c r="J4192">
        <v>92.6</v>
      </c>
      <c r="K4192" t="s">
        <v>32</v>
      </c>
      <c r="L4192">
        <v>1</v>
      </c>
      <c r="M4192">
        <v>4</v>
      </c>
      <c r="N4192" t="s">
        <v>581</v>
      </c>
      <c r="O4192" s="3" t="str">
        <f>TEXT(Ticket_Table[[#This Row],[raised_date]],"YYYY-MM")</f>
        <v>2022-04</v>
      </c>
      <c r="P4192" s="3" t="str">
        <f>IF(Ticket_Table[[#This Row],[resolution_hrs]]&lt;=4,"Fast",IF(Ticket_Table[[#This Row],[resolution_hrs]]&lt;=24,"Normal",IF(Ticket_Table[[#This Row],[resolution_hrs]]&lt;=48,"Slow","Very Slow")))</f>
        <v>Very Slow</v>
      </c>
      <c r="Q4192" s="3">
        <f>YEAR(Ticket_Table[[#This Row],[raised_date]])</f>
        <v>2022</v>
      </c>
    </row>
    <row r="4193" spans="1:17">
      <c r="A4193" t="s">
        <v>4754</v>
      </c>
      <c r="B4193" t="s">
        <v>207</v>
      </c>
      <c r="C4193" t="s">
        <v>50</v>
      </c>
      <c r="D4193" t="s">
        <v>29</v>
      </c>
      <c r="E4193" t="s">
        <v>56</v>
      </c>
      <c r="F4193" t="s">
        <v>22</v>
      </c>
      <c r="G4193" t="s">
        <v>31</v>
      </c>
      <c r="H4193" s="1">
        <v>44605</v>
      </c>
      <c r="I4193" s="2">
        <v>44607.9833333333</v>
      </c>
      <c r="J4193">
        <v>71.6</v>
      </c>
      <c r="K4193" t="s">
        <v>24</v>
      </c>
      <c r="L4193">
        <v>2</v>
      </c>
      <c r="M4193">
        <v>3</v>
      </c>
      <c r="N4193" t="s">
        <v>1003</v>
      </c>
      <c r="O4193" s="3" t="str">
        <f>TEXT(Ticket_Table[[#This Row],[raised_date]],"YYYY-MM")</f>
        <v>2022-02</v>
      </c>
      <c r="P4193" s="3" t="str">
        <f>IF(Ticket_Table[[#This Row],[resolution_hrs]]&lt;=4,"Fast",IF(Ticket_Table[[#This Row],[resolution_hrs]]&lt;=24,"Normal",IF(Ticket_Table[[#This Row],[resolution_hrs]]&lt;=48,"Slow","Very Slow")))</f>
        <v>Very Slow</v>
      </c>
      <c r="Q4193" s="3">
        <f>YEAR(Ticket_Table[[#This Row],[raised_date]])</f>
        <v>2022</v>
      </c>
    </row>
    <row r="4194" spans="1:17">
      <c r="A4194" t="s">
        <v>4755</v>
      </c>
      <c r="B4194" t="s">
        <v>1291</v>
      </c>
      <c r="C4194" t="s">
        <v>19</v>
      </c>
      <c r="D4194" t="s">
        <v>43</v>
      </c>
      <c r="E4194" t="s">
        <v>56</v>
      </c>
      <c r="F4194" t="s">
        <v>38</v>
      </c>
      <c r="G4194" t="s">
        <v>23</v>
      </c>
      <c r="H4194" s="1">
        <v>44962</v>
      </c>
      <c r="I4194" s="2">
        <v>44962.25</v>
      </c>
      <c r="J4194">
        <v>6</v>
      </c>
      <c r="K4194" t="s">
        <v>24</v>
      </c>
      <c r="L4194">
        <v>0</v>
      </c>
      <c r="M4194">
        <v>4</v>
      </c>
      <c r="N4194" t="s">
        <v>504</v>
      </c>
      <c r="O4194" s="3" t="str">
        <f>TEXT(Ticket_Table[[#This Row],[raised_date]],"YYYY-MM")</f>
        <v>2023-02</v>
      </c>
      <c r="P4194" s="3" t="str">
        <f>IF(Ticket_Table[[#This Row],[resolution_hrs]]&lt;=4,"Fast",IF(Ticket_Table[[#This Row],[resolution_hrs]]&lt;=24,"Normal",IF(Ticket_Table[[#This Row],[resolution_hrs]]&lt;=48,"Slow","Very Slow")))</f>
        <v>Normal</v>
      </c>
      <c r="Q4194" s="3">
        <f>YEAR(Ticket_Table[[#This Row],[raised_date]])</f>
        <v>2023</v>
      </c>
    </row>
    <row r="4195" spans="1:17">
      <c r="A4195" t="s">
        <v>4756</v>
      </c>
      <c r="B4195" t="s">
        <v>258</v>
      </c>
      <c r="C4195" t="s">
        <v>78</v>
      </c>
      <c r="D4195" t="s">
        <v>43</v>
      </c>
      <c r="E4195" t="s">
        <v>30</v>
      </c>
      <c r="F4195" t="s">
        <v>70</v>
      </c>
      <c r="G4195" t="s">
        <v>31</v>
      </c>
      <c r="H4195" s="1">
        <v>44516</v>
      </c>
      <c r="I4195" s="2">
        <v>44517.5125</v>
      </c>
      <c r="J4195">
        <v>36.3</v>
      </c>
      <c r="K4195" t="s">
        <v>24</v>
      </c>
      <c r="L4195">
        <v>0</v>
      </c>
      <c r="M4195">
        <v>4</v>
      </c>
      <c r="N4195" t="s">
        <v>640</v>
      </c>
      <c r="O4195" s="3" t="str">
        <f>TEXT(Ticket_Table[[#This Row],[raised_date]],"YYYY-MM")</f>
        <v>2021-11</v>
      </c>
      <c r="P4195" s="3" t="str">
        <f>IF(Ticket_Table[[#This Row],[resolution_hrs]]&lt;=4,"Fast",IF(Ticket_Table[[#This Row],[resolution_hrs]]&lt;=24,"Normal",IF(Ticket_Table[[#This Row],[resolution_hrs]]&lt;=48,"Slow","Very Slow")))</f>
        <v>Slow</v>
      </c>
      <c r="Q4195" s="3">
        <f>YEAR(Ticket_Table[[#This Row],[raised_date]])</f>
        <v>2021</v>
      </c>
    </row>
    <row r="4196" spans="1:17">
      <c r="A4196" t="s">
        <v>4757</v>
      </c>
      <c r="B4196" t="s">
        <v>1180</v>
      </c>
      <c r="C4196" t="s">
        <v>78</v>
      </c>
      <c r="D4196" t="s">
        <v>20</v>
      </c>
      <c r="E4196" t="s">
        <v>69</v>
      </c>
      <c r="F4196" t="s">
        <v>70</v>
      </c>
      <c r="G4196" t="s">
        <v>23</v>
      </c>
      <c r="H4196" s="1">
        <v>44372</v>
      </c>
      <c r="I4196" s="2">
        <v>44372.7666666667</v>
      </c>
      <c r="J4196">
        <v>18.4</v>
      </c>
      <c r="K4196" t="s">
        <v>24</v>
      </c>
      <c r="L4196">
        <v>0</v>
      </c>
      <c r="M4196">
        <v>4</v>
      </c>
      <c r="N4196" t="s">
        <v>376</v>
      </c>
      <c r="O4196" s="3" t="str">
        <f>TEXT(Ticket_Table[[#This Row],[raised_date]],"YYYY-MM")</f>
        <v>2021-06</v>
      </c>
      <c r="P4196" s="3" t="str">
        <f>IF(Ticket_Table[[#This Row],[resolution_hrs]]&lt;=4,"Fast",IF(Ticket_Table[[#This Row],[resolution_hrs]]&lt;=24,"Normal",IF(Ticket_Table[[#This Row],[resolution_hrs]]&lt;=48,"Slow","Very Slow")))</f>
        <v>Normal</v>
      </c>
      <c r="Q4196" s="3">
        <f>YEAR(Ticket_Table[[#This Row],[raised_date]])</f>
        <v>2021</v>
      </c>
    </row>
    <row r="4197" spans="1:17">
      <c r="A4197" t="s">
        <v>4758</v>
      </c>
      <c r="B4197" t="s">
        <v>304</v>
      </c>
      <c r="C4197" t="s">
        <v>133</v>
      </c>
      <c r="D4197" t="s">
        <v>43</v>
      </c>
      <c r="E4197" t="s">
        <v>44</v>
      </c>
      <c r="F4197" t="s">
        <v>45</v>
      </c>
      <c r="G4197" t="s">
        <v>31</v>
      </c>
      <c r="H4197" s="1">
        <v>44427</v>
      </c>
      <c r="I4197" s="2">
        <v>44427.1958333333</v>
      </c>
      <c r="J4197">
        <v>4.7</v>
      </c>
      <c r="K4197" t="s">
        <v>32</v>
      </c>
      <c r="L4197">
        <v>0</v>
      </c>
      <c r="M4197">
        <v>3</v>
      </c>
      <c r="N4197" t="s">
        <v>171</v>
      </c>
      <c r="O4197" s="3" t="str">
        <f>TEXT(Ticket_Table[[#This Row],[raised_date]],"YYYY-MM")</f>
        <v>2021-08</v>
      </c>
      <c r="P4197" s="3" t="str">
        <f>IF(Ticket_Table[[#This Row],[resolution_hrs]]&lt;=4,"Fast",IF(Ticket_Table[[#This Row],[resolution_hrs]]&lt;=24,"Normal",IF(Ticket_Table[[#This Row],[resolution_hrs]]&lt;=48,"Slow","Very Slow")))</f>
        <v>Normal</v>
      </c>
      <c r="Q4197" s="3">
        <f>YEAR(Ticket_Table[[#This Row],[raised_date]])</f>
        <v>2021</v>
      </c>
    </row>
    <row r="4198" spans="1:17">
      <c r="A4198" t="s">
        <v>4759</v>
      </c>
      <c r="B4198" t="s">
        <v>77</v>
      </c>
      <c r="C4198" t="s">
        <v>140</v>
      </c>
      <c r="D4198" t="s">
        <v>90</v>
      </c>
      <c r="E4198" t="s">
        <v>37</v>
      </c>
      <c r="F4198" t="s">
        <v>22</v>
      </c>
      <c r="G4198" t="s">
        <v>31</v>
      </c>
      <c r="H4198" s="1">
        <v>44308</v>
      </c>
      <c r="I4198" s="2">
        <v>44312.3791666667</v>
      </c>
      <c r="J4198">
        <v>105.1</v>
      </c>
      <c r="K4198" t="s">
        <v>32</v>
      </c>
      <c r="L4198">
        <v>0</v>
      </c>
      <c r="M4198">
        <v>5</v>
      </c>
      <c r="N4198" t="s">
        <v>426</v>
      </c>
      <c r="O4198" s="3" t="str">
        <f>TEXT(Ticket_Table[[#This Row],[raised_date]],"YYYY-MM")</f>
        <v>2021-04</v>
      </c>
      <c r="P4198" s="3" t="str">
        <f>IF(Ticket_Table[[#This Row],[resolution_hrs]]&lt;=4,"Fast",IF(Ticket_Table[[#This Row],[resolution_hrs]]&lt;=24,"Normal",IF(Ticket_Table[[#This Row],[resolution_hrs]]&lt;=48,"Slow","Very Slow")))</f>
        <v>Very Slow</v>
      </c>
      <c r="Q4198" s="3">
        <f>YEAR(Ticket_Table[[#This Row],[raised_date]])</f>
        <v>2021</v>
      </c>
    </row>
    <row r="4199" spans="1:17">
      <c r="A4199" t="s">
        <v>4760</v>
      </c>
      <c r="B4199" t="s">
        <v>318</v>
      </c>
      <c r="C4199" t="s">
        <v>102</v>
      </c>
      <c r="D4199" t="s">
        <v>43</v>
      </c>
      <c r="E4199" t="s">
        <v>83</v>
      </c>
      <c r="F4199" t="s">
        <v>70</v>
      </c>
      <c r="G4199" t="s">
        <v>31</v>
      </c>
      <c r="H4199" s="1">
        <v>44694</v>
      </c>
      <c r="I4199" s="2">
        <v>44695.1041666667</v>
      </c>
      <c r="J4199">
        <v>26.5</v>
      </c>
      <c r="K4199" t="s">
        <v>24</v>
      </c>
      <c r="L4199">
        <v>2</v>
      </c>
      <c r="M4199">
        <v>5</v>
      </c>
      <c r="N4199" t="s">
        <v>554</v>
      </c>
      <c r="O4199" s="3" t="str">
        <f>TEXT(Ticket_Table[[#This Row],[raised_date]],"YYYY-MM")</f>
        <v>2022-05</v>
      </c>
      <c r="P4199" s="3" t="str">
        <f>IF(Ticket_Table[[#This Row],[resolution_hrs]]&lt;=4,"Fast",IF(Ticket_Table[[#This Row],[resolution_hrs]]&lt;=24,"Normal",IF(Ticket_Table[[#This Row],[resolution_hrs]]&lt;=48,"Slow","Very Slow")))</f>
        <v>Slow</v>
      </c>
      <c r="Q4199" s="3">
        <f>YEAR(Ticket_Table[[#This Row],[raised_date]])</f>
        <v>2022</v>
      </c>
    </row>
    <row r="4200" spans="1:17">
      <c r="A4200" t="s">
        <v>4761</v>
      </c>
      <c r="B4200" t="s">
        <v>401</v>
      </c>
      <c r="C4200" t="s">
        <v>68</v>
      </c>
      <c r="D4200" t="s">
        <v>29</v>
      </c>
      <c r="E4200" t="s">
        <v>37</v>
      </c>
      <c r="F4200" t="s">
        <v>45</v>
      </c>
      <c r="G4200" t="s">
        <v>23</v>
      </c>
      <c r="H4200" s="1">
        <v>44499</v>
      </c>
      <c r="I4200" s="2">
        <v>44499.1958333333</v>
      </c>
      <c r="J4200">
        <v>4.7</v>
      </c>
      <c r="K4200" t="s">
        <v>32</v>
      </c>
      <c r="L4200">
        <v>0</v>
      </c>
      <c r="M4200">
        <v>5</v>
      </c>
      <c r="N4200" t="s">
        <v>1063</v>
      </c>
      <c r="O4200" s="3" t="str">
        <f>TEXT(Ticket_Table[[#This Row],[raised_date]],"YYYY-MM")</f>
        <v>2021-10</v>
      </c>
      <c r="P4200" s="3" t="str">
        <f>IF(Ticket_Table[[#This Row],[resolution_hrs]]&lt;=4,"Fast",IF(Ticket_Table[[#This Row],[resolution_hrs]]&lt;=24,"Normal",IF(Ticket_Table[[#This Row],[resolution_hrs]]&lt;=48,"Slow","Very Slow")))</f>
        <v>Normal</v>
      </c>
      <c r="Q4200" s="3">
        <f>YEAR(Ticket_Table[[#This Row],[raised_date]])</f>
        <v>2021</v>
      </c>
    </row>
    <row r="4201" spans="1:17">
      <c r="A4201" t="s">
        <v>4762</v>
      </c>
      <c r="B4201" t="s">
        <v>586</v>
      </c>
      <c r="C4201" t="s">
        <v>261</v>
      </c>
      <c r="D4201" t="s">
        <v>43</v>
      </c>
      <c r="E4201" t="s">
        <v>56</v>
      </c>
      <c r="F4201" t="s">
        <v>70</v>
      </c>
      <c r="G4201" t="s">
        <v>31</v>
      </c>
      <c r="H4201" s="1">
        <v>44786</v>
      </c>
      <c r="I4201" s="2">
        <v>44786.6166666667</v>
      </c>
      <c r="J4201">
        <v>14.8</v>
      </c>
      <c r="K4201" t="s">
        <v>24</v>
      </c>
      <c r="L4201">
        <v>2</v>
      </c>
      <c r="M4201">
        <v>3</v>
      </c>
      <c r="N4201" t="s">
        <v>182</v>
      </c>
      <c r="O4201" s="3" t="str">
        <f>TEXT(Ticket_Table[[#This Row],[raised_date]],"YYYY-MM")</f>
        <v>2022-08</v>
      </c>
      <c r="P4201" s="3" t="str">
        <f>IF(Ticket_Table[[#This Row],[resolution_hrs]]&lt;=4,"Fast",IF(Ticket_Table[[#This Row],[resolution_hrs]]&lt;=24,"Normal",IF(Ticket_Table[[#This Row],[resolution_hrs]]&lt;=48,"Slow","Very Slow")))</f>
        <v>Normal</v>
      </c>
      <c r="Q4201" s="3">
        <f>YEAR(Ticket_Table[[#This Row],[raised_date]])</f>
        <v>2022</v>
      </c>
    </row>
    <row r="4202" spans="1:17">
      <c r="A4202" t="s">
        <v>4763</v>
      </c>
      <c r="B4202" t="s">
        <v>152</v>
      </c>
      <c r="C4202" t="s">
        <v>95</v>
      </c>
      <c r="D4202" t="s">
        <v>90</v>
      </c>
      <c r="E4202" t="s">
        <v>106</v>
      </c>
      <c r="F4202" t="s">
        <v>22</v>
      </c>
      <c r="G4202" t="s">
        <v>23</v>
      </c>
      <c r="H4202" s="1">
        <v>44225</v>
      </c>
      <c r="I4202" s="2">
        <v>44229.3</v>
      </c>
      <c r="J4202">
        <v>103.2</v>
      </c>
      <c r="K4202" t="s">
        <v>32</v>
      </c>
      <c r="L4202">
        <v>1</v>
      </c>
      <c r="M4202">
        <v>4</v>
      </c>
      <c r="N4202" t="s">
        <v>264</v>
      </c>
      <c r="O4202" s="3" t="str">
        <f>TEXT(Ticket_Table[[#This Row],[raised_date]],"YYYY-MM")</f>
        <v>2021-01</v>
      </c>
      <c r="P4202" s="3" t="str">
        <f>IF(Ticket_Table[[#This Row],[resolution_hrs]]&lt;=4,"Fast",IF(Ticket_Table[[#This Row],[resolution_hrs]]&lt;=24,"Normal",IF(Ticket_Table[[#This Row],[resolution_hrs]]&lt;=48,"Slow","Very Slow")))</f>
        <v>Very Slow</v>
      </c>
      <c r="Q4202" s="3">
        <f>YEAR(Ticket_Table[[#This Row],[raised_date]])</f>
        <v>2021</v>
      </c>
    </row>
    <row r="4203" spans="1:17">
      <c r="A4203" t="s">
        <v>4764</v>
      </c>
      <c r="B4203" t="s">
        <v>637</v>
      </c>
      <c r="C4203" t="s">
        <v>95</v>
      </c>
      <c r="D4203" t="s">
        <v>29</v>
      </c>
      <c r="E4203" t="s">
        <v>83</v>
      </c>
      <c r="F4203" t="s">
        <v>70</v>
      </c>
      <c r="G4203" t="s">
        <v>31</v>
      </c>
      <c r="H4203" s="1">
        <v>44900</v>
      </c>
      <c r="I4203" s="2">
        <v>44901.9333333333</v>
      </c>
      <c r="J4203">
        <v>46.4</v>
      </c>
      <c r="K4203" t="s">
        <v>24</v>
      </c>
      <c r="L4203">
        <v>3</v>
      </c>
      <c r="M4203">
        <v>3</v>
      </c>
      <c r="N4203" t="s">
        <v>968</v>
      </c>
      <c r="O4203" s="3" t="str">
        <f>TEXT(Ticket_Table[[#This Row],[raised_date]],"YYYY-MM")</f>
        <v>2022-12</v>
      </c>
      <c r="P4203" s="3" t="str">
        <f>IF(Ticket_Table[[#This Row],[resolution_hrs]]&lt;=4,"Fast",IF(Ticket_Table[[#This Row],[resolution_hrs]]&lt;=24,"Normal",IF(Ticket_Table[[#This Row],[resolution_hrs]]&lt;=48,"Slow","Very Slow")))</f>
        <v>Slow</v>
      </c>
      <c r="Q4203" s="3">
        <f>YEAR(Ticket_Table[[#This Row],[raised_date]])</f>
        <v>2022</v>
      </c>
    </row>
    <row r="4204" spans="1:17">
      <c r="A4204" t="s">
        <v>4765</v>
      </c>
      <c r="B4204" t="s">
        <v>487</v>
      </c>
      <c r="C4204" t="s">
        <v>55</v>
      </c>
      <c r="D4204" t="s">
        <v>20</v>
      </c>
      <c r="E4204" t="s">
        <v>30</v>
      </c>
      <c r="F4204" t="s">
        <v>38</v>
      </c>
      <c r="G4204" t="s">
        <v>23</v>
      </c>
      <c r="H4204" s="1">
        <v>44424</v>
      </c>
      <c r="I4204" s="2">
        <v>44425.45</v>
      </c>
      <c r="J4204">
        <v>34.8</v>
      </c>
      <c r="K4204" t="s">
        <v>32</v>
      </c>
      <c r="L4204">
        <v>2</v>
      </c>
      <c r="M4204">
        <v>4</v>
      </c>
      <c r="N4204" t="s">
        <v>884</v>
      </c>
      <c r="O4204" s="3" t="str">
        <f>TEXT(Ticket_Table[[#This Row],[raised_date]],"YYYY-MM")</f>
        <v>2021-08</v>
      </c>
      <c r="P4204" s="3" t="str">
        <f>IF(Ticket_Table[[#This Row],[resolution_hrs]]&lt;=4,"Fast",IF(Ticket_Table[[#This Row],[resolution_hrs]]&lt;=24,"Normal",IF(Ticket_Table[[#This Row],[resolution_hrs]]&lt;=48,"Slow","Very Slow")))</f>
        <v>Slow</v>
      </c>
      <c r="Q4204" s="3">
        <f>YEAR(Ticket_Table[[#This Row],[raised_date]])</f>
        <v>2021</v>
      </c>
    </row>
    <row r="4205" spans="1:17">
      <c r="A4205" t="s">
        <v>4766</v>
      </c>
      <c r="B4205" t="s">
        <v>245</v>
      </c>
      <c r="C4205" t="s">
        <v>95</v>
      </c>
      <c r="D4205" t="s">
        <v>20</v>
      </c>
      <c r="E4205" t="s">
        <v>44</v>
      </c>
      <c r="F4205" t="s">
        <v>22</v>
      </c>
      <c r="G4205" t="s">
        <v>23</v>
      </c>
      <c r="H4205" s="1">
        <v>44821</v>
      </c>
      <c r="I4205" s="2">
        <v>44824.9541666667</v>
      </c>
      <c r="J4205">
        <v>94.9</v>
      </c>
      <c r="K4205" t="s">
        <v>32</v>
      </c>
      <c r="L4205">
        <v>1</v>
      </c>
      <c r="M4205">
        <v>5</v>
      </c>
      <c r="N4205" t="s">
        <v>824</v>
      </c>
      <c r="O4205" s="3" t="str">
        <f>TEXT(Ticket_Table[[#This Row],[raised_date]],"YYYY-MM")</f>
        <v>2022-09</v>
      </c>
      <c r="P4205" s="3" t="str">
        <f>IF(Ticket_Table[[#This Row],[resolution_hrs]]&lt;=4,"Fast",IF(Ticket_Table[[#This Row],[resolution_hrs]]&lt;=24,"Normal",IF(Ticket_Table[[#This Row],[resolution_hrs]]&lt;=48,"Slow","Very Slow")))</f>
        <v>Very Slow</v>
      </c>
      <c r="Q4205" s="3">
        <f>YEAR(Ticket_Table[[#This Row],[raised_date]])</f>
        <v>2022</v>
      </c>
    </row>
    <row r="4206" spans="1:17">
      <c r="A4206" t="s">
        <v>4767</v>
      </c>
      <c r="B4206" t="s">
        <v>478</v>
      </c>
      <c r="C4206" t="s">
        <v>287</v>
      </c>
      <c r="D4206" t="s">
        <v>20</v>
      </c>
      <c r="E4206" t="s">
        <v>30</v>
      </c>
      <c r="F4206" t="s">
        <v>45</v>
      </c>
      <c r="G4206" t="s">
        <v>91</v>
      </c>
      <c r="H4206" s="1">
        <v>45118</v>
      </c>
      <c r="I4206" s="2">
        <v>45118.1833333333</v>
      </c>
      <c r="J4206">
        <v>4.4</v>
      </c>
      <c r="K4206" t="s">
        <v>32</v>
      </c>
      <c r="L4206">
        <v>1</v>
      </c>
      <c r="M4206">
        <v>3</v>
      </c>
      <c r="N4206" t="s">
        <v>787</v>
      </c>
      <c r="O4206" s="3" t="str">
        <f>TEXT(Ticket_Table[[#This Row],[raised_date]],"YYYY-MM")</f>
        <v>2023-07</v>
      </c>
      <c r="P4206" s="3" t="str">
        <f>IF(Ticket_Table[[#This Row],[resolution_hrs]]&lt;=4,"Fast",IF(Ticket_Table[[#This Row],[resolution_hrs]]&lt;=24,"Normal",IF(Ticket_Table[[#This Row],[resolution_hrs]]&lt;=48,"Slow","Very Slow")))</f>
        <v>Normal</v>
      </c>
      <c r="Q4206" s="3">
        <f>YEAR(Ticket_Table[[#This Row],[raised_date]])</f>
        <v>2023</v>
      </c>
    </row>
    <row r="4207" spans="1:17">
      <c r="A4207" t="s">
        <v>4768</v>
      </c>
      <c r="B4207" t="s">
        <v>487</v>
      </c>
      <c r="C4207" t="s">
        <v>60</v>
      </c>
      <c r="D4207" t="s">
        <v>29</v>
      </c>
      <c r="E4207" t="s">
        <v>21</v>
      </c>
      <c r="F4207" t="s">
        <v>38</v>
      </c>
      <c r="G4207" t="s">
        <v>31</v>
      </c>
      <c r="H4207" s="1">
        <v>45161</v>
      </c>
      <c r="I4207" s="2">
        <v>45162.3541666667</v>
      </c>
      <c r="J4207">
        <v>32.5</v>
      </c>
      <c r="K4207" t="s">
        <v>32</v>
      </c>
      <c r="L4207">
        <v>1</v>
      </c>
      <c r="M4207">
        <v>5</v>
      </c>
      <c r="N4207" t="s">
        <v>73</v>
      </c>
      <c r="O4207" s="3" t="str">
        <f>TEXT(Ticket_Table[[#This Row],[raised_date]],"YYYY-MM")</f>
        <v>2023-08</v>
      </c>
      <c r="P4207" s="3" t="str">
        <f>IF(Ticket_Table[[#This Row],[resolution_hrs]]&lt;=4,"Fast",IF(Ticket_Table[[#This Row],[resolution_hrs]]&lt;=24,"Normal",IF(Ticket_Table[[#This Row],[resolution_hrs]]&lt;=48,"Slow","Very Slow")))</f>
        <v>Slow</v>
      </c>
      <c r="Q4207" s="3">
        <f>YEAR(Ticket_Table[[#This Row],[raised_date]])</f>
        <v>2023</v>
      </c>
    </row>
    <row r="4208" spans="1:17">
      <c r="A4208" t="s">
        <v>4769</v>
      </c>
      <c r="B4208" t="s">
        <v>608</v>
      </c>
      <c r="C4208" t="s">
        <v>95</v>
      </c>
      <c r="D4208" t="s">
        <v>20</v>
      </c>
      <c r="E4208" t="s">
        <v>166</v>
      </c>
      <c r="F4208" t="s">
        <v>22</v>
      </c>
      <c r="G4208" t="s">
        <v>31</v>
      </c>
      <c r="H4208" s="1">
        <v>44243</v>
      </c>
      <c r="I4208" s="2">
        <v>44245.0458333333</v>
      </c>
      <c r="J4208">
        <v>49.1</v>
      </c>
      <c r="K4208" t="s">
        <v>24</v>
      </c>
      <c r="L4208">
        <v>1</v>
      </c>
      <c r="M4208">
        <v>4</v>
      </c>
      <c r="N4208" t="s">
        <v>552</v>
      </c>
      <c r="O4208" s="3" t="str">
        <f>TEXT(Ticket_Table[[#This Row],[raised_date]],"YYYY-MM")</f>
        <v>2021-02</v>
      </c>
      <c r="P4208" s="3" t="str">
        <f>IF(Ticket_Table[[#This Row],[resolution_hrs]]&lt;=4,"Fast",IF(Ticket_Table[[#This Row],[resolution_hrs]]&lt;=24,"Normal",IF(Ticket_Table[[#This Row],[resolution_hrs]]&lt;=48,"Slow","Very Slow")))</f>
        <v>Very Slow</v>
      </c>
      <c r="Q4208" s="3">
        <f>YEAR(Ticket_Table[[#This Row],[raised_date]])</f>
        <v>2021</v>
      </c>
    </row>
    <row r="4209" spans="1:17">
      <c r="A4209" t="s">
        <v>4770</v>
      </c>
      <c r="B4209" t="s">
        <v>424</v>
      </c>
      <c r="C4209" t="s">
        <v>64</v>
      </c>
      <c r="D4209" t="s">
        <v>43</v>
      </c>
      <c r="E4209" t="s">
        <v>56</v>
      </c>
      <c r="F4209" t="s">
        <v>38</v>
      </c>
      <c r="G4209" t="s">
        <v>23</v>
      </c>
      <c r="H4209" s="1">
        <v>44876</v>
      </c>
      <c r="I4209" s="2">
        <v>44877.4375</v>
      </c>
      <c r="J4209">
        <v>34.5</v>
      </c>
      <c r="K4209" t="s">
        <v>32</v>
      </c>
      <c r="L4209">
        <v>1</v>
      </c>
      <c r="M4209">
        <v>3</v>
      </c>
      <c r="N4209" t="s">
        <v>616</v>
      </c>
      <c r="O4209" s="3" t="str">
        <f>TEXT(Ticket_Table[[#This Row],[raised_date]],"YYYY-MM")</f>
        <v>2022-11</v>
      </c>
      <c r="P4209" s="3" t="str">
        <f>IF(Ticket_Table[[#This Row],[resolution_hrs]]&lt;=4,"Fast",IF(Ticket_Table[[#This Row],[resolution_hrs]]&lt;=24,"Normal",IF(Ticket_Table[[#This Row],[resolution_hrs]]&lt;=48,"Slow","Very Slow")))</f>
        <v>Slow</v>
      </c>
      <c r="Q4209" s="3">
        <f>YEAR(Ticket_Table[[#This Row],[raised_date]])</f>
        <v>2022</v>
      </c>
    </row>
    <row r="4210" spans="1:17">
      <c r="A4210" t="s">
        <v>4771</v>
      </c>
      <c r="B4210" t="s">
        <v>105</v>
      </c>
      <c r="C4210" t="s">
        <v>261</v>
      </c>
      <c r="D4210" t="s">
        <v>29</v>
      </c>
      <c r="E4210" t="s">
        <v>106</v>
      </c>
      <c r="F4210" t="s">
        <v>70</v>
      </c>
      <c r="G4210" t="s">
        <v>91</v>
      </c>
      <c r="H4210" s="1">
        <v>44625</v>
      </c>
      <c r="I4210" s="2">
        <v>44626.6</v>
      </c>
      <c r="J4210">
        <v>38.4</v>
      </c>
      <c r="K4210" t="s">
        <v>24</v>
      </c>
      <c r="L4210">
        <v>1</v>
      </c>
      <c r="M4210">
        <v>3</v>
      </c>
      <c r="N4210" t="s">
        <v>588</v>
      </c>
      <c r="O4210" s="3" t="str">
        <f>TEXT(Ticket_Table[[#This Row],[raised_date]],"YYYY-MM")</f>
        <v>2022-03</v>
      </c>
      <c r="P4210" s="3" t="str">
        <f>IF(Ticket_Table[[#This Row],[resolution_hrs]]&lt;=4,"Fast",IF(Ticket_Table[[#This Row],[resolution_hrs]]&lt;=24,"Normal",IF(Ticket_Table[[#This Row],[resolution_hrs]]&lt;=48,"Slow","Very Slow")))</f>
        <v>Slow</v>
      </c>
      <c r="Q4210" s="3">
        <f>YEAR(Ticket_Table[[#This Row],[raised_date]])</f>
        <v>2022</v>
      </c>
    </row>
    <row r="4211" spans="1:17">
      <c r="A4211" t="s">
        <v>4772</v>
      </c>
      <c r="B4211" t="s">
        <v>506</v>
      </c>
      <c r="C4211" t="s">
        <v>175</v>
      </c>
      <c r="D4211" t="s">
        <v>29</v>
      </c>
      <c r="E4211" t="s">
        <v>30</v>
      </c>
      <c r="F4211" t="s">
        <v>70</v>
      </c>
      <c r="G4211" t="s">
        <v>31</v>
      </c>
      <c r="H4211" s="1">
        <v>44630</v>
      </c>
      <c r="I4211" s="2">
        <v>44630.825</v>
      </c>
      <c r="J4211">
        <v>19.8</v>
      </c>
      <c r="K4211" t="s">
        <v>24</v>
      </c>
      <c r="L4211">
        <v>0</v>
      </c>
      <c r="M4211">
        <v>2</v>
      </c>
      <c r="N4211" t="s">
        <v>353</v>
      </c>
      <c r="O4211" s="3" t="str">
        <f>TEXT(Ticket_Table[[#This Row],[raised_date]],"YYYY-MM")</f>
        <v>2022-03</v>
      </c>
      <c r="P4211" s="3" t="str">
        <f>IF(Ticket_Table[[#This Row],[resolution_hrs]]&lt;=4,"Fast",IF(Ticket_Table[[#This Row],[resolution_hrs]]&lt;=24,"Normal",IF(Ticket_Table[[#This Row],[resolution_hrs]]&lt;=48,"Slow","Very Slow")))</f>
        <v>Normal</v>
      </c>
      <c r="Q4211" s="3">
        <f>YEAR(Ticket_Table[[#This Row],[raised_date]])</f>
        <v>2022</v>
      </c>
    </row>
    <row r="4212" spans="1:17">
      <c r="A4212" t="s">
        <v>4773</v>
      </c>
      <c r="B4212" t="s">
        <v>895</v>
      </c>
      <c r="C4212" t="s">
        <v>175</v>
      </c>
      <c r="D4212" t="s">
        <v>29</v>
      </c>
      <c r="E4212" t="s">
        <v>83</v>
      </c>
      <c r="F4212" t="s">
        <v>38</v>
      </c>
      <c r="G4212" t="s">
        <v>23</v>
      </c>
      <c r="H4212" s="1">
        <v>44614</v>
      </c>
      <c r="I4212" s="2">
        <v>44615.0333333333</v>
      </c>
      <c r="J4212">
        <v>24.8</v>
      </c>
      <c r="K4212" t="s">
        <v>32</v>
      </c>
      <c r="L4212">
        <v>0</v>
      </c>
      <c r="M4212">
        <v>4</v>
      </c>
      <c r="N4212" t="s">
        <v>1195</v>
      </c>
      <c r="O4212" s="3" t="str">
        <f>TEXT(Ticket_Table[[#This Row],[raised_date]],"YYYY-MM")</f>
        <v>2022-02</v>
      </c>
      <c r="P4212" s="3" t="str">
        <f>IF(Ticket_Table[[#This Row],[resolution_hrs]]&lt;=4,"Fast",IF(Ticket_Table[[#This Row],[resolution_hrs]]&lt;=24,"Normal",IF(Ticket_Table[[#This Row],[resolution_hrs]]&lt;=48,"Slow","Very Slow")))</f>
        <v>Slow</v>
      </c>
      <c r="Q4212" s="3">
        <f>YEAR(Ticket_Table[[#This Row],[raised_date]])</f>
        <v>2022</v>
      </c>
    </row>
    <row r="4213" spans="1:17">
      <c r="A4213" t="s">
        <v>4774</v>
      </c>
      <c r="B4213" t="s">
        <v>75</v>
      </c>
      <c r="C4213" t="s">
        <v>60</v>
      </c>
      <c r="D4213" t="s">
        <v>36</v>
      </c>
      <c r="E4213" t="s">
        <v>56</v>
      </c>
      <c r="F4213" t="s">
        <v>45</v>
      </c>
      <c r="G4213" t="s">
        <v>31</v>
      </c>
      <c r="H4213" s="1">
        <v>45268</v>
      </c>
      <c r="I4213" s="2">
        <v>45268.225</v>
      </c>
      <c r="J4213">
        <v>5.4</v>
      </c>
      <c r="K4213" t="s">
        <v>32</v>
      </c>
      <c r="L4213">
        <v>0</v>
      </c>
      <c r="M4213">
        <v>3</v>
      </c>
      <c r="N4213" t="s">
        <v>1016</v>
      </c>
      <c r="O4213" s="3" t="str">
        <f>TEXT(Ticket_Table[[#This Row],[raised_date]],"YYYY-MM")</f>
        <v>2023-12</v>
      </c>
      <c r="P4213" s="3" t="str">
        <f>IF(Ticket_Table[[#This Row],[resolution_hrs]]&lt;=4,"Fast",IF(Ticket_Table[[#This Row],[resolution_hrs]]&lt;=24,"Normal",IF(Ticket_Table[[#This Row],[resolution_hrs]]&lt;=48,"Slow","Very Slow")))</f>
        <v>Normal</v>
      </c>
      <c r="Q4213" s="3">
        <f>YEAR(Ticket_Table[[#This Row],[raised_date]])</f>
        <v>2023</v>
      </c>
    </row>
    <row r="4214" spans="1:17">
      <c r="A4214" t="s">
        <v>4775</v>
      </c>
      <c r="B4214" t="s">
        <v>450</v>
      </c>
      <c r="C4214" t="s">
        <v>50</v>
      </c>
      <c r="D4214" t="s">
        <v>90</v>
      </c>
      <c r="E4214" t="s">
        <v>44</v>
      </c>
      <c r="F4214" t="s">
        <v>22</v>
      </c>
      <c r="G4214" t="s">
        <v>46</v>
      </c>
      <c r="H4214" s="1">
        <v>44726</v>
      </c>
      <c r="I4214" s="2">
        <v>44727.7833333333</v>
      </c>
      <c r="J4214">
        <v>42.8</v>
      </c>
      <c r="K4214" t="s">
        <v>24</v>
      </c>
      <c r="L4214">
        <v>0</v>
      </c>
      <c r="M4214">
        <v>4</v>
      </c>
      <c r="N4214" t="s">
        <v>403</v>
      </c>
      <c r="O4214" s="3" t="str">
        <f>TEXT(Ticket_Table[[#This Row],[raised_date]],"YYYY-MM")</f>
        <v>2022-06</v>
      </c>
      <c r="P4214" s="3" t="str">
        <f>IF(Ticket_Table[[#This Row],[resolution_hrs]]&lt;=4,"Fast",IF(Ticket_Table[[#This Row],[resolution_hrs]]&lt;=24,"Normal",IF(Ticket_Table[[#This Row],[resolution_hrs]]&lt;=48,"Slow","Very Slow")))</f>
        <v>Slow</v>
      </c>
      <c r="Q4214" s="3">
        <f>YEAR(Ticket_Table[[#This Row],[raised_date]])</f>
        <v>2022</v>
      </c>
    </row>
    <row r="4215" spans="1:17">
      <c r="A4215" t="s">
        <v>4776</v>
      </c>
      <c r="B4215" t="s">
        <v>315</v>
      </c>
      <c r="C4215" t="s">
        <v>287</v>
      </c>
      <c r="D4215" t="s">
        <v>36</v>
      </c>
      <c r="E4215" t="s">
        <v>106</v>
      </c>
      <c r="F4215" t="s">
        <v>70</v>
      </c>
      <c r="G4215" t="s">
        <v>46</v>
      </c>
      <c r="H4215" s="1">
        <v>45186</v>
      </c>
      <c r="I4215" s="2">
        <v>45187.275</v>
      </c>
      <c r="J4215">
        <v>30.6</v>
      </c>
      <c r="K4215" t="s">
        <v>24</v>
      </c>
      <c r="L4215">
        <v>0</v>
      </c>
      <c r="M4215">
        <v>4</v>
      </c>
      <c r="N4215" t="s">
        <v>914</v>
      </c>
      <c r="O4215" s="3" t="str">
        <f>TEXT(Ticket_Table[[#This Row],[raised_date]],"YYYY-MM")</f>
        <v>2023-09</v>
      </c>
      <c r="P4215" s="3" t="str">
        <f>IF(Ticket_Table[[#This Row],[resolution_hrs]]&lt;=4,"Fast",IF(Ticket_Table[[#This Row],[resolution_hrs]]&lt;=24,"Normal",IF(Ticket_Table[[#This Row],[resolution_hrs]]&lt;=48,"Slow","Very Slow")))</f>
        <v>Slow</v>
      </c>
      <c r="Q4215" s="3">
        <f>YEAR(Ticket_Table[[#This Row],[raised_date]])</f>
        <v>2023</v>
      </c>
    </row>
    <row r="4216" spans="1:17">
      <c r="A4216" t="s">
        <v>4777</v>
      </c>
      <c r="B4216" t="s">
        <v>756</v>
      </c>
      <c r="C4216" t="s">
        <v>19</v>
      </c>
      <c r="D4216" t="s">
        <v>36</v>
      </c>
      <c r="E4216" t="s">
        <v>69</v>
      </c>
      <c r="F4216" t="s">
        <v>70</v>
      </c>
      <c r="G4216" t="s">
        <v>23</v>
      </c>
      <c r="H4216" s="1">
        <v>44486</v>
      </c>
      <c r="I4216" s="2">
        <v>44488.9833333333</v>
      </c>
      <c r="J4216">
        <v>71.6</v>
      </c>
      <c r="K4216" t="s">
        <v>32</v>
      </c>
      <c r="L4216">
        <v>1</v>
      </c>
      <c r="M4216">
        <v>4</v>
      </c>
      <c r="N4216" t="s">
        <v>929</v>
      </c>
      <c r="O4216" s="3" t="str">
        <f>TEXT(Ticket_Table[[#This Row],[raised_date]],"YYYY-MM")</f>
        <v>2021-10</v>
      </c>
      <c r="P4216" s="3" t="str">
        <f>IF(Ticket_Table[[#This Row],[resolution_hrs]]&lt;=4,"Fast",IF(Ticket_Table[[#This Row],[resolution_hrs]]&lt;=24,"Normal",IF(Ticket_Table[[#This Row],[resolution_hrs]]&lt;=48,"Slow","Very Slow")))</f>
        <v>Very Slow</v>
      </c>
      <c r="Q4216" s="3">
        <f>YEAR(Ticket_Table[[#This Row],[raised_date]])</f>
        <v>2021</v>
      </c>
    </row>
    <row r="4217" spans="1:17">
      <c r="A4217" t="s">
        <v>4778</v>
      </c>
      <c r="B4217" t="s">
        <v>409</v>
      </c>
      <c r="C4217" t="s">
        <v>78</v>
      </c>
      <c r="D4217" t="s">
        <v>36</v>
      </c>
      <c r="E4217" t="s">
        <v>69</v>
      </c>
      <c r="F4217" t="s">
        <v>70</v>
      </c>
      <c r="G4217" t="s">
        <v>74</v>
      </c>
      <c r="H4217" s="1">
        <v>44234</v>
      </c>
      <c r="I4217" s="2">
        <v>44234.9583333333</v>
      </c>
      <c r="J4217">
        <v>23</v>
      </c>
      <c r="K4217" t="s">
        <v>24</v>
      </c>
      <c r="L4217">
        <v>0</v>
      </c>
      <c r="M4217">
        <v>2</v>
      </c>
      <c r="N4217" t="s">
        <v>594</v>
      </c>
      <c r="O4217" s="3" t="str">
        <f>TEXT(Ticket_Table[[#This Row],[raised_date]],"YYYY-MM")</f>
        <v>2021-02</v>
      </c>
      <c r="P4217" s="3" t="str">
        <f>IF(Ticket_Table[[#This Row],[resolution_hrs]]&lt;=4,"Fast",IF(Ticket_Table[[#This Row],[resolution_hrs]]&lt;=24,"Normal",IF(Ticket_Table[[#This Row],[resolution_hrs]]&lt;=48,"Slow","Very Slow")))</f>
        <v>Normal</v>
      </c>
      <c r="Q4217" s="3">
        <f>YEAR(Ticket_Table[[#This Row],[raised_date]])</f>
        <v>2021</v>
      </c>
    </row>
    <row r="4218" spans="1:17">
      <c r="A4218" t="s">
        <v>4779</v>
      </c>
      <c r="B4218" t="s">
        <v>283</v>
      </c>
      <c r="C4218" t="s">
        <v>213</v>
      </c>
      <c r="D4218" t="s">
        <v>90</v>
      </c>
      <c r="E4218" t="s">
        <v>83</v>
      </c>
      <c r="F4218" t="s">
        <v>70</v>
      </c>
      <c r="G4218" t="s">
        <v>31</v>
      </c>
      <c r="H4218" s="1">
        <v>44968</v>
      </c>
      <c r="I4218" s="2">
        <v>44968.1625</v>
      </c>
      <c r="J4218">
        <v>3.9</v>
      </c>
      <c r="K4218" t="s">
        <v>24</v>
      </c>
      <c r="L4218">
        <v>0</v>
      </c>
      <c r="M4218">
        <v>4</v>
      </c>
      <c r="N4218" t="s">
        <v>412</v>
      </c>
      <c r="O4218" s="3" t="str">
        <f>TEXT(Ticket_Table[[#This Row],[raised_date]],"YYYY-MM")</f>
        <v>2023-02</v>
      </c>
      <c r="P4218" s="3" t="str">
        <f>IF(Ticket_Table[[#This Row],[resolution_hrs]]&lt;=4,"Fast",IF(Ticket_Table[[#This Row],[resolution_hrs]]&lt;=24,"Normal",IF(Ticket_Table[[#This Row],[resolution_hrs]]&lt;=48,"Slow","Very Slow")))</f>
        <v>Fast</v>
      </c>
      <c r="Q4218" s="3">
        <f>YEAR(Ticket_Table[[#This Row],[raised_date]])</f>
        <v>2023</v>
      </c>
    </row>
    <row r="4219" spans="1:17">
      <c r="A4219" t="s">
        <v>4780</v>
      </c>
      <c r="B4219" t="s">
        <v>937</v>
      </c>
      <c r="C4219" t="s">
        <v>50</v>
      </c>
      <c r="D4219" t="s">
        <v>36</v>
      </c>
      <c r="E4219" t="s">
        <v>166</v>
      </c>
      <c r="F4219" t="s">
        <v>22</v>
      </c>
      <c r="G4219" t="s">
        <v>46</v>
      </c>
      <c r="H4219" s="1">
        <v>45275</v>
      </c>
      <c r="I4219" s="2">
        <v>45277.3583333333</v>
      </c>
      <c r="J4219">
        <v>56.6</v>
      </c>
      <c r="K4219" t="s">
        <v>24</v>
      </c>
      <c r="L4219">
        <v>1</v>
      </c>
      <c r="M4219">
        <v>3</v>
      </c>
      <c r="N4219" t="s">
        <v>656</v>
      </c>
      <c r="O4219" s="3" t="str">
        <f>TEXT(Ticket_Table[[#This Row],[raised_date]],"YYYY-MM")</f>
        <v>2023-12</v>
      </c>
      <c r="P4219" s="3" t="str">
        <f>IF(Ticket_Table[[#This Row],[resolution_hrs]]&lt;=4,"Fast",IF(Ticket_Table[[#This Row],[resolution_hrs]]&lt;=24,"Normal",IF(Ticket_Table[[#This Row],[resolution_hrs]]&lt;=48,"Slow","Very Slow")))</f>
        <v>Very Slow</v>
      </c>
      <c r="Q4219" s="3">
        <f>YEAR(Ticket_Table[[#This Row],[raised_date]])</f>
        <v>2023</v>
      </c>
    </row>
    <row r="4220" spans="1:17">
      <c r="A4220" t="s">
        <v>4781</v>
      </c>
      <c r="B4220" t="s">
        <v>413</v>
      </c>
      <c r="C4220" t="s">
        <v>68</v>
      </c>
      <c r="D4220" t="s">
        <v>20</v>
      </c>
      <c r="E4220" t="s">
        <v>69</v>
      </c>
      <c r="F4220" t="s">
        <v>38</v>
      </c>
      <c r="G4220" t="s">
        <v>46</v>
      </c>
      <c r="H4220" s="1">
        <v>44286</v>
      </c>
      <c r="I4220" s="2">
        <v>44286.5416666667</v>
      </c>
      <c r="J4220">
        <v>13</v>
      </c>
      <c r="K4220" t="s">
        <v>24</v>
      </c>
      <c r="L4220">
        <v>2</v>
      </c>
      <c r="M4220">
        <v>5</v>
      </c>
      <c r="N4220" t="s">
        <v>662</v>
      </c>
      <c r="O4220" s="3" t="str">
        <f>TEXT(Ticket_Table[[#This Row],[raised_date]],"YYYY-MM")</f>
        <v>2021-03</v>
      </c>
      <c r="P4220" s="3" t="str">
        <f>IF(Ticket_Table[[#This Row],[resolution_hrs]]&lt;=4,"Fast",IF(Ticket_Table[[#This Row],[resolution_hrs]]&lt;=24,"Normal",IF(Ticket_Table[[#This Row],[resolution_hrs]]&lt;=48,"Slow","Very Slow")))</f>
        <v>Normal</v>
      </c>
      <c r="Q4220" s="3">
        <f>YEAR(Ticket_Table[[#This Row],[raised_date]])</f>
        <v>2021</v>
      </c>
    </row>
    <row r="4221" spans="1:17">
      <c r="A4221" t="s">
        <v>4782</v>
      </c>
      <c r="B4221" t="s">
        <v>124</v>
      </c>
      <c r="C4221" t="s">
        <v>55</v>
      </c>
      <c r="D4221" t="s">
        <v>29</v>
      </c>
      <c r="E4221" t="s">
        <v>56</v>
      </c>
      <c r="F4221" t="s">
        <v>70</v>
      </c>
      <c r="G4221" t="s">
        <v>23</v>
      </c>
      <c r="H4221" s="1">
        <v>44720</v>
      </c>
      <c r="I4221" s="2">
        <v>44721.8541666667</v>
      </c>
      <c r="J4221">
        <v>44.5</v>
      </c>
      <c r="K4221" t="s">
        <v>24</v>
      </c>
      <c r="L4221">
        <v>1</v>
      </c>
      <c r="M4221">
        <v>4</v>
      </c>
      <c r="N4221" t="s">
        <v>442</v>
      </c>
      <c r="O4221" s="3" t="str">
        <f>TEXT(Ticket_Table[[#This Row],[raised_date]],"YYYY-MM")</f>
        <v>2022-06</v>
      </c>
      <c r="P4221" s="3" t="str">
        <f>IF(Ticket_Table[[#This Row],[resolution_hrs]]&lt;=4,"Fast",IF(Ticket_Table[[#This Row],[resolution_hrs]]&lt;=24,"Normal",IF(Ticket_Table[[#This Row],[resolution_hrs]]&lt;=48,"Slow","Very Slow")))</f>
        <v>Slow</v>
      </c>
      <c r="Q4221" s="3">
        <f>YEAR(Ticket_Table[[#This Row],[raised_date]])</f>
        <v>2022</v>
      </c>
    </row>
    <row r="4222" spans="1:17">
      <c r="A4222" t="s">
        <v>4783</v>
      </c>
      <c r="B4222" t="s">
        <v>988</v>
      </c>
      <c r="C4222" t="s">
        <v>213</v>
      </c>
      <c r="D4222" t="s">
        <v>29</v>
      </c>
      <c r="E4222" t="s">
        <v>44</v>
      </c>
      <c r="F4222" t="s">
        <v>22</v>
      </c>
      <c r="G4222" t="s">
        <v>23</v>
      </c>
      <c r="H4222" s="1">
        <v>44545</v>
      </c>
      <c r="I4222" s="2">
        <v>44546.975</v>
      </c>
      <c r="J4222">
        <v>47.4</v>
      </c>
      <c r="K4222" t="s">
        <v>24</v>
      </c>
      <c r="L4222">
        <v>1</v>
      </c>
      <c r="M4222">
        <v>2</v>
      </c>
      <c r="N4222" t="s">
        <v>594</v>
      </c>
      <c r="O4222" s="3" t="str">
        <f>TEXT(Ticket_Table[[#This Row],[raised_date]],"YYYY-MM")</f>
        <v>2021-12</v>
      </c>
      <c r="P4222" s="3" t="str">
        <f>IF(Ticket_Table[[#This Row],[resolution_hrs]]&lt;=4,"Fast",IF(Ticket_Table[[#This Row],[resolution_hrs]]&lt;=24,"Normal",IF(Ticket_Table[[#This Row],[resolution_hrs]]&lt;=48,"Slow","Very Slow")))</f>
        <v>Slow</v>
      </c>
      <c r="Q4222" s="3">
        <f>YEAR(Ticket_Table[[#This Row],[raised_date]])</f>
        <v>2021</v>
      </c>
    </row>
    <row r="4223" spans="1:17">
      <c r="A4223" t="s">
        <v>4784</v>
      </c>
      <c r="B4223" t="s">
        <v>880</v>
      </c>
      <c r="C4223" t="s">
        <v>95</v>
      </c>
      <c r="D4223" t="s">
        <v>43</v>
      </c>
      <c r="E4223" t="s">
        <v>166</v>
      </c>
      <c r="F4223" t="s">
        <v>38</v>
      </c>
      <c r="G4223" t="s">
        <v>46</v>
      </c>
      <c r="H4223" s="1">
        <v>44320</v>
      </c>
      <c r="I4223" s="2">
        <v>44320.7041666667</v>
      </c>
      <c r="J4223">
        <v>16.9</v>
      </c>
      <c r="K4223" t="s">
        <v>24</v>
      </c>
      <c r="L4223">
        <v>0</v>
      </c>
      <c r="M4223">
        <v>4</v>
      </c>
      <c r="N4223" t="s">
        <v>180</v>
      </c>
      <c r="O4223" s="3" t="str">
        <f>TEXT(Ticket_Table[[#This Row],[raised_date]],"YYYY-MM")</f>
        <v>2021-05</v>
      </c>
      <c r="P4223" s="3" t="str">
        <f>IF(Ticket_Table[[#This Row],[resolution_hrs]]&lt;=4,"Fast",IF(Ticket_Table[[#This Row],[resolution_hrs]]&lt;=24,"Normal",IF(Ticket_Table[[#This Row],[resolution_hrs]]&lt;=48,"Slow","Very Slow")))</f>
        <v>Normal</v>
      </c>
      <c r="Q4223" s="3">
        <f>YEAR(Ticket_Table[[#This Row],[raised_date]])</f>
        <v>2021</v>
      </c>
    </row>
    <row r="4224" spans="1:17">
      <c r="A4224" t="s">
        <v>4785</v>
      </c>
      <c r="B4224" t="s">
        <v>796</v>
      </c>
      <c r="C4224" t="s">
        <v>42</v>
      </c>
      <c r="D4224" t="s">
        <v>20</v>
      </c>
      <c r="E4224" t="s">
        <v>37</v>
      </c>
      <c r="F4224" t="s">
        <v>38</v>
      </c>
      <c r="G4224" t="s">
        <v>74</v>
      </c>
      <c r="H4224" s="1">
        <v>44778</v>
      </c>
      <c r="I4224" s="2">
        <v>44779.4541666667</v>
      </c>
      <c r="J4224">
        <v>34.9</v>
      </c>
      <c r="K4224" t="s">
        <v>32</v>
      </c>
      <c r="L4224">
        <v>0</v>
      </c>
      <c r="M4224">
        <v>4</v>
      </c>
      <c r="N4224" t="s">
        <v>346</v>
      </c>
      <c r="O4224" s="3" t="str">
        <f>TEXT(Ticket_Table[[#This Row],[raised_date]],"YYYY-MM")</f>
        <v>2022-08</v>
      </c>
      <c r="P4224" s="3" t="str">
        <f>IF(Ticket_Table[[#This Row],[resolution_hrs]]&lt;=4,"Fast",IF(Ticket_Table[[#This Row],[resolution_hrs]]&lt;=24,"Normal",IF(Ticket_Table[[#This Row],[resolution_hrs]]&lt;=48,"Slow","Very Slow")))</f>
        <v>Slow</v>
      </c>
      <c r="Q4224" s="3">
        <f>YEAR(Ticket_Table[[#This Row],[raised_date]])</f>
        <v>2022</v>
      </c>
    </row>
    <row r="4225" spans="1:17">
      <c r="A4225" t="s">
        <v>4786</v>
      </c>
      <c r="B4225" t="s">
        <v>347</v>
      </c>
      <c r="C4225" t="s">
        <v>55</v>
      </c>
      <c r="D4225" t="s">
        <v>90</v>
      </c>
      <c r="E4225" t="s">
        <v>44</v>
      </c>
      <c r="F4225" t="s">
        <v>70</v>
      </c>
      <c r="G4225" t="s">
        <v>23</v>
      </c>
      <c r="H4225" s="1">
        <v>44608</v>
      </c>
      <c r="I4225" s="2">
        <v>44610.3875</v>
      </c>
      <c r="J4225">
        <v>57.3</v>
      </c>
      <c r="K4225" t="s">
        <v>32</v>
      </c>
      <c r="L4225">
        <v>0</v>
      </c>
      <c r="M4225">
        <v>3</v>
      </c>
      <c r="N4225" t="s">
        <v>1006</v>
      </c>
      <c r="O4225" s="3" t="str">
        <f>TEXT(Ticket_Table[[#This Row],[raised_date]],"YYYY-MM")</f>
        <v>2022-02</v>
      </c>
      <c r="P4225" s="3" t="str">
        <f>IF(Ticket_Table[[#This Row],[resolution_hrs]]&lt;=4,"Fast",IF(Ticket_Table[[#This Row],[resolution_hrs]]&lt;=24,"Normal",IF(Ticket_Table[[#This Row],[resolution_hrs]]&lt;=48,"Slow","Very Slow")))</f>
        <v>Very Slow</v>
      </c>
      <c r="Q4225" s="3">
        <f>YEAR(Ticket_Table[[#This Row],[raised_date]])</f>
        <v>2022</v>
      </c>
    </row>
    <row r="4226" spans="1:17">
      <c r="A4226" t="s">
        <v>4787</v>
      </c>
      <c r="B4226" t="s">
        <v>703</v>
      </c>
      <c r="C4226" t="s">
        <v>213</v>
      </c>
      <c r="D4226" t="s">
        <v>29</v>
      </c>
      <c r="E4226" t="s">
        <v>56</v>
      </c>
      <c r="F4226" t="s">
        <v>22</v>
      </c>
      <c r="G4226" t="s">
        <v>31</v>
      </c>
      <c r="H4226" s="1">
        <v>44752</v>
      </c>
      <c r="I4226" s="2">
        <v>44753.3291666667</v>
      </c>
      <c r="J4226">
        <v>31.9</v>
      </c>
      <c r="K4226" t="s">
        <v>24</v>
      </c>
      <c r="L4226">
        <v>0</v>
      </c>
      <c r="M4226">
        <v>4</v>
      </c>
      <c r="N4226" t="s">
        <v>195</v>
      </c>
      <c r="O4226" s="3" t="str">
        <f>TEXT(Ticket_Table[[#This Row],[raised_date]],"YYYY-MM")</f>
        <v>2022-07</v>
      </c>
      <c r="P4226" s="3" t="str">
        <f>IF(Ticket_Table[[#This Row],[resolution_hrs]]&lt;=4,"Fast",IF(Ticket_Table[[#This Row],[resolution_hrs]]&lt;=24,"Normal",IF(Ticket_Table[[#This Row],[resolution_hrs]]&lt;=48,"Slow","Very Slow")))</f>
        <v>Slow</v>
      </c>
      <c r="Q4226" s="3">
        <f>YEAR(Ticket_Table[[#This Row],[raised_date]])</f>
        <v>2022</v>
      </c>
    </row>
    <row r="4227" spans="1:17">
      <c r="A4227" t="s">
        <v>4788</v>
      </c>
      <c r="B4227" t="s">
        <v>566</v>
      </c>
      <c r="C4227" t="s">
        <v>133</v>
      </c>
      <c r="D4227" t="s">
        <v>36</v>
      </c>
      <c r="E4227" t="s">
        <v>56</v>
      </c>
      <c r="F4227" t="s">
        <v>70</v>
      </c>
      <c r="G4227" t="s">
        <v>31</v>
      </c>
      <c r="H4227" s="1">
        <v>44305</v>
      </c>
      <c r="I4227" s="2">
        <v>44307.9083333333</v>
      </c>
      <c r="J4227">
        <v>69.8</v>
      </c>
      <c r="K4227" t="s">
        <v>32</v>
      </c>
      <c r="L4227">
        <v>0</v>
      </c>
      <c r="M4227">
        <v>4</v>
      </c>
      <c r="N4227" t="s">
        <v>409</v>
      </c>
      <c r="O4227" s="3" t="str">
        <f>TEXT(Ticket_Table[[#This Row],[raised_date]],"YYYY-MM")</f>
        <v>2021-04</v>
      </c>
      <c r="P4227" s="3" t="str">
        <f>IF(Ticket_Table[[#This Row],[resolution_hrs]]&lt;=4,"Fast",IF(Ticket_Table[[#This Row],[resolution_hrs]]&lt;=24,"Normal",IF(Ticket_Table[[#This Row],[resolution_hrs]]&lt;=48,"Slow","Very Slow")))</f>
        <v>Very Slow</v>
      </c>
      <c r="Q4227" s="3">
        <f>YEAR(Ticket_Table[[#This Row],[raised_date]])</f>
        <v>2021</v>
      </c>
    </row>
    <row r="4228" spans="1:17">
      <c r="A4228" t="s">
        <v>4789</v>
      </c>
      <c r="B4228" t="s">
        <v>1067</v>
      </c>
      <c r="C4228" t="s">
        <v>82</v>
      </c>
      <c r="D4228" t="s">
        <v>43</v>
      </c>
      <c r="E4228" t="s">
        <v>21</v>
      </c>
      <c r="F4228" t="s">
        <v>22</v>
      </c>
      <c r="G4228" t="s">
        <v>74</v>
      </c>
      <c r="H4228" s="1">
        <v>45149</v>
      </c>
      <c r="I4228" s="2">
        <v>45151.2666666667</v>
      </c>
      <c r="J4228">
        <v>54.4</v>
      </c>
      <c r="K4228" t="s">
        <v>24</v>
      </c>
      <c r="L4228">
        <v>2</v>
      </c>
      <c r="M4228">
        <v>1</v>
      </c>
      <c r="N4228" t="s">
        <v>127</v>
      </c>
      <c r="O4228" s="3" t="str">
        <f>TEXT(Ticket_Table[[#This Row],[raised_date]],"YYYY-MM")</f>
        <v>2023-08</v>
      </c>
      <c r="P4228" s="3" t="str">
        <f>IF(Ticket_Table[[#This Row],[resolution_hrs]]&lt;=4,"Fast",IF(Ticket_Table[[#This Row],[resolution_hrs]]&lt;=24,"Normal",IF(Ticket_Table[[#This Row],[resolution_hrs]]&lt;=48,"Slow","Very Slow")))</f>
        <v>Very Slow</v>
      </c>
      <c r="Q4228" s="3">
        <f>YEAR(Ticket_Table[[#This Row],[raised_date]])</f>
        <v>2023</v>
      </c>
    </row>
    <row r="4229" spans="1:17">
      <c r="A4229" t="s">
        <v>4790</v>
      </c>
      <c r="B4229" t="s">
        <v>419</v>
      </c>
      <c r="C4229" t="s">
        <v>42</v>
      </c>
      <c r="D4229" t="s">
        <v>43</v>
      </c>
      <c r="E4229" t="s">
        <v>166</v>
      </c>
      <c r="F4229" t="s">
        <v>22</v>
      </c>
      <c r="G4229" t="s">
        <v>23</v>
      </c>
      <c r="H4229" s="1">
        <v>44214</v>
      </c>
      <c r="I4229" s="2">
        <v>44217.1</v>
      </c>
      <c r="J4229">
        <v>74.4</v>
      </c>
      <c r="K4229" t="s">
        <v>32</v>
      </c>
      <c r="L4229">
        <v>1</v>
      </c>
      <c r="M4229">
        <v>1</v>
      </c>
      <c r="N4229" t="s">
        <v>227</v>
      </c>
      <c r="O4229" s="3" t="str">
        <f>TEXT(Ticket_Table[[#This Row],[raised_date]],"YYYY-MM")</f>
        <v>2021-01</v>
      </c>
      <c r="P4229" s="3" t="str">
        <f>IF(Ticket_Table[[#This Row],[resolution_hrs]]&lt;=4,"Fast",IF(Ticket_Table[[#This Row],[resolution_hrs]]&lt;=24,"Normal",IF(Ticket_Table[[#This Row],[resolution_hrs]]&lt;=48,"Slow","Very Slow")))</f>
        <v>Very Slow</v>
      </c>
      <c r="Q4229" s="3">
        <f>YEAR(Ticket_Table[[#This Row],[raised_date]])</f>
        <v>2021</v>
      </c>
    </row>
    <row r="4230" spans="1:17">
      <c r="A4230" t="s">
        <v>4791</v>
      </c>
      <c r="B4230" t="s">
        <v>286</v>
      </c>
      <c r="C4230" t="s">
        <v>201</v>
      </c>
      <c r="D4230" t="s">
        <v>29</v>
      </c>
      <c r="E4230" t="s">
        <v>44</v>
      </c>
      <c r="F4230" t="s">
        <v>38</v>
      </c>
      <c r="G4230" t="s">
        <v>23</v>
      </c>
      <c r="H4230" s="1">
        <v>44333</v>
      </c>
      <c r="I4230" s="2">
        <v>44333.7208333333</v>
      </c>
      <c r="J4230">
        <v>17.3</v>
      </c>
      <c r="K4230" t="s">
        <v>24</v>
      </c>
      <c r="L4230">
        <v>0</v>
      </c>
      <c r="M4230">
        <v>4</v>
      </c>
      <c r="N4230" t="s">
        <v>258</v>
      </c>
      <c r="O4230" s="3" t="str">
        <f>TEXT(Ticket_Table[[#This Row],[raised_date]],"YYYY-MM")</f>
        <v>2021-05</v>
      </c>
      <c r="P4230" s="3" t="str">
        <f>IF(Ticket_Table[[#This Row],[resolution_hrs]]&lt;=4,"Fast",IF(Ticket_Table[[#This Row],[resolution_hrs]]&lt;=24,"Normal",IF(Ticket_Table[[#This Row],[resolution_hrs]]&lt;=48,"Slow","Very Slow")))</f>
        <v>Normal</v>
      </c>
      <c r="Q4230" s="3">
        <f>YEAR(Ticket_Table[[#This Row],[raised_date]])</f>
        <v>2021</v>
      </c>
    </row>
    <row r="4231" spans="1:17">
      <c r="A4231" t="s">
        <v>4792</v>
      </c>
      <c r="B4231" t="s">
        <v>685</v>
      </c>
      <c r="C4231" t="s">
        <v>82</v>
      </c>
      <c r="D4231" t="s">
        <v>20</v>
      </c>
      <c r="E4231" t="s">
        <v>166</v>
      </c>
      <c r="F4231" t="s">
        <v>22</v>
      </c>
      <c r="G4231" t="s">
        <v>23</v>
      </c>
      <c r="H4231" s="1">
        <v>44992</v>
      </c>
      <c r="I4231" s="2">
        <v>44992.7125</v>
      </c>
      <c r="J4231">
        <v>17.1</v>
      </c>
      <c r="K4231" t="s">
        <v>24</v>
      </c>
      <c r="L4231">
        <v>0</v>
      </c>
      <c r="M4231">
        <v>4</v>
      </c>
      <c r="N4231" t="s">
        <v>264</v>
      </c>
      <c r="O4231" s="3" t="str">
        <f>TEXT(Ticket_Table[[#This Row],[raised_date]],"YYYY-MM")</f>
        <v>2023-03</v>
      </c>
      <c r="P4231" s="3" t="str">
        <f>IF(Ticket_Table[[#This Row],[resolution_hrs]]&lt;=4,"Fast",IF(Ticket_Table[[#This Row],[resolution_hrs]]&lt;=24,"Normal",IF(Ticket_Table[[#This Row],[resolution_hrs]]&lt;=48,"Slow","Very Slow")))</f>
        <v>Normal</v>
      </c>
      <c r="Q4231" s="3">
        <f>YEAR(Ticket_Table[[#This Row],[raised_date]])</f>
        <v>2023</v>
      </c>
    </row>
    <row r="4232" spans="1:17">
      <c r="A4232" t="s">
        <v>4793</v>
      </c>
      <c r="B4232" t="s">
        <v>646</v>
      </c>
      <c r="C4232" t="s">
        <v>50</v>
      </c>
      <c r="D4232" t="s">
        <v>43</v>
      </c>
      <c r="E4232" t="s">
        <v>83</v>
      </c>
      <c r="F4232" t="s">
        <v>22</v>
      </c>
      <c r="G4232" t="s">
        <v>31</v>
      </c>
      <c r="H4232" s="1">
        <v>44752</v>
      </c>
      <c r="I4232" s="2">
        <v>44756.35</v>
      </c>
      <c r="J4232">
        <v>104.4</v>
      </c>
      <c r="K4232" t="s">
        <v>32</v>
      </c>
      <c r="L4232">
        <v>0</v>
      </c>
      <c r="M4232">
        <v>5</v>
      </c>
      <c r="N4232" t="s">
        <v>103</v>
      </c>
      <c r="O4232" s="3" t="str">
        <f>TEXT(Ticket_Table[[#This Row],[raised_date]],"YYYY-MM")</f>
        <v>2022-07</v>
      </c>
      <c r="P4232" s="3" t="str">
        <f>IF(Ticket_Table[[#This Row],[resolution_hrs]]&lt;=4,"Fast",IF(Ticket_Table[[#This Row],[resolution_hrs]]&lt;=24,"Normal",IF(Ticket_Table[[#This Row],[resolution_hrs]]&lt;=48,"Slow","Very Slow")))</f>
        <v>Very Slow</v>
      </c>
      <c r="Q4232" s="3">
        <f>YEAR(Ticket_Table[[#This Row],[raised_date]])</f>
        <v>2022</v>
      </c>
    </row>
    <row r="4233" spans="1:17">
      <c r="A4233" t="s">
        <v>4794</v>
      </c>
      <c r="B4233" t="s">
        <v>610</v>
      </c>
      <c r="C4233" t="s">
        <v>102</v>
      </c>
      <c r="D4233" t="s">
        <v>29</v>
      </c>
      <c r="E4233" t="s">
        <v>51</v>
      </c>
      <c r="F4233" t="s">
        <v>22</v>
      </c>
      <c r="G4233" t="s">
        <v>23</v>
      </c>
      <c r="H4233" s="1">
        <v>44934</v>
      </c>
      <c r="I4233" s="2">
        <v>44936.8208333333</v>
      </c>
      <c r="J4233">
        <v>67.7</v>
      </c>
      <c r="K4233" t="s">
        <v>24</v>
      </c>
      <c r="L4233">
        <v>0</v>
      </c>
      <c r="M4233">
        <v>3</v>
      </c>
      <c r="N4233" t="s">
        <v>652</v>
      </c>
      <c r="O4233" s="3" t="str">
        <f>TEXT(Ticket_Table[[#This Row],[raised_date]],"YYYY-MM")</f>
        <v>2023-01</v>
      </c>
      <c r="P4233" s="3" t="str">
        <f>IF(Ticket_Table[[#This Row],[resolution_hrs]]&lt;=4,"Fast",IF(Ticket_Table[[#This Row],[resolution_hrs]]&lt;=24,"Normal",IF(Ticket_Table[[#This Row],[resolution_hrs]]&lt;=48,"Slow","Very Slow")))</f>
        <v>Very Slow</v>
      </c>
      <c r="Q4233" s="3">
        <f>YEAR(Ticket_Table[[#This Row],[raised_date]])</f>
        <v>2023</v>
      </c>
    </row>
    <row r="4234" spans="1:17">
      <c r="A4234" t="s">
        <v>4795</v>
      </c>
      <c r="B4234" t="s">
        <v>876</v>
      </c>
      <c r="C4234" t="s">
        <v>68</v>
      </c>
      <c r="D4234" t="s">
        <v>20</v>
      </c>
      <c r="E4234" t="s">
        <v>166</v>
      </c>
      <c r="F4234" t="s">
        <v>22</v>
      </c>
      <c r="G4234" t="s">
        <v>23</v>
      </c>
      <c r="H4234" s="1">
        <v>44417</v>
      </c>
      <c r="I4234" s="2">
        <v>44420.0041666667</v>
      </c>
      <c r="J4234">
        <v>72.1</v>
      </c>
      <c r="K4234" t="s">
        <v>32</v>
      </c>
      <c r="L4234">
        <v>1</v>
      </c>
      <c r="M4234">
        <v>3</v>
      </c>
      <c r="N4234" t="s">
        <v>1058</v>
      </c>
      <c r="O4234" s="3" t="str">
        <f>TEXT(Ticket_Table[[#This Row],[raised_date]],"YYYY-MM")</f>
        <v>2021-08</v>
      </c>
      <c r="P4234" s="3" t="str">
        <f>IF(Ticket_Table[[#This Row],[resolution_hrs]]&lt;=4,"Fast",IF(Ticket_Table[[#This Row],[resolution_hrs]]&lt;=24,"Normal",IF(Ticket_Table[[#This Row],[resolution_hrs]]&lt;=48,"Slow","Very Slow")))</f>
        <v>Very Slow</v>
      </c>
      <c r="Q4234" s="3">
        <f>YEAR(Ticket_Table[[#This Row],[raised_date]])</f>
        <v>2021</v>
      </c>
    </row>
    <row r="4235" spans="1:17">
      <c r="A4235" t="s">
        <v>4796</v>
      </c>
      <c r="B4235" t="s">
        <v>1857</v>
      </c>
      <c r="C4235" t="s">
        <v>201</v>
      </c>
      <c r="D4235" t="s">
        <v>29</v>
      </c>
      <c r="E4235" t="s">
        <v>69</v>
      </c>
      <c r="F4235" t="s">
        <v>22</v>
      </c>
      <c r="G4235" t="s">
        <v>46</v>
      </c>
      <c r="H4235" s="1">
        <v>44236</v>
      </c>
      <c r="I4235" s="2">
        <v>44237.3958333333</v>
      </c>
      <c r="J4235">
        <v>33.5</v>
      </c>
      <c r="K4235" t="s">
        <v>24</v>
      </c>
      <c r="L4235">
        <v>0</v>
      </c>
      <c r="M4235">
        <v>4</v>
      </c>
      <c r="N4235" t="s">
        <v>937</v>
      </c>
      <c r="O4235" s="3" t="str">
        <f>TEXT(Ticket_Table[[#This Row],[raised_date]],"YYYY-MM")</f>
        <v>2021-02</v>
      </c>
      <c r="P4235" s="3" t="str">
        <f>IF(Ticket_Table[[#This Row],[resolution_hrs]]&lt;=4,"Fast",IF(Ticket_Table[[#This Row],[resolution_hrs]]&lt;=24,"Normal",IF(Ticket_Table[[#This Row],[resolution_hrs]]&lt;=48,"Slow","Very Slow")))</f>
        <v>Slow</v>
      </c>
      <c r="Q4235" s="3">
        <f>YEAR(Ticket_Table[[#This Row],[raised_date]])</f>
        <v>2021</v>
      </c>
    </row>
    <row r="4236" spans="1:17">
      <c r="A4236" t="s">
        <v>4797</v>
      </c>
      <c r="B4236" t="s">
        <v>782</v>
      </c>
      <c r="C4236" t="s">
        <v>68</v>
      </c>
      <c r="D4236" t="s">
        <v>29</v>
      </c>
      <c r="E4236" t="s">
        <v>56</v>
      </c>
      <c r="F4236" t="s">
        <v>45</v>
      </c>
      <c r="G4236" t="s">
        <v>91</v>
      </c>
      <c r="H4236" s="1">
        <v>44796</v>
      </c>
      <c r="I4236" s="2">
        <v>44796.1</v>
      </c>
      <c r="J4236">
        <v>2.4</v>
      </c>
      <c r="K4236" t="s">
        <v>24</v>
      </c>
      <c r="L4236">
        <v>1</v>
      </c>
      <c r="M4236">
        <v>4</v>
      </c>
      <c r="N4236" t="s">
        <v>917</v>
      </c>
      <c r="O4236" s="3" t="str">
        <f>TEXT(Ticket_Table[[#This Row],[raised_date]],"YYYY-MM")</f>
        <v>2022-08</v>
      </c>
      <c r="P4236" s="3" t="str">
        <f>IF(Ticket_Table[[#This Row],[resolution_hrs]]&lt;=4,"Fast",IF(Ticket_Table[[#This Row],[resolution_hrs]]&lt;=24,"Normal",IF(Ticket_Table[[#This Row],[resolution_hrs]]&lt;=48,"Slow","Very Slow")))</f>
        <v>Fast</v>
      </c>
      <c r="Q4236" s="3">
        <f>YEAR(Ticket_Table[[#This Row],[raised_date]])</f>
        <v>2022</v>
      </c>
    </row>
    <row r="4237" spans="1:17">
      <c r="A4237" t="s">
        <v>4798</v>
      </c>
      <c r="B4237" t="s">
        <v>597</v>
      </c>
      <c r="C4237" t="s">
        <v>55</v>
      </c>
      <c r="D4237" t="s">
        <v>20</v>
      </c>
      <c r="E4237" t="s">
        <v>21</v>
      </c>
      <c r="F4237" t="s">
        <v>22</v>
      </c>
      <c r="G4237" t="s">
        <v>23</v>
      </c>
      <c r="H4237" s="1">
        <v>44988</v>
      </c>
      <c r="I4237" s="2">
        <v>44991.6083333333</v>
      </c>
      <c r="J4237">
        <v>86.6</v>
      </c>
      <c r="K4237" t="s">
        <v>32</v>
      </c>
      <c r="L4237">
        <v>1</v>
      </c>
      <c r="M4237">
        <v>4</v>
      </c>
      <c r="N4237" t="s">
        <v>485</v>
      </c>
      <c r="O4237" s="3" t="str">
        <f>TEXT(Ticket_Table[[#This Row],[raised_date]],"YYYY-MM")</f>
        <v>2023-03</v>
      </c>
      <c r="P4237" s="3" t="str">
        <f>IF(Ticket_Table[[#This Row],[resolution_hrs]]&lt;=4,"Fast",IF(Ticket_Table[[#This Row],[resolution_hrs]]&lt;=24,"Normal",IF(Ticket_Table[[#This Row],[resolution_hrs]]&lt;=48,"Slow","Very Slow")))</f>
        <v>Very Slow</v>
      </c>
      <c r="Q4237" s="3">
        <f>YEAR(Ticket_Table[[#This Row],[raised_date]])</f>
        <v>2023</v>
      </c>
    </row>
    <row r="4238" spans="1:17">
      <c r="A4238" t="s">
        <v>4799</v>
      </c>
      <c r="B4238" t="s">
        <v>1195</v>
      </c>
      <c r="C4238" t="s">
        <v>175</v>
      </c>
      <c r="D4238" t="s">
        <v>20</v>
      </c>
      <c r="E4238" t="s">
        <v>37</v>
      </c>
      <c r="F4238" t="s">
        <v>22</v>
      </c>
      <c r="G4238" t="s">
        <v>23</v>
      </c>
      <c r="H4238" s="1">
        <v>44670</v>
      </c>
      <c r="I4238" s="2">
        <v>44670.1125</v>
      </c>
      <c r="J4238">
        <v>2.7</v>
      </c>
      <c r="K4238" t="s">
        <v>24</v>
      </c>
      <c r="L4238">
        <v>0</v>
      </c>
      <c r="M4238">
        <v>3</v>
      </c>
      <c r="N4238" t="s">
        <v>246</v>
      </c>
      <c r="O4238" s="3" t="str">
        <f>TEXT(Ticket_Table[[#This Row],[raised_date]],"YYYY-MM")</f>
        <v>2022-04</v>
      </c>
      <c r="P4238" s="3" t="str">
        <f>IF(Ticket_Table[[#This Row],[resolution_hrs]]&lt;=4,"Fast",IF(Ticket_Table[[#This Row],[resolution_hrs]]&lt;=24,"Normal",IF(Ticket_Table[[#This Row],[resolution_hrs]]&lt;=48,"Slow","Very Slow")))</f>
        <v>Fast</v>
      </c>
      <c r="Q4238" s="3">
        <f>YEAR(Ticket_Table[[#This Row],[raised_date]])</f>
        <v>2022</v>
      </c>
    </row>
    <row r="4239" spans="1:17">
      <c r="A4239" t="s">
        <v>4800</v>
      </c>
      <c r="B4239" t="s">
        <v>118</v>
      </c>
      <c r="C4239" t="s">
        <v>117</v>
      </c>
      <c r="D4239" t="s">
        <v>20</v>
      </c>
      <c r="E4239" t="s">
        <v>21</v>
      </c>
      <c r="F4239" t="s">
        <v>22</v>
      </c>
      <c r="G4239" t="s">
        <v>23</v>
      </c>
      <c r="H4239" s="1">
        <v>44976</v>
      </c>
      <c r="I4239" s="2">
        <v>44976.225</v>
      </c>
      <c r="J4239">
        <v>5.4</v>
      </c>
      <c r="K4239" t="s">
        <v>24</v>
      </c>
      <c r="L4239">
        <v>1</v>
      </c>
      <c r="M4239">
        <v>3</v>
      </c>
      <c r="N4239" t="s">
        <v>172</v>
      </c>
      <c r="O4239" s="3" t="str">
        <f>TEXT(Ticket_Table[[#This Row],[raised_date]],"YYYY-MM")</f>
        <v>2023-02</v>
      </c>
      <c r="P4239" s="3" t="str">
        <f>IF(Ticket_Table[[#This Row],[resolution_hrs]]&lt;=4,"Fast",IF(Ticket_Table[[#This Row],[resolution_hrs]]&lt;=24,"Normal",IF(Ticket_Table[[#This Row],[resolution_hrs]]&lt;=48,"Slow","Very Slow")))</f>
        <v>Normal</v>
      </c>
      <c r="Q4239" s="3">
        <f>YEAR(Ticket_Table[[#This Row],[raised_date]])</f>
        <v>2023</v>
      </c>
    </row>
    <row r="4240" spans="1:17">
      <c r="A4240" t="s">
        <v>4801</v>
      </c>
      <c r="B4240" t="s">
        <v>1297</v>
      </c>
      <c r="C4240" t="s">
        <v>82</v>
      </c>
      <c r="D4240" t="s">
        <v>29</v>
      </c>
      <c r="E4240" t="s">
        <v>44</v>
      </c>
      <c r="F4240" t="s">
        <v>45</v>
      </c>
      <c r="G4240" t="s">
        <v>23</v>
      </c>
      <c r="H4240" s="1">
        <v>45238</v>
      </c>
      <c r="I4240" s="2">
        <v>45238.1</v>
      </c>
      <c r="J4240">
        <v>2.4</v>
      </c>
      <c r="K4240" t="s">
        <v>24</v>
      </c>
      <c r="L4240">
        <v>0</v>
      </c>
      <c r="M4240">
        <v>4</v>
      </c>
      <c r="N4240" t="s">
        <v>435</v>
      </c>
      <c r="O4240" s="3" t="str">
        <f>TEXT(Ticket_Table[[#This Row],[raised_date]],"YYYY-MM")</f>
        <v>2023-11</v>
      </c>
      <c r="P4240" s="3" t="str">
        <f>IF(Ticket_Table[[#This Row],[resolution_hrs]]&lt;=4,"Fast",IF(Ticket_Table[[#This Row],[resolution_hrs]]&lt;=24,"Normal",IF(Ticket_Table[[#This Row],[resolution_hrs]]&lt;=48,"Slow","Very Slow")))</f>
        <v>Fast</v>
      </c>
      <c r="Q4240" s="3">
        <f>YEAR(Ticket_Table[[#This Row],[raised_date]])</f>
        <v>2023</v>
      </c>
    </row>
    <row r="4241" spans="1:17">
      <c r="A4241" t="s">
        <v>4802</v>
      </c>
      <c r="B4241" t="s">
        <v>871</v>
      </c>
      <c r="C4241" t="s">
        <v>50</v>
      </c>
      <c r="D4241" t="s">
        <v>43</v>
      </c>
      <c r="E4241" t="s">
        <v>83</v>
      </c>
      <c r="F4241" t="s">
        <v>70</v>
      </c>
      <c r="G4241" t="s">
        <v>31</v>
      </c>
      <c r="H4241" s="1">
        <v>44400</v>
      </c>
      <c r="I4241" s="2">
        <v>44401.7958333333</v>
      </c>
      <c r="J4241">
        <v>43.1</v>
      </c>
      <c r="K4241" t="s">
        <v>24</v>
      </c>
      <c r="L4241">
        <v>0</v>
      </c>
      <c r="M4241">
        <v>4</v>
      </c>
      <c r="N4241" t="s">
        <v>899</v>
      </c>
      <c r="O4241" s="3" t="str">
        <f>TEXT(Ticket_Table[[#This Row],[raised_date]],"YYYY-MM")</f>
        <v>2021-07</v>
      </c>
      <c r="P4241" s="3" t="str">
        <f>IF(Ticket_Table[[#This Row],[resolution_hrs]]&lt;=4,"Fast",IF(Ticket_Table[[#This Row],[resolution_hrs]]&lt;=24,"Normal",IF(Ticket_Table[[#This Row],[resolution_hrs]]&lt;=48,"Slow","Very Slow")))</f>
        <v>Slow</v>
      </c>
      <c r="Q4241" s="3">
        <f>YEAR(Ticket_Table[[#This Row],[raised_date]])</f>
        <v>2021</v>
      </c>
    </row>
    <row r="4242" spans="1:17">
      <c r="A4242" t="s">
        <v>4803</v>
      </c>
      <c r="B4242" t="s">
        <v>652</v>
      </c>
      <c r="C4242" t="s">
        <v>175</v>
      </c>
      <c r="D4242" t="s">
        <v>90</v>
      </c>
      <c r="E4242" t="s">
        <v>83</v>
      </c>
      <c r="F4242" t="s">
        <v>70</v>
      </c>
      <c r="G4242" t="s">
        <v>74</v>
      </c>
      <c r="H4242" s="1">
        <v>44843</v>
      </c>
      <c r="I4242" s="2">
        <v>44843.2</v>
      </c>
      <c r="J4242">
        <v>4.8</v>
      </c>
      <c r="K4242" t="s">
        <v>24</v>
      </c>
      <c r="L4242">
        <v>0</v>
      </c>
      <c r="M4242">
        <v>2</v>
      </c>
      <c r="N4242" t="s">
        <v>335</v>
      </c>
      <c r="O4242" s="3" t="str">
        <f>TEXT(Ticket_Table[[#This Row],[raised_date]],"YYYY-MM")</f>
        <v>2022-10</v>
      </c>
      <c r="P4242" s="3" t="str">
        <f>IF(Ticket_Table[[#This Row],[resolution_hrs]]&lt;=4,"Fast",IF(Ticket_Table[[#This Row],[resolution_hrs]]&lt;=24,"Normal",IF(Ticket_Table[[#This Row],[resolution_hrs]]&lt;=48,"Slow","Very Slow")))</f>
        <v>Normal</v>
      </c>
      <c r="Q4242" s="3">
        <f>YEAR(Ticket_Table[[#This Row],[raised_date]])</f>
        <v>2022</v>
      </c>
    </row>
    <row r="4243" spans="1:17">
      <c r="A4243" t="s">
        <v>4804</v>
      </c>
      <c r="B4243" t="s">
        <v>1241</v>
      </c>
      <c r="C4243" t="s">
        <v>175</v>
      </c>
      <c r="D4243" t="s">
        <v>90</v>
      </c>
      <c r="E4243" t="s">
        <v>37</v>
      </c>
      <c r="F4243" t="s">
        <v>38</v>
      </c>
      <c r="G4243" t="s">
        <v>31</v>
      </c>
      <c r="H4243" s="1">
        <v>45189</v>
      </c>
      <c r="I4243" s="2">
        <v>45189.4875</v>
      </c>
      <c r="J4243">
        <v>11.7</v>
      </c>
      <c r="K4243" t="s">
        <v>24</v>
      </c>
      <c r="L4243">
        <v>0</v>
      </c>
      <c r="M4243">
        <v>3</v>
      </c>
      <c r="N4243" t="s">
        <v>279</v>
      </c>
      <c r="O4243" s="3" t="str">
        <f>TEXT(Ticket_Table[[#This Row],[raised_date]],"YYYY-MM")</f>
        <v>2023-09</v>
      </c>
      <c r="P4243" s="3" t="str">
        <f>IF(Ticket_Table[[#This Row],[resolution_hrs]]&lt;=4,"Fast",IF(Ticket_Table[[#This Row],[resolution_hrs]]&lt;=24,"Normal",IF(Ticket_Table[[#This Row],[resolution_hrs]]&lt;=48,"Slow","Very Slow")))</f>
        <v>Normal</v>
      </c>
      <c r="Q4243" s="3">
        <f>YEAR(Ticket_Table[[#This Row],[raised_date]])</f>
        <v>2023</v>
      </c>
    </row>
    <row r="4244" spans="1:17">
      <c r="A4244" t="s">
        <v>4805</v>
      </c>
      <c r="B4244" t="s">
        <v>185</v>
      </c>
      <c r="C4244" t="s">
        <v>201</v>
      </c>
      <c r="D4244" t="s">
        <v>29</v>
      </c>
      <c r="E4244" t="s">
        <v>166</v>
      </c>
      <c r="F4244" t="s">
        <v>70</v>
      </c>
      <c r="G4244" t="s">
        <v>23</v>
      </c>
      <c r="H4244" s="1">
        <v>45285</v>
      </c>
      <c r="I4244" s="2">
        <v>45286.3166666667</v>
      </c>
      <c r="J4244">
        <v>31.6</v>
      </c>
      <c r="K4244" t="s">
        <v>24</v>
      </c>
      <c r="L4244">
        <v>0</v>
      </c>
      <c r="M4244">
        <v>5</v>
      </c>
      <c r="N4244" t="s">
        <v>419</v>
      </c>
      <c r="O4244" s="3" t="str">
        <f>TEXT(Ticket_Table[[#This Row],[raised_date]],"YYYY-MM")</f>
        <v>2023-12</v>
      </c>
      <c r="P4244" s="3" t="str">
        <f>IF(Ticket_Table[[#This Row],[resolution_hrs]]&lt;=4,"Fast",IF(Ticket_Table[[#This Row],[resolution_hrs]]&lt;=24,"Normal",IF(Ticket_Table[[#This Row],[resolution_hrs]]&lt;=48,"Slow","Very Slow")))</f>
        <v>Slow</v>
      </c>
      <c r="Q4244" s="3">
        <f>YEAR(Ticket_Table[[#This Row],[raised_date]])</f>
        <v>2023</v>
      </c>
    </row>
    <row r="4245" spans="1:17">
      <c r="A4245" t="s">
        <v>4806</v>
      </c>
      <c r="B4245" t="s">
        <v>479</v>
      </c>
      <c r="C4245" t="s">
        <v>287</v>
      </c>
      <c r="D4245" t="s">
        <v>29</v>
      </c>
      <c r="E4245" t="s">
        <v>166</v>
      </c>
      <c r="F4245" t="s">
        <v>70</v>
      </c>
      <c r="G4245" t="s">
        <v>46</v>
      </c>
      <c r="H4245" s="1">
        <v>44377</v>
      </c>
      <c r="I4245" s="2">
        <v>44378.9958333333</v>
      </c>
      <c r="J4245">
        <v>47.9</v>
      </c>
      <c r="K4245" t="s">
        <v>24</v>
      </c>
      <c r="L4245">
        <v>0</v>
      </c>
      <c r="M4245">
        <v>5</v>
      </c>
      <c r="N4245" t="s">
        <v>758</v>
      </c>
      <c r="O4245" s="3" t="str">
        <f>TEXT(Ticket_Table[[#This Row],[raised_date]],"YYYY-MM")</f>
        <v>2021-06</v>
      </c>
      <c r="P4245" s="3" t="str">
        <f>IF(Ticket_Table[[#This Row],[resolution_hrs]]&lt;=4,"Fast",IF(Ticket_Table[[#This Row],[resolution_hrs]]&lt;=24,"Normal",IF(Ticket_Table[[#This Row],[resolution_hrs]]&lt;=48,"Slow","Very Slow")))</f>
        <v>Slow</v>
      </c>
      <c r="Q4245" s="3">
        <f>YEAR(Ticket_Table[[#This Row],[raised_date]])</f>
        <v>2021</v>
      </c>
    </row>
    <row r="4246" spans="1:17">
      <c r="A4246" t="s">
        <v>4807</v>
      </c>
      <c r="B4246" t="s">
        <v>914</v>
      </c>
      <c r="C4246" t="s">
        <v>28</v>
      </c>
      <c r="D4246" t="s">
        <v>43</v>
      </c>
      <c r="E4246" t="s">
        <v>44</v>
      </c>
      <c r="F4246" t="s">
        <v>22</v>
      </c>
      <c r="G4246" t="s">
        <v>46</v>
      </c>
      <c r="H4246" s="1">
        <v>44578</v>
      </c>
      <c r="I4246" s="2">
        <v>44578.0458333333</v>
      </c>
      <c r="J4246">
        <v>1.1</v>
      </c>
      <c r="K4246" t="s">
        <v>24</v>
      </c>
      <c r="L4246">
        <v>0</v>
      </c>
      <c r="M4246">
        <v>3</v>
      </c>
      <c r="N4246" t="s">
        <v>218</v>
      </c>
      <c r="O4246" s="3" t="str">
        <f>TEXT(Ticket_Table[[#This Row],[raised_date]],"YYYY-MM")</f>
        <v>2022-01</v>
      </c>
      <c r="P4246" s="3" t="str">
        <f>IF(Ticket_Table[[#This Row],[resolution_hrs]]&lt;=4,"Fast",IF(Ticket_Table[[#This Row],[resolution_hrs]]&lt;=24,"Normal",IF(Ticket_Table[[#This Row],[resolution_hrs]]&lt;=48,"Slow","Very Slow")))</f>
        <v>Fast</v>
      </c>
      <c r="Q4246" s="3">
        <f>YEAR(Ticket_Table[[#This Row],[raised_date]])</f>
        <v>2022</v>
      </c>
    </row>
    <row r="4247" spans="1:17">
      <c r="A4247" t="s">
        <v>4808</v>
      </c>
      <c r="B4247" t="s">
        <v>538</v>
      </c>
      <c r="C4247" t="s">
        <v>213</v>
      </c>
      <c r="D4247" t="s">
        <v>20</v>
      </c>
      <c r="E4247" t="s">
        <v>44</v>
      </c>
      <c r="F4247" t="s">
        <v>70</v>
      </c>
      <c r="G4247" t="s">
        <v>31</v>
      </c>
      <c r="H4247" s="1">
        <v>44604</v>
      </c>
      <c r="I4247" s="2">
        <v>44604.7875</v>
      </c>
      <c r="J4247">
        <v>18.9</v>
      </c>
      <c r="K4247" t="s">
        <v>24</v>
      </c>
      <c r="L4247">
        <v>0</v>
      </c>
      <c r="M4247">
        <v>3</v>
      </c>
      <c r="N4247" t="s">
        <v>1180</v>
      </c>
      <c r="O4247" s="3" t="str">
        <f>TEXT(Ticket_Table[[#This Row],[raised_date]],"YYYY-MM")</f>
        <v>2022-02</v>
      </c>
      <c r="P4247" s="3" t="str">
        <f>IF(Ticket_Table[[#This Row],[resolution_hrs]]&lt;=4,"Fast",IF(Ticket_Table[[#This Row],[resolution_hrs]]&lt;=24,"Normal",IF(Ticket_Table[[#This Row],[resolution_hrs]]&lt;=48,"Slow","Very Slow")))</f>
        <v>Normal</v>
      </c>
      <c r="Q4247" s="3">
        <f>YEAR(Ticket_Table[[#This Row],[raised_date]])</f>
        <v>2022</v>
      </c>
    </row>
    <row r="4248" spans="1:17">
      <c r="A4248" t="s">
        <v>4809</v>
      </c>
      <c r="B4248" t="s">
        <v>955</v>
      </c>
      <c r="C4248" t="s">
        <v>95</v>
      </c>
      <c r="D4248" t="s">
        <v>29</v>
      </c>
      <c r="E4248" t="s">
        <v>106</v>
      </c>
      <c r="F4248" t="s">
        <v>70</v>
      </c>
      <c r="G4248" t="s">
        <v>23</v>
      </c>
      <c r="H4248" s="1">
        <v>45222</v>
      </c>
      <c r="I4248" s="2">
        <v>45223.0791666667</v>
      </c>
      <c r="J4248">
        <v>25.9</v>
      </c>
      <c r="K4248" t="s">
        <v>24</v>
      </c>
      <c r="L4248">
        <v>1</v>
      </c>
      <c r="M4248">
        <v>3</v>
      </c>
      <c r="N4248" t="s">
        <v>314</v>
      </c>
      <c r="O4248" s="3" t="str">
        <f>TEXT(Ticket_Table[[#This Row],[raised_date]],"YYYY-MM")</f>
        <v>2023-10</v>
      </c>
      <c r="P4248" s="3" t="str">
        <f>IF(Ticket_Table[[#This Row],[resolution_hrs]]&lt;=4,"Fast",IF(Ticket_Table[[#This Row],[resolution_hrs]]&lt;=24,"Normal",IF(Ticket_Table[[#This Row],[resolution_hrs]]&lt;=48,"Slow","Very Slow")))</f>
        <v>Slow</v>
      </c>
      <c r="Q4248" s="3">
        <f>YEAR(Ticket_Table[[#This Row],[raised_date]])</f>
        <v>2023</v>
      </c>
    </row>
    <row r="4249" spans="1:17">
      <c r="A4249" t="s">
        <v>4810</v>
      </c>
      <c r="B4249" t="s">
        <v>612</v>
      </c>
      <c r="C4249" t="s">
        <v>117</v>
      </c>
      <c r="D4249" t="s">
        <v>36</v>
      </c>
      <c r="E4249" t="s">
        <v>166</v>
      </c>
      <c r="F4249" t="s">
        <v>38</v>
      </c>
      <c r="G4249" t="s">
        <v>23</v>
      </c>
      <c r="H4249" s="1">
        <v>45134</v>
      </c>
      <c r="I4249" s="2">
        <v>45134.4541666667</v>
      </c>
      <c r="J4249">
        <v>10.9</v>
      </c>
      <c r="K4249" t="s">
        <v>24</v>
      </c>
      <c r="L4249">
        <v>0</v>
      </c>
      <c r="M4249">
        <v>3</v>
      </c>
      <c r="N4249" t="s">
        <v>495</v>
      </c>
      <c r="O4249" s="3" t="str">
        <f>TEXT(Ticket_Table[[#This Row],[raised_date]],"YYYY-MM")</f>
        <v>2023-07</v>
      </c>
      <c r="P4249" s="3" t="str">
        <f>IF(Ticket_Table[[#This Row],[resolution_hrs]]&lt;=4,"Fast",IF(Ticket_Table[[#This Row],[resolution_hrs]]&lt;=24,"Normal",IF(Ticket_Table[[#This Row],[resolution_hrs]]&lt;=48,"Slow","Very Slow")))</f>
        <v>Normal</v>
      </c>
      <c r="Q4249" s="3">
        <f>YEAR(Ticket_Table[[#This Row],[raised_date]])</f>
        <v>2023</v>
      </c>
    </row>
    <row r="4250" spans="1:17">
      <c r="A4250" t="s">
        <v>4811</v>
      </c>
      <c r="B4250" t="s">
        <v>489</v>
      </c>
      <c r="C4250" t="s">
        <v>78</v>
      </c>
      <c r="D4250" t="s">
        <v>20</v>
      </c>
      <c r="E4250" t="s">
        <v>44</v>
      </c>
      <c r="F4250" t="s">
        <v>22</v>
      </c>
      <c r="G4250" t="s">
        <v>74</v>
      </c>
      <c r="H4250" s="1">
        <v>44241</v>
      </c>
      <c r="I4250" s="2">
        <v>44244.8708333333</v>
      </c>
      <c r="J4250">
        <v>92.9</v>
      </c>
      <c r="K4250" t="s">
        <v>32</v>
      </c>
      <c r="L4250">
        <v>1</v>
      </c>
      <c r="M4250">
        <v>4</v>
      </c>
      <c r="N4250" t="s">
        <v>310</v>
      </c>
      <c r="O4250" s="3" t="str">
        <f>TEXT(Ticket_Table[[#This Row],[raised_date]],"YYYY-MM")</f>
        <v>2021-02</v>
      </c>
      <c r="P4250" s="3" t="str">
        <f>IF(Ticket_Table[[#This Row],[resolution_hrs]]&lt;=4,"Fast",IF(Ticket_Table[[#This Row],[resolution_hrs]]&lt;=24,"Normal",IF(Ticket_Table[[#This Row],[resolution_hrs]]&lt;=48,"Slow","Very Slow")))</f>
        <v>Very Slow</v>
      </c>
      <c r="Q4250" s="3">
        <f>YEAR(Ticket_Table[[#This Row],[raised_date]])</f>
        <v>2021</v>
      </c>
    </row>
    <row r="4251" spans="1:17">
      <c r="A4251" t="s">
        <v>4812</v>
      </c>
      <c r="B4251" t="s">
        <v>1129</v>
      </c>
      <c r="C4251" t="s">
        <v>133</v>
      </c>
      <c r="D4251" t="s">
        <v>29</v>
      </c>
      <c r="E4251" t="s">
        <v>83</v>
      </c>
      <c r="F4251" t="s">
        <v>70</v>
      </c>
      <c r="G4251" t="s">
        <v>31</v>
      </c>
      <c r="H4251" s="1">
        <v>44278</v>
      </c>
      <c r="I4251" s="2">
        <v>44280.0083333333</v>
      </c>
      <c r="J4251">
        <v>48.2</v>
      </c>
      <c r="K4251" t="s">
        <v>32</v>
      </c>
      <c r="L4251">
        <v>0</v>
      </c>
      <c r="M4251">
        <v>3</v>
      </c>
      <c r="N4251" t="s">
        <v>506</v>
      </c>
      <c r="O4251" s="3" t="str">
        <f>TEXT(Ticket_Table[[#This Row],[raised_date]],"YYYY-MM")</f>
        <v>2021-03</v>
      </c>
      <c r="P4251" s="3" t="str">
        <f>IF(Ticket_Table[[#This Row],[resolution_hrs]]&lt;=4,"Fast",IF(Ticket_Table[[#This Row],[resolution_hrs]]&lt;=24,"Normal",IF(Ticket_Table[[#This Row],[resolution_hrs]]&lt;=48,"Slow","Very Slow")))</f>
        <v>Very Slow</v>
      </c>
      <c r="Q4251" s="3">
        <f>YEAR(Ticket_Table[[#This Row],[raised_date]])</f>
        <v>2021</v>
      </c>
    </row>
    <row r="4252" spans="1:17">
      <c r="A4252" t="s">
        <v>4813</v>
      </c>
      <c r="B4252" t="s">
        <v>434</v>
      </c>
      <c r="C4252" t="s">
        <v>64</v>
      </c>
      <c r="D4252" t="s">
        <v>36</v>
      </c>
      <c r="E4252" t="s">
        <v>51</v>
      </c>
      <c r="F4252" t="s">
        <v>22</v>
      </c>
      <c r="G4252" t="s">
        <v>31</v>
      </c>
      <c r="H4252" s="1">
        <v>44703</v>
      </c>
      <c r="I4252" s="2">
        <v>44706.4708333333</v>
      </c>
      <c r="J4252">
        <v>83.3</v>
      </c>
      <c r="K4252" t="s">
        <v>32</v>
      </c>
      <c r="L4252">
        <v>1</v>
      </c>
      <c r="M4252">
        <v>4</v>
      </c>
      <c r="N4252" t="s">
        <v>424</v>
      </c>
      <c r="O4252" s="3" t="str">
        <f>TEXT(Ticket_Table[[#This Row],[raised_date]],"YYYY-MM")</f>
        <v>2022-05</v>
      </c>
      <c r="P4252" s="3" t="str">
        <f>IF(Ticket_Table[[#This Row],[resolution_hrs]]&lt;=4,"Fast",IF(Ticket_Table[[#This Row],[resolution_hrs]]&lt;=24,"Normal",IF(Ticket_Table[[#This Row],[resolution_hrs]]&lt;=48,"Slow","Very Slow")))</f>
        <v>Very Slow</v>
      </c>
      <c r="Q4252" s="3">
        <f>YEAR(Ticket_Table[[#This Row],[raised_date]])</f>
        <v>2022</v>
      </c>
    </row>
    <row r="4253" spans="1:17">
      <c r="A4253" t="s">
        <v>4814</v>
      </c>
      <c r="B4253" t="s">
        <v>154</v>
      </c>
      <c r="C4253" t="s">
        <v>68</v>
      </c>
      <c r="D4253" t="s">
        <v>43</v>
      </c>
      <c r="E4253" t="s">
        <v>56</v>
      </c>
      <c r="F4253" t="s">
        <v>22</v>
      </c>
      <c r="G4253" t="s">
        <v>31</v>
      </c>
      <c r="H4253" s="1">
        <v>45281</v>
      </c>
      <c r="I4253" s="2">
        <v>45281.7333333333</v>
      </c>
      <c r="J4253">
        <v>17.6</v>
      </c>
      <c r="K4253" t="s">
        <v>24</v>
      </c>
      <c r="L4253">
        <v>0</v>
      </c>
      <c r="M4253">
        <v>4</v>
      </c>
      <c r="N4253" t="s">
        <v>207</v>
      </c>
      <c r="O4253" s="3" t="str">
        <f>TEXT(Ticket_Table[[#This Row],[raised_date]],"YYYY-MM")</f>
        <v>2023-12</v>
      </c>
      <c r="P4253" s="3" t="str">
        <f>IF(Ticket_Table[[#This Row],[resolution_hrs]]&lt;=4,"Fast",IF(Ticket_Table[[#This Row],[resolution_hrs]]&lt;=24,"Normal",IF(Ticket_Table[[#This Row],[resolution_hrs]]&lt;=48,"Slow","Very Slow")))</f>
        <v>Normal</v>
      </c>
      <c r="Q4253" s="3">
        <f>YEAR(Ticket_Table[[#This Row],[raised_date]])</f>
        <v>2023</v>
      </c>
    </row>
    <row r="4254" spans="1:17">
      <c r="A4254" t="s">
        <v>4815</v>
      </c>
      <c r="B4254" t="s">
        <v>114</v>
      </c>
      <c r="C4254" t="s">
        <v>42</v>
      </c>
      <c r="D4254" t="s">
        <v>36</v>
      </c>
      <c r="E4254" t="s">
        <v>166</v>
      </c>
      <c r="F4254" t="s">
        <v>70</v>
      </c>
      <c r="G4254" t="s">
        <v>23</v>
      </c>
      <c r="H4254" s="1">
        <v>44821</v>
      </c>
      <c r="I4254" s="2">
        <v>44821.2958333333</v>
      </c>
      <c r="J4254">
        <v>7.1</v>
      </c>
      <c r="K4254" t="s">
        <v>24</v>
      </c>
      <c r="L4254">
        <v>0</v>
      </c>
      <c r="M4254">
        <v>5</v>
      </c>
      <c r="N4254" t="s">
        <v>873</v>
      </c>
      <c r="O4254" s="3" t="str">
        <f>TEXT(Ticket_Table[[#This Row],[raised_date]],"YYYY-MM")</f>
        <v>2022-09</v>
      </c>
      <c r="P4254" s="3" t="str">
        <f>IF(Ticket_Table[[#This Row],[resolution_hrs]]&lt;=4,"Fast",IF(Ticket_Table[[#This Row],[resolution_hrs]]&lt;=24,"Normal",IF(Ticket_Table[[#This Row],[resolution_hrs]]&lt;=48,"Slow","Very Slow")))</f>
        <v>Normal</v>
      </c>
      <c r="Q4254" s="3">
        <f>YEAR(Ticket_Table[[#This Row],[raised_date]])</f>
        <v>2022</v>
      </c>
    </row>
    <row r="4255" spans="1:17">
      <c r="A4255" t="s">
        <v>4816</v>
      </c>
      <c r="B4255" t="s">
        <v>1226</v>
      </c>
      <c r="C4255" t="s">
        <v>64</v>
      </c>
      <c r="D4255" t="s">
        <v>29</v>
      </c>
      <c r="E4255" t="s">
        <v>106</v>
      </c>
      <c r="F4255" t="s">
        <v>45</v>
      </c>
      <c r="G4255" t="s">
        <v>23</v>
      </c>
      <c r="H4255" s="1">
        <v>44880</v>
      </c>
      <c r="I4255" s="2">
        <v>44880.1</v>
      </c>
      <c r="J4255">
        <v>2.4</v>
      </c>
      <c r="K4255" t="s">
        <v>24</v>
      </c>
      <c r="L4255">
        <v>0</v>
      </c>
      <c r="M4255">
        <v>4</v>
      </c>
      <c r="N4255" t="s">
        <v>880</v>
      </c>
      <c r="O4255" s="3" t="str">
        <f>TEXT(Ticket_Table[[#This Row],[raised_date]],"YYYY-MM")</f>
        <v>2022-11</v>
      </c>
      <c r="P4255" s="3" t="str">
        <f>IF(Ticket_Table[[#This Row],[resolution_hrs]]&lt;=4,"Fast",IF(Ticket_Table[[#This Row],[resolution_hrs]]&lt;=24,"Normal",IF(Ticket_Table[[#This Row],[resolution_hrs]]&lt;=48,"Slow","Very Slow")))</f>
        <v>Fast</v>
      </c>
      <c r="Q4255" s="3">
        <f>YEAR(Ticket_Table[[#This Row],[raised_date]])</f>
        <v>2022</v>
      </c>
    </row>
    <row r="4256" spans="1:17">
      <c r="A4256" t="s">
        <v>4817</v>
      </c>
      <c r="B4256" t="s">
        <v>272</v>
      </c>
      <c r="C4256" t="s">
        <v>287</v>
      </c>
      <c r="D4256" t="s">
        <v>90</v>
      </c>
      <c r="E4256" t="s">
        <v>56</v>
      </c>
      <c r="F4256" t="s">
        <v>70</v>
      </c>
      <c r="G4256" t="s">
        <v>46</v>
      </c>
      <c r="H4256" s="1">
        <v>45200</v>
      </c>
      <c r="I4256" s="2">
        <v>45202.9875</v>
      </c>
      <c r="J4256">
        <v>71.7</v>
      </c>
      <c r="K4256" t="s">
        <v>32</v>
      </c>
      <c r="L4256">
        <v>0</v>
      </c>
      <c r="M4256">
        <v>2</v>
      </c>
      <c r="N4256" t="s">
        <v>191</v>
      </c>
      <c r="O4256" s="3" t="str">
        <f>TEXT(Ticket_Table[[#This Row],[raised_date]],"YYYY-MM")</f>
        <v>2023-10</v>
      </c>
      <c r="P4256" s="3" t="str">
        <f>IF(Ticket_Table[[#This Row],[resolution_hrs]]&lt;=4,"Fast",IF(Ticket_Table[[#This Row],[resolution_hrs]]&lt;=24,"Normal",IF(Ticket_Table[[#This Row],[resolution_hrs]]&lt;=48,"Slow","Very Slow")))</f>
        <v>Very Slow</v>
      </c>
      <c r="Q4256" s="3">
        <f>YEAR(Ticket_Table[[#This Row],[raised_date]])</f>
        <v>2023</v>
      </c>
    </row>
    <row r="4257" spans="1:17">
      <c r="A4257" t="s">
        <v>4818</v>
      </c>
      <c r="B4257" t="s">
        <v>1016</v>
      </c>
      <c r="C4257" t="s">
        <v>261</v>
      </c>
      <c r="D4257" t="s">
        <v>29</v>
      </c>
      <c r="E4257" t="s">
        <v>69</v>
      </c>
      <c r="F4257" t="s">
        <v>38</v>
      </c>
      <c r="G4257" t="s">
        <v>46</v>
      </c>
      <c r="H4257" s="1">
        <v>45002</v>
      </c>
      <c r="I4257" s="2">
        <v>45002.3291666667</v>
      </c>
      <c r="J4257">
        <v>7.9</v>
      </c>
      <c r="K4257" t="s">
        <v>24</v>
      </c>
      <c r="L4257">
        <v>0</v>
      </c>
      <c r="M4257">
        <v>2</v>
      </c>
      <c r="N4257" t="s">
        <v>521</v>
      </c>
      <c r="O4257" s="3" t="str">
        <f>TEXT(Ticket_Table[[#This Row],[raised_date]],"YYYY-MM")</f>
        <v>2023-03</v>
      </c>
      <c r="P4257" s="3" t="str">
        <f>IF(Ticket_Table[[#This Row],[resolution_hrs]]&lt;=4,"Fast",IF(Ticket_Table[[#This Row],[resolution_hrs]]&lt;=24,"Normal",IF(Ticket_Table[[#This Row],[resolution_hrs]]&lt;=48,"Slow","Very Slow")))</f>
        <v>Normal</v>
      </c>
      <c r="Q4257" s="3">
        <f>YEAR(Ticket_Table[[#This Row],[raised_date]])</f>
        <v>2023</v>
      </c>
    </row>
    <row r="4258" spans="1:17">
      <c r="A4258" t="s">
        <v>4819</v>
      </c>
      <c r="B4258" t="s">
        <v>826</v>
      </c>
      <c r="C4258" t="s">
        <v>42</v>
      </c>
      <c r="D4258" t="s">
        <v>90</v>
      </c>
      <c r="E4258" t="s">
        <v>51</v>
      </c>
      <c r="F4258" t="s">
        <v>22</v>
      </c>
      <c r="G4258" t="s">
        <v>31</v>
      </c>
      <c r="H4258" s="1">
        <v>44518</v>
      </c>
      <c r="I4258" s="2">
        <v>44520.65</v>
      </c>
      <c r="J4258">
        <v>63.6</v>
      </c>
      <c r="K4258" t="s">
        <v>24</v>
      </c>
      <c r="L4258">
        <v>1</v>
      </c>
      <c r="M4258">
        <v>5</v>
      </c>
      <c r="N4258" t="s">
        <v>542</v>
      </c>
      <c r="O4258" s="3" t="str">
        <f>TEXT(Ticket_Table[[#This Row],[raised_date]],"YYYY-MM")</f>
        <v>2021-11</v>
      </c>
      <c r="P4258" s="3" t="str">
        <f>IF(Ticket_Table[[#This Row],[resolution_hrs]]&lt;=4,"Fast",IF(Ticket_Table[[#This Row],[resolution_hrs]]&lt;=24,"Normal",IF(Ticket_Table[[#This Row],[resolution_hrs]]&lt;=48,"Slow","Very Slow")))</f>
        <v>Very Slow</v>
      </c>
      <c r="Q4258" s="3">
        <f>YEAR(Ticket_Table[[#This Row],[raised_date]])</f>
        <v>2021</v>
      </c>
    </row>
    <row r="4259" spans="1:17">
      <c r="A4259" t="s">
        <v>4820</v>
      </c>
      <c r="B4259" t="s">
        <v>1202</v>
      </c>
      <c r="C4259" t="s">
        <v>95</v>
      </c>
      <c r="D4259" t="s">
        <v>43</v>
      </c>
      <c r="E4259" t="s">
        <v>21</v>
      </c>
      <c r="F4259" t="s">
        <v>22</v>
      </c>
      <c r="G4259" t="s">
        <v>31</v>
      </c>
      <c r="H4259" s="1">
        <v>44234</v>
      </c>
      <c r="I4259" s="2">
        <v>44234.4</v>
      </c>
      <c r="J4259">
        <v>9.6</v>
      </c>
      <c r="K4259" t="s">
        <v>24</v>
      </c>
      <c r="L4259">
        <v>2</v>
      </c>
      <c r="M4259">
        <v>5</v>
      </c>
      <c r="N4259" t="s">
        <v>391</v>
      </c>
      <c r="O4259" s="3" t="str">
        <f>TEXT(Ticket_Table[[#This Row],[raised_date]],"YYYY-MM")</f>
        <v>2021-02</v>
      </c>
      <c r="P4259" s="3" t="str">
        <f>IF(Ticket_Table[[#This Row],[resolution_hrs]]&lt;=4,"Fast",IF(Ticket_Table[[#This Row],[resolution_hrs]]&lt;=24,"Normal",IF(Ticket_Table[[#This Row],[resolution_hrs]]&lt;=48,"Slow","Very Slow")))</f>
        <v>Normal</v>
      </c>
      <c r="Q4259" s="3">
        <f>YEAR(Ticket_Table[[#This Row],[raised_date]])</f>
        <v>2021</v>
      </c>
    </row>
    <row r="4260" spans="1:17">
      <c r="A4260" t="s">
        <v>4821</v>
      </c>
      <c r="B4260" t="s">
        <v>658</v>
      </c>
      <c r="C4260" t="s">
        <v>261</v>
      </c>
      <c r="D4260" t="s">
        <v>43</v>
      </c>
      <c r="E4260" t="s">
        <v>166</v>
      </c>
      <c r="F4260" t="s">
        <v>22</v>
      </c>
      <c r="G4260" t="s">
        <v>31</v>
      </c>
      <c r="H4260" s="1">
        <v>44907</v>
      </c>
      <c r="I4260" s="2">
        <v>44908.0166666667</v>
      </c>
      <c r="J4260">
        <v>24.4</v>
      </c>
      <c r="K4260" t="s">
        <v>24</v>
      </c>
      <c r="L4260">
        <v>0</v>
      </c>
      <c r="M4260">
        <v>4</v>
      </c>
      <c r="N4260" t="s">
        <v>1156</v>
      </c>
      <c r="O4260" s="3" t="str">
        <f>TEXT(Ticket_Table[[#This Row],[raised_date]],"YYYY-MM")</f>
        <v>2022-12</v>
      </c>
      <c r="P4260" s="3" t="str">
        <f>IF(Ticket_Table[[#This Row],[resolution_hrs]]&lt;=4,"Fast",IF(Ticket_Table[[#This Row],[resolution_hrs]]&lt;=24,"Normal",IF(Ticket_Table[[#This Row],[resolution_hrs]]&lt;=48,"Slow","Very Slow")))</f>
        <v>Slow</v>
      </c>
      <c r="Q4260" s="3">
        <f>YEAR(Ticket_Table[[#This Row],[raised_date]])</f>
        <v>2022</v>
      </c>
    </row>
    <row r="4261" spans="1:17">
      <c r="A4261" t="s">
        <v>4822</v>
      </c>
      <c r="B4261" t="s">
        <v>929</v>
      </c>
      <c r="C4261" t="s">
        <v>213</v>
      </c>
      <c r="D4261" t="s">
        <v>20</v>
      </c>
      <c r="E4261" t="s">
        <v>21</v>
      </c>
      <c r="F4261" t="s">
        <v>70</v>
      </c>
      <c r="G4261" t="s">
        <v>23</v>
      </c>
      <c r="H4261" s="1">
        <v>44917</v>
      </c>
      <c r="I4261" s="2">
        <v>44918.4416666667</v>
      </c>
      <c r="J4261">
        <v>34.6</v>
      </c>
      <c r="K4261" t="s">
        <v>24</v>
      </c>
      <c r="L4261">
        <v>0</v>
      </c>
      <c r="M4261">
        <v>2</v>
      </c>
      <c r="N4261" t="s">
        <v>355</v>
      </c>
      <c r="O4261" s="3" t="str">
        <f>TEXT(Ticket_Table[[#This Row],[raised_date]],"YYYY-MM")</f>
        <v>2022-12</v>
      </c>
      <c r="P4261" s="3" t="str">
        <f>IF(Ticket_Table[[#This Row],[resolution_hrs]]&lt;=4,"Fast",IF(Ticket_Table[[#This Row],[resolution_hrs]]&lt;=24,"Normal",IF(Ticket_Table[[#This Row],[resolution_hrs]]&lt;=48,"Slow","Very Slow")))</f>
        <v>Slow</v>
      </c>
      <c r="Q4261" s="3">
        <f>YEAR(Ticket_Table[[#This Row],[raised_date]])</f>
        <v>2022</v>
      </c>
    </row>
    <row r="4262" spans="1:17">
      <c r="A4262" t="s">
        <v>4823</v>
      </c>
      <c r="B4262" t="s">
        <v>241</v>
      </c>
      <c r="C4262" t="s">
        <v>287</v>
      </c>
      <c r="D4262" t="s">
        <v>20</v>
      </c>
      <c r="E4262" t="s">
        <v>106</v>
      </c>
      <c r="F4262" t="s">
        <v>22</v>
      </c>
      <c r="G4262" t="s">
        <v>31</v>
      </c>
      <c r="H4262" s="1">
        <v>44924</v>
      </c>
      <c r="I4262" s="2">
        <v>44925.6208333333</v>
      </c>
      <c r="J4262">
        <v>38.9</v>
      </c>
      <c r="K4262" t="s">
        <v>24</v>
      </c>
      <c r="L4262">
        <v>0</v>
      </c>
      <c r="M4262">
        <v>5</v>
      </c>
      <c r="N4262" t="s">
        <v>245</v>
      </c>
      <c r="O4262" s="3" t="str">
        <f>TEXT(Ticket_Table[[#This Row],[raised_date]],"YYYY-MM")</f>
        <v>2022-12</v>
      </c>
      <c r="P4262" s="3" t="str">
        <f>IF(Ticket_Table[[#This Row],[resolution_hrs]]&lt;=4,"Fast",IF(Ticket_Table[[#This Row],[resolution_hrs]]&lt;=24,"Normal",IF(Ticket_Table[[#This Row],[resolution_hrs]]&lt;=48,"Slow","Very Slow")))</f>
        <v>Slow</v>
      </c>
      <c r="Q4262" s="3">
        <f>YEAR(Ticket_Table[[#This Row],[raised_date]])</f>
        <v>2022</v>
      </c>
    </row>
    <row r="4263" spans="1:17">
      <c r="A4263" t="s">
        <v>4824</v>
      </c>
      <c r="B4263" t="s">
        <v>258</v>
      </c>
      <c r="C4263" t="s">
        <v>55</v>
      </c>
      <c r="D4263" t="s">
        <v>90</v>
      </c>
      <c r="E4263" t="s">
        <v>166</v>
      </c>
      <c r="F4263" t="s">
        <v>22</v>
      </c>
      <c r="G4263" t="s">
        <v>31</v>
      </c>
      <c r="H4263" s="1">
        <v>44816</v>
      </c>
      <c r="I4263" s="2">
        <v>44819.6625</v>
      </c>
      <c r="J4263">
        <v>87.9</v>
      </c>
      <c r="K4263" t="s">
        <v>32</v>
      </c>
      <c r="L4263">
        <v>2</v>
      </c>
      <c r="M4263">
        <v>3</v>
      </c>
      <c r="N4263" t="s">
        <v>1093</v>
      </c>
      <c r="O4263" s="3" t="str">
        <f>TEXT(Ticket_Table[[#This Row],[raised_date]],"YYYY-MM")</f>
        <v>2022-09</v>
      </c>
      <c r="P4263" s="3" t="str">
        <f>IF(Ticket_Table[[#This Row],[resolution_hrs]]&lt;=4,"Fast",IF(Ticket_Table[[#This Row],[resolution_hrs]]&lt;=24,"Normal",IF(Ticket_Table[[#This Row],[resolution_hrs]]&lt;=48,"Slow","Very Slow")))</f>
        <v>Very Slow</v>
      </c>
      <c r="Q4263" s="3">
        <f>YEAR(Ticket_Table[[#This Row],[raised_date]])</f>
        <v>2022</v>
      </c>
    </row>
    <row r="4264" spans="1:17">
      <c r="A4264" t="s">
        <v>4825</v>
      </c>
      <c r="B4264" t="s">
        <v>1474</v>
      </c>
      <c r="C4264" t="s">
        <v>95</v>
      </c>
      <c r="D4264" t="s">
        <v>90</v>
      </c>
      <c r="E4264" t="s">
        <v>106</v>
      </c>
      <c r="F4264" t="s">
        <v>38</v>
      </c>
      <c r="G4264" t="s">
        <v>23</v>
      </c>
      <c r="H4264" s="1">
        <v>44680</v>
      </c>
      <c r="I4264" s="2">
        <v>44680.9708333333</v>
      </c>
      <c r="J4264">
        <v>23.3</v>
      </c>
      <c r="K4264" t="s">
        <v>24</v>
      </c>
      <c r="L4264">
        <v>0</v>
      </c>
      <c r="M4264">
        <v>1</v>
      </c>
      <c r="N4264" t="s">
        <v>1006</v>
      </c>
      <c r="O4264" s="3" t="str">
        <f>TEXT(Ticket_Table[[#This Row],[raised_date]],"YYYY-MM")</f>
        <v>2022-04</v>
      </c>
      <c r="P4264" s="3" t="str">
        <f>IF(Ticket_Table[[#This Row],[resolution_hrs]]&lt;=4,"Fast",IF(Ticket_Table[[#This Row],[resolution_hrs]]&lt;=24,"Normal",IF(Ticket_Table[[#This Row],[resolution_hrs]]&lt;=48,"Slow","Very Slow")))</f>
        <v>Normal</v>
      </c>
      <c r="Q4264" s="3">
        <f>YEAR(Ticket_Table[[#This Row],[raised_date]])</f>
        <v>2022</v>
      </c>
    </row>
    <row r="4265" spans="1:17">
      <c r="A4265" t="s">
        <v>4826</v>
      </c>
      <c r="B4265" t="s">
        <v>107</v>
      </c>
      <c r="C4265" t="s">
        <v>102</v>
      </c>
      <c r="D4265" t="s">
        <v>43</v>
      </c>
      <c r="E4265" t="s">
        <v>30</v>
      </c>
      <c r="F4265" t="s">
        <v>22</v>
      </c>
      <c r="G4265" t="s">
        <v>46</v>
      </c>
      <c r="H4265" s="1">
        <v>45223</v>
      </c>
      <c r="I4265" s="2">
        <v>45224.925</v>
      </c>
      <c r="J4265">
        <v>46.2</v>
      </c>
      <c r="K4265" t="s">
        <v>24</v>
      </c>
      <c r="L4265">
        <v>0</v>
      </c>
      <c r="M4265">
        <v>5</v>
      </c>
      <c r="N4265" t="s">
        <v>300</v>
      </c>
      <c r="O4265" s="3" t="str">
        <f>TEXT(Ticket_Table[[#This Row],[raised_date]],"YYYY-MM")</f>
        <v>2023-10</v>
      </c>
      <c r="P4265" s="3" t="str">
        <f>IF(Ticket_Table[[#This Row],[resolution_hrs]]&lt;=4,"Fast",IF(Ticket_Table[[#This Row],[resolution_hrs]]&lt;=24,"Normal",IF(Ticket_Table[[#This Row],[resolution_hrs]]&lt;=48,"Slow","Very Slow")))</f>
        <v>Slow</v>
      </c>
      <c r="Q4265" s="3">
        <f>YEAR(Ticket_Table[[#This Row],[raised_date]])</f>
        <v>2023</v>
      </c>
    </row>
    <row r="4266" spans="1:17">
      <c r="A4266" t="s">
        <v>4827</v>
      </c>
      <c r="B4266" t="s">
        <v>439</v>
      </c>
      <c r="C4266" t="s">
        <v>28</v>
      </c>
      <c r="D4266" t="s">
        <v>36</v>
      </c>
      <c r="E4266" t="s">
        <v>106</v>
      </c>
      <c r="F4266" t="s">
        <v>70</v>
      </c>
      <c r="G4266" t="s">
        <v>23</v>
      </c>
      <c r="H4266" s="1">
        <v>44761</v>
      </c>
      <c r="I4266" s="2">
        <v>44763.9041666667</v>
      </c>
      <c r="J4266">
        <v>69.7</v>
      </c>
      <c r="K4266" t="s">
        <v>32</v>
      </c>
      <c r="L4266">
        <v>0</v>
      </c>
      <c r="M4266">
        <v>5</v>
      </c>
      <c r="N4266" t="s">
        <v>365</v>
      </c>
      <c r="O4266" s="3" t="str">
        <f>TEXT(Ticket_Table[[#This Row],[raised_date]],"YYYY-MM")</f>
        <v>2022-07</v>
      </c>
      <c r="P4266" s="3" t="str">
        <f>IF(Ticket_Table[[#This Row],[resolution_hrs]]&lt;=4,"Fast",IF(Ticket_Table[[#This Row],[resolution_hrs]]&lt;=24,"Normal",IF(Ticket_Table[[#This Row],[resolution_hrs]]&lt;=48,"Slow","Very Slow")))</f>
        <v>Very Slow</v>
      </c>
      <c r="Q4266" s="3">
        <f>YEAR(Ticket_Table[[#This Row],[raised_date]])</f>
        <v>2022</v>
      </c>
    </row>
    <row r="4267" spans="1:17">
      <c r="A4267" t="s">
        <v>4828</v>
      </c>
      <c r="B4267" t="s">
        <v>447</v>
      </c>
      <c r="C4267" t="s">
        <v>82</v>
      </c>
      <c r="D4267" t="s">
        <v>90</v>
      </c>
      <c r="E4267" t="s">
        <v>44</v>
      </c>
      <c r="F4267" t="s">
        <v>70</v>
      </c>
      <c r="G4267" t="s">
        <v>46</v>
      </c>
      <c r="H4267" s="1">
        <v>44323</v>
      </c>
      <c r="I4267" s="2">
        <v>44323.3333333333</v>
      </c>
      <c r="J4267">
        <v>8</v>
      </c>
      <c r="K4267" t="s">
        <v>24</v>
      </c>
      <c r="L4267">
        <v>0</v>
      </c>
      <c r="M4267">
        <v>4</v>
      </c>
      <c r="N4267" t="s">
        <v>1156</v>
      </c>
      <c r="O4267" s="3" t="str">
        <f>TEXT(Ticket_Table[[#This Row],[raised_date]],"YYYY-MM")</f>
        <v>2021-05</v>
      </c>
      <c r="P4267" s="3" t="str">
        <f>IF(Ticket_Table[[#This Row],[resolution_hrs]]&lt;=4,"Fast",IF(Ticket_Table[[#This Row],[resolution_hrs]]&lt;=24,"Normal",IF(Ticket_Table[[#This Row],[resolution_hrs]]&lt;=48,"Slow","Very Slow")))</f>
        <v>Normal</v>
      </c>
      <c r="Q4267" s="3">
        <f>YEAR(Ticket_Table[[#This Row],[raised_date]])</f>
        <v>2021</v>
      </c>
    </row>
    <row r="4268" spans="1:17">
      <c r="A4268" t="s">
        <v>4829</v>
      </c>
      <c r="B4268" t="s">
        <v>449</v>
      </c>
      <c r="C4268" t="s">
        <v>42</v>
      </c>
      <c r="D4268" t="s">
        <v>90</v>
      </c>
      <c r="E4268" t="s">
        <v>44</v>
      </c>
      <c r="F4268" t="s">
        <v>70</v>
      </c>
      <c r="G4268" t="s">
        <v>31</v>
      </c>
      <c r="H4268" s="1">
        <v>44724</v>
      </c>
      <c r="I4268" s="2">
        <v>44724.8125</v>
      </c>
      <c r="J4268">
        <v>19.5</v>
      </c>
      <c r="K4268" t="s">
        <v>24</v>
      </c>
      <c r="L4268">
        <v>0</v>
      </c>
      <c r="M4268">
        <v>1</v>
      </c>
      <c r="N4268" t="s">
        <v>176</v>
      </c>
      <c r="O4268" s="3" t="str">
        <f>TEXT(Ticket_Table[[#This Row],[raised_date]],"YYYY-MM")</f>
        <v>2022-06</v>
      </c>
      <c r="P4268" s="3" t="str">
        <f>IF(Ticket_Table[[#This Row],[resolution_hrs]]&lt;=4,"Fast",IF(Ticket_Table[[#This Row],[resolution_hrs]]&lt;=24,"Normal",IF(Ticket_Table[[#This Row],[resolution_hrs]]&lt;=48,"Slow","Very Slow")))</f>
        <v>Normal</v>
      </c>
      <c r="Q4268" s="3">
        <f>YEAR(Ticket_Table[[#This Row],[raised_date]])</f>
        <v>2022</v>
      </c>
    </row>
    <row r="4269" spans="1:17">
      <c r="A4269" t="s">
        <v>4830</v>
      </c>
      <c r="B4269" t="s">
        <v>325</v>
      </c>
      <c r="C4269" t="s">
        <v>140</v>
      </c>
      <c r="D4269" t="s">
        <v>36</v>
      </c>
      <c r="E4269" t="s">
        <v>21</v>
      </c>
      <c r="F4269" t="s">
        <v>70</v>
      </c>
      <c r="G4269" t="s">
        <v>23</v>
      </c>
      <c r="H4269" s="1">
        <v>44989</v>
      </c>
      <c r="I4269" s="2">
        <v>44989.9333333333</v>
      </c>
      <c r="J4269">
        <v>22.4</v>
      </c>
      <c r="K4269" t="s">
        <v>24</v>
      </c>
      <c r="L4269">
        <v>0</v>
      </c>
      <c r="M4269">
        <v>4</v>
      </c>
      <c r="N4269" t="s">
        <v>18</v>
      </c>
      <c r="O4269" s="3" t="str">
        <f>TEXT(Ticket_Table[[#This Row],[raised_date]],"YYYY-MM")</f>
        <v>2023-03</v>
      </c>
      <c r="P4269" s="3" t="str">
        <f>IF(Ticket_Table[[#This Row],[resolution_hrs]]&lt;=4,"Fast",IF(Ticket_Table[[#This Row],[resolution_hrs]]&lt;=24,"Normal",IF(Ticket_Table[[#This Row],[resolution_hrs]]&lt;=48,"Slow","Very Slow")))</f>
        <v>Normal</v>
      </c>
      <c r="Q4269" s="3">
        <f>YEAR(Ticket_Table[[#This Row],[raised_date]])</f>
        <v>2023</v>
      </c>
    </row>
    <row r="4270" spans="1:17">
      <c r="A4270" t="s">
        <v>4831</v>
      </c>
      <c r="B4270" t="s">
        <v>805</v>
      </c>
      <c r="C4270" t="s">
        <v>175</v>
      </c>
      <c r="D4270" t="s">
        <v>20</v>
      </c>
      <c r="E4270" t="s">
        <v>30</v>
      </c>
      <c r="F4270" t="s">
        <v>70</v>
      </c>
      <c r="G4270" t="s">
        <v>23</v>
      </c>
      <c r="H4270" s="1">
        <v>44257</v>
      </c>
      <c r="I4270" s="2">
        <v>44257.9625</v>
      </c>
      <c r="J4270">
        <v>23.1</v>
      </c>
      <c r="K4270" t="s">
        <v>24</v>
      </c>
      <c r="L4270">
        <v>0</v>
      </c>
      <c r="M4270">
        <v>4</v>
      </c>
      <c r="N4270" t="s">
        <v>782</v>
      </c>
      <c r="O4270" s="3" t="str">
        <f>TEXT(Ticket_Table[[#This Row],[raised_date]],"YYYY-MM")</f>
        <v>2021-03</v>
      </c>
      <c r="P4270" s="3" t="str">
        <f>IF(Ticket_Table[[#This Row],[resolution_hrs]]&lt;=4,"Fast",IF(Ticket_Table[[#This Row],[resolution_hrs]]&lt;=24,"Normal",IF(Ticket_Table[[#This Row],[resolution_hrs]]&lt;=48,"Slow","Very Slow")))</f>
        <v>Normal</v>
      </c>
      <c r="Q4270" s="3">
        <f>YEAR(Ticket_Table[[#This Row],[raised_date]])</f>
        <v>2021</v>
      </c>
    </row>
    <row r="4271" spans="1:17">
      <c r="A4271" t="s">
        <v>4832</v>
      </c>
      <c r="B4271" t="s">
        <v>321</v>
      </c>
      <c r="C4271" t="s">
        <v>19</v>
      </c>
      <c r="D4271" t="s">
        <v>20</v>
      </c>
      <c r="E4271" t="s">
        <v>106</v>
      </c>
      <c r="F4271" t="s">
        <v>22</v>
      </c>
      <c r="G4271" t="s">
        <v>23</v>
      </c>
      <c r="H4271" s="1">
        <v>44770</v>
      </c>
      <c r="I4271" s="2">
        <v>44772.5541666667</v>
      </c>
      <c r="J4271">
        <v>61.3</v>
      </c>
      <c r="K4271" t="s">
        <v>24</v>
      </c>
      <c r="L4271">
        <v>0</v>
      </c>
      <c r="M4271">
        <v>4</v>
      </c>
      <c r="N4271" t="s">
        <v>141</v>
      </c>
      <c r="O4271" s="3" t="str">
        <f>TEXT(Ticket_Table[[#This Row],[raised_date]],"YYYY-MM")</f>
        <v>2022-07</v>
      </c>
      <c r="P4271" s="3" t="str">
        <f>IF(Ticket_Table[[#This Row],[resolution_hrs]]&lt;=4,"Fast",IF(Ticket_Table[[#This Row],[resolution_hrs]]&lt;=24,"Normal",IF(Ticket_Table[[#This Row],[resolution_hrs]]&lt;=48,"Slow","Very Slow")))</f>
        <v>Very Slow</v>
      </c>
      <c r="Q4271" s="3">
        <f>YEAR(Ticket_Table[[#This Row],[raised_date]])</f>
        <v>2022</v>
      </c>
    </row>
    <row r="4272" spans="1:17">
      <c r="A4272" t="s">
        <v>4833</v>
      </c>
      <c r="B4272" t="s">
        <v>944</v>
      </c>
      <c r="C4272" t="s">
        <v>140</v>
      </c>
      <c r="D4272" t="s">
        <v>90</v>
      </c>
      <c r="E4272" t="s">
        <v>69</v>
      </c>
      <c r="F4272" t="s">
        <v>38</v>
      </c>
      <c r="G4272" t="s">
        <v>23</v>
      </c>
      <c r="H4272" s="1">
        <v>44658</v>
      </c>
      <c r="I4272" s="2">
        <v>44659.0333333333</v>
      </c>
      <c r="J4272">
        <v>24.8</v>
      </c>
      <c r="K4272" t="s">
        <v>32</v>
      </c>
      <c r="L4272">
        <v>1</v>
      </c>
      <c r="M4272">
        <v>4</v>
      </c>
      <c r="N4272" t="s">
        <v>506</v>
      </c>
      <c r="O4272" s="3" t="str">
        <f>TEXT(Ticket_Table[[#This Row],[raised_date]],"YYYY-MM")</f>
        <v>2022-04</v>
      </c>
      <c r="P4272" s="3" t="str">
        <f>IF(Ticket_Table[[#This Row],[resolution_hrs]]&lt;=4,"Fast",IF(Ticket_Table[[#This Row],[resolution_hrs]]&lt;=24,"Normal",IF(Ticket_Table[[#This Row],[resolution_hrs]]&lt;=48,"Slow","Very Slow")))</f>
        <v>Slow</v>
      </c>
      <c r="Q4272" s="3">
        <f>YEAR(Ticket_Table[[#This Row],[raised_date]])</f>
        <v>2022</v>
      </c>
    </row>
    <row r="4273" spans="1:17">
      <c r="A4273" t="s">
        <v>4834</v>
      </c>
      <c r="B4273" t="s">
        <v>720</v>
      </c>
      <c r="C4273" t="s">
        <v>261</v>
      </c>
      <c r="D4273" t="s">
        <v>20</v>
      </c>
      <c r="E4273" t="s">
        <v>21</v>
      </c>
      <c r="F4273" t="s">
        <v>38</v>
      </c>
      <c r="G4273" t="s">
        <v>46</v>
      </c>
      <c r="H4273" s="1">
        <v>44507</v>
      </c>
      <c r="I4273" s="2">
        <v>44507.5125</v>
      </c>
      <c r="J4273">
        <v>12.3</v>
      </c>
      <c r="K4273" t="s">
        <v>24</v>
      </c>
      <c r="L4273">
        <v>2</v>
      </c>
      <c r="M4273">
        <v>5</v>
      </c>
      <c r="N4273" t="s">
        <v>327</v>
      </c>
      <c r="O4273" s="3" t="str">
        <f>TEXT(Ticket_Table[[#This Row],[raised_date]],"YYYY-MM")</f>
        <v>2021-11</v>
      </c>
      <c r="P4273" s="3" t="str">
        <f>IF(Ticket_Table[[#This Row],[resolution_hrs]]&lt;=4,"Fast",IF(Ticket_Table[[#This Row],[resolution_hrs]]&lt;=24,"Normal",IF(Ticket_Table[[#This Row],[resolution_hrs]]&lt;=48,"Slow","Very Slow")))</f>
        <v>Normal</v>
      </c>
      <c r="Q4273" s="3">
        <f>YEAR(Ticket_Table[[#This Row],[raised_date]])</f>
        <v>2021</v>
      </c>
    </row>
    <row r="4274" spans="1:17">
      <c r="A4274" t="s">
        <v>4835</v>
      </c>
      <c r="B4274" t="s">
        <v>327</v>
      </c>
      <c r="C4274" t="s">
        <v>133</v>
      </c>
      <c r="D4274" t="s">
        <v>20</v>
      </c>
      <c r="E4274" t="s">
        <v>56</v>
      </c>
      <c r="F4274" t="s">
        <v>22</v>
      </c>
      <c r="G4274" t="s">
        <v>91</v>
      </c>
      <c r="H4274" s="1">
        <v>44896</v>
      </c>
      <c r="I4274" s="2">
        <v>44898.6208333333</v>
      </c>
      <c r="J4274">
        <v>62.9</v>
      </c>
      <c r="K4274" t="s">
        <v>24</v>
      </c>
      <c r="L4274">
        <v>0</v>
      </c>
      <c r="M4274">
        <v>3</v>
      </c>
      <c r="N4274" t="s">
        <v>96</v>
      </c>
      <c r="O4274" s="3" t="str">
        <f>TEXT(Ticket_Table[[#This Row],[raised_date]],"YYYY-MM")</f>
        <v>2022-12</v>
      </c>
      <c r="P4274" s="3" t="str">
        <f>IF(Ticket_Table[[#This Row],[resolution_hrs]]&lt;=4,"Fast",IF(Ticket_Table[[#This Row],[resolution_hrs]]&lt;=24,"Normal",IF(Ticket_Table[[#This Row],[resolution_hrs]]&lt;=48,"Slow","Very Slow")))</f>
        <v>Very Slow</v>
      </c>
      <c r="Q4274" s="3">
        <f>YEAR(Ticket_Table[[#This Row],[raised_date]])</f>
        <v>2022</v>
      </c>
    </row>
    <row r="4275" spans="1:17">
      <c r="A4275" t="s">
        <v>4836</v>
      </c>
      <c r="B4275" t="s">
        <v>822</v>
      </c>
      <c r="C4275" t="s">
        <v>117</v>
      </c>
      <c r="D4275" t="s">
        <v>20</v>
      </c>
      <c r="E4275" t="s">
        <v>44</v>
      </c>
      <c r="F4275" t="s">
        <v>22</v>
      </c>
      <c r="G4275" t="s">
        <v>46</v>
      </c>
      <c r="H4275" s="1">
        <v>45001</v>
      </c>
      <c r="I4275" s="2">
        <v>45004.0875</v>
      </c>
      <c r="J4275">
        <v>74.1</v>
      </c>
      <c r="K4275" t="s">
        <v>32</v>
      </c>
      <c r="L4275">
        <v>0</v>
      </c>
      <c r="M4275">
        <v>2</v>
      </c>
      <c r="N4275" t="s">
        <v>595</v>
      </c>
      <c r="O4275" s="3" t="str">
        <f>TEXT(Ticket_Table[[#This Row],[raised_date]],"YYYY-MM")</f>
        <v>2023-03</v>
      </c>
      <c r="P4275" s="3" t="str">
        <f>IF(Ticket_Table[[#This Row],[resolution_hrs]]&lt;=4,"Fast",IF(Ticket_Table[[#This Row],[resolution_hrs]]&lt;=24,"Normal",IF(Ticket_Table[[#This Row],[resolution_hrs]]&lt;=48,"Slow","Very Slow")))</f>
        <v>Very Slow</v>
      </c>
      <c r="Q4275" s="3">
        <f>YEAR(Ticket_Table[[#This Row],[raised_date]])</f>
        <v>2023</v>
      </c>
    </row>
    <row r="4276" spans="1:17">
      <c r="A4276" t="s">
        <v>4837</v>
      </c>
      <c r="B4276" t="s">
        <v>435</v>
      </c>
      <c r="C4276" t="s">
        <v>50</v>
      </c>
      <c r="D4276" t="s">
        <v>43</v>
      </c>
      <c r="E4276" t="s">
        <v>56</v>
      </c>
      <c r="F4276" t="s">
        <v>38</v>
      </c>
      <c r="G4276" t="s">
        <v>31</v>
      </c>
      <c r="H4276" s="1">
        <v>44478</v>
      </c>
      <c r="I4276" s="2">
        <v>44478.3333333333</v>
      </c>
      <c r="J4276">
        <v>8</v>
      </c>
      <c r="K4276" t="s">
        <v>24</v>
      </c>
      <c r="L4276">
        <v>0</v>
      </c>
      <c r="M4276">
        <v>3</v>
      </c>
      <c r="N4276" t="s">
        <v>536</v>
      </c>
      <c r="O4276" s="3" t="str">
        <f>TEXT(Ticket_Table[[#This Row],[raised_date]],"YYYY-MM")</f>
        <v>2021-10</v>
      </c>
      <c r="P4276" s="3" t="str">
        <f>IF(Ticket_Table[[#This Row],[resolution_hrs]]&lt;=4,"Fast",IF(Ticket_Table[[#This Row],[resolution_hrs]]&lt;=24,"Normal",IF(Ticket_Table[[#This Row],[resolution_hrs]]&lt;=48,"Slow","Very Slow")))</f>
        <v>Normal</v>
      </c>
      <c r="Q4276" s="3">
        <f>YEAR(Ticket_Table[[#This Row],[raised_date]])</f>
        <v>2021</v>
      </c>
    </row>
    <row r="4277" spans="1:17">
      <c r="A4277" t="s">
        <v>4838</v>
      </c>
      <c r="B4277" t="s">
        <v>298</v>
      </c>
      <c r="C4277" t="s">
        <v>201</v>
      </c>
      <c r="D4277" t="s">
        <v>29</v>
      </c>
      <c r="E4277" t="s">
        <v>56</v>
      </c>
      <c r="F4277" t="s">
        <v>70</v>
      </c>
      <c r="G4277" t="s">
        <v>31</v>
      </c>
      <c r="H4277" s="1">
        <v>44376</v>
      </c>
      <c r="I4277" s="2">
        <v>44376.4416666667</v>
      </c>
      <c r="J4277">
        <v>10.6</v>
      </c>
      <c r="K4277" t="s">
        <v>24</v>
      </c>
      <c r="L4277">
        <v>0</v>
      </c>
      <c r="M4277">
        <v>4</v>
      </c>
      <c r="N4277" t="s">
        <v>981</v>
      </c>
      <c r="O4277" s="3" t="str">
        <f>TEXT(Ticket_Table[[#This Row],[raised_date]],"YYYY-MM")</f>
        <v>2021-06</v>
      </c>
      <c r="P4277" s="3" t="str">
        <f>IF(Ticket_Table[[#This Row],[resolution_hrs]]&lt;=4,"Fast",IF(Ticket_Table[[#This Row],[resolution_hrs]]&lt;=24,"Normal",IF(Ticket_Table[[#This Row],[resolution_hrs]]&lt;=48,"Slow","Very Slow")))</f>
        <v>Normal</v>
      </c>
      <c r="Q4277" s="3">
        <f>YEAR(Ticket_Table[[#This Row],[raised_date]])</f>
        <v>2021</v>
      </c>
    </row>
    <row r="4278" spans="1:17">
      <c r="A4278" t="s">
        <v>4839</v>
      </c>
      <c r="B4278" t="s">
        <v>712</v>
      </c>
      <c r="C4278" t="s">
        <v>102</v>
      </c>
      <c r="D4278" t="s">
        <v>90</v>
      </c>
      <c r="E4278" t="s">
        <v>30</v>
      </c>
      <c r="F4278" t="s">
        <v>70</v>
      </c>
      <c r="G4278" t="s">
        <v>46</v>
      </c>
      <c r="H4278" s="1">
        <v>44979</v>
      </c>
      <c r="I4278" s="2">
        <v>44980.6833333333</v>
      </c>
      <c r="J4278">
        <v>40.4</v>
      </c>
      <c r="K4278" t="s">
        <v>24</v>
      </c>
      <c r="L4278">
        <v>0</v>
      </c>
      <c r="M4278">
        <v>4</v>
      </c>
      <c r="N4278" t="s">
        <v>195</v>
      </c>
      <c r="O4278" s="3" t="str">
        <f>TEXT(Ticket_Table[[#This Row],[raised_date]],"YYYY-MM")</f>
        <v>2023-02</v>
      </c>
      <c r="P4278" s="3" t="str">
        <f>IF(Ticket_Table[[#This Row],[resolution_hrs]]&lt;=4,"Fast",IF(Ticket_Table[[#This Row],[resolution_hrs]]&lt;=24,"Normal",IF(Ticket_Table[[#This Row],[resolution_hrs]]&lt;=48,"Slow","Very Slow")))</f>
        <v>Slow</v>
      </c>
      <c r="Q4278" s="3">
        <f>YEAR(Ticket_Table[[#This Row],[raised_date]])</f>
        <v>2023</v>
      </c>
    </row>
    <row r="4279" spans="1:17">
      <c r="A4279" t="s">
        <v>4840</v>
      </c>
      <c r="B4279" t="s">
        <v>510</v>
      </c>
      <c r="C4279" t="s">
        <v>64</v>
      </c>
      <c r="D4279" t="s">
        <v>90</v>
      </c>
      <c r="E4279" t="s">
        <v>21</v>
      </c>
      <c r="F4279" t="s">
        <v>70</v>
      </c>
      <c r="G4279" t="s">
        <v>31</v>
      </c>
      <c r="H4279" s="1">
        <v>45263</v>
      </c>
      <c r="I4279" s="2">
        <v>45263.9333333333</v>
      </c>
      <c r="J4279">
        <v>22.4</v>
      </c>
      <c r="K4279" t="s">
        <v>24</v>
      </c>
      <c r="L4279">
        <v>0</v>
      </c>
      <c r="M4279">
        <v>4</v>
      </c>
      <c r="N4279" t="s">
        <v>1578</v>
      </c>
      <c r="O4279" s="3" t="str">
        <f>TEXT(Ticket_Table[[#This Row],[raised_date]],"YYYY-MM")</f>
        <v>2023-12</v>
      </c>
      <c r="P4279" s="3" t="str">
        <f>IF(Ticket_Table[[#This Row],[resolution_hrs]]&lt;=4,"Fast",IF(Ticket_Table[[#This Row],[resolution_hrs]]&lt;=24,"Normal",IF(Ticket_Table[[#This Row],[resolution_hrs]]&lt;=48,"Slow","Very Slow")))</f>
        <v>Normal</v>
      </c>
      <c r="Q4279" s="3">
        <f>YEAR(Ticket_Table[[#This Row],[raised_date]])</f>
        <v>2023</v>
      </c>
    </row>
    <row r="4280" spans="1:17">
      <c r="A4280" t="s">
        <v>4841</v>
      </c>
      <c r="B4280" t="s">
        <v>895</v>
      </c>
      <c r="C4280" t="s">
        <v>201</v>
      </c>
      <c r="D4280" t="s">
        <v>43</v>
      </c>
      <c r="E4280" t="s">
        <v>83</v>
      </c>
      <c r="F4280" t="s">
        <v>22</v>
      </c>
      <c r="G4280" t="s">
        <v>23</v>
      </c>
      <c r="H4280" s="1">
        <v>44662</v>
      </c>
      <c r="I4280" s="2">
        <v>44662.425</v>
      </c>
      <c r="J4280">
        <v>10.2</v>
      </c>
      <c r="K4280" t="s">
        <v>24</v>
      </c>
      <c r="L4280">
        <v>0</v>
      </c>
      <c r="M4280">
        <v>2</v>
      </c>
      <c r="N4280" t="s">
        <v>595</v>
      </c>
      <c r="O4280" s="3" t="str">
        <f>TEXT(Ticket_Table[[#This Row],[raised_date]],"YYYY-MM")</f>
        <v>2022-04</v>
      </c>
      <c r="P4280" s="3" t="str">
        <f>IF(Ticket_Table[[#This Row],[resolution_hrs]]&lt;=4,"Fast",IF(Ticket_Table[[#This Row],[resolution_hrs]]&lt;=24,"Normal",IF(Ticket_Table[[#This Row],[resolution_hrs]]&lt;=48,"Slow","Very Slow")))</f>
        <v>Normal</v>
      </c>
      <c r="Q4280" s="3">
        <f>YEAR(Ticket_Table[[#This Row],[raised_date]])</f>
        <v>2022</v>
      </c>
    </row>
    <row r="4281" spans="1:17">
      <c r="A4281" t="s">
        <v>4842</v>
      </c>
      <c r="B4281" t="s">
        <v>355</v>
      </c>
      <c r="C4281" t="s">
        <v>133</v>
      </c>
      <c r="D4281" t="s">
        <v>29</v>
      </c>
      <c r="E4281" t="s">
        <v>21</v>
      </c>
      <c r="F4281" t="s">
        <v>70</v>
      </c>
      <c r="G4281" t="s">
        <v>23</v>
      </c>
      <c r="H4281" s="1">
        <v>45051</v>
      </c>
      <c r="I4281" s="2">
        <v>45052.7166666667</v>
      </c>
      <c r="J4281">
        <v>41.2</v>
      </c>
      <c r="K4281" t="s">
        <v>24</v>
      </c>
      <c r="L4281">
        <v>0</v>
      </c>
      <c r="M4281">
        <v>5</v>
      </c>
      <c r="N4281" t="s">
        <v>621</v>
      </c>
      <c r="O4281" s="3" t="str">
        <f>TEXT(Ticket_Table[[#This Row],[raised_date]],"YYYY-MM")</f>
        <v>2023-05</v>
      </c>
      <c r="P4281" s="3" t="str">
        <f>IF(Ticket_Table[[#This Row],[resolution_hrs]]&lt;=4,"Fast",IF(Ticket_Table[[#This Row],[resolution_hrs]]&lt;=24,"Normal",IF(Ticket_Table[[#This Row],[resolution_hrs]]&lt;=48,"Slow","Very Slow")))</f>
        <v>Slow</v>
      </c>
      <c r="Q4281" s="3">
        <f>YEAR(Ticket_Table[[#This Row],[raised_date]])</f>
        <v>2023</v>
      </c>
    </row>
    <row r="4282" spans="1:17">
      <c r="A4282" t="s">
        <v>4843</v>
      </c>
      <c r="B4282" t="s">
        <v>515</v>
      </c>
      <c r="C4282" t="s">
        <v>95</v>
      </c>
      <c r="D4282" t="s">
        <v>29</v>
      </c>
      <c r="E4282" t="s">
        <v>83</v>
      </c>
      <c r="F4282" t="s">
        <v>70</v>
      </c>
      <c r="G4282" t="s">
        <v>23</v>
      </c>
      <c r="H4282" s="1">
        <v>44689</v>
      </c>
      <c r="I4282" s="2">
        <v>44690.9</v>
      </c>
      <c r="J4282">
        <v>45.6</v>
      </c>
      <c r="K4282" t="s">
        <v>24</v>
      </c>
      <c r="L4282">
        <v>0</v>
      </c>
      <c r="M4282">
        <v>3</v>
      </c>
      <c r="N4282" t="s">
        <v>180</v>
      </c>
      <c r="O4282" s="3" t="str">
        <f>TEXT(Ticket_Table[[#This Row],[raised_date]],"YYYY-MM")</f>
        <v>2022-05</v>
      </c>
      <c r="P4282" s="3" t="str">
        <f>IF(Ticket_Table[[#This Row],[resolution_hrs]]&lt;=4,"Fast",IF(Ticket_Table[[#This Row],[resolution_hrs]]&lt;=24,"Normal",IF(Ticket_Table[[#This Row],[resolution_hrs]]&lt;=48,"Slow","Very Slow")))</f>
        <v>Slow</v>
      </c>
      <c r="Q4282" s="3">
        <f>YEAR(Ticket_Table[[#This Row],[raised_date]])</f>
        <v>2022</v>
      </c>
    </row>
    <row r="4283" spans="1:17">
      <c r="A4283" t="s">
        <v>4844</v>
      </c>
      <c r="B4283" t="s">
        <v>266</v>
      </c>
      <c r="C4283" t="s">
        <v>133</v>
      </c>
      <c r="D4283" t="s">
        <v>43</v>
      </c>
      <c r="E4283" t="s">
        <v>106</v>
      </c>
      <c r="F4283" t="s">
        <v>22</v>
      </c>
      <c r="G4283" t="s">
        <v>23</v>
      </c>
      <c r="H4283" s="1">
        <v>44509</v>
      </c>
      <c r="I4283" s="2">
        <v>44511.475</v>
      </c>
      <c r="J4283">
        <v>59.4</v>
      </c>
      <c r="K4283" t="s">
        <v>24</v>
      </c>
      <c r="L4283">
        <v>0</v>
      </c>
      <c r="M4283">
        <v>3</v>
      </c>
      <c r="N4283" t="s">
        <v>112</v>
      </c>
      <c r="O4283" s="3" t="str">
        <f>TEXT(Ticket_Table[[#This Row],[raised_date]],"YYYY-MM")</f>
        <v>2021-11</v>
      </c>
      <c r="P4283" s="3" t="str">
        <f>IF(Ticket_Table[[#This Row],[resolution_hrs]]&lt;=4,"Fast",IF(Ticket_Table[[#This Row],[resolution_hrs]]&lt;=24,"Normal",IF(Ticket_Table[[#This Row],[resolution_hrs]]&lt;=48,"Slow","Very Slow")))</f>
        <v>Very Slow</v>
      </c>
      <c r="Q4283" s="3">
        <f>YEAR(Ticket_Table[[#This Row],[raised_date]])</f>
        <v>2021</v>
      </c>
    </row>
    <row r="4284" spans="1:17">
      <c r="A4284" t="s">
        <v>4845</v>
      </c>
      <c r="B4284" t="s">
        <v>202</v>
      </c>
      <c r="C4284" t="s">
        <v>42</v>
      </c>
      <c r="D4284" t="s">
        <v>36</v>
      </c>
      <c r="E4284" t="s">
        <v>83</v>
      </c>
      <c r="F4284" t="s">
        <v>70</v>
      </c>
      <c r="G4284" t="s">
        <v>46</v>
      </c>
      <c r="H4284" s="1">
        <v>45070</v>
      </c>
      <c r="I4284" s="2">
        <v>45071.1541666667</v>
      </c>
      <c r="J4284">
        <v>27.7</v>
      </c>
      <c r="K4284" t="s">
        <v>24</v>
      </c>
      <c r="L4284">
        <v>1</v>
      </c>
      <c r="M4284">
        <v>4</v>
      </c>
      <c r="N4284" t="s">
        <v>621</v>
      </c>
      <c r="O4284" s="3" t="str">
        <f>TEXT(Ticket_Table[[#This Row],[raised_date]],"YYYY-MM")</f>
        <v>2023-05</v>
      </c>
      <c r="P4284" s="3" t="str">
        <f>IF(Ticket_Table[[#This Row],[resolution_hrs]]&lt;=4,"Fast",IF(Ticket_Table[[#This Row],[resolution_hrs]]&lt;=24,"Normal",IF(Ticket_Table[[#This Row],[resolution_hrs]]&lt;=48,"Slow","Very Slow")))</f>
        <v>Slow</v>
      </c>
      <c r="Q4284" s="3">
        <f>YEAR(Ticket_Table[[#This Row],[raised_date]])</f>
        <v>2023</v>
      </c>
    </row>
    <row r="4285" spans="1:17">
      <c r="A4285" t="s">
        <v>4846</v>
      </c>
      <c r="B4285" t="s">
        <v>431</v>
      </c>
      <c r="C4285" t="s">
        <v>82</v>
      </c>
      <c r="D4285" t="s">
        <v>36</v>
      </c>
      <c r="E4285" t="s">
        <v>166</v>
      </c>
      <c r="F4285" t="s">
        <v>38</v>
      </c>
      <c r="G4285" t="s">
        <v>31</v>
      </c>
      <c r="H4285" s="1">
        <v>44836</v>
      </c>
      <c r="I4285" s="2">
        <v>44837.3208333333</v>
      </c>
      <c r="J4285">
        <v>31.7</v>
      </c>
      <c r="K4285" t="s">
        <v>32</v>
      </c>
      <c r="L4285">
        <v>1</v>
      </c>
      <c r="M4285">
        <v>3</v>
      </c>
      <c r="N4285" t="s">
        <v>493</v>
      </c>
      <c r="O4285" s="3" t="str">
        <f>TEXT(Ticket_Table[[#This Row],[raised_date]],"YYYY-MM")</f>
        <v>2022-10</v>
      </c>
      <c r="P4285" s="3" t="str">
        <f>IF(Ticket_Table[[#This Row],[resolution_hrs]]&lt;=4,"Fast",IF(Ticket_Table[[#This Row],[resolution_hrs]]&lt;=24,"Normal",IF(Ticket_Table[[#This Row],[resolution_hrs]]&lt;=48,"Slow","Very Slow")))</f>
        <v>Slow</v>
      </c>
      <c r="Q4285" s="3">
        <f>YEAR(Ticket_Table[[#This Row],[raised_date]])</f>
        <v>2022</v>
      </c>
    </row>
    <row r="4286" spans="1:17">
      <c r="A4286" t="s">
        <v>4847</v>
      </c>
      <c r="B4286" t="s">
        <v>317</v>
      </c>
      <c r="C4286" t="s">
        <v>95</v>
      </c>
      <c r="D4286" t="s">
        <v>29</v>
      </c>
      <c r="E4286" t="s">
        <v>106</v>
      </c>
      <c r="F4286" t="s">
        <v>70</v>
      </c>
      <c r="G4286" t="s">
        <v>23</v>
      </c>
      <c r="H4286" s="1">
        <v>44871</v>
      </c>
      <c r="I4286" s="2">
        <v>44872.3333333333</v>
      </c>
      <c r="J4286">
        <v>32</v>
      </c>
      <c r="K4286" t="s">
        <v>24</v>
      </c>
      <c r="L4286">
        <v>2</v>
      </c>
      <c r="M4286">
        <v>4</v>
      </c>
      <c r="N4286" t="s">
        <v>1107</v>
      </c>
      <c r="O4286" s="3" t="str">
        <f>TEXT(Ticket_Table[[#This Row],[raised_date]],"YYYY-MM")</f>
        <v>2022-11</v>
      </c>
      <c r="P4286" s="3" t="str">
        <f>IF(Ticket_Table[[#This Row],[resolution_hrs]]&lt;=4,"Fast",IF(Ticket_Table[[#This Row],[resolution_hrs]]&lt;=24,"Normal",IF(Ticket_Table[[#This Row],[resolution_hrs]]&lt;=48,"Slow","Very Slow")))</f>
        <v>Slow</v>
      </c>
      <c r="Q4286" s="3">
        <f>YEAR(Ticket_Table[[#This Row],[raised_date]])</f>
        <v>2022</v>
      </c>
    </row>
    <row r="4287" spans="1:17">
      <c r="A4287" t="s">
        <v>4848</v>
      </c>
      <c r="B4287" t="s">
        <v>886</v>
      </c>
      <c r="C4287" t="s">
        <v>60</v>
      </c>
      <c r="D4287" t="s">
        <v>36</v>
      </c>
      <c r="E4287" t="s">
        <v>83</v>
      </c>
      <c r="F4287" t="s">
        <v>22</v>
      </c>
      <c r="G4287" t="s">
        <v>46</v>
      </c>
      <c r="H4287" s="1">
        <v>45116</v>
      </c>
      <c r="I4287" s="2">
        <v>45116.6583333333</v>
      </c>
      <c r="J4287">
        <v>15.8</v>
      </c>
      <c r="K4287" t="s">
        <v>24</v>
      </c>
      <c r="L4287">
        <v>1</v>
      </c>
      <c r="M4287">
        <v>4</v>
      </c>
      <c r="N4287" t="s">
        <v>1078</v>
      </c>
      <c r="O4287" s="3" t="str">
        <f>TEXT(Ticket_Table[[#This Row],[raised_date]],"YYYY-MM")</f>
        <v>2023-07</v>
      </c>
      <c r="P4287" s="3" t="str">
        <f>IF(Ticket_Table[[#This Row],[resolution_hrs]]&lt;=4,"Fast",IF(Ticket_Table[[#This Row],[resolution_hrs]]&lt;=24,"Normal",IF(Ticket_Table[[#This Row],[resolution_hrs]]&lt;=48,"Slow","Very Slow")))</f>
        <v>Normal</v>
      </c>
      <c r="Q4287" s="3">
        <f>YEAR(Ticket_Table[[#This Row],[raised_date]])</f>
        <v>2023</v>
      </c>
    </row>
    <row r="4288" spans="1:17">
      <c r="A4288" t="s">
        <v>4849</v>
      </c>
      <c r="B4288" t="s">
        <v>1226</v>
      </c>
      <c r="C4288" t="s">
        <v>287</v>
      </c>
      <c r="D4288" t="s">
        <v>36</v>
      </c>
      <c r="E4288" t="s">
        <v>69</v>
      </c>
      <c r="F4288" t="s">
        <v>70</v>
      </c>
      <c r="G4288" t="s">
        <v>31</v>
      </c>
      <c r="H4288" s="1">
        <v>44466</v>
      </c>
      <c r="I4288" s="2">
        <v>44467.35</v>
      </c>
      <c r="J4288">
        <v>32.4</v>
      </c>
      <c r="K4288" t="s">
        <v>24</v>
      </c>
      <c r="L4288">
        <v>0</v>
      </c>
      <c r="M4288">
        <v>3</v>
      </c>
      <c r="N4288" t="s">
        <v>246</v>
      </c>
      <c r="O4288" s="3" t="str">
        <f>TEXT(Ticket_Table[[#This Row],[raised_date]],"YYYY-MM")</f>
        <v>2021-09</v>
      </c>
      <c r="P4288" s="3" t="str">
        <f>IF(Ticket_Table[[#This Row],[resolution_hrs]]&lt;=4,"Fast",IF(Ticket_Table[[#This Row],[resolution_hrs]]&lt;=24,"Normal",IF(Ticket_Table[[#This Row],[resolution_hrs]]&lt;=48,"Slow","Very Slow")))</f>
        <v>Slow</v>
      </c>
      <c r="Q4288" s="3">
        <f>YEAR(Ticket_Table[[#This Row],[raised_date]])</f>
        <v>2021</v>
      </c>
    </row>
    <row r="4289" spans="1:17">
      <c r="A4289" t="s">
        <v>4850</v>
      </c>
      <c r="B4289" t="s">
        <v>735</v>
      </c>
      <c r="C4289" t="s">
        <v>55</v>
      </c>
      <c r="D4289" t="s">
        <v>36</v>
      </c>
      <c r="E4289" t="s">
        <v>56</v>
      </c>
      <c r="F4289" t="s">
        <v>38</v>
      </c>
      <c r="G4289" t="s">
        <v>31</v>
      </c>
      <c r="H4289" s="1">
        <v>44620</v>
      </c>
      <c r="I4289" s="2">
        <v>44620.5</v>
      </c>
      <c r="J4289">
        <v>12</v>
      </c>
      <c r="K4289" t="s">
        <v>24</v>
      </c>
      <c r="L4289">
        <v>1</v>
      </c>
      <c r="M4289">
        <v>3</v>
      </c>
      <c r="N4289" t="s">
        <v>172</v>
      </c>
      <c r="O4289" s="3" t="str">
        <f>TEXT(Ticket_Table[[#This Row],[raised_date]],"YYYY-MM")</f>
        <v>2022-02</v>
      </c>
      <c r="P4289" s="3" t="str">
        <f>IF(Ticket_Table[[#This Row],[resolution_hrs]]&lt;=4,"Fast",IF(Ticket_Table[[#This Row],[resolution_hrs]]&lt;=24,"Normal",IF(Ticket_Table[[#This Row],[resolution_hrs]]&lt;=48,"Slow","Very Slow")))</f>
        <v>Normal</v>
      </c>
      <c r="Q4289" s="3">
        <f>YEAR(Ticket_Table[[#This Row],[raised_date]])</f>
        <v>2022</v>
      </c>
    </row>
    <row r="4290" spans="1:17">
      <c r="A4290" t="s">
        <v>4851</v>
      </c>
      <c r="B4290" t="s">
        <v>317</v>
      </c>
      <c r="C4290" t="s">
        <v>201</v>
      </c>
      <c r="D4290" t="s">
        <v>29</v>
      </c>
      <c r="E4290" t="s">
        <v>106</v>
      </c>
      <c r="F4290" t="s">
        <v>38</v>
      </c>
      <c r="G4290" t="s">
        <v>23</v>
      </c>
      <c r="H4290" s="1">
        <v>44480</v>
      </c>
      <c r="I4290" s="2">
        <v>44481.4041666667</v>
      </c>
      <c r="J4290">
        <v>33.7</v>
      </c>
      <c r="K4290" t="s">
        <v>32</v>
      </c>
      <c r="L4290">
        <v>0</v>
      </c>
      <c r="M4290">
        <v>4</v>
      </c>
      <c r="N4290" t="s">
        <v>343</v>
      </c>
      <c r="O4290" s="3" t="str">
        <f>TEXT(Ticket_Table[[#This Row],[raised_date]],"YYYY-MM")</f>
        <v>2021-10</v>
      </c>
      <c r="P4290" s="3" t="str">
        <f>IF(Ticket_Table[[#This Row],[resolution_hrs]]&lt;=4,"Fast",IF(Ticket_Table[[#This Row],[resolution_hrs]]&lt;=24,"Normal",IF(Ticket_Table[[#This Row],[resolution_hrs]]&lt;=48,"Slow","Very Slow")))</f>
        <v>Slow</v>
      </c>
      <c r="Q4290" s="3">
        <f>YEAR(Ticket_Table[[#This Row],[raised_date]])</f>
        <v>2021</v>
      </c>
    </row>
    <row r="4291" spans="1:17">
      <c r="A4291" t="s">
        <v>4852</v>
      </c>
      <c r="B4291" t="s">
        <v>167</v>
      </c>
      <c r="C4291" t="s">
        <v>140</v>
      </c>
      <c r="D4291" t="s">
        <v>36</v>
      </c>
      <c r="E4291" t="s">
        <v>56</v>
      </c>
      <c r="F4291" t="s">
        <v>70</v>
      </c>
      <c r="G4291" t="s">
        <v>74</v>
      </c>
      <c r="H4291" s="1">
        <v>44611</v>
      </c>
      <c r="I4291" s="2">
        <v>44613.15</v>
      </c>
      <c r="J4291">
        <v>51.6</v>
      </c>
      <c r="K4291" t="s">
        <v>32</v>
      </c>
      <c r="L4291">
        <v>0</v>
      </c>
      <c r="M4291">
        <v>3</v>
      </c>
      <c r="N4291" t="s">
        <v>618</v>
      </c>
      <c r="O4291" s="3" t="str">
        <f>TEXT(Ticket_Table[[#This Row],[raised_date]],"YYYY-MM")</f>
        <v>2022-02</v>
      </c>
      <c r="P4291" s="3" t="str">
        <f>IF(Ticket_Table[[#This Row],[resolution_hrs]]&lt;=4,"Fast",IF(Ticket_Table[[#This Row],[resolution_hrs]]&lt;=24,"Normal",IF(Ticket_Table[[#This Row],[resolution_hrs]]&lt;=48,"Slow","Very Slow")))</f>
        <v>Very Slow</v>
      </c>
      <c r="Q4291" s="3">
        <f>YEAR(Ticket_Table[[#This Row],[raised_date]])</f>
        <v>2022</v>
      </c>
    </row>
    <row r="4292" spans="1:17">
      <c r="A4292" t="s">
        <v>4853</v>
      </c>
      <c r="B4292" t="s">
        <v>403</v>
      </c>
      <c r="C4292" t="s">
        <v>82</v>
      </c>
      <c r="D4292" t="s">
        <v>90</v>
      </c>
      <c r="E4292" t="s">
        <v>37</v>
      </c>
      <c r="F4292" t="s">
        <v>22</v>
      </c>
      <c r="G4292" t="s">
        <v>23</v>
      </c>
      <c r="H4292" s="1">
        <v>44479</v>
      </c>
      <c r="I4292" s="2">
        <v>44481.1291666667</v>
      </c>
      <c r="J4292">
        <v>51.1</v>
      </c>
      <c r="K4292" t="s">
        <v>24</v>
      </c>
      <c r="L4292">
        <v>0</v>
      </c>
      <c r="M4292">
        <v>3</v>
      </c>
      <c r="N4292" t="s">
        <v>558</v>
      </c>
      <c r="O4292" s="3" t="str">
        <f>TEXT(Ticket_Table[[#This Row],[raised_date]],"YYYY-MM")</f>
        <v>2021-10</v>
      </c>
      <c r="P4292" s="3" t="str">
        <f>IF(Ticket_Table[[#This Row],[resolution_hrs]]&lt;=4,"Fast",IF(Ticket_Table[[#This Row],[resolution_hrs]]&lt;=24,"Normal",IF(Ticket_Table[[#This Row],[resolution_hrs]]&lt;=48,"Slow","Very Slow")))</f>
        <v>Very Slow</v>
      </c>
      <c r="Q4292" s="3">
        <f>YEAR(Ticket_Table[[#This Row],[raised_date]])</f>
        <v>2021</v>
      </c>
    </row>
    <row r="4293" spans="1:17">
      <c r="A4293" t="s">
        <v>4854</v>
      </c>
      <c r="B4293" t="s">
        <v>264</v>
      </c>
      <c r="C4293" t="s">
        <v>19</v>
      </c>
      <c r="D4293" t="s">
        <v>29</v>
      </c>
      <c r="E4293" t="s">
        <v>21</v>
      </c>
      <c r="F4293" t="s">
        <v>38</v>
      </c>
      <c r="G4293" t="s">
        <v>74</v>
      </c>
      <c r="H4293" s="1">
        <v>44829</v>
      </c>
      <c r="I4293" s="2">
        <v>44829.6666666667</v>
      </c>
      <c r="J4293">
        <v>16</v>
      </c>
      <c r="K4293" t="s">
        <v>24</v>
      </c>
      <c r="L4293">
        <v>0</v>
      </c>
      <c r="M4293">
        <v>4</v>
      </c>
      <c r="N4293" t="s">
        <v>344</v>
      </c>
      <c r="O4293" s="3" t="str">
        <f>TEXT(Ticket_Table[[#This Row],[raised_date]],"YYYY-MM")</f>
        <v>2022-09</v>
      </c>
      <c r="P4293" s="3" t="str">
        <f>IF(Ticket_Table[[#This Row],[resolution_hrs]]&lt;=4,"Fast",IF(Ticket_Table[[#This Row],[resolution_hrs]]&lt;=24,"Normal",IF(Ticket_Table[[#This Row],[resolution_hrs]]&lt;=48,"Slow","Very Slow")))</f>
        <v>Normal</v>
      </c>
      <c r="Q4293" s="3">
        <f>YEAR(Ticket_Table[[#This Row],[raised_date]])</f>
        <v>2022</v>
      </c>
    </row>
    <row r="4294" spans="1:17">
      <c r="A4294" t="s">
        <v>4855</v>
      </c>
      <c r="B4294" t="s">
        <v>884</v>
      </c>
      <c r="C4294" t="s">
        <v>42</v>
      </c>
      <c r="D4294" t="s">
        <v>43</v>
      </c>
      <c r="E4294" t="s">
        <v>83</v>
      </c>
      <c r="F4294" t="s">
        <v>38</v>
      </c>
      <c r="G4294" t="s">
        <v>23</v>
      </c>
      <c r="H4294" s="1">
        <v>45269</v>
      </c>
      <c r="I4294" s="2">
        <v>45269.6541666667</v>
      </c>
      <c r="J4294">
        <v>15.7</v>
      </c>
      <c r="K4294" t="s">
        <v>24</v>
      </c>
      <c r="L4294">
        <v>2</v>
      </c>
      <c r="M4294">
        <v>3</v>
      </c>
      <c r="N4294" t="s">
        <v>571</v>
      </c>
      <c r="O4294" s="3" t="str">
        <f>TEXT(Ticket_Table[[#This Row],[raised_date]],"YYYY-MM")</f>
        <v>2023-12</v>
      </c>
      <c r="P4294" s="3" t="str">
        <f>IF(Ticket_Table[[#This Row],[resolution_hrs]]&lt;=4,"Fast",IF(Ticket_Table[[#This Row],[resolution_hrs]]&lt;=24,"Normal",IF(Ticket_Table[[#This Row],[resolution_hrs]]&lt;=48,"Slow","Very Slow")))</f>
        <v>Normal</v>
      </c>
      <c r="Q4294" s="3">
        <f>YEAR(Ticket_Table[[#This Row],[raised_date]])</f>
        <v>2023</v>
      </c>
    </row>
    <row r="4295" spans="1:17">
      <c r="A4295" t="s">
        <v>4856</v>
      </c>
      <c r="B4295" t="s">
        <v>474</v>
      </c>
      <c r="C4295" t="s">
        <v>133</v>
      </c>
      <c r="D4295" t="s">
        <v>36</v>
      </c>
      <c r="E4295" t="s">
        <v>56</v>
      </c>
      <c r="F4295" t="s">
        <v>22</v>
      </c>
      <c r="G4295" t="s">
        <v>31</v>
      </c>
      <c r="H4295" s="1">
        <v>44473</v>
      </c>
      <c r="I4295" s="2">
        <v>44474.8708333333</v>
      </c>
      <c r="J4295">
        <v>44.9</v>
      </c>
      <c r="K4295" t="s">
        <v>24</v>
      </c>
      <c r="L4295">
        <v>1</v>
      </c>
      <c r="M4295">
        <v>4</v>
      </c>
      <c r="N4295" t="s">
        <v>616</v>
      </c>
      <c r="O4295" s="3" t="str">
        <f>TEXT(Ticket_Table[[#This Row],[raised_date]],"YYYY-MM")</f>
        <v>2021-10</v>
      </c>
      <c r="P4295" s="3" t="str">
        <f>IF(Ticket_Table[[#This Row],[resolution_hrs]]&lt;=4,"Fast",IF(Ticket_Table[[#This Row],[resolution_hrs]]&lt;=24,"Normal",IF(Ticket_Table[[#This Row],[resolution_hrs]]&lt;=48,"Slow","Very Slow")))</f>
        <v>Slow</v>
      </c>
      <c r="Q4295" s="3">
        <f>YEAR(Ticket_Table[[#This Row],[raised_date]])</f>
        <v>2021</v>
      </c>
    </row>
    <row r="4296" spans="1:17">
      <c r="A4296" t="s">
        <v>4857</v>
      </c>
      <c r="B4296" t="s">
        <v>126</v>
      </c>
      <c r="C4296" t="s">
        <v>42</v>
      </c>
      <c r="D4296" t="s">
        <v>20</v>
      </c>
      <c r="E4296" t="s">
        <v>83</v>
      </c>
      <c r="F4296" t="s">
        <v>70</v>
      </c>
      <c r="G4296" t="s">
        <v>74</v>
      </c>
      <c r="H4296" s="1">
        <v>45077</v>
      </c>
      <c r="I4296" s="2">
        <v>45077.125</v>
      </c>
      <c r="J4296">
        <v>3</v>
      </c>
      <c r="K4296" t="s">
        <v>24</v>
      </c>
      <c r="L4296">
        <v>0</v>
      </c>
      <c r="M4296">
        <v>4</v>
      </c>
      <c r="N4296" t="s">
        <v>835</v>
      </c>
      <c r="O4296" s="3" t="str">
        <f>TEXT(Ticket_Table[[#This Row],[raised_date]],"YYYY-MM")</f>
        <v>2023-05</v>
      </c>
      <c r="P4296" s="3" t="str">
        <f>IF(Ticket_Table[[#This Row],[resolution_hrs]]&lt;=4,"Fast",IF(Ticket_Table[[#This Row],[resolution_hrs]]&lt;=24,"Normal",IF(Ticket_Table[[#This Row],[resolution_hrs]]&lt;=48,"Slow","Very Slow")))</f>
        <v>Fast</v>
      </c>
      <c r="Q4296" s="3">
        <f>YEAR(Ticket_Table[[#This Row],[raised_date]])</f>
        <v>2023</v>
      </c>
    </row>
    <row r="4297" spans="1:17">
      <c r="A4297" t="s">
        <v>4858</v>
      </c>
      <c r="B4297" t="s">
        <v>564</v>
      </c>
      <c r="C4297" t="s">
        <v>102</v>
      </c>
      <c r="D4297" t="s">
        <v>29</v>
      </c>
      <c r="E4297" t="s">
        <v>56</v>
      </c>
      <c r="F4297" t="s">
        <v>70</v>
      </c>
      <c r="G4297" t="s">
        <v>23</v>
      </c>
      <c r="H4297" s="1">
        <v>44494</v>
      </c>
      <c r="I4297" s="2">
        <v>44495.6958333333</v>
      </c>
      <c r="J4297">
        <v>40.7</v>
      </c>
      <c r="K4297" t="s">
        <v>24</v>
      </c>
      <c r="L4297">
        <v>0</v>
      </c>
      <c r="M4297">
        <v>5</v>
      </c>
      <c r="N4297" t="s">
        <v>302</v>
      </c>
      <c r="O4297" s="3" t="str">
        <f>TEXT(Ticket_Table[[#This Row],[raised_date]],"YYYY-MM")</f>
        <v>2021-10</v>
      </c>
      <c r="P4297" s="3" t="str">
        <f>IF(Ticket_Table[[#This Row],[resolution_hrs]]&lt;=4,"Fast",IF(Ticket_Table[[#This Row],[resolution_hrs]]&lt;=24,"Normal",IF(Ticket_Table[[#This Row],[resolution_hrs]]&lt;=48,"Slow","Very Slow")))</f>
        <v>Slow</v>
      </c>
      <c r="Q4297" s="3">
        <f>YEAR(Ticket_Table[[#This Row],[raised_date]])</f>
        <v>2021</v>
      </c>
    </row>
    <row r="4298" spans="1:17">
      <c r="A4298" t="s">
        <v>4859</v>
      </c>
      <c r="B4298" t="s">
        <v>335</v>
      </c>
      <c r="C4298" t="s">
        <v>102</v>
      </c>
      <c r="D4298" t="s">
        <v>43</v>
      </c>
      <c r="E4298" t="s">
        <v>69</v>
      </c>
      <c r="F4298" t="s">
        <v>38</v>
      </c>
      <c r="G4298" t="s">
        <v>31</v>
      </c>
      <c r="H4298" s="1">
        <v>44520</v>
      </c>
      <c r="I4298" s="2">
        <v>44521.4375</v>
      </c>
      <c r="J4298">
        <v>34.5</v>
      </c>
      <c r="K4298" t="s">
        <v>32</v>
      </c>
      <c r="L4298">
        <v>1</v>
      </c>
      <c r="M4298">
        <v>5</v>
      </c>
      <c r="N4298" t="s">
        <v>454</v>
      </c>
      <c r="O4298" s="3" t="str">
        <f>TEXT(Ticket_Table[[#This Row],[raised_date]],"YYYY-MM")</f>
        <v>2021-11</v>
      </c>
      <c r="P4298" s="3" t="str">
        <f>IF(Ticket_Table[[#This Row],[resolution_hrs]]&lt;=4,"Fast",IF(Ticket_Table[[#This Row],[resolution_hrs]]&lt;=24,"Normal",IF(Ticket_Table[[#This Row],[resolution_hrs]]&lt;=48,"Slow","Very Slow")))</f>
        <v>Slow</v>
      </c>
      <c r="Q4298" s="3">
        <f>YEAR(Ticket_Table[[#This Row],[raised_date]])</f>
        <v>2021</v>
      </c>
    </row>
    <row r="4299" spans="1:17">
      <c r="A4299" t="s">
        <v>4860</v>
      </c>
      <c r="B4299" t="s">
        <v>696</v>
      </c>
      <c r="C4299" t="s">
        <v>261</v>
      </c>
      <c r="D4299" t="s">
        <v>90</v>
      </c>
      <c r="E4299" t="s">
        <v>51</v>
      </c>
      <c r="F4299" t="s">
        <v>22</v>
      </c>
      <c r="G4299" t="s">
        <v>74</v>
      </c>
      <c r="H4299" s="1">
        <v>44847</v>
      </c>
      <c r="I4299" s="2">
        <v>44848.9166666667</v>
      </c>
      <c r="J4299">
        <v>46</v>
      </c>
      <c r="K4299" t="s">
        <v>24</v>
      </c>
      <c r="L4299">
        <v>0</v>
      </c>
      <c r="M4299">
        <v>3</v>
      </c>
      <c r="N4299" t="s">
        <v>317</v>
      </c>
      <c r="O4299" s="3" t="str">
        <f>TEXT(Ticket_Table[[#This Row],[raised_date]],"YYYY-MM")</f>
        <v>2022-10</v>
      </c>
      <c r="P4299" s="3" t="str">
        <f>IF(Ticket_Table[[#This Row],[resolution_hrs]]&lt;=4,"Fast",IF(Ticket_Table[[#This Row],[resolution_hrs]]&lt;=24,"Normal",IF(Ticket_Table[[#This Row],[resolution_hrs]]&lt;=48,"Slow","Very Slow")))</f>
        <v>Slow</v>
      </c>
      <c r="Q4299" s="3">
        <f>YEAR(Ticket_Table[[#This Row],[raised_date]])</f>
        <v>2022</v>
      </c>
    </row>
    <row r="4300" spans="1:17">
      <c r="A4300" t="s">
        <v>4861</v>
      </c>
      <c r="B4300" t="s">
        <v>589</v>
      </c>
      <c r="C4300" t="s">
        <v>42</v>
      </c>
      <c r="D4300" t="s">
        <v>43</v>
      </c>
      <c r="E4300" t="s">
        <v>69</v>
      </c>
      <c r="F4300" t="s">
        <v>70</v>
      </c>
      <c r="G4300" t="s">
        <v>74</v>
      </c>
      <c r="H4300" s="1">
        <v>44335</v>
      </c>
      <c r="I4300" s="2">
        <v>44337.2791666667</v>
      </c>
      <c r="J4300">
        <v>54.7</v>
      </c>
      <c r="K4300" t="s">
        <v>32</v>
      </c>
      <c r="L4300">
        <v>0</v>
      </c>
      <c r="M4300">
        <v>2</v>
      </c>
      <c r="N4300" t="s">
        <v>550</v>
      </c>
      <c r="O4300" s="3" t="str">
        <f>TEXT(Ticket_Table[[#This Row],[raised_date]],"YYYY-MM")</f>
        <v>2021-05</v>
      </c>
      <c r="P4300" s="3" t="str">
        <f>IF(Ticket_Table[[#This Row],[resolution_hrs]]&lt;=4,"Fast",IF(Ticket_Table[[#This Row],[resolution_hrs]]&lt;=24,"Normal",IF(Ticket_Table[[#This Row],[resolution_hrs]]&lt;=48,"Slow","Very Slow")))</f>
        <v>Very Slow</v>
      </c>
      <c r="Q4300" s="3">
        <f>YEAR(Ticket_Table[[#This Row],[raised_date]])</f>
        <v>2021</v>
      </c>
    </row>
    <row r="4301" spans="1:17">
      <c r="A4301" t="s">
        <v>4862</v>
      </c>
      <c r="B4301" t="s">
        <v>538</v>
      </c>
      <c r="C4301" t="s">
        <v>60</v>
      </c>
      <c r="D4301" t="s">
        <v>36</v>
      </c>
      <c r="E4301" t="s">
        <v>44</v>
      </c>
      <c r="F4301" t="s">
        <v>45</v>
      </c>
      <c r="G4301" t="s">
        <v>23</v>
      </c>
      <c r="H4301" s="1">
        <v>45288</v>
      </c>
      <c r="I4301" s="2">
        <v>45288.1708333333</v>
      </c>
      <c r="J4301">
        <v>4.1</v>
      </c>
      <c r="K4301" t="s">
        <v>32</v>
      </c>
      <c r="L4301">
        <v>0</v>
      </c>
      <c r="M4301">
        <v>4</v>
      </c>
      <c r="N4301" t="s">
        <v>423</v>
      </c>
      <c r="O4301" s="3" t="str">
        <f>TEXT(Ticket_Table[[#This Row],[raised_date]],"YYYY-MM")</f>
        <v>2023-12</v>
      </c>
      <c r="P4301" s="3" t="str">
        <f>IF(Ticket_Table[[#This Row],[resolution_hrs]]&lt;=4,"Fast",IF(Ticket_Table[[#This Row],[resolution_hrs]]&lt;=24,"Normal",IF(Ticket_Table[[#This Row],[resolution_hrs]]&lt;=48,"Slow","Very Slow")))</f>
        <v>Normal</v>
      </c>
      <c r="Q4301" s="3">
        <f>YEAR(Ticket_Table[[#This Row],[raised_date]])</f>
        <v>2023</v>
      </c>
    </row>
    <row r="4302" spans="1:17">
      <c r="A4302" t="s">
        <v>4863</v>
      </c>
      <c r="B4302" t="s">
        <v>1091</v>
      </c>
      <c r="C4302" t="s">
        <v>133</v>
      </c>
      <c r="D4302" t="s">
        <v>20</v>
      </c>
      <c r="E4302" t="s">
        <v>83</v>
      </c>
      <c r="F4302" t="s">
        <v>38</v>
      </c>
      <c r="G4302" t="s">
        <v>31</v>
      </c>
      <c r="H4302" s="1">
        <v>44439</v>
      </c>
      <c r="I4302" s="2">
        <v>44439.4833333333</v>
      </c>
      <c r="J4302">
        <v>11.6</v>
      </c>
      <c r="K4302" t="s">
        <v>24</v>
      </c>
      <c r="L4302">
        <v>1</v>
      </c>
      <c r="M4302">
        <v>4</v>
      </c>
      <c r="N4302" t="s">
        <v>501</v>
      </c>
      <c r="O4302" s="3" t="str">
        <f>TEXT(Ticket_Table[[#This Row],[raised_date]],"YYYY-MM")</f>
        <v>2021-08</v>
      </c>
      <c r="P4302" s="3" t="str">
        <f>IF(Ticket_Table[[#This Row],[resolution_hrs]]&lt;=4,"Fast",IF(Ticket_Table[[#This Row],[resolution_hrs]]&lt;=24,"Normal",IF(Ticket_Table[[#This Row],[resolution_hrs]]&lt;=48,"Slow","Very Slow")))</f>
        <v>Normal</v>
      </c>
      <c r="Q4302" s="3">
        <f>YEAR(Ticket_Table[[#This Row],[raised_date]])</f>
        <v>2021</v>
      </c>
    </row>
    <row r="4303" spans="1:17">
      <c r="A4303" t="s">
        <v>4864</v>
      </c>
      <c r="B4303" t="s">
        <v>457</v>
      </c>
      <c r="C4303" t="s">
        <v>60</v>
      </c>
      <c r="D4303" t="s">
        <v>36</v>
      </c>
      <c r="E4303" t="s">
        <v>69</v>
      </c>
      <c r="F4303" t="s">
        <v>45</v>
      </c>
      <c r="G4303" t="s">
        <v>31</v>
      </c>
      <c r="H4303" s="1">
        <v>44574</v>
      </c>
      <c r="I4303" s="2">
        <v>44574.0916666667</v>
      </c>
      <c r="J4303">
        <v>2.2</v>
      </c>
      <c r="K4303" t="s">
        <v>24</v>
      </c>
      <c r="L4303">
        <v>0</v>
      </c>
      <c r="M4303">
        <v>3</v>
      </c>
      <c r="N4303" t="s">
        <v>780</v>
      </c>
      <c r="O4303" s="3" t="str">
        <f>TEXT(Ticket_Table[[#This Row],[raised_date]],"YYYY-MM")</f>
        <v>2022-01</v>
      </c>
      <c r="P4303" s="3" t="str">
        <f>IF(Ticket_Table[[#This Row],[resolution_hrs]]&lt;=4,"Fast",IF(Ticket_Table[[#This Row],[resolution_hrs]]&lt;=24,"Normal",IF(Ticket_Table[[#This Row],[resolution_hrs]]&lt;=48,"Slow","Very Slow")))</f>
        <v>Fast</v>
      </c>
      <c r="Q4303" s="3">
        <f>YEAR(Ticket_Table[[#This Row],[raised_date]])</f>
        <v>2022</v>
      </c>
    </row>
    <row r="4304" spans="1:17">
      <c r="A4304" t="s">
        <v>4865</v>
      </c>
      <c r="B4304" t="s">
        <v>98</v>
      </c>
      <c r="C4304" t="s">
        <v>64</v>
      </c>
      <c r="D4304" t="s">
        <v>43</v>
      </c>
      <c r="E4304" t="s">
        <v>166</v>
      </c>
      <c r="F4304" t="s">
        <v>45</v>
      </c>
      <c r="G4304" t="s">
        <v>31</v>
      </c>
      <c r="H4304" s="1">
        <v>44847</v>
      </c>
      <c r="I4304" s="2">
        <v>44847.15</v>
      </c>
      <c r="J4304">
        <v>3.6</v>
      </c>
      <c r="K4304" t="s">
        <v>24</v>
      </c>
      <c r="L4304">
        <v>1</v>
      </c>
      <c r="M4304">
        <v>4</v>
      </c>
      <c r="N4304" t="s">
        <v>562</v>
      </c>
      <c r="O4304" s="3" t="str">
        <f>TEXT(Ticket_Table[[#This Row],[raised_date]],"YYYY-MM")</f>
        <v>2022-10</v>
      </c>
      <c r="P4304" s="3" t="str">
        <f>IF(Ticket_Table[[#This Row],[resolution_hrs]]&lt;=4,"Fast",IF(Ticket_Table[[#This Row],[resolution_hrs]]&lt;=24,"Normal",IF(Ticket_Table[[#This Row],[resolution_hrs]]&lt;=48,"Slow","Very Slow")))</f>
        <v>Fast</v>
      </c>
      <c r="Q4304" s="3">
        <f>YEAR(Ticket_Table[[#This Row],[raised_date]])</f>
        <v>2022</v>
      </c>
    </row>
    <row r="4305" spans="1:17">
      <c r="A4305" t="s">
        <v>4866</v>
      </c>
      <c r="B4305" t="s">
        <v>178</v>
      </c>
      <c r="C4305" t="s">
        <v>19</v>
      </c>
      <c r="D4305" t="s">
        <v>29</v>
      </c>
      <c r="E4305" t="s">
        <v>83</v>
      </c>
      <c r="F4305" t="s">
        <v>22</v>
      </c>
      <c r="G4305" t="s">
        <v>23</v>
      </c>
      <c r="H4305" s="1">
        <v>44495</v>
      </c>
      <c r="I4305" s="2">
        <v>44495.6083333333</v>
      </c>
      <c r="J4305">
        <v>14.6</v>
      </c>
      <c r="K4305" t="s">
        <v>24</v>
      </c>
      <c r="L4305">
        <v>1</v>
      </c>
      <c r="M4305">
        <v>4</v>
      </c>
      <c r="N4305" t="s">
        <v>600</v>
      </c>
      <c r="O4305" s="3" t="str">
        <f>TEXT(Ticket_Table[[#This Row],[raised_date]],"YYYY-MM")</f>
        <v>2021-10</v>
      </c>
      <c r="P4305" s="3" t="str">
        <f>IF(Ticket_Table[[#This Row],[resolution_hrs]]&lt;=4,"Fast",IF(Ticket_Table[[#This Row],[resolution_hrs]]&lt;=24,"Normal",IF(Ticket_Table[[#This Row],[resolution_hrs]]&lt;=48,"Slow","Very Slow")))</f>
        <v>Normal</v>
      </c>
      <c r="Q4305" s="3">
        <f>YEAR(Ticket_Table[[#This Row],[raised_date]])</f>
        <v>2021</v>
      </c>
    </row>
    <row r="4306" spans="1:17">
      <c r="A4306" t="s">
        <v>4867</v>
      </c>
      <c r="B4306" t="s">
        <v>737</v>
      </c>
      <c r="C4306" t="s">
        <v>287</v>
      </c>
      <c r="D4306" t="s">
        <v>20</v>
      </c>
      <c r="E4306" t="s">
        <v>30</v>
      </c>
      <c r="F4306" t="s">
        <v>70</v>
      </c>
      <c r="G4306" t="s">
        <v>31</v>
      </c>
      <c r="H4306" s="1">
        <v>44257</v>
      </c>
      <c r="I4306" s="2">
        <v>44258.65</v>
      </c>
      <c r="J4306">
        <v>39.6</v>
      </c>
      <c r="K4306" t="s">
        <v>24</v>
      </c>
      <c r="L4306">
        <v>0</v>
      </c>
      <c r="M4306">
        <v>4</v>
      </c>
      <c r="N4306" t="s">
        <v>2654</v>
      </c>
      <c r="O4306" s="3" t="str">
        <f>TEXT(Ticket_Table[[#This Row],[raised_date]],"YYYY-MM")</f>
        <v>2021-03</v>
      </c>
      <c r="P4306" s="3" t="str">
        <f>IF(Ticket_Table[[#This Row],[resolution_hrs]]&lt;=4,"Fast",IF(Ticket_Table[[#This Row],[resolution_hrs]]&lt;=24,"Normal",IF(Ticket_Table[[#This Row],[resolution_hrs]]&lt;=48,"Slow","Very Slow")))</f>
        <v>Slow</v>
      </c>
      <c r="Q4306" s="3">
        <f>YEAR(Ticket_Table[[#This Row],[raised_date]])</f>
        <v>2021</v>
      </c>
    </row>
    <row r="4307" spans="1:17">
      <c r="A4307" t="s">
        <v>4868</v>
      </c>
      <c r="B4307" t="s">
        <v>1164</v>
      </c>
      <c r="C4307" t="s">
        <v>28</v>
      </c>
      <c r="D4307" t="s">
        <v>20</v>
      </c>
      <c r="E4307" t="s">
        <v>21</v>
      </c>
      <c r="F4307" t="s">
        <v>70</v>
      </c>
      <c r="G4307" t="s">
        <v>74</v>
      </c>
      <c r="H4307" s="1">
        <v>44849</v>
      </c>
      <c r="I4307" s="2">
        <v>44850.7166666667</v>
      </c>
      <c r="J4307">
        <v>41.2</v>
      </c>
      <c r="K4307" t="s">
        <v>24</v>
      </c>
      <c r="L4307">
        <v>0</v>
      </c>
      <c r="M4307">
        <v>4</v>
      </c>
      <c r="N4307" t="s">
        <v>343</v>
      </c>
      <c r="O4307" s="3" t="str">
        <f>TEXT(Ticket_Table[[#This Row],[raised_date]],"YYYY-MM")</f>
        <v>2022-10</v>
      </c>
      <c r="P4307" s="3" t="str">
        <f>IF(Ticket_Table[[#This Row],[resolution_hrs]]&lt;=4,"Fast",IF(Ticket_Table[[#This Row],[resolution_hrs]]&lt;=24,"Normal",IF(Ticket_Table[[#This Row],[resolution_hrs]]&lt;=48,"Slow","Very Slow")))</f>
        <v>Slow</v>
      </c>
      <c r="Q4307" s="3">
        <f>YEAR(Ticket_Table[[#This Row],[raised_date]])</f>
        <v>2022</v>
      </c>
    </row>
    <row r="4308" spans="1:17">
      <c r="A4308" t="s">
        <v>4869</v>
      </c>
      <c r="B4308" t="s">
        <v>466</v>
      </c>
      <c r="C4308" t="s">
        <v>213</v>
      </c>
      <c r="D4308" t="s">
        <v>43</v>
      </c>
      <c r="E4308" t="s">
        <v>21</v>
      </c>
      <c r="F4308" t="s">
        <v>38</v>
      </c>
      <c r="G4308" t="s">
        <v>23</v>
      </c>
      <c r="H4308" s="1">
        <v>45044</v>
      </c>
      <c r="I4308" s="2">
        <v>45044.4708333333</v>
      </c>
      <c r="J4308">
        <v>11.3</v>
      </c>
      <c r="K4308" t="s">
        <v>24</v>
      </c>
      <c r="L4308">
        <v>0</v>
      </c>
      <c r="M4308">
        <v>2</v>
      </c>
      <c r="N4308" t="s">
        <v>1278</v>
      </c>
      <c r="O4308" s="3" t="str">
        <f>TEXT(Ticket_Table[[#This Row],[raised_date]],"YYYY-MM")</f>
        <v>2023-04</v>
      </c>
      <c r="P4308" s="3" t="str">
        <f>IF(Ticket_Table[[#This Row],[resolution_hrs]]&lt;=4,"Fast",IF(Ticket_Table[[#This Row],[resolution_hrs]]&lt;=24,"Normal",IF(Ticket_Table[[#This Row],[resolution_hrs]]&lt;=48,"Slow","Very Slow")))</f>
        <v>Normal</v>
      </c>
      <c r="Q4308" s="3">
        <f>YEAR(Ticket_Table[[#This Row],[raised_date]])</f>
        <v>2023</v>
      </c>
    </row>
    <row r="4309" spans="1:17">
      <c r="A4309" t="s">
        <v>4870</v>
      </c>
      <c r="B4309" t="s">
        <v>214</v>
      </c>
      <c r="C4309" t="s">
        <v>55</v>
      </c>
      <c r="D4309" t="s">
        <v>36</v>
      </c>
      <c r="E4309" t="s">
        <v>44</v>
      </c>
      <c r="F4309" t="s">
        <v>22</v>
      </c>
      <c r="G4309" t="s">
        <v>23</v>
      </c>
      <c r="H4309" s="1">
        <v>45039</v>
      </c>
      <c r="I4309" s="2">
        <v>45042.4083333333</v>
      </c>
      <c r="J4309">
        <v>81.8</v>
      </c>
      <c r="K4309" t="s">
        <v>32</v>
      </c>
      <c r="L4309">
        <v>0</v>
      </c>
      <c r="M4309">
        <v>2</v>
      </c>
      <c r="N4309" t="s">
        <v>782</v>
      </c>
      <c r="O4309" s="3" t="str">
        <f>TEXT(Ticket_Table[[#This Row],[raised_date]],"YYYY-MM")</f>
        <v>2023-04</v>
      </c>
      <c r="P4309" s="3" t="str">
        <f>IF(Ticket_Table[[#This Row],[resolution_hrs]]&lt;=4,"Fast",IF(Ticket_Table[[#This Row],[resolution_hrs]]&lt;=24,"Normal",IF(Ticket_Table[[#This Row],[resolution_hrs]]&lt;=48,"Slow","Very Slow")))</f>
        <v>Very Slow</v>
      </c>
      <c r="Q4309" s="3">
        <f>YEAR(Ticket_Table[[#This Row],[raised_date]])</f>
        <v>2023</v>
      </c>
    </row>
    <row r="4310" spans="1:17">
      <c r="A4310" t="s">
        <v>4871</v>
      </c>
      <c r="B4310" t="s">
        <v>123</v>
      </c>
      <c r="C4310" t="s">
        <v>287</v>
      </c>
      <c r="D4310" t="s">
        <v>43</v>
      </c>
      <c r="E4310" t="s">
        <v>166</v>
      </c>
      <c r="F4310" t="s">
        <v>45</v>
      </c>
      <c r="G4310" t="s">
        <v>46</v>
      </c>
      <c r="H4310" s="1">
        <v>44818</v>
      </c>
      <c r="I4310" s="2">
        <v>44818.125</v>
      </c>
      <c r="J4310">
        <v>3</v>
      </c>
      <c r="K4310" t="s">
        <v>24</v>
      </c>
      <c r="L4310">
        <v>0</v>
      </c>
      <c r="M4310">
        <v>3</v>
      </c>
      <c r="N4310" t="s">
        <v>603</v>
      </c>
      <c r="O4310" s="3" t="str">
        <f>TEXT(Ticket_Table[[#This Row],[raised_date]],"YYYY-MM")</f>
        <v>2022-09</v>
      </c>
      <c r="P4310" s="3" t="str">
        <f>IF(Ticket_Table[[#This Row],[resolution_hrs]]&lt;=4,"Fast",IF(Ticket_Table[[#This Row],[resolution_hrs]]&lt;=24,"Normal",IF(Ticket_Table[[#This Row],[resolution_hrs]]&lt;=48,"Slow","Very Slow")))</f>
        <v>Fast</v>
      </c>
      <c r="Q4310" s="3">
        <f>YEAR(Ticket_Table[[#This Row],[raised_date]])</f>
        <v>2022</v>
      </c>
    </row>
    <row r="4311" spans="1:17">
      <c r="A4311" t="s">
        <v>4872</v>
      </c>
      <c r="B4311" t="s">
        <v>810</v>
      </c>
      <c r="C4311" t="s">
        <v>28</v>
      </c>
      <c r="D4311" t="s">
        <v>20</v>
      </c>
      <c r="E4311" t="s">
        <v>44</v>
      </c>
      <c r="F4311" t="s">
        <v>70</v>
      </c>
      <c r="G4311" t="s">
        <v>23</v>
      </c>
      <c r="H4311" s="1">
        <v>45104</v>
      </c>
      <c r="I4311" s="2">
        <v>45105.2333333333</v>
      </c>
      <c r="J4311">
        <v>29.6</v>
      </c>
      <c r="K4311" t="s">
        <v>24</v>
      </c>
      <c r="L4311">
        <v>0</v>
      </c>
      <c r="M4311">
        <v>1</v>
      </c>
      <c r="N4311" t="s">
        <v>398</v>
      </c>
      <c r="O4311" s="3" t="str">
        <f>TEXT(Ticket_Table[[#This Row],[raised_date]],"YYYY-MM")</f>
        <v>2023-06</v>
      </c>
      <c r="P4311" s="3" t="str">
        <f>IF(Ticket_Table[[#This Row],[resolution_hrs]]&lt;=4,"Fast",IF(Ticket_Table[[#This Row],[resolution_hrs]]&lt;=24,"Normal",IF(Ticket_Table[[#This Row],[resolution_hrs]]&lt;=48,"Slow","Very Slow")))</f>
        <v>Slow</v>
      </c>
      <c r="Q4311" s="3">
        <f>YEAR(Ticket_Table[[#This Row],[raised_date]])</f>
        <v>2023</v>
      </c>
    </row>
    <row r="4312" spans="1:17">
      <c r="A4312" t="s">
        <v>4873</v>
      </c>
      <c r="B4312" t="s">
        <v>206</v>
      </c>
      <c r="C4312" t="s">
        <v>287</v>
      </c>
      <c r="D4312" t="s">
        <v>43</v>
      </c>
      <c r="E4312" t="s">
        <v>106</v>
      </c>
      <c r="F4312" t="s">
        <v>38</v>
      </c>
      <c r="G4312" t="s">
        <v>23</v>
      </c>
      <c r="H4312" s="1">
        <v>44757</v>
      </c>
      <c r="I4312" s="2">
        <v>44757.05</v>
      </c>
      <c r="J4312">
        <v>1.2</v>
      </c>
      <c r="K4312" t="s">
        <v>24</v>
      </c>
      <c r="L4312">
        <v>0</v>
      </c>
      <c r="M4312">
        <v>5</v>
      </c>
      <c r="N4312" t="s">
        <v>1022</v>
      </c>
      <c r="O4312" s="3" t="str">
        <f>TEXT(Ticket_Table[[#This Row],[raised_date]],"YYYY-MM")</f>
        <v>2022-07</v>
      </c>
      <c r="P4312" s="3" t="str">
        <f>IF(Ticket_Table[[#This Row],[resolution_hrs]]&lt;=4,"Fast",IF(Ticket_Table[[#This Row],[resolution_hrs]]&lt;=24,"Normal",IF(Ticket_Table[[#This Row],[resolution_hrs]]&lt;=48,"Slow","Very Slow")))</f>
        <v>Fast</v>
      </c>
      <c r="Q4312" s="3">
        <f>YEAR(Ticket_Table[[#This Row],[raised_date]])</f>
        <v>2022</v>
      </c>
    </row>
    <row r="4313" spans="1:17">
      <c r="A4313" t="s">
        <v>4874</v>
      </c>
      <c r="B4313" t="s">
        <v>822</v>
      </c>
      <c r="C4313" t="s">
        <v>64</v>
      </c>
      <c r="D4313" t="s">
        <v>20</v>
      </c>
      <c r="E4313" t="s">
        <v>83</v>
      </c>
      <c r="F4313" t="s">
        <v>22</v>
      </c>
      <c r="G4313" t="s">
        <v>23</v>
      </c>
      <c r="H4313" s="1">
        <v>44508</v>
      </c>
      <c r="I4313" s="2">
        <v>44511.6416666667</v>
      </c>
      <c r="J4313">
        <v>87.4</v>
      </c>
      <c r="K4313" t="s">
        <v>32</v>
      </c>
      <c r="L4313">
        <v>0</v>
      </c>
      <c r="M4313">
        <v>1</v>
      </c>
      <c r="N4313" t="s">
        <v>434</v>
      </c>
      <c r="O4313" s="3" t="str">
        <f>TEXT(Ticket_Table[[#This Row],[raised_date]],"YYYY-MM")</f>
        <v>2021-11</v>
      </c>
      <c r="P4313" s="3" t="str">
        <f>IF(Ticket_Table[[#This Row],[resolution_hrs]]&lt;=4,"Fast",IF(Ticket_Table[[#This Row],[resolution_hrs]]&lt;=24,"Normal",IF(Ticket_Table[[#This Row],[resolution_hrs]]&lt;=48,"Slow","Very Slow")))</f>
        <v>Very Slow</v>
      </c>
      <c r="Q4313" s="3">
        <f>YEAR(Ticket_Table[[#This Row],[raised_date]])</f>
        <v>2021</v>
      </c>
    </row>
    <row r="4314" spans="1:17">
      <c r="A4314" t="s">
        <v>4875</v>
      </c>
      <c r="B4314" t="s">
        <v>914</v>
      </c>
      <c r="C4314" t="s">
        <v>60</v>
      </c>
      <c r="D4314" t="s">
        <v>36</v>
      </c>
      <c r="E4314" t="s">
        <v>166</v>
      </c>
      <c r="F4314" t="s">
        <v>22</v>
      </c>
      <c r="G4314" t="s">
        <v>23</v>
      </c>
      <c r="H4314" s="1">
        <v>44581</v>
      </c>
      <c r="I4314" s="2">
        <v>44584.9416666667</v>
      </c>
      <c r="J4314">
        <v>94.6</v>
      </c>
      <c r="K4314" t="s">
        <v>32</v>
      </c>
      <c r="L4314">
        <v>0</v>
      </c>
      <c r="M4314">
        <v>1</v>
      </c>
      <c r="N4314" t="s">
        <v>589</v>
      </c>
      <c r="O4314" s="3" t="str">
        <f>TEXT(Ticket_Table[[#This Row],[raised_date]],"YYYY-MM")</f>
        <v>2022-01</v>
      </c>
      <c r="P4314" s="3" t="str">
        <f>IF(Ticket_Table[[#This Row],[resolution_hrs]]&lt;=4,"Fast",IF(Ticket_Table[[#This Row],[resolution_hrs]]&lt;=24,"Normal",IF(Ticket_Table[[#This Row],[resolution_hrs]]&lt;=48,"Slow","Very Slow")))</f>
        <v>Very Slow</v>
      </c>
      <c r="Q4314" s="3">
        <f>YEAR(Ticket_Table[[#This Row],[raised_date]])</f>
        <v>2022</v>
      </c>
    </row>
    <row r="4315" spans="1:17">
      <c r="A4315" t="s">
        <v>4876</v>
      </c>
      <c r="B4315" t="s">
        <v>154</v>
      </c>
      <c r="C4315" t="s">
        <v>201</v>
      </c>
      <c r="D4315" t="s">
        <v>29</v>
      </c>
      <c r="E4315" t="s">
        <v>37</v>
      </c>
      <c r="F4315" t="s">
        <v>38</v>
      </c>
      <c r="G4315" t="s">
        <v>31</v>
      </c>
      <c r="H4315" s="1">
        <v>44415</v>
      </c>
      <c r="I4315" s="2">
        <v>44415.7125</v>
      </c>
      <c r="J4315">
        <v>17.1</v>
      </c>
      <c r="K4315" t="s">
        <v>24</v>
      </c>
      <c r="L4315">
        <v>0</v>
      </c>
      <c r="M4315">
        <v>3</v>
      </c>
      <c r="N4315" t="s">
        <v>1154</v>
      </c>
      <c r="O4315" s="3" t="str">
        <f>TEXT(Ticket_Table[[#This Row],[raised_date]],"YYYY-MM")</f>
        <v>2021-08</v>
      </c>
      <c r="P4315" s="3" t="str">
        <f>IF(Ticket_Table[[#This Row],[resolution_hrs]]&lt;=4,"Fast",IF(Ticket_Table[[#This Row],[resolution_hrs]]&lt;=24,"Normal",IF(Ticket_Table[[#This Row],[resolution_hrs]]&lt;=48,"Slow","Very Slow")))</f>
        <v>Normal</v>
      </c>
      <c r="Q4315" s="3">
        <f>YEAR(Ticket_Table[[#This Row],[raised_date]])</f>
        <v>2021</v>
      </c>
    </row>
    <row r="4316" spans="1:17">
      <c r="A4316" t="s">
        <v>4877</v>
      </c>
      <c r="B4316" t="s">
        <v>428</v>
      </c>
      <c r="C4316" t="s">
        <v>78</v>
      </c>
      <c r="D4316" t="s">
        <v>29</v>
      </c>
      <c r="E4316" t="s">
        <v>56</v>
      </c>
      <c r="F4316" t="s">
        <v>22</v>
      </c>
      <c r="G4316" t="s">
        <v>31</v>
      </c>
      <c r="H4316" s="1">
        <v>44466</v>
      </c>
      <c r="I4316" s="2">
        <v>44466.2833333333</v>
      </c>
      <c r="J4316">
        <v>6.8</v>
      </c>
      <c r="K4316" t="s">
        <v>24</v>
      </c>
      <c r="L4316">
        <v>0</v>
      </c>
      <c r="M4316">
        <v>4</v>
      </c>
      <c r="N4316" t="s">
        <v>479</v>
      </c>
      <c r="O4316" s="3" t="str">
        <f>TEXT(Ticket_Table[[#This Row],[raised_date]],"YYYY-MM")</f>
        <v>2021-09</v>
      </c>
      <c r="P4316" s="3" t="str">
        <f>IF(Ticket_Table[[#This Row],[resolution_hrs]]&lt;=4,"Fast",IF(Ticket_Table[[#This Row],[resolution_hrs]]&lt;=24,"Normal",IF(Ticket_Table[[#This Row],[resolution_hrs]]&lt;=48,"Slow","Very Slow")))</f>
        <v>Normal</v>
      </c>
      <c r="Q4316" s="3">
        <f>YEAR(Ticket_Table[[#This Row],[raised_date]])</f>
        <v>2021</v>
      </c>
    </row>
    <row r="4317" spans="1:17">
      <c r="A4317" t="s">
        <v>4878</v>
      </c>
      <c r="B4317" t="s">
        <v>262</v>
      </c>
      <c r="C4317" t="s">
        <v>175</v>
      </c>
      <c r="D4317" t="s">
        <v>43</v>
      </c>
      <c r="E4317" t="s">
        <v>30</v>
      </c>
      <c r="F4317" t="s">
        <v>38</v>
      </c>
      <c r="G4317" t="s">
        <v>23</v>
      </c>
      <c r="H4317" s="1">
        <v>44575</v>
      </c>
      <c r="I4317" s="2">
        <v>44575.1208333333</v>
      </c>
      <c r="J4317">
        <v>2.9</v>
      </c>
      <c r="K4317" t="s">
        <v>24</v>
      </c>
      <c r="L4317">
        <v>1</v>
      </c>
      <c r="M4317">
        <v>4</v>
      </c>
      <c r="N4317" t="s">
        <v>1337</v>
      </c>
      <c r="O4317" s="3" t="str">
        <f>TEXT(Ticket_Table[[#This Row],[raised_date]],"YYYY-MM")</f>
        <v>2022-01</v>
      </c>
      <c r="P4317" s="3" t="str">
        <f>IF(Ticket_Table[[#This Row],[resolution_hrs]]&lt;=4,"Fast",IF(Ticket_Table[[#This Row],[resolution_hrs]]&lt;=24,"Normal",IF(Ticket_Table[[#This Row],[resolution_hrs]]&lt;=48,"Slow","Very Slow")))</f>
        <v>Fast</v>
      </c>
      <c r="Q4317" s="3">
        <f>YEAR(Ticket_Table[[#This Row],[raised_date]])</f>
        <v>2022</v>
      </c>
    </row>
    <row r="4318" spans="1:17">
      <c r="A4318" t="s">
        <v>4879</v>
      </c>
      <c r="B4318" t="s">
        <v>646</v>
      </c>
      <c r="C4318" t="s">
        <v>78</v>
      </c>
      <c r="D4318" t="s">
        <v>20</v>
      </c>
      <c r="E4318" t="s">
        <v>83</v>
      </c>
      <c r="F4318" t="s">
        <v>22</v>
      </c>
      <c r="G4318" t="s">
        <v>23</v>
      </c>
      <c r="H4318" s="1">
        <v>44250</v>
      </c>
      <c r="I4318" s="2">
        <v>44253.7416666667</v>
      </c>
      <c r="J4318">
        <v>89.8</v>
      </c>
      <c r="K4318" t="s">
        <v>32</v>
      </c>
      <c r="L4318">
        <v>0</v>
      </c>
      <c r="M4318">
        <v>4</v>
      </c>
      <c r="N4318" t="s">
        <v>772</v>
      </c>
      <c r="O4318" s="3" t="str">
        <f>TEXT(Ticket_Table[[#This Row],[raised_date]],"YYYY-MM")</f>
        <v>2021-02</v>
      </c>
      <c r="P4318" s="3" t="str">
        <f>IF(Ticket_Table[[#This Row],[resolution_hrs]]&lt;=4,"Fast",IF(Ticket_Table[[#This Row],[resolution_hrs]]&lt;=24,"Normal",IF(Ticket_Table[[#This Row],[resolution_hrs]]&lt;=48,"Slow","Very Slow")))</f>
        <v>Very Slow</v>
      </c>
      <c r="Q4318" s="3">
        <f>YEAR(Ticket_Table[[#This Row],[raised_date]])</f>
        <v>2021</v>
      </c>
    </row>
    <row r="4319" spans="1:17">
      <c r="A4319" t="s">
        <v>4880</v>
      </c>
      <c r="B4319" t="s">
        <v>216</v>
      </c>
      <c r="C4319" t="s">
        <v>213</v>
      </c>
      <c r="D4319" t="s">
        <v>29</v>
      </c>
      <c r="E4319" t="s">
        <v>30</v>
      </c>
      <c r="F4319" t="s">
        <v>38</v>
      </c>
      <c r="G4319" t="s">
        <v>23</v>
      </c>
      <c r="H4319" s="1">
        <v>44743</v>
      </c>
      <c r="I4319" s="2">
        <v>44743.9875</v>
      </c>
      <c r="J4319">
        <v>23.7</v>
      </c>
      <c r="K4319" t="s">
        <v>24</v>
      </c>
      <c r="L4319">
        <v>0</v>
      </c>
      <c r="M4319">
        <v>5</v>
      </c>
      <c r="N4319" t="s">
        <v>525</v>
      </c>
      <c r="O4319" s="3" t="str">
        <f>TEXT(Ticket_Table[[#This Row],[raised_date]],"YYYY-MM")</f>
        <v>2022-07</v>
      </c>
      <c r="P4319" s="3" t="str">
        <f>IF(Ticket_Table[[#This Row],[resolution_hrs]]&lt;=4,"Fast",IF(Ticket_Table[[#This Row],[resolution_hrs]]&lt;=24,"Normal",IF(Ticket_Table[[#This Row],[resolution_hrs]]&lt;=48,"Slow","Very Slow")))</f>
        <v>Normal</v>
      </c>
      <c r="Q4319" s="3">
        <f>YEAR(Ticket_Table[[#This Row],[raised_date]])</f>
        <v>2022</v>
      </c>
    </row>
    <row r="4320" spans="1:17">
      <c r="A4320" t="s">
        <v>4881</v>
      </c>
      <c r="B4320" t="s">
        <v>544</v>
      </c>
      <c r="C4320" t="s">
        <v>64</v>
      </c>
      <c r="D4320" t="s">
        <v>20</v>
      </c>
      <c r="E4320" t="s">
        <v>166</v>
      </c>
      <c r="F4320" t="s">
        <v>70</v>
      </c>
      <c r="G4320" t="s">
        <v>46</v>
      </c>
      <c r="H4320" s="1">
        <v>44669</v>
      </c>
      <c r="I4320" s="2">
        <v>44670.0291666667</v>
      </c>
      <c r="J4320">
        <v>24.7</v>
      </c>
      <c r="K4320" t="s">
        <v>24</v>
      </c>
      <c r="L4320">
        <v>0</v>
      </c>
      <c r="M4320">
        <v>4</v>
      </c>
      <c r="N4320" t="s">
        <v>878</v>
      </c>
      <c r="O4320" s="3" t="str">
        <f>TEXT(Ticket_Table[[#This Row],[raised_date]],"YYYY-MM")</f>
        <v>2022-04</v>
      </c>
      <c r="P4320" s="3" t="str">
        <f>IF(Ticket_Table[[#This Row],[resolution_hrs]]&lt;=4,"Fast",IF(Ticket_Table[[#This Row],[resolution_hrs]]&lt;=24,"Normal",IF(Ticket_Table[[#This Row],[resolution_hrs]]&lt;=48,"Slow","Very Slow")))</f>
        <v>Slow</v>
      </c>
      <c r="Q4320" s="3">
        <f>YEAR(Ticket_Table[[#This Row],[raised_date]])</f>
        <v>2022</v>
      </c>
    </row>
    <row r="4321" spans="1:17">
      <c r="A4321" t="s">
        <v>4882</v>
      </c>
      <c r="B4321" t="s">
        <v>509</v>
      </c>
      <c r="C4321" t="s">
        <v>64</v>
      </c>
      <c r="D4321" t="s">
        <v>36</v>
      </c>
      <c r="E4321" t="s">
        <v>56</v>
      </c>
      <c r="F4321" t="s">
        <v>70</v>
      </c>
      <c r="G4321" t="s">
        <v>31</v>
      </c>
      <c r="H4321" s="1">
        <v>44672</v>
      </c>
      <c r="I4321" s="2">
        <v>44672.3291666667</v>
      </c>
      <c r="J4321">
        <v>7.9</v>
      </c>
      <c r="K4321" t="s">
        <v>24</v>
      </c>
      <c r="L4321">
        <v>1</v>
      </c>
      <c r="M4321">
        <v>1</v>
      </c>
      <c r="N4321" t="s">
        <v>137</v>
      </c>
      <c r="O4321" s="3" t="str">
        <f>TEXT(Ticket_Table[[#This Row],[raised_date]],"YYYY-MM")</f>
        <v>2022-04</v>
      </c>
      <c r="P4321" s="3" t="str">
        <f>IF(Ticket_Table[[#This Row],[resolution_hrs]]&lt;=4,"Fast",IF(Ticket_Table[[#This Row],[resolution_hrs]]&lt;=24,"Normal",IF(Ticket_Table[[#This Row],[resolution_hrs]]&lt;=48,"Slow","Very Slow")))</f>
        <v>Normal</v>
      </c>
      <c r="Q4321" s="3">
        <f>YEAR(Ticket_Table[[#This Row],[raised_date]])</f>
        <v>2022</v>
      </c>
    </row>
    <row r="4322" spans="1:17">
      <c r="A4322" t="s">
        <v>4883</v>
      </c>
      <c r="B4322" t="s">
        <v>586</v>
      </c>
      <c r="C4322" t="s">
        <v>50</v>
      </c>
      <c r="D4322" t="s">
        <v>43</v>
      </c>
      <c r="E4322" t="s">
        <v>44</v>
      </c>
      <c r="F4322" t="s">
        <v>38</v>
      </c>
      <c r="G4322" t="s">
        <v>74</v>
      </c>
      <c r="H4322" s="1">
        <v>44669</v>
      </c>
      <c r="I4322" s="2">
        <v>44669.4666666667</v>
      </c>
      <c r="J4322">
        <v>11.2</v>
      </c>
      <c r="K4322" t="s">
        <v>24</v>
      </c>
      <c r="L4322">
        <v>0</v>
      </c>
      <c r="M4322">
        <v>4</v>
      </c>
      <c r="N4322" t="s">
        <v>955</v>
      </c>
      <c r="O4322" s="3" t="str">
        <f>TEXT(Ticket_Table[[#This Row],[raised_date]],"YYYY-MM")</f>
        <v>2022-04</v>
      </c>
      <c r="P4322" s="3" t="str">
        <f>IF(Ticket_Table[[#This Row],[resolution_hrs]]&lt;=4,"Fast",IF(Ticket_Table[[#This Row],[resolution_hrs]]&lt;=24,"Normal",IF(Ticket_Table[[#This Row],[resolution_hrs]]&lt;=48,"Slow","Very Slow")))</f>
        <v>Normal</v>
      </c>
      <c r="Q4322" s="3">
        <f>YEAR(Ticket_Table[[#This Row],[raised_date]])</f>
        <v>2022</v>
      </c>
    </row>
    <row r="4323" spans="1:17">
      <c r="A4323" t="s">
        <v>4884</v>
      </c>
      <c r="B4323" t="s">
        <v>478</v>
      </c>
      <c r="C4323" t="s">
        <v>28</v>
      </c>
      <c r="D4323" t="s">
        <v>20</v>
      </c>
      <c r="E4323" t="s">
        <v>83</v>
      </c>
      <c r="F4323" t="s">
        <v>70</v>
      </c>
      <c r="G4323" t="s">
        <v>46</v>
      </c>
      <c r="H4323" s="1">
        <v>44250</v>
      </c>
      <c r="I4323" s="2">
        <v>44251.4666666667</v>
      </c>
      <c r="J4323">
        <v>35.2</v>
      </c>
      <c r="K4323" t="s">
        <v>24</v>
      </c>
      <c r="L4323">
        <v>2</v>
      </c>
      <c r="M4323">
        <v>5</v>
      </c>
      <c r="N4323" t="s">
        <v>501</v>
      </c>
      <c r="O4323" s="3" t="str">
        <f>TEXT(Ticket_Table[[#This Row],[raised_date]],"YYYY-MM")</f>
        <v>2021-02</v>
      </c>
      <c r="P4323" s="3" t="str">
        <f>IF(Ticket_Table[[#This Row],[resolution_hrs]]&lt;=4,"Fast",IF(Ticket_Table[[#This Row],[resolution_hrs]]&lt;=24,"Normal",IF(Ticket_Table[[#This Row],[resolution_hrs]]&lt;=48,"Slow","Very Slow")))</f>
        <v>Slow</v>
      </c>
      <c r="Q4323" s="3">
        <f>YEAR(Ticket_Table[[#This Row],[raised_date]])</f>
        <v>2021</v>
      </c>
    </row>
    <row r="4324" spans="1:17">
      <c r="A4324" t="s">
        <v>4885</v>
      </c>
      <c r="B4324" t="s">
        <v>148</v>
      </c>
      <c r="C4324" t="s">
        <v>140</v>
      </c>
      <c r="D4324" t="s">
        <v>43</v>
      </c>
      <c r="E4324" t="s">
        <v>56</v>
      </c>
      <c r="F4324" t="s">
        <v>22</v>
      </c>
      <c r="G4324" t="s">
        <v>46</v>
      </c>
      <c r="H4324" s="1">
        <v>44932</v>
      </c>
      <c r="I4324" s="2">
        <v>44933.5166666667</v>
      </c>
      <c r="J4324">
        <v>36.4</v>
      </c>
      <c r="K4324" t="s">
        <v>24</v>
      </c>
      <c r="L4324">
        <v>1</v>
      </c>
      <c r="M4324">
        <v>1</v>
      </c>
      <c r="N4324" t="s">
        <v>178</v>
      </c>
      <c r="O4324" s="3" t="str">
        <f>TEXT(Ticket_Table[[#This Row],[raised_date]],"YYYY-MM")</f>
        <v>2023-01</v>
      </c>
      <c r="P4324" s="3" t="str">
        <f>IF(Ticket_Table[[#This Row],[resolution_hrs]]&lt;=4,"Fast",IF(Ticket_Table[[#This Row],[resolution_hrs]]&lt;=24,"Normal",IF(Ticket_Table[[#This Row],[resolution_hrs]]&lt;=48,"Slow","Very Slow")))</f>
        <v>Slow</v>
      </c>
      <c r="Q4324" s="3">
        <f>YEAR(Ticket_Table[[#This Row],[raised_date]])</f>
        <v>2023</v>
      </c>
    </row>
    <row r="4325" spans="1:17">
      <c r="A4325" t="s">
        <v>4886</v>
      </c>
      <c r="B4325" t="s">
        <v>1238</v>
      </c>
      <c r="C4325" t="s">
        <v>60</v>
      </c>
      <c r="D4325" t="s">
        <v>20</v>
      </c>
      <c r="E4325" t="s">
        <v>30</v>
      </c>
      <c r="F4325" t="s">
        <v>22</v>
      </c>
      <c r="G4325" t="s">
        <v>31</v>
      </c>
      <c r="H4325" s="1">
        <v>44359</v>
      </c>
      <c r="I4325" s="2">
        <v>44359.3125</v>
      </c>
      <c r="J4325">
        <v>7.5</v>
      </c>
      <c r="K4325" t="s">
        <v>24</v>
      </c>
      <c r="L4325">
        <v>0</v>
      </c>
      <c r="M4325">
        <v>3</v>
      </c>
      <c r="N4325" t="s">
        <v>419</v>
      </c>
      <c r="O4325" s="3" t="str">
        <f>TEXT(Ticket_Table[[#This Row],[raised_date]],"YYYY-MM")</f>
        <v>2021-06</v>
      </c>
      <c r="P4325" s="3" t="str">
        <f>IF(Ticket_Table[[#This Row],[resolution_hrs]]&lt;=4,"Fast",IF(Ticket_Table[[#This Row],[resolution_hrs]]&lt;=24,"Normal",IF(Ticket_Table[[#This Row],[resolution_hrs]]&lt;=48,"Slow","Very Slow")))</f>
        <v>Normal</v>
      </c>
      <c r="Q4325" s="3">
        <f>YEAR(Ticket_Table[[#This Row],[raised_date]])</f>
        <v>2021</v>
      </c>
    </row>
    <row r="4326" spans="1:17">
      <c r="A4326" t="s">
        <v>4887</v>
      </c>
      <c r="B4326" t="s">
        <v>216</v>
      </c>
      <c r="C4326" t="s">
        <v>95</v>
      </c>
      <c r="D4326" t="s">
        <v>20</v>
      </c>
      <c r="E4326" t="s">
        <v>51</v>
      </c>
      <c r="F4326" t="s">
        <v>70</v>
      </c>
      <c r="G4326" t="s">
        <v>74</v>
      </c>
      <c r="H4326" s="1">
        <v>45173</v>
      </c>
      <c r="I4326" s="2">
        <v>45175.2333333333</v>
      </c>
      <c r="J4326">
        <v>53.6</v>
      </c>
      <c r="K4326" t="s">
        <v>32</v>
      </c>
      <c r="L4326">
        <v>0</v>
      </c>
      <c r="M4326">
        <v>4</v>
      </c>
      <c r="N4326" t="s">
        <v>35</v>
      </c>
      <c r="O4326" s="3" t="str">
        <f>TEXT(Ticket_Table[[#This Row],[raised_date]],"YYYY-MM")</f>
        <v>2023-09</v>
      </c>
      <c r="P4326" s="3" t="str">
        <f>IF(Ticket_Table[[#This Row],[resolution_hrs]]&lt;=4,"Fast",IF(Ticket_Table[[#This Row],[resolution_hrs]]&lt;=24,"Normal",IF(Ticket_Table[[#This Row],[resolution_hrs]]&lt;=48,"Slow","Very Slow")))</f>
        <v>Very Slow</v>
      </c>
      <c r="Q4326" s="3">
        <f>YEAR(Ticket_Table[[#This Row],[raised_date]])</f>
        <v>2023</v>
      </c>
    </row>
    <row r="4327" spans="1:17">
      <c r="A4327" t="s">
        <v>4888</v>
      </c>
      <c r="B4327" t="s">
        <v>114</v>
      </c>
      <c r="C4327" t="s">
        <v>175</v>
      </c>
      <c r="D4327" t="s">
        <v>36</v>
      </c>
      <c r="E4327" t="s">
        <v>166</v>
      </c>
      <c r="F4327" t="s">
        <v>70</v>
      </c>
      <c r="G4327" t="s">
        <v>31</v>
      </c>
      <c r="H4327" s="1">
        <v>44471</v>
      </c>
      <c r="I4327" s="2">
        <v>44473.0375</v>
      </c>
      <c r="J4327">
        <v>48.9</v>
      </c>
      <c r="K4327" t="s">
        <v>32</v>
      </c>
      <c r="L4327">
        <v>0</v>
      </c>
      <c r="M4327">
        <v>3</v>
      </c>
      <c r="N4327" t="s">
        <v>782</v>
      </c>
      <c r="O4327" s="3" t="str">
        <f>TEXT(Ticket_Table[[#This Row],[raised_date]],"YYYY-MM")</f>
        <v>2021-10</v>
      </c>
      <c r="P4327" s="3" t="str">
        <f>IF(Ticket_Table[[#This Row],[resolution_hrs]]&lt;=4,"Fast",IF(Ticket_Table[[#This Row],[resolution_hrs]]&lt;=24,"Normal",IF(Ticket_Table[[#This Row],[resolution_hrs]]&lt;=48,"Slow","Very Slow")))</f>
        <v>Very Slow</v>
      </c>
      <c r="Q4327" s="3">
        <f>YEAR(Ticket_Table[[#This Row],[raised_date]])</f>
        <v>2021</v>
      </c>
    </row>
    <row r="4328" spans="1:17">
      <c r="A4328" t="s">
        <v>4889</v>
      </c>
      <c r="B4328" t="s">
        <v>305</v>
      </c>
      <c r="C4328" t="s">
        <v>95</v>
      </c>
      <c r="D4328" t="s">
        <v>43</v>
      </c>
      <c r="E4328" t="s">
        <v>166</v>
      </c>
      <c r="F4328" t="s">
        <v>38</v>
      </c>
      <c r="G4328" t="s">
        <v>74</v>
      </c>
      <c r="H4328" s="1">
        <v>45225</v>
      </c>
      <c r="I4328" s="2">
        <v>45226.1208333333</v>
      </c>
      <c r="J4328">
        <v>26.9</v>
      </c>
      <c r="K4328" t="s">
        <v>32</v>
      </c>
      <c r="L4328">
        <v>0</v>
      </c>
      <c r="M4328">
        <v>4</v>
      </c>
      <c r="N4328" t="s">
        <v>283</v>
      </c>
      <c r="O4328" s="3" t="str">
        <f>TEXT(Ticket_Table[[#This Row],[raised_date]],"YYYY-MM")</f>
        <v>2023-10</v>
      </c>
      <c r="P4328" s="3" t="str">
        <f>IF(Ticket_Table[[#This Row],[resolution_hrs]]&lt;=4,"Fast",IF(Ticket_Table[[#This Row],[resolution_hrs]]&lt;=24,"Normal",IF(Ticket_Table[[#This Row],[resolution_hrs]]&lt;=48,"Slow","Very Slow")))</f>
        <v>Slow</v>
      </c>
      <c r="Q4328" s="3">
        <f>YEAR(Ticket_Table[[#This Row],[raised_date]])</f>
        <v>2023</v>
      </c>
    </row>
    <row r="4329" spans="1:17">
      <c r="A4329" t="s">
        <v>4890</v>
      </c>
      <c r="B4329" t="s">
        <v>780</v>
      </c>
      <c r="C4329" t="s">
        <v>68</v>
      </c>
      <c r="D4329" t="s">
        <v>90</v>
      </c>
      <c r="E4329" t="s">
        <v>30</v>
      </c>
      <c r="F4329" t="s">
        <v>70</v>
      </c>
      <c r="G4329" t="s">
        <v>31</v>
      </c>
      <c r="H4329" s="1">
        <v>45157</v>
      </c>
      <c r="I4329" s="2">
        <v>45157.2</v>
      </c>
      <c r="J4329">
        <v>4.8</v>
      </c>
      <c r="K4329" t="s">
        <v>24</v>
      </c>
      <c r="L4329">
        <v>0</v>
      </c>
      <c r="M4329">
        <v>5</v>
      </c>
      <c r="N4329" t="s">
        <v>186</v>
      </c>
      <c r="O4329" s="3" t="str">
        <f>TEXT(Ticket_Table[[#This Row],[raised_date]],"YYYY-MM")</f>
        <v>2023-08</v>
      </c>
      <c r="P4329" s="3" t="str">
        <f>IF(Ticket_Table[[#This Row],[resolution_hrs]]&lt;=4,"Fast",IF(Ticket_Table[[#This Row],[resolution_hrs]]&lt;=24,"Normal",IF(Ticket_Table[[#This Row],[resolution_hrs]]&lt;=48,"Slow","Very Slow")))</f>
        <v>Normal</v>
      </c>
      <c r="Q4329" s="3">
        <f>YEAR(Ticket_Table[[#This Row],[raised_date]])</f>
        <v>2023</v>
      </c>
    </row>
    <row r="4330" spans="1:17">
      <c r="A4330" t="s">
        <v>4891</v>
      </c>
      <c r="B4330" t="s">
        <v>251</v>
      </c>
      <c r="C4330" t="s">
        <v>28</v>
      </c>
      <c r="D4330" t="s">
        <v>20</v>
      </c>
      <c r="E4330" t="s">
        <v>30</v>
      </c>
      <c r="F4330" t="s">
        <v>70</v>
      </c>
      <c r="G4330" t="s">
        <v>31</v>
      </c>
      <c r="H4330" s="1">
        <v>44962</v>
      </c>
      <c r="I4330" s="2">
        <v>44962.65</v>
      </c>
      <c r="J4330">
        <v>15.6</v>
      </c>
      <c r="K4330" t="s">
        <v>24</v>
      </c>
      <c r="L4330">
        <v>0</v>
      </c>
      <c r="M4330">
        <v>2</v>
      </c>
      <c r="N4330" t="s">
        <v>272</v>
      </c>
      <c r="O4330" s="3" t="str">
        <f>TEXT(Ticket_Table[[#This Row],[raised_date]],"YYYY-MM")</f>
        <v>2023-02</v>
      </c>
      <c r="P4330" s="3" t="str">
        <f>IF(Ticket_Table[[#This Row],[resolution_hrs]]&lt;=4,"Fast",IF(Ticket_Table[[#This Row],[resolution_hrs]]&lt;=24,"Normal",IF(Ticket_Table[[#This Row],[resolution_hrs]]&lt;=48,"Slow","Very Slow")))</f>
        <v>Normal</v>
      </c>
      <c r="Q4330" s="3">
        <f>YEAR(Ticket_Table[[#This Row],[raised_date]])</f>
        <v>2023</v>
      </c>
    </row>
    <row r="4331" spans="1:17">
      <c r="A4331" t="s">
        <v>4892</v>
      </c>
      <c r="B4331" t="s">
        <v>120</v>
      </c>
      <c r="C4331" t="s">
        <v>201</v>
      </c>
      <c r="D4331" t="s">
        <v>20</v>
      </c>
      <c r="E4331" t="s">
        <v>106</v>
      </c>
      <c r="F4331" t="s">
        <v>70</v>
      </c>
      <c r="G4331" t="s">
        <v>23</v>
      </c>
      <c r="H4331" s="1">
        <v>44573</v>
      </c>
      <c r="I4331" s="2">
        <v>44573.4666666667</v>
      </c>
      <c r="J4331">
        <v>11.2</v>
      </c>
      <c r="K4331" t="s">
        <v>24</v>
      </c>
      <c r="L4331">
        <v>2</v>
      </c>
      <c r="M4331">
        <v>4</v>
      </c>
      <c r="N4331" t="s">
        <v>224</v>
      </c>
      <c r="O4331" s="3" t="str">
        <f>TEXT(Ticket_Table[[#This Row],[raised_date]],"YYYY-MM")</f>
        <v>2022-01</v>
      </c>
      <c r="P4331" s="3" t="str">
        <f>IF(Ticket_Table[[#This Row],[resolution_hrs]]&lt;=4,"Fast",IF(Ticket_Table[[#This Row],[resolution_hrs]]&lt;=24,"Normal",IF(Ticket_Table[[#This Row],[resolution_hrs]]&lt;=48,"Slow","Very Slow")))</f>
        <v>Normal</v>
      </c>
      <c r="Q4331" s="3">
        <f>YEAR(Ticket_Table[[#This Row],[raised_date]])</f>
        <v>2022</v>
      </c>
    </row>
    <row r="4332" spans="1:17">
      <c r="A4332" t="s">
        <v>4893</v>
      </c>
      <c r="B4332" t="s">
        <v>541</v>
      </c>
      <c r="C4332" t="s">
        <v>201</v>
      </c>
      <c r="D4332" t="s">
        <v>29</v>
      </c>
      <c r="E4332" t="s">
        <v>44</v>
      </c>
      <c r="F4332" t="s">
        <v>22</v>
      </c>
      <c r="G4332" t="s">
        <v>31</v>
      </c>
      <c r="H4332" s="1">
        <v>44990</v>
      </c>
      <c r="I4332" s="2">
        <v>44993.3416666667</v>
      </c>
      <c r="J4332">
        <v>80.2</v>
      </c>
      <c r="K4332" t="s">
        <v>32</v>
      </c>
      <c r="L4332">
        <v>0</v>
      </c>
      <c r="M4332">
        <v>3</v>
      </c>
      <c r="N4332" t="s">
        <v>764</v>
      </c>
      <c r="O4332" s="3" t="str">
        <f>TEXT(Ticket_Table[[#This Row],[raised_date]],"YYYY-MM")</f>
        <v>2023-03</v>
      </c>
      <c r="P4332" s="3" t="str">
        <f>IF(Ticket_Table[[#This Row],[resolution_hrs]]&lt;=4,"Fast",IF(Ticket_Table[[#This Row],[resolution_hrs]]&lt;=24,"Normal",IF(Ticket_Table[[#This Row],[resolution_hrs]]&lt;=48,"Slow","Very Slow")))</f>
        <v>Very Slow</v>
      </c>
      <c r="Q4332" s="3">
        <f>YEAR(Ticket_Table[[#This Row],[raised_date]])</f>
        <v>2023</v>
      </c>
    </row>
    <row r="4333" spans="1:17">
      <c r="A4333" t="s">
        <v>4894</v>
      </c>
      <c r="B4333" t="s">
        <v>1382</v>
      </c>
      <c r="C4333" t="s">
        <v>50</v>
      </c>
      <c r="D4333" t="s">
        <v>43</v>
      </c>
      <c r="E4333" t="s">
        <v>30</v>
      </c>
      <c r="F4333" t="s">
        <v>70</v>
      </c>
      <c r="G4333" t="s">
        <v>31</v>
      </c>
      <c r="H4333" s="1">
        <v>45203</v>
      </c>
      <c r="I4333" s="2">
        <v>45204.5083333333</v>
      </c>
      <c r="J4333">
        <v>36.2</v>
      </c>
      <c r="K4333" t="s">
        <v>24</v>
      </c>
      <c r="L4333">
        <v>0</v>
      </c>
      <c r="M4333">
        <v>2</v>
      </c>
      <c r="N4333" t="s">
        <v>41</v>
      </c>
      <c r="O4333" s="3" t="str">
        <f>TEXT(Ticket_Table[[#This Row],[raised_date]],"YYYY-MM")</f>
        <v>2023-10</v>
      </c>
      <c r="P4333" s="3" t="str">
        <f>IF(Ticket_Table[[#This Row],[resolution_hrs]]&lt;=4,"Fast",IF(Ticket_Table[[#This Row],[resolution_hrs]]&lt;=24,"Normal",IF(Ticket_Table[[#This Row],[resolution_hrs]]&lt;=48,"Slow","Very Slow")))</f>
        <v>Slow</v>
      </c>
      <c r="Q4333" s="3">
        <f>YEAR(Ticket_Table[[#This Row],[raised_date]])</f>
        <v>2023</v>
      </c>
    </row>
    <row r="4334" spans="1:17">
      <c r="A4334" t="s">
        <v>4895</v>
      </c>
      <c r="B4334" t="s">
        <v>135</v>
      </c>
      <c r="C4334" t="s">
        <v>95</v>
      </c>
      <c r="D4334" t="s">
        <v>90</v>
      </c>
      <c r="E4334" t="s">
        <v>69</v>
      </c>
      <c r="F4334" t="s">
        <v>45</v>
      </c>
      <c r="G4334" t="s">
        <v>31</v>
      </c>
      <c r="H4334" s="1">
        <v>45167</v>
      </c>
      <c r="I4334" s="2">
        <v>45167.0875</v>
      </c>
      <c r="J4334">
        <v>2.1</v>
      </c>
      <c r="K4334" t="s">
        <v>24</v>
      </c>
      <c r="L4334">
        <v>0</v>
      </c>
      <c r="M4334">
        <v>4</v>
      </c>
      <c r="N4334" t="s">
        <v>424</v>
      </c>
      <c r="O4334" s="3" t="str">
        <f>TEXT(Ticket_Table[[#This Row],[raised_date]],"YYYY-MM")</f>
        <v>2023-08</v>
      </c>
      <c r="P4334" s="3" t="str">
        <f>IF(Ticket_Table[[#This Row],[resolution_hrs]]&lt;=4,"Fast",IF(Ticket_Table[[#This Row],[resolution_hrs]]&lt;=24,"Normal",IF(Ticket_Table[[#This Row],[resolution_hrs]]&lt;=48,"Slow","Very Slow")))</f>
        <v>Fast</v>
      </c>
      <c r="Q4334" s="3">
        <f>YEAR(Ticket_Table[[#This Row],[raised_date]])</f>
        <v>2023</v>
      </c>
    </row>
    <row r="4335" spans="1:17">
      <c r="A4335" t="s">
        <v>4896</v>
      </c>
      <c r="B4335" t="s">
        <v>148</v>
      </c>
      <c r="C4335" t="s">
        <v>213</v>
      </c>
      <c r="D4335" t="s">
        <v>36</v>
      </c>
      <c r="E4335" t="s">
        <v>21</v>
      </c>
      <c r="F4335" t="s">
        <v>38</v>
      </c>
      <c r="G4335" t="s">
        <v>31</v>
      </c>
      <c r="H4335" s="1">
        <v>44478</v>
      </c>
      <c r="I4335" s="2">
        <v>44479.025</v>
      </c>
      <c r="J4335">
        <v>24.6</v>
      </c>
      <c r="K4335" t="s">
        <v>32</v>
      </c>
      <c r="L4335">
        <v>0</v>
      </c>
      <c r="M4335">
        <v>2</v>
      </c>
      <c r="N4335" t="s">
        <v>675</v>
      </c>
      <c r="O4335" s="3" t="str">
        <f>TEXT(Ticket_Table[[#This Row],[raised_date]],"YYYY-MM")</f>
        <v>2021-10</v>
      </c>
      <c r="P4335" s="3" t="str">
        <f>IF(Ticket_Table[[#This Row],[resolution_hrs]]&lt;=4,"Fast",IF(Ticket_Table[[#This Row],[resolution_hrs]]&lt;=24,"Normal",IF(Ticket_Table[[#This Row],[resolution_hrs]]&lt;=48,"Slow","Very Slow")))</f>
        <v>Slow</v>
      </c>
      <c r="Q4335" s="3">
        <f>YEAR(Ticket_Table[[#This Row],[raised_date]])</f>
        <v>2021</v>
      </c>
    </row>
    <row r="4336" spans="1:17">
      <c r="A4336" t="s">
        <v>4897</v>
      </c>
      <c r="B4336" t="s">
        <v>491</v>
      </c>
      <c r="C4336" t="s">
        <v>175</v>
      </c>
      <c r="D4336" t="s">
        <v>90</v>
      </c>
      <c r="E4336" t="s">
        <v>21</v>
      </c>
      <c r="F4336" t="s">
        <v>70</v>
      </c>
      <c r="G4336" t="s">
        <v>46</v>
      </c>
      <c r="H4336" s="1">
        <v>44532</v>
      </c>
      <c r="I4336" s="2">
        <v>44534.5625</v>
      </c>
      <c r="J4336">
        <v>61.5</v>
      </c>
      <c r="K4336" t="s">
        <v>32</v>
      </c>
      <c r="L4336">
        <v>1</v>
      </c>
      <c r="M4336">
        <v>4</v>
      </c>
      <c r="N4336" t="s">
        <v>698</v>
      </c>
      <c r="O4336" s="3" t="str">
        <f>TEXT(Ticket_Table[[#This Row],[raised_date]],"YYYY-MM")</f>
        <v>2021-12</v>
      </c>
      <c r="P4336" s="3" t="str">
        <f>IF(Ticket_Table[[#This Row],[resolution_hrs]]&lt;=4,"Fast",IF(Ticket_Table[[#This Row],[resolution_hrs]]&lt;=24,"Normal",IF(Ticket_Table[[#This Row],[resolution_hrs]]&lt;=48,"Slow","Very Slow")))</f>
        <v>Very Slow</v>
      </c>
      <c r="Q4336" s="3">
        <f>YEAR(Ticket_Table[[#This Row],[raised_date]])</f>
        <v>2021</v>
      </c>
    </row>
    <row r="4337" spans="1:17">
      <c r="A4337" t="s">
        <v>4898</v>
      </c>
      <c r="B4337" t="s">
        <v>380</v>
      </c>
      <c r="C4337" t="s">
        <v>133</v>
      </c>
      <c r="D4337" t="s">
        <v>36</v>
      </c>
      <c r="E4337" t="s">
        <v>83</v>
      </c>
      <c r="F4337" t="s">
        <v>70</v>
      </c>
      <c r="G4337" t="s">
        <v>23</v>
      </c>
      <c r="H4337" s="1">
        <v>44592</v>
      </c>
      <c r="I4337" s="2">
        <v>44592.9333333333</v>
      </c>
      <c r="J4337">
        <v>22.4</v>
      </c>
      <c r="K4337" t="s">
        <v>24</v>
      </c>
      <c r="L4337">
        <v>0</v>
      </c>
      <c r="M4337">
        <v>3</v>
      </c>
      <c r="N4337" t="s">
        <v>512</v>
      </c>
      <c r="O4337" s="3" t="str">
        <f>TEXT(Ticket_Table[[#This Row],[raised_date]],"YYYY-MM")</f>
        <v>2022-01</v>
      </c>
      <c r="P4337" s="3" t="str">
        <f>IF(Ticket_Table[[#This Row],[resolution_hrs]]&lt;=4,"Fast",IF(Ticket_Table[[#This Row],[resolution_hrs]]&lt;=24,"Normal",IF(Ticket_Table[[#This Row],[resolution_hrs]]&lt;=48,"Slow","Very Slow")))</f>
        <v>Normal</v>
      </c>
      <c r="Q4337" s="3">
        <f>YEAR(Ticket_Table[[#This Row],[raised_date]])</f>
        <v>2022</v>
      </c>
    </row>
    <row r="4338" spans="1:17">
      <c r="A4338" t="s">
        <v>4899</v>
      </c>
      <c r="B4338" t="s">
        <v>141</v>
      </c>
      <c r="C4338" t="s">
        <v>68</v>
      </c>
      <c r="D4338" t="s">
        <v>90</v>
      </c>
      <c r="E4338" t="s">
        <v>37</v>
      </c>
      <c r="F4338" t="s">
        <v>38</v>
      </c>
      <c r="G4338" t="s">
        <v>91</v>
      </c>
      <c r="H4338" s="1">
        <v>44660</v>
      </c>
      <c r="I4338" s="2">
        <v>44660.4958333333</v>
      </c>
      <c r="J4338">
        <v>11.9</v>
      </c>
      <c r="K4338" t="s">
        <v>24</v>
      </c>
      <c r="L4338">
        <v>1</v>
      </c>
      <c r="M4338">
        <v>1</v>
      </c>
      <c r="N4338" t="s">
        <v>1136</v>
      </c>
      <c r="O4338" s="3" t="str">
        <f>TEXT(Ticket_Table[[#This Row],[raised_date]],"YYYY-MM")</f>
        <v>2022-04</v>
      </c>
      <c r="P4338" s="3" t="str">
        <f>IF(Ticket_Table[[#This Row],[resolution_hrs]]&lt;=4,"Fast",IF(Ticket_Table[[#This Row],[resolution_hrs]]&lt;=24,"Normal",IF(Ticket_Table[[#This Row],[resolution_hrs]]&lt;=48,"Slow","Very Slow")))</f>
        <v>Normal</v>
      </c>
      <c r="Q4338" s="3">
        <f>YEAR(Ticket_Table[[#This Row],[raised_date]])</f>
        <v>2022</v>
      </c>
    </row>
    <row r="4339" spans="1:17">
      <c r="A4339" t="s">
        <v>4900</v>
      </c>
      <c r="B4339" t="s">
        <v>2654</v>
      </c>
      <c r="C4339" t="s">
        <v>201</v>
      </c>
      <c r="D4339" t="s">
        <v>90</v>
      </c>
      <c r="E4339" t="s">
        <v>83</v>
      </c>
      <c r="F4339" t="s">
        <v>70</v>
      </c>
      <c r="G4339" t="s">
        <v>23</v>
      </c>
      <c r="H4339" s="1">
        <v>44263</v>
      </c>
      <c r="I4339" s="2">
        <v>44265.9666666667</v>
      </c>
      <c r="J4339">
        <v>71.2</v>
      </c>
      <c r="K4339" t="s">
        <v>32</v>
      </c>
      <c r="L4339">
        <v>0</v>
      </c>
      <c r="M4339">
        <v>2</v>
      </c>
      <c r="N4339" t="s">
        <v>1833</v>
      </c>
      <c r="O4339" s="3" t="str">
        <f>TEXT(Ticket_Table[[#This Row],[raised_date]],"YYYY-MM")</f>
        <v>2021-03</v>
      </c>
      <c r="P4339" s="3" t="str">
        <f>IF(Ticket_Table[[#This Row],[resolution_hrs]]&lt;=4,"Fast",IF(Ticket_Table[[#This Row],[resolution_hrs]]&lt;=24,"Normal",IF(Ticket_Table[[#This Row],[resolution_hrs]]&lt;=48,"Slow","Very Slow")))</f>
        <v>Very Slow</v>
      </c>
      <c r="Q4339" s="3">
        <f>YEAR(Ticket_Table[[#This Row],[raised_date]])</f>
        <v>2021</v>
      </c>
    </row>
    <row r="4340" spans="1:17">
      <c r="A4340" t="s">
        <v>4901</v>
      </c>
      <c r="B4340" t="s">
        <v>105</v>
      </c>
      <c r="C4340" t="s">
        <v>102</v>
      </c>
      <c r="D4340" t="s">
        <v>43</v>
      </c>
      <c r="E4340" t="s">
        <v>106</v>
      </c>
      <c r="F4340" t="s">
        <v>22</v>
      </c>
      <c r="G4340" t="s">
        <v>91</v>
      </c>
      <c r="H4340" s="1">
        <v>45033</v>
      </c>
      <c r="I4340" s="2">
        <v>45033.0708333333</v>
      </c>
      <c r="J4340">
        <v>1.7</v>
      </c>
      <c r="K4340" t="s">
        <v>24</v>
      </c>
      <c r="L4340">
        <v>1</v>
      </c>
      <c r="M4340">
        <v>5</v>
      </c>
      <c r="N4340" t="s">
        <v>929</v>
      </c>
      <c r="O4340" s="3" t="str">
        <f>TEXT(Ticket_Table[[#This Row],[raised_date]],"YYYY-MM")</f>
        <v>2023-04</v>
      </c>
      <c r="P4340" s="3" t="str">
        <f>IF(Ticket_Table[[#This Row],[resolution_hrs]]&lt;=4,"Fast",IF(Ticket_Table[[#This Row],[resolution_hrs]]&lt;=24,"Normal",IF(Ticket_Table[[#This Row],[resolution_hrs]]&lt;=48,"Slow","Very Slow")))</f>
        <v>Fast</v>
      </c>
      <c r="Q4340" s="3">
        <f>YEAR(Ticket_Table[[#This Row],[raised_date]])</f>
        <v>2023</v>
      </c>
    </row>
    <row r="4341" spans="1:17">
      <c r="A4341" t="s">
        <v>4902</v>
      </c>
      <c r="B4341" t="s">
        <v>146</v>
      </c>
      <c r="C4341" t="s">
        <v>213</v>
      </c>
      <c r="D4341" t="s">
        <v>29</v>
      </c>
      <c r="E4341" t="s">
        <v>56</v>
      </c>
      <c r="F4341" t="s">
        <v>22</v>
      </c>
      <c r="G4341" t="s">
        <v>23</v>
      </c>
      <c r="H4341" s="1">
        <v>44227</v>
      </c>
      <c r="I4341" s="2">
        <v>44229.2041666667</v>
      </c>
      <c r="J4341">
        <v>52.9</v>
      </c>
      <c r="K4341" t="s">
        <v>24</v>
      </c>
      <c r="L4341">
        <v>0</v>
      </c>
      <c r="M4341">
        <v>3</v>
      </c>
      <c r="N4341" t="s">
        <v>458</v>
      </c>
      <c r="O4341" s="3" t="str">
        <f>TEXT(Ticket_Table[[#This Row],[raised_date]],"YYYY-MM")</f>
        <v>2021-01</v>
      </c>
      <c r="P4341" s="3" t="str">
        <f>IF(Ticket_Table[[#This Row],[resolution_hrs]]&lt;=4,"Fast",IF(Ticket_Table[[#This Row],[resolution_hrs]]&lt;=24,"Normal",IF(Ticket_Table[[#This Row],[resolution_hrs]]&lt;=48,"Slow","Very Slow")))</f>
        <v>Very Slow</v>
      </c>
      <c r="Q4341" s="3">
        <f>YEAR(Ticket_Table[[#This Row],[raised_date]])</f>
        <v>2021</v>
      </c>
    </row>
    <row r="4342" spans="1:17">
      <c r="A4342" t="s">
        <v>4903</v>
      </c>
      <c r="B4342" t="s">
        <v>866</v>
      </c>
      <c r="C4342" t="s">
        <v>78</v>
      </c>
      <c r="D4342" t="s">
        <v>90</v>
      </c>
      <c r="E4342" t="s">
        <v>37</v>
      </c>
      <c r="F4342" t="s">
        <v>70</v>
      </c>
      <c r="G4342" t="s">
        <v>23</v>
      </c>
      <c r="H4342" s="1">
        <v>44749</v>
      </c>
      <c r="I4342" s="2">
        <v>44751.075</v>
      </c>
      <c r="J4342">
        <v>49.8</v>
      </c>
      <c r="K4342" t="s">
        <v>32</v>
      </c>
      <c r="L4342">
        <v>1</v>
      </c>
      <c r="M4342">
        <v>3</v>
      </c>
      <c r="N4342" t="s">
        <v>178</v>
      </c>
      <c r="O4342" s="3" t="str">
        <f>TEXT(Ticket_Table[[#This Row],[raised_date]],"YYYY-MM")</f>
        <v>2022-07</v>
      </c>
      <c r="P4342" s="3" t="str">
        <f>IF(Ticket_Table[[#This Row],[resolution_hrs]]&lt;=4,"Fast",IF(Ticket_Table[[#This Row],[resolution_hrs]]&lt;=24,"Normal",IF(Ticket_Table[[#This Row],[resolution_hrs]]&lt;=48,"Slow","Very Slow")))</f>
        <v>Very Slow</v>
      </c>
      <c r="Q4342" s="3">
        <f>YEAR(Ticket_Table[[#This Row],[raised_date]])</f>
        <v>2022</v>
      </c>
    </row>
    <row r="4343" spans="1:17">
      <c r="A4343" t="s">
        <v>4904</v>
      </c>
      <c r="B4343" t="s">
        <v>950</v>
      </c>
      <c r="C4343" t="s">
        <v>50</v>
      </c>
      <c r="D4343" t="s">
        <v>20</v>
      </c>
      <c r="E4343" t="s">
        <v>56</v>
      </c>
      <c r="F4343" t="s">
        <v>45</v>
      </c>
      <c r="G4343" t="s">
        <v>31</v>
      </c>
      <c r="H4343" s="1">
        <v>45042</v>
      </c>
      <c r="I4343" s="2">
        <v>45042.0666666667</v>
      </c>
      <c r="J4343">
        <v>1.6</v>
      </c>
      <c r="K4343" t="s">
        <v>24</v>
      </c>
      <c r="L4343">
        <v>1</v>
      </c>
      <c r="M4343">
        <v>4</v>
      </c>
      <c r="N4343" t="s">
        <v>232</v>
      </c>
      <c r="O4343" s="3" t="str">
        <f>TEXT(Ticket_Table[[#This Row],[raised_date]],"YYYY-MM")</f>
        <v>2023-04</v>
      </c>
      <c r="P4343" s="3" t="str">
        <f>IF(Ticket_Table[[#This Row],[resolution_hrs]]&lt;=4,"Fast",IF(Ticket_Table[[#This Row],[resolution_hrs]]&lt;=24,"Normal",IF(Ticket_Table[[#This Row],[resolution_hrs]]&lt;=48,"Slow","Very Slow")))</f>
        <v>Fast</v>
      </c>
      <c r="Q4343" s="3">
        <f>YEAR(Ticket_Table[[#This Row],[raised_date]])</f>
        <v>2023</v>
      </c>
    </row>
    <row r="4344" spans="1:17">
      <c r="A4344" t="s">
        <v>4905</v>
      </c>
      <c r="B4344" t="s">
        <v>207</v>
      </c>
      <c r="C4344" t="s">
        <v>140</v>
      </c>
      <c r="D4344" t="s">
        <v>20</v>
      </c>
      <c r="E4344" t="s">
        <v>21</v>
      </c>
      <c r="F4344" t="s">
        <v>38</v>
      </c>
      <c r="G4344" t="s">
        <v>31</v>
      </c>
      <c r="H4344" s="1">
        <v>44652</v>
      </c>
      <c r="I4344" s="2">
        <v>44652.0416666667</v>
      </c>
      <c r="J4344">
        <v>1</v>
      </c>
      <c r="K4344" t="s">
        <v>24</v>
      </c>
      <c r="L4344">
        <v>1</v>
      </c>
      <c r="M4344">
        <v>4</v>
      </c>
      <c r="N4344" t="s">
        <v>1760</v>
      </c>
      <c r="O4344" s="3" t="str">
        <f>TEXT(Ticket_Table[[#This Row],[raised_date]],"YYYY-MM")</f>
        <v>2022-04</v>
      </c>
      <c r="P4344" s="3" t="str">
        <f>IF(Ticket_Table[[#This Row],[resolution_hrs]]&lt;=4,"Fast",IF(Ticket_Table[[#This Row],[resolution_hrs]]&lt;=24,"Normal",IF(Ticket_Table[[#This Row],[resolution_hrs]]&lt;=48,"Slow","Very Slow")))</f>
        <v>Fast</v>
      </c>
      <c r="Q4344" s="3">
        <f>YEAR(Ticket_Table[[#This Row],[raised_date]])</f>
        <v>2022</v>
      </c>
    </row>
    <row r="4345" spans="1:17">
      <c r="A4345" t="s">
        <v>4906</v>
      </c>
      <c r="B4345" t="s">
        <v>314</v>
      </c>
      <c r="C4345" t="s">
        <v>102</v>
      </c>
      <c r="D4345" t="s">
        <v>20</v>
      </c>
      <c r="E4345" t="s">
        <v>21</v>
      </c>
      <c r="F4345" t="s">
        <v>22</v>
      </c>
      <c r="G4345" t="s">
        <v>23</v>
      </c>
      <c r="H4345" s="1">
        <v>44612</v>
      </c>
      <c r="I4345" s="2">
        <v>44614.7333333333</v>
      </c>
      <c r="J4345">
        <v>65.6</v>
      </c>
      <c r="K4345" t="s">
        <v>24</v>
      </c>
      <c r="L4345">
        <v>0</v>
      </c>
      <c r="M4345">
        <v>1</v>
      </c>
      <c r="N4345" t="s">
        <v>221</v>
      </c>
      <c r="O4345" s="3" t="str">
        <f>TEXT(Ticket_Table[[#This Row],[raised_date]],"YYYY-MM")</f>
        <v>2022-02</v>
      </c>
      <c r="P4345" s="3" t="str">
        <f>IF(Ticket_Table[[#This Row],[resolution_hrs]]&lt;=4,"Fast",IF(Ticket_Table[[#This Row],[resolution_hrs]]&lt;=24,"Normal",IF(Ticket_Table[[#This Row],[resolution_hrs]]&lt;=48,"Slow","Very Slow")))</f>
        <v>Very Slow</v>
      </c>
      <c r="Q4345" s="3">
        <f>YEAR(Ticket_Table[[#This Row],[raised_date]])</f>
        <v>2022</v>
      </c>
    </row>
    <row r="4346" spans="1:17">
      <c r="A4346" t="s">
        <v>4907</v>
      </c>
      <c r="B4346" t="s">
        <v>758</v>
      </c>
      <c r="C4346" t="s">
        <v>42</v>
      </c>
      <c r="D4346" t="s">
        <v>29</v>
      </c>
      <c r="E4346" t="s">
        <v>21</v>
      </c>
      <c r="F4346" t="s">
        <v>22</v>
      </c>
      <c r="G4346" t="s">
        <v>74</v>
      </c>
      <c r="H4346" s="1">
        <v>44615</v>
      </c>
      <c r="I4346" s="2">
        <v>44615.5833333333</v>
      </c>
      <c r="J4346">
        <v>14</v>
      </c>
      <c r="K4346" t="s">
        <v>24</v>
      </c>
      <c r="L4346">
        <v>0</v>
      </c>
      <c r="M4346">
        <v>5</v>
      </c>
      <c r="N4346" t="s">
        <v>308</v>
      </c>
      <c r="O4346" s="3" t="str">
        <f>TEXT(Ticket_Table[[#This Row],[raised_date]],"YYYY-MM")</f>
        <v>2022-02</v>
      </c>
      <c r="P4346" s="3" t="str">
        <f>IF(Ticket_Table[[#This Row],[resolution_hrs]]&lt;=4,"Fast",IF(Ticket_Table[[#This Row],[resolution_hrs]]&lt;=24,"Normal",IF(Ticket_Table[[#This Row],[resolution_hrs]]&lt;=48,"Slow","Very Slow")))</f>
        <v>Normal</v>
      </c>
      <c r="Q4346" s="3">
        <f>YEAR(Ticket_Table[[#This Row],[raised_date]])</f>
        <v>2022</v>
      </c>
    </row>
    <row r="4347" spans="1:17">
      <c r="A4347" t="s">
        <v>4908</v>
      </c>
      <c r="B4347" t="s">
        <v>246</v>
      </c>
      <c r="C4347" t="s">
        <v>19</v>
      </c>
      <c r="D4347" t="s">
        <v>90</v>
      </c>
      <c r="E4347" t="s">
        <v>30</v>
      </c>
      <c r="F4347" t="s">
        <v>38</v>
      </c>
      <c r="G4347" t="s">
        <v>31</v>
      </c>
      <c r="H4347" s="1">
        <v>44332</v>
      </c>
      <c r="I4347" s="2">
        <v>44332.1833333333</v>
      </c>
      <c r="J4347">
        <v>4.4</v>
      </c>
      <c r="K4347" t="s">
        <v>24</v>
      </c>
      <c r="L4347">
        <v>0</v>
      </c>
      <c r="M4347">
        <v>5</v>
      </c>
      <c r="N4347" t="s">
        <v>325</v>
      </c>
      <c r="O4347" s="3" t="str">
        <f>TEXT(Ticket_Table[[#This Row],[raised_date]],"YYYY-MM")</f>
        <v>2021-05</v>
      </c>
      <c r="P4347" s="3" t="str">
        <f>IF(Ticket_Table[[#This Row],[resolution_hrs]]&lt;=4,"Fast",IF(Ticket_Table[[#This Row],[resolution_hrs]]&lt;=24,"Normal",IF(Ticket_Table[[#This Row],[resolution_hrs]]&lt;=48,"Slow","Very Slow")))</f>
        <v>Normal</v>
      </c>
      <c r="Q4347" s="3">
        <f>YEAR(Ticket_Table[[#This Row],[raised_date]])</f>
        <v>2021</v>
      </c>
    </row>
    <row r="4348" spans="1:17">
      <c r="A4348" t="s">
        <v>4909</v>
      </c>
      <c r="B4348" t="s">
        <v>556</v>
      </c>
      <c r="C4348" t="s">
        <v>28</v>
      </c>
      <c r="D4348" t="s">
        <v>36</v>
      </c>
      <c r="E4348" t="s">
        <v>106</v>
      </c>
      <c r="F4348" t="s">
        <v>38</v>
      </c>
      <c r="G4348" t="s">
        <v>91</v>
      </c>
      <c r="H4348" s="1">
        <v>44559</v>
      </c>
      <c r="I4348" s="2">
        <v>44559.3416666667</v>
      </c>
      <c r="J4348">
        <v>8.2</v>
      </c>
      <c r="K4348" t="s">
        <v>24</v>
      </c>
      <c r="L4348">
        <v>3</v>
      </c>
      <c r="M4348">
        <v>4</v>
      </c>
      <c r="N4348" t="s">
        <v>431</v>
      </c>
      <c r="O4348" s="3" t="str">
        <f>TEXT(Ticket_Table[[#This Row],[raised_date]],"YYYY-MM")</f>
        <v>2021-12</v>
      </c>
      <c r="P4348" s="3" t="str">
        <f>IF(Ticket_Table[[#This Row],[resolution_hrs]]&lt;=4,"Fast",IF(Ticket_Table[[#This Row],[resolution_hrs]]&lt;=24,"Normal",IF(Ticket_Table[[#This Row],[resolution_hrs]]&lt;=48,"Slow","Very Slow")))</f>
        <v>Normal</v>
      </c>
      <c r="Q4348" s="3">
        <f>YEAR(Ticket_Table[[#This Row],[raised_date]])</f>
        <v>2021</v>
      </c>
    </row>
    <row r="4349" spans="1:17">
      <c r="A4349" t="s">
        <v>4910</v>
      </c>
      <c r="B4349" t="s">
        <v>151</v>
      </c>
      <c r="C4349" t="s">
        <v>102</v>
      </c>
      <c r="D4349" t="s">
        <v>36</v>
      </c>
      <c r="E4349" t="s">
        <v>69</v>
      </c>
      <c r="F4349" t="s">
        <v>70</v>
      </c>
      <c r="G4349" t="s">
        <v>23</v>
      </c>
      <c r="H4349" s="1">
        <v>45096</v>
      </c>
      <c r="I4349" s="2">
        <v>45097.4416666667</v>
      </c>
      <c r="J4349">
        <v>34.6</v>
      </c>
      <c r="K4349" t="s">
        <v>24</v>
      </c>
      <c r="L4349">
        <v>0</v>
      </c>
      <c r="M4349">
        <v>4</v>
      </c>
      <c r="N4349" t="s">
        <v>808</v>
      </c>
      <c r="O4349" s="3" t="str">
        <f>TEXT(Ticket_Table[[#This Row],[raised_date]],"YYYY-MM")</f>
        <v>2023-06</v>
      </c>
      <c r="P4349" s="3" t="str">
        <f>IF(Ticket_Table[[#This Row],[resolution_hrs]]&lt;=4,"Fast",IF(Ticket_Table[[#This Row],[resolution_hrs]]&lt;=24,"Normal",IF(Ticket_Table[[#This Row],[resolution_hrs]]&lt;=48,"Slow","Very Slow")))</f>
        <v>Slow</v>
      </c>
      <c r="Q4349" s="3">
        <f>YEAR(Ticket_Table[[#This Row],[raised_date]])</f>
        <v>2023</v>
      </c>
    </row>
    <row r="4350" spans="1:17">
      <c r="A4350" t="s">
        <v>4911</v>
      </c>
      <c r="B4350" t="s">
        <v>2654</v>
      </c>
      <c r="C4350" t="s">
        <v>50</v>
      </c>
      <c r="D4350" t="s">
        <v>43</v>
      </c>
      <c r="E4350" t="s">
        <v>83</v>
      </c>
      <c r="F4350" t="s">
        <v>70</v>
      </c>
      <c r="G4350" t="s">
        <v>46</v>
      </c>
      <c r="H4350" s="1">
        <v>45200</v>
      </c>
      <c r="I4350" s="2">
        <v>45202.5041666667</v>
      </c>
      <c r="J4350">
        <v>60.1</v>
      </c>
      <c r="K4350" t="s">
        <v>32</v>
      </c>
      <c r="L4350">
        <v>1</v>
      </c>
      <c r="M4350">
        <v>5</v>
      </c>
      <c r="N4350" t="s">
        <v>420</v>
      </c>
      <c r="O4350" s="3" t="str">
        <f>TEXT(Ticket_Table[[#This Row],[raised_date]],"YYYY-MM")</f>
        <v>2023-10</v>
      </c>
      <c r="P4350" s="3" t="str">
        <f>IF(Ticket_Table[[#This Row],[resolution_hrs]]&lt;=4,"Fast",IF(Ticket_Table[[#This Row],[resolution_hrs]]&lt;=24,"Normal",IF(Ticket_Table[[#This Row],[resolution_hrs]]&lt;=48,"Slow","Very Slow")))</f>
        <v>Very Slow</v>
      </c>
      <c r="Q4350" s="3">
        <f>YEAR(Ticket_Table[[#This Row],[raised_date]])</f>
        <v>2023</v>
      </c>
    </row>
    <row r="4351" spans="1:17">
      <c r="A4351" t="s">
        <v>4912</v>
      </c>
      <c r="B4351" t="s">
        <v>340</v>
      </c>
      <c r="C4351" t="s">
        <v>78</v>
      </c>
      <c r="D4351" t="s">
        <v>29</v>
      </c>
      <c r="E4351" t="s">
        <v>56</v>
      </c>
      <c r="F4351" t="s">
        <v>22</v>
      </c>
      <c r="G4351" t="s">
        <v>46</v>
      </c>
      <c r="H4351" s="1">
        <v>44862</v>
      </c>
      <c r="I4351" s="2">
        <v>44864.0208333333</v>
      </c>
      <c r="J4351">
        <v>48.5</v>
      </c>
      <c r="K4351" t="s">
        <v>24</v>
      </c>
      <c r="L4351">
        <v>0</v>
      </c>
      <c r="M4351">
        <v>4</v>
      </c>
      <c r="N4351" t="s">
        <v>685</v>
      </c>
      <c r="O4351" s="3" t="str">
        <f>TEXT(Ticket_Table[[#This Row],[raised_date]],"YYYY-MM")</f>
        <v>2022-10</v>
      </c>
      <c r="P4351" s="3" t="str">
        <f>IF(Ticket_Table[[#This Row],[resolution_hrs]]&lt;=4,"Fast",IF(Ticket_Table[[#This Row],[resolution_hrs]]&lt;=24,"Normal",IF(Ticket_Table[[#This Row],[resolution_hrs]]&lt;=48,"Slow","Very Slow")))</f>
        <v>Very Slow</v>
      </c>
      <c r="Q4351" s="3">
        <f>YEAR(Ticket_Table[[#This Row],[raised_date]])</f>
        <v>2022</v>
      </c>
    </row>
    <row r="4352" spans="1:17">
      <c r="A4352" t="s">
        <v>4913</v>
      </c>
      <c r="B4352" t="s">
        <v>680</v>
      </c>
      <c r="C4352" t="s">
        <v>140</v>
      </c>
      <c r="D4352" t="s">
        <v>90</v>
      </c>
      <c r="E4352" t="s">
        <v>51</v>
      </c>
      <c r="F4352" t="s">
        <v>38</v>
      </c>
      <c r="G4352" t="s">
        <v>31</v>
      </c>
      <c r="H4352" s="1">
        <v>45134</v>
      </c>
      <c r="I4352" s="2">
        <v>45134.1208333333</v>
      </c>
      <c r="J4352">
        <v>2.9</v>
      </c>
      <c r="K4352" t="s">
        <v>24</v>
      </c>
      <c r="L4352">
        <v>0</v>
      </c>
      <c r="M4352">
        <v>5</v>
      </c>
      <c r="N4352" t="s">
        <v>917</v>
      </c>
      <c r="O4352" s="3" t="str">
        <f>TEXT(Ticket_Table[[#This Row],[raised_date]],"YYYY-MM")</f>
        <v>2023-07</v>
      </c>
      <c r="P4352" s="3" t="str">
        <f>IF(Ticket_Table[[#This Row],[resolution_hrs]]&lt;=4,"Fast",IF(Ticket_Table[[#This Row],[resolution_hrs]]&lt;=24,"Normal",IF(Ticket_Table[[#This Row],[resolution_hrs]]&lt;=48,"Slow","Very Slow")))</f>
        <v>Fast</v>
      </c>
      <c r="Q4352" s="3">
        <f>YEAR(Ticket_Table[[#This Row],[raised_date]])</f>
        <v>2023</v>
      </c>
    </row>
    <row r="4353" spans="1:17">
      <c r="A4353" t="s">
        <v>4914</v>
      </c>
      <c r="B4353" t="s">
        <v>195</v>
      </c>
      <c r="C4353" t="s">
        <v>19</v>
      </c>
      <c r="D4353" t="s">
        <v>20</v>
      </c>
      <c r="E4353" t="s">
        <v>83</v>
      </c>
      <c r="F4353" t="s">
        <v>38</v>
      </c>
      <c r="G4353" t="s">
        <v>74</v>
      </c>
      <c r="H4353" s="1">
        <v>44702</v>
      </c>
      <c r="I4353" s="2">
        <v>44702.2208333333</v>
      </c>
      <c r="J4353">
        <v>5.3</v>
      </c>
      <c r="K4353" t="s">
        <v>24</v>
      </c>
      <c r="L4353">
        <v>0</v>
      </c>
      <c r="M4353">
        <v>1</v>
      </c>
      <c r="N4353" t="s">
        <v>489</v>
      </c>
      <c r="O4353" s="3" t="str">
        <f>TEXT(Ticket_Table[[#This Row],[raised_date]],"YYYY-MM")</f>
        <v>2022-05</v>
      </c>
      <c r="P4353" s="3" t="str">
        <f>IF(Ticket_Table[[#This Row],[resolution_hrs]]&lt;=4,"Fast",IF(Ticket_Table[[#This Row],[resolution_hrs]]&lt;=24,"Normal",IF(Ticket_Table[[#This Row],[resolution_hrs]]&lt;=48,"Slow","Very Slow")))</f>
        <v>Normal</v>
      </c>
      <c r="Q4353" s="3">
        <f>YEAR(Ticket_Table[[#This Row],[raised_date]])</f>
        <v>2022</v>
      </c>
    </row>
    <row r="4354" spans="1:17">
      <c r="A4354" t="s">
        <v>4915</v>
      </c>
      <c r="B4354" t="s">
        <v>429</v>
      </c>
      <c r="C4354" t="s">
        <v>201</v>
      </c>
      <c r="D4354" t="s">
        <v>29</v>
      </c>
      <c r="E4354" t="s">
        <v>166</v>
      </c>
      <c r="F4354" t="s">
        <v>22</v>
      </c>
      <c r="G4354" t="s">
        <v>23</v>
      </c>
      <c r="H4354" s="1">
        <v>45072</v>
      </c>
      <c r="I4354" s="2">
        <v>45073.8458333333</v>
      </c>
      <c r="J4354">
        <v>44.3</v>
      </c>
      <c r="K4354" t="s">
        <v>24</v>
      </c>
      <c r="L4354">
        <v>0</v>
      </c>
      <c r="M4354">
        <v>4</v>
      </c>
      <c r="N4354" t="s">
        <v>466</v>
      </c>
      <c r="O4354" s="3" t="str">
        <f>TEXT(Ticket_Table[[#This Row],[raised_date]],"YYYY-MM")</f>
        <v>2023-05</v>
      </c>
      <c r="P4354" s="3" t="str">
        <f>IF(Ticket_Table[[#This Row],[resolution_hrs]]&lt;=4,"Fast",IF(Ticket_Table[[#This Row],[resolution_hrs]]&lt;=24,"Normal",IF(Ticket_Table[[#This Row],[resolution_hrs]]&lt;=48,"Slow","Very Slow")))</f>
        <v>Slow</v>
      </c>
      <c r="Q4354" s="3">
        <f>YEAR(Ticket_Table[[#This Row],[raised_date]])</f>
        <v>2023</v>
      </c>
    </row>
    <row r="4355" spans="1:17">
      <c r="A4355" t="s">
        <v>4916</v>
      </c>
      <c r="B4355" t="s">
        <v>764</v>
      </c>
      <c r="C4355" t="s">
        <v>82</v>
      </c>
      <c r="D4355" t="s">
        <v>29</v>
      </c>
      <c r="E4355" t="s">
        <v>44</v>
      </c>
      <c r="F4355" t="s">
        <v>38</v>
      </c>
      <c r="G4355" t="s">
        <v>46</v>
      </c>
      <c r="H4355" s="1">
        <v>45026</v>
      </c>
      <c r="I4355" s="2">
        <v>45027.475</v>
      </c>
      <c r="J4355">
        <v>35.4</v>
      </c>
      <c r="K4355" t="s">
        <v>32</v>
      </c>
      <c r="L4355">
        <v>0</v>
      </c>
      <c r="M4355">
        <v>5</v>
      </c>
      <c r="N4355" t="s">
        <v>376</v>
      </c>
      <c r="O4355" s="3" t="str">
        <f>TEXT(Ticket_Table[[#This Row],[raised_date]],"YYYY-MM")</f>
        <v>2023-04</v>
      </c>
      <c r="P4355" s="3" t="str">
        <f>IF(Ticket_Table[[#This Row],[resolution_hrs]]&lt;=4,"Fast",IF(Ticket_Table[[#This Row],[resolution_hrs]]&lt;=24,"Normal",IF(Ticket_Table[[#This Row],[resolution_hrs]]&lt;=48,"Slow","Very Slow")))</f>
        <v>Slow</v>
      </c>
      <c r="Q4355" s="3">
        <f>YEAR(Ticket_Table[[#This Row],[raised_date]])</f>
        <v>2023</v>
      </c>
    </row>
    <row r="4356" spans="1:17">
      <c r="A4356" t="s">
        <v>4917</v>
      </c>
      <c r="B4356" t="s">
        <v>155</v>
      </c>
      <c r="C4356" t="s">
        <v>287</v>
      </c>
      <c r="D4356" t="s">
        <v>90</v>
      </c>
      <c r="E4356" t="s">
        <v>37</v>
      </c>
      <c r="F4356" t="s">
        <v>22</v>
      </c>
      <c r="G4356" t="s">
        <v>23</v>
      </c>
      <c r="H4356" s="1">
        <v>44282</v>
      </c>
      <c r="I4356" s="2">
        <v>44285.7</v>
      </c>
      <c r="J4356">
        <v>88.8</v>
      </c>
      <c r="K4356" t="s">
        <v>32</v>
      </c>
      <c r="L4356">
        <v>0</v>
      </c>
      <c r="M4356">
        <v>3</v>
      </c>
      <c r="N4356" t="s">
        <v>873</v>
      </c>
      <c r="O4356" s="3" t="str">
        <f>TEXT(Ticket_Table[[#This Row],[raised_date]],"YYYY-MM")</f>
        <v>2021-03</v>
      </c>
      <c r="P4356" s="3" t="str">
        <f>IF(Ticket_Table[[#This Row],[resolution_hrs]]&lt;=4,"Fast",IF(Ticket_Table[[#This Row],[resolution_hrs]]&lt;=24,"Normal",IF(Ticket_Table[[#This Row],[resolution_hrs]]&lt;=48,"Slow","Very Slow")))</f>
        <v>Very Slow</v>
      </c>
      <c r="Q4356" s="3">
        <f>YEAR(Ticket_Table[[#This Row],[raised_date]])</f>
        <v>2021</v>
      </c>
    </row>
    <row r="4357" spans="1:17">
      <c r="A4357" t="s">
        <v>4918</v>
      </c>
      <c r="B4357" t="s">
        <v>772</v>
      </c>
      <c r="C4357" t="s">
        <v>42</v>
      </c>
      <c r="D4357" t="s">
        <v>43</v>
      </c>
      <c r="E4357" t="s">
        <v>56</v>
      </c>
      <c r="F4357" t="s">
        <v>22</v>
      </c>
      <c r="G4357" t="s">
        <v>23</v>
      </c>
      <c r="H4357" s="1">
        <v>44976</v>
      </c>
      <c r="I4357" s="2">
        <v>44979.7958333333</v>
      </c>
      <c r="J4357">
        <v>91.1</v>
      </c>
      <c r="K4357" t="s">
        <v>32</v>
      </c>
      <c r="L4357">
        <v>0</v>
      </c>
      <c r="M4357">
        <v>3</v>
      </c>
      <c r="N4357" t="s">
        <v>640</v>
      </c>
      <c r="O4357" s="3" t="str">
        <f>TEXT(Ticket_Table[[#This Row],[raised_date]],"YYYY-MM")</f>
        <v>2023-02</v>
      </c>
      <c r="P4357" s="3" t="str">
        <f>IF(Ticket_Table[[#This Row],[resolution_hrs]]&lt;=4,"Fast",IF(Ticket_Table[[#This Row],[resolution_hrs]]&lt;=24,"Normal",IF(Ticket_Table[[#This Row],[resolution_hrs]]&lt;=48,"Slow","Very Slow")))</f>
        <v>Very Slow</v>
      </c>
      <c r="Q4357" s="3">
        <f>YEAR(Ticket_Table[[#This Row],[raised_date]])</f>
        <v>2023</v>
      </c>
    </row>
    <row r="4358" spans="1:17">
      <c r="A4358" t="s">
        <v>4919</v>
      </c>
      <c r="B4358" t="s">
        <v>87</v>
      </c>
      <c r="C4358" t="s">
        <v>78</v>
      </c>
      <c r="D4358" t="s">
        <v>43</v>
      </c>
      <c r="E4358" t="s">
        <v>106</v>
      </c>
      <c r="F4358" t="s">
        <v>22</v>
      </c>
      <c r="G4358" t="s">
        <v>46</v>
      </c>
      <c r="H4358" s="1">
        <v>44837</v>
      </c>
      <c r="I4358" s="2">
        <v>44839.4791666667</v>
      </c>
      <c r="J4358">
        <v>59.5</v>
      </c>
      <c r="K4358" t="s">
        <v>24</v>
      </c>
      <c r="L4358">
        <v>1</v>
      </c>
      <c r="M4358">
        <v>4</v>
      </c>
      <c r="N4358" t="s">
        <v>571</v>
      </c>
      <c r="O4358" s="3" t="str">
        <f>TEXT(Ticket_Table[[#This Row],[raised_date]],"YYYY-MM")</f>
        <v>2022-10</v>
      </c>
      <c r="P4358" s="3" t="str">
        <f>IF(Ticket_Table[[#This Row],[resolution_hrs]]&lt;=4,"Fast",IF(Ticket_Table[[#This Row],[resolution_hrs]]&lt;=24,"Normal",IF(Ticket_Table[[#This Row],[resolution_hrs]]&lt;=48,"Slow","Very Slow")))</f>
        <v>Very Slow</v>
      </c>
      <c r="Q4358" s="3">
        <f>YEAR(Ticket_Table[[#This Row],[raised_date]])</f>
        <v>2022</v>
      </c>
    </row>
    <row r="4359" spans="1:17">
      <c r="A4359" t="s">
        <v>4920</v>
      </c>
      <c r="B4359" t="s">
        <v>1191</v>
      </c>
      <c r="C4359" t="s">
        <v>140</v>
      </c>
      <c r="D4359" t="s">
        <v>43</v>
      </c>
      <c r="E4359" t="s">
        <v>21</v>
      </c>
      <c r="F4359" t="s">
        <v>22</v>
      </c>
      <c r="G4359" t="s">
        <v>31</v>
      </c>
      <c r="H4359" s="1">
        <v>45004</v>
      </c>
      <c r="I4359" s="2">
        <v>45007.7041666667</v>
      </c>
      <c r="J4359">
        <v>88.9</v>
      </c>
      <c r="K4359" t="s">
        <v>32</v>
      </c>
      <c r="L4359">
        <v>0</v>
      </c>
      <c r="M4359">
        <v>5</v>
      </c>
      <c r="N4359" t="s">
        <v>664</v>
      </c>
      <c r="O4359" s="3" t="str">
        <f>TEXT(Ticket_Table[[#This Row],[raised_date]],"YYYY-MM")</f>
        <v>2023-03</v>
      </c>
      <c r="P4359" s="3" t="str">
        <f>IF(Ticket_Table[[#This Row],[resolution_hrs]]&lt;=4,"Fast",IF(Ticket_Table[[#This Row],[resolution_hrs]]&lt;=24,"Normal",IF(Ticket_Table[[#This Row],[resolution_hrs]]&lt;=48,"Slow","Very Slow")))</f>
        <v>Very Slow</v>
      </c>
      <c r="Q4359" s="3">
        <f>YEAR(Ticket_Table[[#This Row],[raised_date]])</f>
        <v>2023</v>
      </c>
    </row>
    <row r="4360" spans="1:17">
      <c r="A4360" t="s">
        <v>4921</v>
      </c>
      <c r="B4360" t="s">
        <v>65</v>
      </c>
      <c r="C4360" t="s">
        <v>19</v>
      </c>
      <c r="D4360" t="s">
        <v>20</v>
      </c>
      <c r="E4360" t="s">
        <v>166</v>
      </c>
      <c r="F4360" t="s">
        <v>70</v>
      </c>
      <c r="G4360" t="s">
        <v>23</v>
      </c>
      <c r="H4360" s="1">
        <v>45272</v>
      </c>
      <c r="I4360" s="2">
        <v>45274.0583333333</v>
      </c>
      <c r="J4360">
        <v>49.4</v>
      </c>
      <c r="K4360" t="s">
        <v>32</v>
      </c>
      <c r="L4360">
        <v>1</v>
      </c>
      <c r="M4360">
        <v>3</v>
      </c>
      <c r="N4360" t="s">
        <v>129</v>
      </c>
      <c r="O4360" s="3" t="str">
        <f>TEXT(Ticket_Table[[#This Row],[raised_date]],"YYYY-MM")</f>
        <v>2023-12</v>
      </c>
      <c r="P4360" s="3" t="str">
        <f>IF(Ticket_Table[[#This Row],[resolution_hrs]]&lt;=4,"Fast",IF(Ticket_Table[[#This Row],[resolution_hrs]]&lt;=24,"Normal",IF(Ticket_Table[[#This Row],[resolution_hrs]]&lt;=48,"Slow","Very Slow")))</f>
        <v>Very Slow</v>
      </c>
      <c r="Q4360" s="3">
        <f>YEAR(Ticket_Table[[#This Row],[raised_date]])</f>
        <v>2023</v>
      </c>
    </row>
    <row r="4361" spans="1:17">
      <c r="A4361" t="s">
        <v>4922</v>
      </c>
      <c r="B4361" t="s">
        <v>778</v>
      </c>
      <c r="C4361" t="s">
        <v>140</v>
      </c>
      <c r="D4361" t="s">
        <v>20</v>
      </c>
      <c r="E4361" t="s">
        <v>44</v>
      </c>
      <c r="F4361" t="s">
        <v>70</v>
      </c>
      <c r="G4361" t="s">
        <v>23</v>
      </c>
      <c r="H4361" s="1">
        <v>44275</v>
      </c>
      <c r="I4361" s="2">
        <v>44277.5833333333</v>
      </c>
      <c r="J4361">
        <v>62</v>
      </c>
      <c r="K4361" t="s">
        <v>32</v>
      </c>
      <c r="L4361">
        <v>0</v>
      </c>
      <c r="M4361">
        <v>5</v>
      </c>
      <c r="N4361" t="s">
        <v>426</v>
      </c>
      <c r="O4361" s="3" t="str">
        <f>TEXT(Ticket_Table[[#This Row],[raised_date]],"YYYY-MM")</f>
        <v>2021-03</v>
      </c>
      <c r="P4361" s="3" t="str">
        <f>IF(Ticket_Table[[#This Row],[resolution_hrs]]&lt;=4,"Fast",IF(Ticket_Table[[#This Row],[resolution_hrs]]&lt;=24,"Normal",IF(Ticket_Table[[#This Row],[resolution_hrs]]&lt;=48,"Slow","Very Slow")))</f>
        <v>Very Slow</v>
      </c>
      <c r="Q4361" s="3">
        <f>YEAR(Ticket_Table[[#This Row],[raised_date]])</f>
        <v>2021</v>
      </c>
    </row>
    <row r="4362" spans="1:17">
      <c r="A4362" t="s">
        <v>4923</v>
      </c>
      <c r="B4362" t="s">
        <v>391</v>
      </c>
      <c r="C4362" t="s">
        <v>60</v>
      </c>
      <c r="D4362" t="s">
        <v>90</v>
      </c>
      <c r="E4362" t="s">
        <v>56</v>
      </c>
      <c r="F4362" t="s">
        <v>70</v>
      </c>
      <c r="G4362" t="s">
        <v>23</v>
      </c>
      <c r="H4362" s="1">
        <v>45263</v>
      </c>
      <c r="I4362" s="2">
        <v>45264.8666666667</v>
      </c>
      <c r="J4362">
        <v>44.8</v>
      </c>
      <c r="K4362" t="s">
        <v>24</v>
      </c>
      <c r="L4362">
        <v>1</v>
      </c>
      <c r="M4362">
        <v>4</v>
      </c>
      <c r="N4362" t="s">
        <v>640</v>
      </c>
      <c r="O4362" s="3" t="str">
        <f>TEXT(Ticket_Table[[#This Row],[raised_date]],"YYYY-MM")</f>
        <v>2023-12</v>
      </c>
      <c r="P4362" s="3" t="str">
        <f>IF(Ticket_Table[[#This Row],[resolution_hrs]]&lt;=4,"Fast",IF(Ticket_Table[[#This Row],[resolution_hrs]]&lt;=24,"Normal",IF(Ticket_Table[[#This Row],[resolution_hrs]]&lt;=48,"Slow","Very Slow")))</f>
        <v>Slow</v>
      </c>
      <c r="Q4362" s="3">
        <f>YEAR(Ticket_Table[[#This Row],[raised_date]])</f>
        <v>2023</v>
      </c>
    </row>
    <row r="4363" spans="1:17">
      <c r="A4363" t="s">
        <v>4924</v>
      </c>
      <c r="B4363" t="s">
        <v>79</v>
      </c>
      <c r="C4363" t="s">
        <v>68</v>
      </c>
      <c r="D4363" t="s">
        <v>43</v>
      </c>
      <c r="E4363" t="s">
        <v>69</v>
      </c>
      <c r="F4363" t="s">
        <v>70</v>
      </c>
      <c r="G4363" t="s">
        <v>31</v>
      </c>
      <c r="H4363" s="1">
        <v>44420</v>
      </c>
      <c r="I4363" s="2">
        <v>44421.3208333333</v>
      </c>
      <c r="J4363">
        <v>31.7</v>
      </c>
      <c r="K4363" t="s">
        <v>24</v>
      </c>
      <c r="L4363">
        <v>0</v>
      </c>
      <c r="M4363">
        <v>5</v>
      </c>
      <c r="N4363" t="s">
        <v>1164</v>
      </c>
      <c r="O4363" s="3" t="str">
        <f>TEXT(Ticket_Table[[#This Row],[raised_date]],"YYYY-MM")</f>
        <v>2021-08</v>
      </c>
      <c r="P4363" s="3" t="str">
        <f>IF(Ticket_Table[[#This Row],[resolution_hrs]]&lt;=4,"Fast",IF(Ticket_Table[[#This Row],[resolution_hrs]]&lt;=24,"Normal",IF(Ticket_Table[[#This Row],[resolution_hrs]]&lt;=48,"Slow","Very Slow")))</f>
        <v>Slow</v>
      </c>
      <c r="Q4363" s="3">
        <f>YEAR(Ticket_Table[[#This Row],[raised_date]])</f>
        <v>2021</v>
      </c>
    </row>
    <row r="4364" spans="1:17">
      <c r="A4364" t="s">
        <v>4925</v>
      </c>
      <c r="B4364" t="s">
        <v>981</v>
      </c>
      <c r="C4364" t="s">
        <v>102</v>
      </c>
      <c r="D4364" t="s">
        <v>90</v>
      </c>
      <c r="E4364" t="s">
        <v>21</v>
      </c>
      <c r="F4364" t="s">
        <v>22</v>
      </c>
      <c r="G4364" t="s">
        <v>31</v>
      </c>
      <c r="H4364" s="1">
        <v>45121</v>
      </c>
      <c r="I4364" s="2">
        <v>45123.8791666667</v>
      </c>
      <c r="J4364">
        <v>69.1</v>
      </c>
      <c r="K4364" t="s">
        <v>24</v>
      </c>
      <c r="L4364">
        <v>0</v>
      </c>
      <c r="M4364">
        <v>4</v>
      </c>
      <c r="N4364" t="s">
        <v>650</v>
      </c>
      <c r="O4364" s="3" t="str">
        <f>TEXT(Ticket_Table[[#This Row],[raised_date]],"YYYY-MM")</f>
        <v>2023-07</v>
      </c>
      <c r="P4364" s="3" t="str">
        <f>IF(Ticket_Table[[#This Row],[resolution_hrs]]&lt;=4,"Fast",IF(Ticket_Table[[#This Row],[resolution_hrs]]&lt;=24,"Normal",IF(Ticket_Table[[#This Row],[resolution_hrs]]&lt;=48,"Slow","Very Slow")))</f>
        <v>Very Slow</v>
      </c>
      <c r="Q4364" s="3">
        <f>YEAR(Ticket_Table[[#This Row],[raised_date]])</f>
        <v>2023</v>
      </c>
    </row>
    <row r="4365" spans="1:17">
      <c r="A4365" t="s">
        <v>4926</v>
      </c>
      <c r="B4365" t="s">
        <v>712</v>
      </c>
      <c r="C4365" t="s">
        <v>55</v>
      </c>
      <c r="D4365" t="s">
        <v>43</v>
      </c>
      <c r="E4365" t="s">
        <v>56</v>
      </c>
      <c r="F4365" t="s">
        <v>22</v>
      </c>
      <c r="G4365" t="s">
        <v>74</v>
      </c>
      <c r="H4365" s="1">
        <v>45132</v>
      </c>
      <c r="I4365" s="2">
        <v>45132.8666666667</v>
      </c>
      <c r="J4365">
        <v>20.8</v>
      </c>
      <c r="K4365" t="s">
        <v>24</v>
      </c>
      <c r="L4365">
        <v>0</v>
      </c>
      <c r="M4365">
        <v>4</v>
      </c>
      <c r="N4365" t="s">
        <v>824</v>
      </c>
      <c r="O4365" s="3" t="str">
        <f>TEXT(Ticket_Table[[#This Row],[raised_date]],"YYYY-MM")</f>
        <v>2023-07</v>
      </c>
      <c r="P4365" s="3" t="str">
        <f>IF(Ticket_Table[[#This Row],[resolution_hrs]]&lt;=4,"Fast",IF(Ticket_Table[[#This Row],[resolution_hrs]]&lt;=24,"Normal",IF(Ticket_Table[[#This Row],[resolution_hrs]]&lt;=48,"Slow","Very Slow")))</f>
        <v>Normal</v>
      </c>
      <c r="Q4365" s="3">
        <f>YEAR(Ticket_Table[[#This Row],[raised_date]])</f>
        <v>2023</v>
      </c>
    </row>
    <row r="4366" spans="1:17">
      <c r="A4366" t="s">
        <v>4927</v>
      </c>
      <c r="B4366" t="s">
        <v>77</v>
      </c>
      <c r="C4366" t="s">
        <v>82</v>
      </c>
      <c r="D4366" t="s">
        <v>29</v>
      </c>
      <c r="E4366" t="s">
        <v>51</v>
      </c>
      <c r="F4366" t="s">
        <v>70</v>
      </c>
      <c r="G4366" t="s">
        <v>74</v>
      </c>
      <c r="H4366" s="1">
        <v>44283</v>
      </c>
      <c r="I4366" s="2">
        <v>44285.4625</v>
      </c>
      <c r="J4366">
        <v>59.1</v>
      </c>
      <c r="K4366" t="s">
        <v>32</v>
      </c>
      <c r="L4366">
        <v>0</v>
      </c>
      <c r="M4366">
        <v>5</v>
      </c>
      <c r="N4366" t="s">
        <v>382</v>
      </c>
      <c r="O4366" s="3" t="str">
        <f>TEXT(Ticket_Table[[#This Row],[raised_date]],"YYYY-MM")</f>
        <v>2021-03</v>
      </c>
      <c r="P4366" s="3" t="str">
        <f>IF(Ticket_Table[[#This Row],[resolution_hrs]]&lt;=4,"Fast",IF(Ticket_Table[[#This Row],[resolution_hrs]]&lt;=24,"Normal",IF(Ticket_Table[[#This Row],[resolution_hrs]]&lt;=48,"Slow","Very Slow")))</f>
        <v>Very Slow</v>
      </c>
      <c r="Q4366" s="3">
        <f>YEAR(Ticket_Table[[#This Row],[raised_date]])</f>
        <v>2021</v>
      </c>
    </row>
    <row r="4367" spans="1:17">
      <c r="A4367" t="s">
        <v>4928</v>
      </c>
      <c r="B4367" t="s">
        <v>383</v>
      </c>
      <c r="C4367" t="s">
        <v>213</v>
      </c>
      <c r="D4367" t="s">
        <v>36</v>
      </c>
      <c r="E4367" t="s">
        <v>51</v>
      </c>
      <c r="F4367" t="s">
        <v>70</v>
      </c>
      <c r="G4367" t="s">
        <v>23</v>
      </c>
      <c r="H4367" s="1">
        <v>44700</v>
      </c>
      <c r="I4367" s="2">
        <v>44701.9875</v>
      </c>
      <c r="J4367">
        <v>47.7</v>
      </c>
      <c r="K4367" t="s">
        <v>24</v>
      </c>
      <c r="L4367">
        <v>0</v>
      </c>
      <c r="M4367">
        <v>3</v>
      </c>
      <c r="N4367" t="s">
        <v>966</v>
      </c>
      <c r="O4367" s="3" t="str">
        <f>TEXT(Ticket_Table[[#This Row],[raised_date]],"YYYY-MM")</f>
        <v>2022-05</v>
      </c>
      <c r="P4367" s="3" t="str">
        <f>IF(Ticket_Table[[#This Row],[resolution_hrs]]&lt;=4,"Fast",IF(Ticket_Table[[#This Row],[resolution_hrs]]&lt;=24,"Normal",IF(Ticket_Table[[#This Row],[resolution_hrs]]&lt;=48,"Slow","Very Slow")))</f>
        <v>Slow</v>
      </c>
      <c r="Q4367" s="3">
        <f>YEAR(Ticket_Table[[#This Row],[raised_date]])</f>
        <v>2022</v>
      </c>
    </row>
    <row r="4368" spans="1:17">
      <c r="A4368" t="s">
        <v>4929</v>
      </c>
      <c r="B4368" t="s">
        <v>438</v>
      </c>
      <c r="C4368" t="s">
        <v>50</v>
      </c>
      <c r="D4368" t="s">
        <v>36</v>
      </c>
      <c r="E4368" t="s">
        <v>106</v>
      </c>
      <c r="F4368" t="s">
        <v>22</v>
      </c>
      <c r="G4368" t="s">
        <v>31</v>
      </c>
      <c r="H4368" s="1">
        <v>45259</v>
      </c>
      <c r="I4368" s="2">
        <v>45259.8041666667</v>
      </c>
      <c r="J4368">
        <v>19.3</v>
      </c>
      <c r="K4368" t="s">
        <v>24</v>
      </c>
      <c r="L4368">
        <v>1</v>
      </c>
      <c r="M4368">
        <v>5</v>
      </c>
      <c r="N4368" t="s">
        <v>474</v>
      </c>
      <c r="O4368" s="3" t="str">
        <f>TEXT(Ticket_Table[[#This Row],[raised_date]],"YYYY-MM")</f>
        <v>2023-11</v>
      </c>
      <c r="P4368" s="3" t="str">
        <f>IF(Ticket_Table[[#This Row],[resolution_hrs]]&lt;=4,"Fast",IF(Ticket_Table[[#This Row],[resolution_hrs]]&lt;=24,"Normal",IF(Ticket_Table[[#This Row],[resolution_hrs]]&lt;=48,"Slow","Very Slow")))</f>
        <v>Normal</v>
      </c>
      <c r="Q4368" s="3">
        <f>YEAR(Ticket_Table[[#This Row],[raised_date]])</f>
        <v>2023</v>
      </c>
    </row>
    <row r="4369" spans="1:17">
      <c r="A4369" t="s">
        <v>4930</v>
      </c>
      <c r="B4369" t="s">
        <v>794</v>
      </c>
      <c r="C4369" t="s">
        <v>64</v>
      </c>
      <c r="D4369" t="s">
        <v>43</v>
      </c>
      <c r="E4369" t="s">
        <v>51</v>
      </c>
      <c r="F4369" t="s">
        <v>38</v>
      </c>
      <c r="G4369" t="s">
        <v>23</v>
      </c>
      <c r="H4369" s="1">
        <v>45007</v>
      </c>
      <c r="I4369" s="2">
        <v>45008.125</v>
      </c>
      <c r="J4369">
        <v>27</v>
      </c>
      <c r="K4369" t="s">
        <v>32</v>
      </c>
      <c r="L4369">
        <v>1</v>
      </c>
      <c r="M4369">
        <v>3</v>
      </c>
      <c r="N4369" t="s">
        <v>59</v>
      </c>
      <c r="O4369" s="3" t="str">
        <f>TEXT(Ticket_Table[[#This Row],[raised_date]],"YYYY-MM")</f>
        <v>2023-03</v>
      </c>
      <c r="P4369" s="3" t="str">
        <f>IF(Ticket_Table[[#This Row],[resolution_hrs]]&lt;=4,"Fast",IF(Ticket_Table[[#This Row],[resolution_hrs]]&lt;=24,"Normal",IF(Ticket_Table[[#This Row],[resolution_hrs]]&lt;=48,"Slow","Very Slow")))</f>
        <v>Slow</v>
      </c>
      <c r="Q4369" s="3">
        <f>YEAR(Ticket_Table[[#This Row],[raised_date]])</f>
        <v>2023</v>
      </c>
    </row>
    <row r="4370" spans="1:17">
      <c r="A4370" t="s">
        <v>4931</v>
      </c>
      <c r="B4370" t="s">
        <v>387</v>
      </c>
      <c r="C4370" t="s">
        <v>175</v>
      </c>
      <c r="D4370" t="s">
        <v>90</v>
      </c>
      <c r="E4370" t="s">
        <v>69</v>
      </c>
      <c r="F4370" t="s">
        <v>38</v>
      </c>
      <c r="G4370" t="s">
        <v>46</v>
      </c>
      <c r="H4370" s="1">
        <v>44277</v>
      </c>
      <c r="I4370" s="2">
        <v>44277.8375</v>
      </c>
      <c r="J4370">
        <v>20.1</v>
      </c>
      <c r="K4370" t="s">
        <v>24</v>
      </c>
      <c r="L4370">
        <v>0</v>
      </c>
      <c r="M4370">
        <v>1</v>
      </c>
      <c r="N4370" t="s">
        <v>646</v>
      </c>
      <c r="O4370" s="3" t="str">
        <f>TEXT(Ticket_Table[[#This Row],[raised_date]],"YYYY-MM")</f>
        <v>2021-03</v>
      </c>
      <c r="P4370" s="3" t="str">
        <f>IF(Ticket_Table[[#This Row],[resolution_hrs]]&lt;=4,"Fast",IF(Ticket_Table[[#This Row],[resolution_hrs]]&lt;=24,"Normal",IF(Ticket_Table[[#This Row],[resolution_hrs]]&lt;=48,"Slow","Very Slow")))</f>
        <v>Normal</v>
      </c>
      <c r="Q4370" s="3">
        <f>YEAR(Ticket_Table[[#This Row],[raised_date]])</f>
        <v>2021</v>
      </c>
    </row>
    <row r="4371" spans="1:17">
      <c r="A4371" t="s">
        <v>4932</v>
      </c>
      <c r="B4371" t="s">
        <v>685</v>
      </c>
      <c r="C4371" t="s">
        <v>82</v>
      </c>
      <c r="D4371" t="s">
        <v>20</v>
      </c>
      <c r="E4371" t="s">
        <v>106</v>
      </c>
      <c r="F4371" t="s">
        <v>38</v>
      </c>
      <c r="G4371" t="s">
        <v>31</v>
      </c>
      <c r="H4371" s="1">
        <v>44990</v>
      </c>
      <c r="I4371" s="2">
        <v>44990.7375</v>
      </c>
      <c r="J4371">
        <v>17.7</v>
      </c>
      <c r="K4371" t="s">
        <v>24</v>
      </c>
      <c r="L4371">
        <v>1</v>
      </c>
      <c r="M4371">
        <v>4</v>
      </c>
      <c r="N4371" t="s">
        <v>603</v>
      </c>
      <c r="O4371" s="3" t="str">
        <f>TEXT(Ticket_Table[[#This Row],[raised_date]],"YYYY-MM")</f>
        <v>2023-03</v>
      </c>
      <c r="P4371" s="3" t="str">
        <f>IF(Ticket_Table[[#This Row],[resolution_hrs]]&lt;=4,"Fast",IF(Ticket_Table[[#This Row],[resolution_hrs]]&lt;=24,"Normal",IF(Ticket_Table[[#This Row],[resolution_hrs]]&lt;=48,"Slow","Very Slow")))</f>
        <v>Normal</v>
      </c>
      <c r="Q4371" s="3">
        <f>YEAR(Ticket_Table[[#This Row],[raised_date]])</f>
        <v>2023</v>
      </c>
    </row>
    <row r="4372" spans="1:17">
      <c r="A4372" t="s">
        <v>4933</v>
      </c>
      <c r="B4372" t="s">
        <v>1025</v>
      </c>
      <c r="C4372" t="s">
        <v>60</v>
      </c>
      <c r="D4372" t="s">
        <v>43</v>
      </c>
      <c r="E4372" t="s">
        <v>37</v>
      </c>
      <c r="F4372" t="s">
        <v>70</v>
      </c>
      <c r="G4372" t="s">
        <v>23</v>
      </c>
      <c r="H4372" s="1">
        <v>45254</v>
      </c>
      <c r="I4372" s="2">
        <v>45254.9</v>
      </c>
      <c r="J4372">
        <v>21.6</v>
      </c>
      <c r="K4372" t="s">
        <v>24</v>
      </c>
      <c r="L4372">
        <v>0</v>
      </c>
      <c r="M4372">
        <v>3</v>
      </c>
      <c r="N4372" t="s">
        <v>579</v>
      </c>
      <c r="O4372" s="3" t="str">
        <f>TEXT(Ticket_Table[[#This Row],[raised_date]],"YYYY-MM")</f>
        <v>2023-11</v>
      </c>
      <c r="P4372" s="3" t="str">
        <f>IF(Ticket_Table[[#This Row],[resolution_hrs]]&lt;=4,"Fast",IF(Ticket_Table[[#This Row],[resolution_hrs]]&lt;=24,"Normal",IF(Ticket_Table[[#This Row],[resolution_hrs]]&lt;=48,"Slow","Very Slow")))</f>
        <v>Normal</v>
      </c>
      <c r="Q4372" s="3">
        <f>YEAR(Ticket_Table[[#This Row],[raised_date]])</f>
        <v>2023</v>
      </c>
    </row>
    <row r="4373" spans="1:17">
      <c r="A4373" t="s">
        <v>4934</v>
      </c>
      <c r="B4373" t="s">
        <v>380</v>
      </c>
      <c r="C4373" t="s">
        <v>82</v>
      </c>
      <c r="D4373" t="s">
        <v>43</v>
      </c>
      <c r="E4373" t="s">
        <v>69</v>
      </c>
      <c r="F4373" t="s">
        <v>22</v>
      </c>
      <c r="G4373" t="s">
        <v>23</v>
      </c>
      <c r="H4373" s="1">
        <v>44297</v>
      </c>
      <c r="I4373" s="2">
        <v>44300.0166666667</v>
      </c>
      <c r="J4373">
        <v>72.4</v>
      </c>
      <c r="K4373" t="s">
        <v>32</v>
      </c>
      <c r="L4373">
        <v>0</v>
      </c>
      <c r="M4373">
        <v>4</v>
      </c>
      <c r="N4373" t="s">
        <v>394</v>
      </c>
      <c r="O4373" s="3" t="str">
        <f>TEXT(Ticket_Table[[#This Row],[raised_date]],"YYYY-MM")</f>
        <v>2021-04</v>
      </c>
      <c r="P43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373" s="3">
        <f>YEAR(Ticket_Table[[#This Row],[raised_date]])</f>
        <v>2021</v>
      </c>
    </row>
    <row r="4374" spans="1:17">
      <c r="A4374" t="s">
        <v>4935</v>
      </c>
      <c r="B4374" t="s">
        <v>33</v>
      </c>
      <c r="C4374" t="s">
        <v>213</v>
      </c>
      <c r="D4374" t="s">
        <v>20</v>
      </c>
      <c r="E4374" t="s">
        <v>106</v>
      </c>
      <c r="F4374" t="s">
        <v>38</v>
      </c>
      <c r="G4374" t="s">
        <v>46</v>
      </c>
      <c r="H4374" s="1">
        <v>44585</v>
      </c>
      <c r="I4374" s="2">
        <v>44586.4416666667</v>
      </c>
      <c r="J4374">
        <v>34.6</v>
      </c>
      <c r="K4374" t="s">
        <v>32</v>
      </c>
      <c r="L4374">
        <v>0</v>
      </c>
      <c r="M4374">
        <v>4</v>
      </c>
      <c r="N4374" t="s">
        <v>216</v>
      </c>
      <c r="O4374" s="3" t="str">
        <f>TEXT(Ticket_Table[[#This Row],[raised_date]],"YYYY-MM")</f>
        <v>2022-01</v>
      </c>
      <c r="P4374" s="3" t="str">
        <f>IF(Ticket_Table[[#This Row],[resolution_hrs]]&lt;=4,"Fast",IF(Ticket_Table[[#This Row],[resolution_hrs]]&lt;=24,"Normal",IF(Ticket_Table[[#This Row],[resolution_hrs]]&lt;=48,"Slow","Very Slow")))</f>
        <v>Slow</v>
      </c>
      <c r="Q4374" s="3">
        <f>YEAR(Ticket_Table[[#This Row],[raised_date]])</f>
        <v>2022</v>
      </c>
    </row>
    <row r="4375" spans="1:17">
      <c r="A4375" t="s">
        <v>4936</v>
      </c>
      <c r="B4375" t="s">
        <v>767</v>
      </c>
      <c r="C4375" t="s">
        <v>261</v>
      </c>
      <c r="D4375" t="s">
        <v>43</v>
      </c>
      <c r="E4375" t="s">
        <v>69</v>
      </c>
      <c r="F4375" t="s">
        <v>22</v>
      </c>
      <c r="G4375" t="s">
        <v>46</v>
      </c>
      <c r="H4375" s="1">
        <v>44793</v>
      </c>
      <c r="I4375" s="2">
        <v>44795.2375</v>
      </c>
      <c r="J4375">
        <v>53.7</v>
      </c>
      <c r="K4375" t="s">
        <v>24</v>
      </c>
      <c r="L4375">
        <v>1</v>
      </c>
      <c r="M4375">
        <v>3</v>
      </c>
      <c r="N4375" t="s">
        <v>849</v>
      </c>
      <c r="O4375" s="3" t="str">
        <f>TEXT(Ticket_Table[[#This Row],[raised_date]],"YYYY-MM")</f>
        <v>2022-08</v>
      </c>
      <c r="P4375" s="3" t="str">
        <f>IF(Ticket_Table[[#This Row],[resolution_hrs]]&lt;=4,"Fast",IF(Ticket_Table[[#This Row],[resolution_hrs]]&lt;=24,"Normal",IF(Ticket_Table[[#This Row],[resolution_hrs]]&lt;=48,"Slow","Very Slow")))</f>
        <v>Very Slow</v>
      </c>
      <c r="Q4375" s="3">
        <f>YEAR(Ticket_Table[[#This Row],[raised_date]])</f>
        <v>2022</v>
      </c>
    </row>
    <row r="4376" spans="1:17">
      <c r="A4376" t="s">
        <v>4937</v>
      </c>
      <c r="B4376" t="s">
        <v>1058</v>
      </c>
      <c r="C4376" t="s">
        <v>133</v>
      </c>
      <c r="D4376" t="s">
        <v>29</v>
      </c>
      <c r="E4376" t="s">
        <v>51</v>
      </c>
      <c r="F4376" t="s">
        <v>70</v>
      </c>
      <c r="G4376" t="s">
        <v>23</v>
      </c>
      <c r="H4376" s="1">
        <v>45097</v>
      </c>
      <c r="I4376" s="2">
        <v>45099.0166666667</v>
      </c>
      <c r="J4376">
        <v>48.4</v>
      </c>
      <c r="K4376" t="s">
        <v>32</v>
      </c>
      <c r="L4376">
        <v>0</v>
      </c>
      <c r="M4376">
        <v>2</v>
      </c>
      <c r="N4376" t="s">
        <v>1025</v>
      </c>
      <c r="O4376" s="3" t="str">
        <f>TEXT(Ticket_Table[[#This Row],[raised_date]],"YYYY-MM")</f>
        <v>2023-06</v>
      </c>
      <c r="P4376" s="3" t="str">
        <f>IF(Ticket_Table[[#This Row],[resolution_hrs]]&lt;=4,"Fast",IF(Ticket_Table[[#This Row],[resolution_hrs]]&lt;=24,"Normal",IF(Ticket_Table[[#This Row],[resolution_hrs]]&lt;=48,"Slow","Very Slow")))</f>
        <v>Very Slow</v>
      </c>
      <c r="Q4376" s="3">
        <f>YEAR(Ticket_Table[[#This Row],[raised_date]])</f>
        <v>2023</v>
      </c>
    </row>
    <row r="4377" spans="1:17">
      <c r="A4377" t="s">
        <v>4938</v>
      </c>
      <c r="B4377" t="s">
        <v>132</v>
      </c>
      <c r="C4377" t="s">
        <v>95</v>
      </c>
      <c r="D4377" t="s">
        <v>20</v>
      </c>
      <c r="E4377" t="s">
        <v>37</v>
      </c>
      <c r="F4377" t="s">
        <v>22</v>
      </c>
      <c r="G4377" t="s">
        <v>46</v>
      </c>
      <c r="H4377" s="1">
        <v>45012</v>
      </c>
      <c r="I4377" s="2">
        <v>45013.7875</v>
      </c>
      <c r="J4377">
        <v>42.9</v>
      </c>
      <c r="K4377" t="s">
        <v>24</v>
      </c>
      <c r="L4377">
        <v>2</v>
      </c>
      <c r="M4377">
        <v>4</v>
      </c>
      <c r="N4377" t="s">
        <v>722</v>
      </c>
      <c r="O4377" s="3" t="str">
        <f>TEXT(Ticket_Table[[#This Row],[raised_date]],"YYYY-MM")</f>
        <v>2023-03</v>
      </c>
      <c r="P4377" s="3" t="str">
        <f>IF(Ticket_Table[[#This Row],[resolution_hrs]]&lt;=4,"Fast",IF(Ticket_Table[[#This Row],[resolution_hrs]]&lt;=24,"Normal",IF(Ticket_Table[[#This Row],[resolution_hrs]]&lt;=48,"Slow","Very Slow")))</f>
        <v>Slow</v>
      </c>
      <c r="Q4377" s="3">
        <f>YEAR(Ticket_Table[[#This Row],[raised_date]])</f>
        <v>2023</v>
      </c>
    </row>
    <row r="4378" spans="1:17">
      <c r="A4378" t="s">
        <v>4939</v>
      </c>
      <c r="B4378" t="s">
        <v>790</v>
      </c>
      <c r="C4378" t="s">
        <v>42</v>
      </c>
      <c r="D4378" t="s">
        <v>29</v>
      </c>
      <c r="E4378" t="s">
        <v>69</v>
      </c>
      <c r="F4378" t="s">
        <v>38</v>
      </c>
      <c r="G4378" t="s">
        <v>91</v>
      </c>
      <c r="H4378" s="1">
        <v>44820</v>
      </c>
      <c r="I4378" s="2">
        <v>44821.0583333333</v>
      </c>
      <c r="J4378">
        <v>25.4</v>
      </c>
      <c r="K4378" t="s">
        <v>32</v>
      </c>
      <c r="L4378">
        <v>0</v>
      </c>
      <c r="M4378">
        <v>5</v>
      </c>
      <c r="N4378" t="s">
        <v>597</v>
      </c>
      <c r="O4378" s="3" t="str">
        <f>TEXT(Ticket_Table[[#This Row],[raised_date]],"YYYY-MM")</f>
        <v>2022-09</v>
      </c>
      <c r="P4378" s="3" t="str">
        <f>IF(Ticket_Table[[#This Row],[resolution_hrs]]&lt;=4,"Fast",IF(Ticket_Table[[#This Row],[resolution_hrs]]&lt;=24,"Normal",IF(Ticket_Table[[#This Row],[resolution_hrs]]&lt;=48,"Slow","Very Slow")))</f>
        <v>Slow</v>
      </c>
      <c r="Q4378" s="3">
        <f>YEAR(Ticket_Table[[#This Row],[raised_date]])</f>
        <v>2022</v>
      </c>
    </row>
    <row r="4379" spans="1:17">
      <c r="A4379" t="s">
        <v>4940</v>
      </c>
      <c r="B4379" t="s">
        <v>886</v>
      </c>
      <c r="C4379" t="s">
        <v>42</v>
      </c>
      <c r="D4379" t="s">
        <v>36</v>
      </c>
      <c r="E4379" t="s">
        <v>37</v>
      </c>
      <c r="F4379" t="s">
        <v>22</v>
      </c>
      <c r="G4379" t="s">
        <v>74</v>
      </c>
      <c r="H4379" s="1">
        <v>44782</v>
      </c>
      <c r="I4379" s="2">
        <v>44782.5208333333</v>
      </c>
      <c r="J4379">
        <v>12.5</v>
      </c>
      <c r="K4379" t="s">
        <v>24</v>
      </c>
      <c r="L4379">
        <v>1</v>
      </c>
      <c r="M4379">
        <v>5</v>
      </c>
      <c r="N4379" t="s">
        <v>391</v>
      </c>
      <c r="O4379" s="3" t="str">
        <f>TEXT(Ticket_Table[[#This Row],[raised_date]],"YYYY-MM")</f>
        <v>2022-08</v>
      </c>
      <c r="P4379" s="3" t="str">
        <f>IF(Ticket_Table[[#This Row],[resolution_hrs]]&lt;=4,"Fast",IF(Ticket_Table[[#This Row],[resolution_hrs]]&lt;=24,"Normal",IF(Ticket_Table[[#This Row],[resolution_hrs]]&lt;=48,"Slow","Very Slow")))</f>
        <v>Normal</v>
      </c>
      <c r="Q4379" s="3">
        <f>YEAR(Ticket_Table[[#This Row],[raised_date]])</f>
        <v>2022</v>
      </c>
    </row>
    <row r="4380" spans="1:17">
      <c r="A4380" t="s">
        <v>4941</v>
      </c>
      <c r="B4380" t="s">
        <v>509</v>
      </c>
      <c r="C4380" t="s">
        <v>42</v>
      </c>
      <c r="D4380" t="s">
        <v>20</v>
      </c>
      <c r="E4380" t="s">
        <v>44</v>
      </c>
      <c r="F4380" t="s">
        <v>45</v>
      </c>
      <c r="G4380" t="s">
        <v>23</v>
      </c>
      <c r="H4380" s="1">
        <v>45141</v>
      </c>
      <c r="I4380" s="2">
        <v>45141.1291666667</v>
      </c>
      <c r="J4380">
        <v>3.1</v>
      </c>
      <c r="K4380" t="s">
        <v>24</v>
      </c>
      <c r="L4380">
        <v>1</v>
      </c>
      <c r="M4380">
        <v>2</v>
      </c>
      <c r="N4380" t="s">
        <v>447</v>
      </c>
      <c r="O4380" s="3" t="str">
        <f>TEXT(Ticket_Table[[#This Row],[raised_date]],"YYYY-MM")</f>
        <v>2023-08</v>
      </c>
      <c r="P4380" s="3" t="str">
        <f>IF(Ticket_Table[[#This Row],[resolution_hrs]]&lt;=4,"Fast",IF(Ticket_Table[[#This Row],[resolution_hrs]]&lt;=24,"Normal",IF(Ticket_Table[[#This Row],[resolution_hrs]]&lt;=48,"Slow","Very Slow")))</f>
        <v>Fast</v>
      </c>
      <c r="Q4380" s="3">
        <f>YEAR(Ticket_Table[[#This Row],[raised_date]])</f>
        <v>2023</v>
      </c>
    </row>
    <row r="4381" spans="1:17">
      <c r="A4381" t="s">
        <v>4942</v>
      </c>
      <c r="B4381" t="s">
        <v>2204</v>
      </c>
      <c r="C4381" t="s">
        <v>133</v>
      </c>
      <c r="D4381" t="s">
        <v>20</v>
      </c>
      <c r="E4381" t="s">
        <v>69</v>
      </c>
      <c r="F4381" t="s">
        <v>38</v>
      </c>
      <c r="G4381" t="s">
        <v>23</v>
      </c>
      <c r="H4381" s="1">
        <v>44537</v>
      </c>
      <c r="I4381" s="2">
        <v>44537.6625</v>
      </c>
      <c r="J4381">
        <v>15.9</v>
      </c>
      <c r="K4381" t="s">
        <v>24</v>
      </c>
      <c r="L4381">
        <v>1</v>
      </c>
      <c r="M4381">
        <v>5</v>
      </c>
      <c r="N4381" t="s">
        <v>929</v>
      </c>
      <c r="O4381" s="3" t="str">
        <f>TEXT(Ticket_Table[[#This Row],[raised_date]],"YYYY-MM")</f>
        <v>2021-12</v>
      </c>
      <c r="P4381" s="3" t="str">
        <f>IF(Ticket_Table[[#This Row],[resolution_hrs]]&lt;=4,"Fast",IF(Ticket_Table[[#This Row],[resolution_hrs]]&lt;=24,"Normal",IF(Ticket_Table[[#This Row],[resolution_hrs]]&lt;=48,"Slow","Very Slow")))</f>
        <v>Normal</v>
      </c>
      <c r="Q4381" s="3">
        <f>YEAR(Ticket_Table[[#This Row],[raised_date]])</f>
        <v>2021</v>
      </c>
    </row>
    <row r="4382" spans="1:17">
      <c r="A4382" t="s">
        <v>4943</v>
      </c>
      <c r="B4382" t="s">
        <v>510</v>
      </c>
      <c r="C4382" t="s">
        <v>42</v>
      </c>
      <c r="D4382" t="s">
        <v>90</v>
      </c>
      <c r="E4382" t="s">
        <v>83</v>
      </c>
      <c r="F4382" t="s">
        <v>70</v>
      </c>
      <c r="G4382" t="s">
        <v>23</v>
      </c>
      <c r="H4382" s="1">
        <v>45062</v>
      </c>
      <c r="I4382" s="2">
        <v>45062.125</v>
      </c>
      <c r="J4382">
        <v>3</v>
      </c>
      <c r="K4382" t="s">
        <v>24</v>
      </c>
      <c r="L4382">
        <v>0</v>
      </c>
      <c r="M4382">
        <v>3</v>
      </c>
      <c r="N4382" t="s">
        <v>470</v>
      </c>
      <c r="O4382" s="3" t="str">
        <f>TEXT(Ticket_Table[[#This Row],[raised_date]],"YYYY-MM")</f>
        <v>2023-05</v>
      </c>
      <c r="P4382" s="3" t="str">
        <f>IF(Ticket_Table[[#This Row],[resolution_hrs]]&lt;=4,"Fast",IF(Ticket_Table[[#This Row],[resolution_hrs]]&lt;=24,"Normal",IF(Ticket_Table[[#This Row],[resolution_hrs]]&lt;=48,"Slow","Very Slow")))</f>
        <v>Fast</v>
      </c>
      <c r="Q4382" s="3">
        <f>YEAR(Ticket_Table[[#This Row],[raised_date]])</f>
        <v>2023</v>
      </c>
    </row>
    <row r="4383" spans="1:17">
      <c r="A4383" t="s">
        <v>4944</v>
      </c>
      <c r="B4383" t="s">
        <v>720</v>
      </c>
      <c r="C4383" t="s">
        <v>42</v>
      </c>
      <c r="D4383" t="s">
        <v>90</v>
      </c>
      <c r="E4383" t="s">
        <v>21</v>
      </c>
      <c r="F4383" t="s">
        <v>38</v>
      </c>
      <c r="G4383" t="s">
        <v>31</v>
      </c>
      <c r="H4383" s="1">
        <v>44799</v>
      </c>
      <c r="I4383" s="2">
        <v>44799.7083333333</v>
      </c>
      <c r="J4383">
        <v>17</v>
      </c>
      <c r="K4383" t="s">
        <v>24</v>
      </c>
      <c r="L4383">
        <v>0</v>
      </c>
      <c r="M4383">
        <v>3</v>
      </c>
      <c r="N4383" t="s">
        <v>1154</v>
      </c>
      <c r="O4383" s="3" t="str">
        <f>TEXT(Ticket_Table[[#This Row],[raised_date]],"YYYY-MM")</f>
        <v>2022-08</v>
      </c>
      <c r="P4383" s="3" t="str">
        <f>IF(Ticket_Table[[#This Row],[resolution_hrs]]&lt;=4,"Fast",IF(Ticket_Table[[#This Row],[resolution_hrs]]&lt;=24,"Normal",IF(Ticket_Table[[#This Row],[resolution_hrs]]&lt;=48,"Slow","Very Slow")))</f>
        <v>Normal</v>
      </c>
      <c r="Q4383" s="3">
        <f>YEAR(Ticket_Table[[#This Row],[raised_date]])</f>
        <v>2022</v>
      </c>
    </row>
    <row r="4384" spans="1:17">
      <c r="A4384" t="s">
        <v>4945</v>
      </c>
      <c r="B4384" t="s">
        <v>398</v>
      </c>
      <c r="C4384" t="s">
        <v>261</v>
      </c>
      <c r="D4384" t="s">
        <v>20</v>
      </c>
      <c r="E4384" t="s">
        <v>51</v>
      </c>
      <c r="F4384" t="s">
        <v>70</v>
      </c>
      <c r="G4384" t="s">
        <v>31</v>
      </c>
      <c r="H4384" s="1">
        <v>44308</v>
      </c>
      <c r="I4384" s="2">
        <v>44309.7125</v>
      </c>
      <c r="J4384">
        <v>41.1</v>
      </c>
      <c r="K4384" t="s">
        <v>24</v>
      </c>
      <c r="L4384">
        <v>0</v>
      </c>
      <c r="M4384">
        <v>2</v>
      </c>
      <c r="N4384" t="s">
        <v>81</v>
      </c>
      <c r="O4384" s="3" t="str">
        <f>TEXT(Ticket_Table[[#This Row],[raised_date]],"YYYY-MM")</f>
        <v>2021-04</v>
      </c>
      <c r="P4384" s="3" t="str">
        <f>IF(Ticket_Table[[#This Row],[resolution_hrs]]&lt;=4,"Fast",IF(Ticket_Table[[#This Row],[resolution_hrs]]&lt;=24,"Normal",IF(Ticket_Table[[#This Row],[resolution_hrs]]&lt;=48,"Slow","Very Slow")))</f>
        <v>Slow</v>
      </c>
      <c r="Q4384" s="3">
        <f>YEAR(Ticket_Table[[#This Row],[raised_date]])</f>
        <v>2021</v>
      </c>
    </row>
    <row r="4385" spans="1:17">
      <c r="A4385" t="s">
        <v>4946</v>
      </c>
      <c r="B4385" t="s">
        <v>320</v>
      </c>
      <c r="C4385" t="s">
        <v>102</v>
      </c>
      <c r="D4385" t="s">
        <v>36</v>
      </c>
      <c r="E4385" t="s">
        <v>56</v>
      </c>
      <c r="F4385" t="s">
        <v>38</v>
      </c>
      <c r="G4385" t="s">
        <v>91</v>
      </c>
      <c r="H4385" s="1">
        <v>45255</v>
      </c>
      <c r="I4385" s="2">
        <v>45255.0583333333</v>
      </c>
      <c r="J4385">
        <v>1.4</v>
      </c>
      <c r="K4385" t="s">
        <v>24</v>
      </c>
      <c r="L4385">
        <v>0</v>
      </c>
      <c r="M4385">
        <v>3</v>
      </c>
      <c r="N4385" t="s">
        <v>595</v>
      </c>
      <c r="O4385" s="3" t="str">
        <f>TEXT(Ticket_Table[[#This Row],[raised_date]],"YYYY-MM")</f>
        <v>2023-11</v>
      </c>
      <c r="P4385" s="3" t="str">
        <f>IF(Ticket_Table[[#This Row],[resolution_hrs]]&lt;=4,"Fast",IF(Ticket_Table[[#This Row],[resolution_hrs]]&lt;=24,"Normal",IF(Ticket_Table[[#This Row],[resolution_hrs]]&lt;=48,"Slow","Very Slow")))</f>
        <v>Fast</v>
      </c>
      <c r="Q4385" s="3">
        <f>YEAR(Ticket_Table[[#This Row],[raised_date]])</f>
        <v>2023</v>
      </c>
    </row>
    <row r="4386" spans="1:17">
      <c r="A4386" t="s">
        <v>4947</v>
      </c>
      <c r="B4386" t="s">
        <v>233</v>
      </c>
      <c r="C4386" t="s">
        <v>201</v>
      </c>
      <c r="D4386" t="s">
        <v>43</v>
      </c>
      <c r="E4386" t="s">
        <v>37</v>
      </c>
      <c r="F4386" t="s">
        <v>70</v>
      </c>
      <c r="G4386" t="s">
        <v>46</v>
      </c>
      <c r="H4386" s="1">
        <v>44488</v>
      </c>
      <c r="I4386" s="2">
        <v>44488.9375</v>
      </c>
      <c r="J4386">
        <v>22.5</v>
      </c>
      <c r="K4386" t="s">
        <v>24</v>
      </c>
      <c r="L4386">
        <v>1</v>
      </c>
      <c r="M4386">
        <v>4</v>
      </c>
      <c r="N4386" t="s">
        <v>581</v>
      </c>
      <c r="O4386" s="3" t="str">
        <f>TEXT(Ticket_Table[[#This Row],[raised_date]],"YYYY-MM")</f>
        <v>2021-10</v>
      </c>
      <c r="P4386" s="3" t="str">
        <f>IF(Ticket_Table[[#This Row],[resolution_hrs]]&lt;=4,"Fast",IF(Ticket_Table[[#This Row],[resolution_hrs]]&lt;=24,"Normal",IF(Ticket_Table[[#This Row],[resolution_hrs]]&lt;=48,"Slow","Very Slow")))</f>
        <v>Normal</v>
      </c>
      <c r="Q4386" s="3">
        <f>YEAR(Ticket_Table[[#This Row],[raised_date]])</f>
        <v>2021</v>
      </c>
    </row>
    <row r="4387" spans="1:17">
      <c r="A4387" t="s">
        <v>4948</v>
      </c>
      <c r="B4387" t="s">
        <v>605</v>
      </c>
      <c r="C4387" t="s">
        <v>28</v>
      </c>
      <c r="D4387" t="s">
        <v>90</v>
      </c>
      <c r="E4387" t="s">
        <v>51</v>
      </c>
      <c r="F4387" t="s">
        <v>38</v>
      </c>
      <c r="G4387" t="s">
        <v>74</v>
      </c>
      <c r="H4387" s="1">
        <v>45146</v>
      </c>
      <c r="I4387" s="2">
        <v>45146.9833333333</v>
      </c>
      <c r="J4387">
        <v>23.6</v>
      </c>
      <c r="K4387" t="s">
        <v>24</v>
      </c>
      <c r="L4387">
        <v>0</v>
      </c>
      <c r="M4387">
        <v>4</v>
      </c>
      <c r="N4387" t="s">
        <v>675</v>
      </c>
      <c r="O4387" s="3" t="str">
        <f>TEXT(Ticket_Table[[#This Row],[raised_date]],"YYYY-MM")</f>
        <v>2023-08</v>
      </c>
      <c r="P4387" s="3" t="str">
        <f>IF(Ticket_Table[[#This Row],[resolution_hrs]]&lt;=4,"Fast",IF(Ticket_Table[[#This Row],[resolution_hrs]]&lt;=24,"Normal",IF(Ticket_Table[[#This Row],[resolution_hrs]]&lt;=48,"Slow","Very Slow")))</f>
        <v>Normal</v>
      </c>
      <c r="Q4387" s="3">
        <f>YEAR(Ticket_Table[[#This Row],[raised_date]])</f>
        <v>2023</v>
      </c>
    </row>
    <row r="4388" spans="1:17">
      <c r="A4388" t="s">
        <v>4949</v>
      </c>
      <c r="B4388" t="s">
        <v>320</v>
      </c>
      <c r="C4388" t="s">
        <v>201</v>
      </c>
      <c r="D4388" t="s">
        <v>36</v>
      </c>
      <c r="E4388" t="s">
        <v>166</v>
      </c>
      <c r="F4388" t="s">
        <v>70</v>
      </c>
      <c r="G4388" t="s">
        <v>46</v>
      </c>
      <c r="H4388" s="1">
        <v>45122</v>
      </c>
      <c r="I4388" s="2">
        <v>45124.6833333333</v>
      </c>
      <c r="J4388">
        <v>64.4</v>
      </c>
      <c r="K4388" t="s">
        <v>32</v>
      </c>
      <c r="L4388">
        <v>0</v>
      </c>
      <c r="M4388">
        <v>5</v>
      </c>
      <c r="N4388" t="s">
        <v>600</v>
      </c>
      <c r="O4388" s="3" t="str">
        <f>TEXT(Ticket_Table[[#This Row],[raised_date]],"YYYY-MM")</f>
        <v>2023-07</v>
      </c>
      <c r="P4388" s="3" t="str">
        <f>IF(Ticket_Table[[#This Row],[resolution_hrs]]&lt;=4,"Fast",IF(Ticket_Table[[#This Row],[resolution_hrs]]&lt;=24,"Normal",IF(Ticket_Table[[#This Row],[resolution_hrs]]&lt;=48,"Slow","Very Slow")))</f>
        <v>Very Slow</v>
      </c>
      <c r="Q4388" s="3">
        <f>YEAR(Ticket_Table[[#This Row],[raised_date]])</f>
        <v>2023</v>
      </c>
    </row>
    <row r="4389" spans="1:17">
      <c r="A4389" t="s">
        <v>4950</v>
      </c>
      <c r="B4389" t="s">
        <v>312</v>
      </c>
      <c r="C4389" t="s">
        <v>133</v>
      </c>
      <c r="D4389" t="s">
        <v>36</v>
      </c>
      <c r="E4389" t="s">
        <v>83</v>
      </c>
      <c r="F4389" t="s">
        <v>45</v>
      </c>
      <c r="G4389" t="s">
        <v>23</v>
      </c>
      <c r="H4389" s="1">
        <v>44382</v>
      </c>
      <c r="I4389" s="2">
        <v>44382.1708333333</v>
      </c>
      <c r="J4389">
        <v>4.1</v>
      </c>
      <c r="K4389" t="s">
        <v>32</v>
      </c>
      <c r="L4389">
        <v>0</v>
      </c>
      <c r="M4389">
        <v>4</v>
      </c>
      <c r="N4389" t="s">
        <v>650</v>
      </c>
      <c r="O4389" s="3" t="str">
        <f>TEXT(Ticket_Table[[#This Row],[raised_date]],"YYYY-MM")</f>
        <v>2021-07</v>
      </c>
      <c r="P4389" s="3" t="str">
        <f>IF(Ticket_Table[[#This Row],[resolution_hrs]]&lt;=4,"Fast",IF(Ticket_Table[[#This Row],[resolution_hrs]]&lt;=24,"Normal",IF(Ticket_Table[[#This Row],[resolution_hrs]]&lt;=48,"Slow","Very Slow")))</f>
        <v>Normal</v>
      </c>
      <c r="Q4389" s="3">
        <f>YEAR(Ticket_Table[[#This Row],[raised_date]])</f>
        <v>2021</v>
      </c>
    </row>
    <row r="4390" spans="1:17">
      <c r="A4390" t="s">
        <v>4951</v>
      </c>
      <c r="B4390" t="s">
        <v>1474</v>
      </c>
      <c r="C4390" t="s">
        <v>213</v>
      </c>
      <c r="D4390" t="s">
        <v>90</v>
      </c>
      <c r="E4390" t="s">
        <v>51</v>
      </c>
      <c r="F4390" t="s">
        <v>70</v>
      </c>
      <c r="G4390" t="s">
        <v>23</v>
      </c>
      <c r="H4390" s="1">
        <v>45222</v>
      </c>
      <c r="I4390" s="2">
        <v>45222.1666666667</v>
      </c>
      <c r="J4390">
        <v>4</v>
      </c>
      <c r="K4390" t="s">
        <v>24</v>
      </c>
      <c r="L4390">
        <v>0</v>
      </c>
      <c r="M4390">
        <v>3</v>
      </c>
      <c r="N4390" t="s">
        <v>564</v>
      </c>
      <c r="O4390" s="3" t="str">
        <f>TEXT(Ticket_Table[[#This Row],[raised_date]],"YYYY-MM")</f>
        <v>2023-10</v>
      </c>
      <c r="P4390" s="3" t="str">
        <f>IF(Ticket_Table[[#This Row],[resolution_hrs]]&lt;=4,"Fast",IF(Ticket_Table[[#This Row],[resolution_hrs]]&lt;=24,"Normal",IF(Ticket_Table[[#This Row],[resolution_hrs]]&lt;=48,"Slow","Very Slow")))</f>
        <v>Fast</v>
      </c>
      <c r="Q4390" s="3">
        <f>YEAR(Ticket_Table[[#This Row],[raised_date]])</f>
        <v>2023</v>
      </c>
    </row>
    <row r="4391" spans="1:17">
      <c r="A4391" t="s">
        <v>4952</v>
      </c>
      <c r="B4391" t="s">
        <v>419</v>
      </c>
      <c r="C4391" t="s">
        <v>175</v>
      </c>
      <c r="D4391" t="s">
        <v>43</v>
      </c>
      <c r="E4391" t="s">
        <v>21</v>
      </c>
      <c r="F4391" t="s">
        <v>70</v>
      </c>
      <c r="G4391" t="s">
        <v>31</v>
      </c>
      <c r="H4391" s="1">
        <v>44428</v>
      </c>
      <c r="I4391" s="2">
        <v>44430.725</v>
      </c>
      <c r="J4391">
        <v>65.4</v>
      </c>
      <c r="K4391" t="s">
        <v>32</v>
      </c>
      <c r="L4391">
        <v>1</v>
      </c>
      <c r="M4391">
        <v>4</v>
      </c>
      <c r="N4391" t="s">
        <v>112</v>
      </c>
      <c r="O4391" s="3" t="str">
        <f>TEXT(Ticket_Table[[#This Row],[raised_date]],"YYYY-MM")</f>
        <v>2021-08</v>
      </c>
      <c r="P4391" s="3" t="str">
        <f>IF(Ticket_Table[[#This Row],[resolution_hrs]]&lt;=4,"Fast",IF(Ticket_Table[[#This Row],[resolution_hrs]]&lt;=24,"Normal",IF(Ticket_Table[[#This Row],[resolution_hrs]]&lt;=48,"Slow","Very Slow")))</f>
        <v>Very Slow</v>
      </c>
      <c r="Q4391" s="3">
        <f>YEAR(Ticket_Table[[#This Row],[raised_date]])</f>
        <v>2021</v>
      </c>
    </row>
    <row r="4392" spans="1:17">
      <c r="A4392" t="s">
        <v>4953</v>
      </c>
      <c r="B4392" t="s">
        <v>149</v>
      </c>
      <c r="C4392" t="s">
        <v>78</v>
      </c>
      <c r="D4392" t="s">
        <v>90</v>
      </c>
      <c r="E4392" t="s">
        <v>83</v>
      </c>
      <c r="F4392" t="s">
        <v>38</v>
      </c>
      <c r="G4392" t="s">
        <v>23</v>
      </c>
      <c r="H4392" s="1">
        <v>44565</v>
      </c>
      <c r="I4392" s="2">
        <v>44566.4458333333</v>
      </c>
      <c r="J4392">
        <v>34.7</v>
      </c>
      <c r="K4392" t="s">
        <v>32</v>
      </c>
      <c r="L4392">
        <v>0</v>
      </c>
      <c r="M4392">
        <v>2</v>
      </c>
      <c r="N4392" t="s">
        <v>541</v>
      </c>
      <c r="O4392" s="3" t="str">
        <f>TEXT(Ticket_Table[[#This Row],[raised_date]],"YYYY-MM")</f>
        <v>2022-01</v>
      </c>
      <c r="P4392" s="3" t="str">
        <f>IF(Ticket_Table[[#This Row],[resolution_hrs]]&lt;=4,"Fast",IF(Ticket_Table[[#This Row],[resolution_hrs]]&lt;=24,"Normal",IF(Ticket_Table[[#This Row],[resolution_hrs]]&lt;=48,"Slow","Very Slow")))</f>
        <v>Slow</v>
      </c>
      <c r="Q4392" s="3">
        <f>YEAR(Ticket_Table[[#This Row],[raised_date]])</f>
        <v>2022</v>
      </c>
    </row>
    <row r="4393" spans="1:17">
      <c r="A4393" t="s">
        <v>4954</v>
      </c>
      <c r="B4393" t="s">
        <v>687</v>
      </c>
      <c r="C4393" t="s">
        <v>78</v>
      </c>
      <c r="D4393" t="s">
        <v>36</v>
      </c>
      <c r="E4393" t="s">
        <v>21</v>
      </c>
      <c r="F4393" t="s">
        <v>38</v>
      </c>
      <c r="G4393" t="s">
        <v>31</v>
      </c>
      <c r="H4393" s="1">
        <v>44474</v>
      </c>
      <c r="I4393" s="2">
        <v>44474.725</v>
      </c>
      <c r="J4393">
        <v>17.4</v>
      </c>
      <c r="K4393" t="s">
        <v>24</v>
      </c>
      <c r="L4393">
        <v>1</v>
      </c>
      <c r="M4393">
        <v>4</v>
      </c>
      <c r="N4393" t="s">
        <v>655</v>
      </c>
      <c r="O4393" s="3" t="str">
        <f>TEXT(Ticket_Table[[#This Row],[raised_date]],"YYYY-MM")</f>
        <v>2021-10</v>
      </c>
      <c r="P4393" s="3" t="str">
        <f>IF(Ticket_Table[[#This Row],[resolution_hrs]]&lt;=4,"Fast",IF(Ticket_Table[[#This Row],[resolution_hrs]]&lt;=24,"Normal",IF(Ticket_Table[[#This Row],[resolution_hrs]]&lt;=48,"Slow","Very Slow")))</f>
        <v>Normal</v>
      </c>
      <c r="Q4393" s="3">
        <f>YEAR(Ticket_Table[[#This Row],[raised_date]])</f>
        <v>2021</v>
      </c>
    </row>
    <row r="4394" spans="1:17">
      <c r="A4394" t="s">
        <v>4955</v>
      </c>
      <c r="B4394" t="s">
        <v>352</v>
      </c>
      <c r="C4394" t="s">
        <v>28</v>
      </c>
      <c r="D4394" t="s">
        <v>29</v>
      </c>
      <c r="E4394" t="s">
        <v>51</v>
      </c>
      <c r="F4394" t="s">
        <v>70</v>
      </c>
      <c r="G4394" t="s">
        <v>23</v>
      </c>
      <c r="H4394" s="1">
        <v>45002</v>
      </c>
      <c r="I4394" s="2">
        <v>45004.1791666667</v>
      </c>
      <c r="J4394">
        <v>52.3</v>
      </c>
      <c r="K4394" t="s">
        <v>32</v>
      </c>
      <c r="L4394">
        <v>0</v>
      </c>
      <c r="M4394">
        <v>3</v>
      </c>
      <c r="N4394" t="s">
        <v>209</v>
      </c>
      <c r="O4394" s="3" t="str">
        <f>TEXT(Ticket_Table[[#This Row],[raised_date]],"YYYY-MM")</f>
        <v>2023-03</v>
      </c>
      <c r="P4394" s="3" t="str">
        <f>IF(Ticket_Table[[#This Row],[resolution_hrs]]&lt;=4,"Fast",IF(Ticket_Table[[#This Row],[resolution_hrs]]&lt;=24,"Normal",IF(Ticket_Table[[#This Row],[resolution_hrs]]&lt;=48,"Slow","Very Slow")))</f>
        <v>Very Slow</v>
      </c>
      <c r="Q4394" s="3">
        <f>YEAR(Ticket_Table[[#This Row],[raised_date]])</f>
        <v>2023</v>
      </c>
    </row>
    <row r="4395" spans="1:17">
      <c r="A4395" t="s">
        <v>4956</v>
      </c>
      <c r="B4395" t="s">
        <v>346</v>
      </c>
      <c r="C4395" t="s">
        <v>64</v>
      </c>
      <c r="D4395" t="s">
        <v>90</v>
      </c>
      <c r="E4395" t="s">
        <v>83</v>
      </c>
      <c r="F4395" t="s">
        <v>22</v>
      </c>
      <c r="G4395" t="s">
        <v>23</v>
      </c>
      <c r="H4395" s="1">
        <v>45043</v>
      </c>
      <c r="I4395" s="2">
        <v>45044.275</v>
      </c>
      <c r="J4395">
        <v>30.6</v>
      </c>
      <c r="K4395" t="s">
        <v>24</v>
      </c>
      <c r="L4395">
        <v>0</v>
      </c>
      <c r="M4395">
        <v>2</v>
      </c>
      <c r="N4395" t="s">
        <v>1291</v>
      </c>
      <c r="O4395" s="3" t="str">
        <f>TEXT(Ticket_Table[[#This Row],[raised_date]],"YYYY-MM")</f>
        <v>2023-04</v>
      </c>
      <c r="P4395" s="3" t="str">
        <f>IF(Ticket_Table[[#This Row],[resolution_hrs]]&lt;=4,"Fast",IF(Ticket_Table[[#This Row],[resolution_hrs]]&lt;=24,"Normal",IF(Ticket_Table[[#This Row],[resolution_hrs]]&lt;=48,"Slow","Very Slow")))</f>
        <v>Slow</v>
      </c>
      <c r="Q4395" s="3">
        <f>YEAR(Ticket_Table[[#This Row],[raised_date]])</f>
        <v>2023</v>
      </c>
    </row>
    <row r="4396" spans="1:17">
      <c r="A4396" t="s">
        <v>4957</v>
      </c>
      <c r="B4396" t="s">
        <v>233</v>
      </c>
      <c r="C4396" t="s">
        <v>201</v>
      </c>
      <c r="D4396" t="s">
        <v>36</v>
      </c>
      <c r="E4396" t="s">
        <v>56</v>
      </c>
      <c r="F4396" t="s">
        <v>70</v>
      </c>
      <c r="G4396" t="s">
        <v>23</v>
      </c>
      <c r="H4396" s="1">
        <v>44859</v>
      </c>
      <c r="I4396" s="2">
        <v>44861.9458333333</v>
      </c>
      <c r="J4396">
        <v>70.7</v>
      </c>
      <c r="K4396" t="s">
        <v>32</v>
      </c>
      <c r="L4396">
        <v>0</v>
      </c>
      <c r="M4396">
        <v>3</v>
      </c>
      <c r="N4396" t="s">
        <v>445</v>
      </c>
      <c r="O4396" s="3" t="str">
        <f>TEXT(Ticket_Table[[#This Row],[raised_date]],"YYYY-MM")</f>
        <v>2022-10</v>
      </c>
      <c r="P4396" s="3" t="str">
        <f>IF(Ticket_Table[[#This Row],[resolution_hrs]]&lt;=4,"Fast",IF(Ticket_Table[[#This Row],[resolution_hrs]]&lt;=24,"Normal",IF(Ticket_Table[[#This Row],[resolution_hrs]]&lt;=48,"Slow","Very Slow")))</f>
        <v>Very Slow</v>
      </c>
      <c r="Q4396" s="3">
        <f>YEAR(Ticket_Table[[#This Row],[raised_date]])</f>
        <v>2022</v>
      </c>
    </row>
    <row r="4397" spans="1:17">
      <c r="A4397" t="s">
        <v>4958</v>
      </c>
      <c r="B4397" t="s">
        <v>1050</v>
      </c>
      <c r="C4397" t="s">
        <v>55</v>
      </c>
      <c r="D4397" t="s">
        <v>90</v>
      </c>
      <c r="E4397" t="s">
        <v>56</v>
      </c>
      <c r="F4397" t="s">
        <v>45</v>
      </c>
      <c r="G4397" t="s">
        <v>46</v>
      </c>
      <c r="H4397" s="1">
        <v>45120</v>
      </c>
      <c r="I4397" s="2">
        <v>45120.1166666667</v>
      </c>
      <c r="J4397">
        <v>2.8</v>
      </c>
      <c r="K4397" t="s">
        <v>24</v>
      </c>
      <c r="L4397">
        <v>0</v>
      </c>
      <c r="M4397">
        <v>5</v>
      </c>
      <c r="N4397" t="s">
        <v>942</v>
      </c>
      <c r="O4397" s="3" t="str">
        <f>TEXT(Ticket_Table[[#This Row],[raised_date]],"YYYY-MM")</f>
        <v>2023-07</v>
      </c>
      <c r="P4397" s="3" t="str">
        <f>IF(Ticket_Table[[#This Row],[resolution_hrs]]&lt;=4,"Fast",IF(Ticket_Table[[#This Row],[resolution_hrs]]&lt;=24,"Normal",IF(Ticket_Table[[#This Row],[resolution_hrs]]&lt;=48,"Slow","Very Slow")))</f>
        <v>Fast</v>
      </c>
      <c r="Q4397" s="3">
        <f>YEAR(Ticket_Table[[#This Row],[raised_date]])</f>
        <v>2023</v>
      </c>
    </row>
    <row r="4398" spans="1:17">
      <c r="A4398" t="s">
        <v>4959</v>
      </c>
      <c r="B4398" t="s">
        <v>167</v>
      </c>
      <c r="C4398" t="s">
        <v>68</v>
      </c>
      <c r="D4398" t="s">
        <v>36</v>
      </c>
      <c r="E4398" t="s">
        <v>21</v>
      </c>
      <c r="F4398" t="s">
        <v>38</v>
      </c>
      <c r="G4398" t="s">
        <v>31</v>
      </c>
      <c r="H4398" s="1">
        <v>44248</v>
      </c>
      <c r="I4398" s="2">
        <v>44249.2916666667</v>
      </c>
      <c r="J4398">
        <v>31</v>
      </c>
      <c r="K4398" t="s">
        <v>32</v>
      </c>
      <c r="L4398">
        <v>0</v>
      </c>
      <c r="M4398">
        <v>4</v>
      </c>
      <c r="N4398" t="s">
        <v>79</v>
      </c>
      <c r="O4398" s="3" t="str">
        <f>TEXT(Ticket_Table[[#This Row],[raised_date]],"YYYY-MM")</f>
        <v>2021-02</v>
      </c>
      <c r="P4398" s="3" t="str">
        <f>IF(Ticket_Table[[#This Row],[resolution_hrs]]&lt;=4,"Fast",IF(Ticket_Table[[#This Row],[resolution_hrs]]&lt;=24,"Normal",IF(Ticket_Table[[#This Row],[resolution_hrs]]&lt;=48,"Slow","Very Slow")))</f>
        <v>Slow</v>
      </c>
      <c r="Q4398" s="3">
        <f>YEAR(Ticket_Table[[#This Row],[raised_date]])</f>
        <v>2021</v>
      </c>
    </row>
    <row r="4399" spans="1:17">
      <c r="A4399" t="s">
        <v>4960</v>
      </c>
      <c r="B4399" t="s">
        <v>703</v>
      </c>
      <c r="C4399" t="s">
        <v>19</v>
      </c>
      <c r="D4399" t="s">
        <v>43</v>
      </c>
      <c r="E4399" t="s">
        <v>21</v>
      </c>
      <c r="F4399" t="s">
        <v>38</v>
      </c>
      <c r="G4399" t="s">
        <v>46</v>
      </c>
      <c r="H4399" s="1">
        <v>44563</v>
      </c>
      <c r="I4399" s="2">
        <v>44563.775</v>
      </c>
      <c r="J4399">
        <v>18.6</v>
      </c>
      <c r="K4399" t="s">
        <v>24</v>
      </c>
      <c r="L4399">
        <v>1</v>
      </c>
      <c r="M4399">
        <v>5</v>
      </c>
      <c r="N4399" t="s">
        <v>331</v>
      </c>
      <c r="O4399" s="3" t="str">
        <f>TEXT(Ticket_Table[[#This Row],[raised_date]],"YYYY-MM")</f>
        <v>2022-01</v>
      </c>
      <c r="P4399" s="3" t="str">
        <f>IF(Ticket_Table[[#This Row],[resolution_hrs]]&lt;=4,"Fast",IF(Ticket_Table[[#This Row],[resolution_hrs]]&lt;=24,"Normal",IF(Ticket_Table[[#This Row],[resolution_hrs]]&lt;=48,"Slow","Very Slow")))</f>
        <v>Normal</v>
      </c>
      <c r="Q4399" s="3">
        <f>YEAR(Ticket_Table[[#This Row],[raised_date]])</f>
        <v>2022</v>
      </c>
    </row>
    <row r="4400" spans="1:17">
      <c r="A4400" t="s">
        <v>4961</v>
      </c>
      <c r="B4400" t="s">
        <v>79</v>
      </c>
      <c r="C4400" t="s">
        <v>140</v>
      </c>
      <c r="D4400" t="s">
        <v>36</v>
      </c>
      <c r="E4400" t="s">
        <v>44</v>
      </c>
      <c r="F4400" t="s">
        <v>22</v>
      </c>
      <c r="G4400" t="s">
        <v>31</v>
      </c>
      <c r="H4400" s="1">
        <v>45126</v>
      </c>
      <c r="I4400" s="2">
        <v>45127.5958333333</v>
      </c>
      <c r="J4400">
        <v>38.3</v>
      </c>
      <c r="K4400" t="s">
        <v>24</v>
      </c>
      <c r="L4400">
        <v>0</v>
      </c>
      <c r="M4400">
        <v>4</v>
      </c>
      <c r="N4400" t="s">
        <v>1337</v>
      </c>
      <c r="O4400" s="3" t="str">
        <f>TEXT(Ticket_Table[[#This Row],[raised_date]],"YYYY-MM")</f>
        <v>2023-07</v>
      </c>
      <c r="P4400" s="3" t="str">
        <f>IF(Ticket_Table[[#This Row],[resolution_hrs]]&lt;=4,"Fast",IF(Ticket_Table[[#This Row],[resolution_hrs]]&lt;=24,"Normal",IF(Ticket_Table[[#This Row],[resolution_hrs]]&lt;=48,"Slow","Very Slow")))</f>
        <v>Slow</v>
      </c>
      <c r="Q4400" s="3">
        <f>YEAR(Ticket_Table[[#This Row],[raised_date]])</f>
        <v>2023</v>
      </c>
    </row>
    <row r="4401" spans="1:17">
      <c r="A4401" t="s">
        <v>4962</v>
      </c>
      <c r="B4401" t="s">
        <v>1019</v>
      </c>
      <c r="C4401" t="s">
        <v>78</v>
      </c>
      <c r="D4401" t="s">
        <v>20</v>
      </c>
      <c r="E4401" t="s">
        <v>56</v>
      </c>
      <c r="F4401" t="s">
        <v>70</v>
      </c>
      <c r="G4401" t="s">
        <v>23</v>
      </c>
      <c r="H4401" s="1">
        <v>44610</v>
      </c>
      <c r="I4401" s="2">
        <v>44612.1291666667</v>
      </c>
      <c r="J4401">
        <v>51.1</v>
      </c>
      <c r="K4401" t="s">
        <v>32</v>
      </c>
      <c r="L4401">
        <v>0</v>
      </c>
      <c r="M4401">
        <v>5</v>
      </c>
      <c r="N4401" t="s">
        <v>92</v>
      </c>
      <c r="O4401" s="3" t="str">
        <f>TEXT(Ticket_Table[[#This Row],[raised_date]],"YYYY-MM")</f>
        <v>2022-02</v>
      </c>
      <c r="P4401" s="3" t="str">
        <f>IF(Ticket_Table[[#This Row],[resolution_hrs]]&lt;=4,"Fast",IF(Ticket_Table[[#This Row],[resolution_hrs]]&lt;=24,"Normal",IF(Ticket_Table[[#This Row],[resolution_hrs]]&lt;=48,"Slow","Very Slow")))</f>
        <v>Very Slow</v>
      </c>
      <c r="Q4401" s="3">
        <f>YEAR(Ticket_Table[[#This Row],[raised_date]])</f>
        <v>2022</v>
      </c>
    </row>
    <row r="4402" spans="1:17">
      <c r="A4402" t="s">
        <v>4963</v>
      </c>
      <c r="B4402" t="s">
        <v>914</v>
      </c>
      <c r="C4402" t="s">
        <v>55</v>
      </c>
      <c r="D4402" t="s">
        <v>29</v>
      </c>
      <c r="E4402" t="s">
        <v>56</v>
      </c>
      <c r="F4402" t="s">
        <v>70</v>
      </c>
      <c r="G4402" t="s">
        <v>31</v>
      </c>
      <c r="H4402" s="1">
        <v>45128</v>
      </c>
      <c r="I4402" s="2">
        <v>45129.1958333333</v>
      </c>
      <c r="J4402">
        <v>28.7</v>
      </c>
      <c r="K4402" t="s">
        <v>24</v>
      </c>
      <c r="L4402">
        <v>1</v>
      </c>
      <c r="M4402">
        <v>3</v>
      </c>
      <c r="N4402" t="s">
        <v>308</v>
      </c>
      <c r="O4402" s="3" t="str">
        <f>TEXT(Ticket_Table[[#This Row],[raised_date]],"YYYY-MM")</f>
        <v>2023-07</v>
      </c>
      <c r="P4402" s="3" t="str">
        <f>IF(Ticket_Table[[#This Row],[resolution_hrs]]&lt;=4,"Fast",IF(Ticket_Table[[#This Row],[resolution_hrs]]&lt;=24,"Normal",IF(Ticket_Table[[#This Row],[resolution_hrs]]&lt;=48,"Slow","Very Slow")))</f>
        <v>Slow</v>
      </c>
      <c r="Q4402" s="3">
        <f>YEAR(Ticket_Table[[#This Row],[raised_date]])</f>
        <v>2023</v>
      </c>
    </row>
    <row r="4403" spans="1:17">
      <c r="A4403" t="s">
        <v>4964</v>
      </c>
      <c r="B4403" t="s">
        <v>1006</v>
      </c>
      <c r="C4403" t="s">
        <v>287</v>
      </c>
      <c r="D4403" t="s">
        <v>36</v>
      </c>
      <c r="E4403" t="s">
        <v>37</v>
      </c>
      <c r="F4403" t="s">
        <v>38</v>
      </c>
      <c r="G4403" t="s">
        <v>31</v>
      </c>
      <c r="H4403" s="1">
        <v>44381</v>
      </c>
      <c r="I4403" s="2">
        <v>44381.1333333333</v>
      </c>
      <c r="J4403">
        <v>3.2</v>
      </c>
      <c r="K4403" t="s">
        <v>24</v>
      </c>
      <c r="L4403">
        <v>0</v>
      </c>
      <c r="M4403">
        <v>4</v>
      </c>
      <c r="N4403" t="s">
        <v>525</v>
      </c>
      <c r="O4403" s="3" t="str">
        <f>TEXT(Ticket_Table[[#This Row],[raised_date]],"YYYY-MM")</f>
        <v>2021-07</v>
      </c>
      <c r="P4403" s="3" t="str">
        <f>IF(Ticket_Table[[#This Row],[resolution_hrs]]&lt;=4,"Fast",IF(Ticket_Table[[#This Row],[resolution_hrs]]&lt;=24,"Normal",IF(Ticket_Table[[#This Row],[resolution_hrs]]&lt;=48,"Slow","Very Slow")))</f>
        <v>Fast</v>
      </c>
      <c r="Q4403" s="3">
        <f>YEAR(Ticket_Table[[#This Row],[raised_date]])</f>
        <v>2021</v>
      </c>
    </row>
    <row r="4404" spans="1:17">
      <c r="A4404" t="s">
        <v>4965</v>
      </c>
      <c r="B4404" t="s">
        <v>468</v>
      </c>
      <c r="C4404" t="s">
        <v>201</v>
      </c>
      <c r="D4404" t="s">
        <v>90</v>
      </c>
      <c r="E4404" t="s">
        <v>106</v>
      </c>
      <c r="F4404" t="s">
        <v>22</v>
      </c>
      <c r="G4404" t="s">
        <v>23</v>
      </c>
      <c r="H4404" s="1">
        <v>44709</v>
      </c>
      <c r="I4404" s="2">
        <v>44711.9666666667</v>
      </c>
      <c r="J4404">
        <v>71.2</v>
      </c>
      <c r="K4404" t="s">
        <v>24</v>
      </c>
      <c r="L4404">
        <v>1</v>
      </c>
      <c r="M4404">
        <v>3</v>
      </c>
      <c r="N4404" t="s">
        <v>298</v>
      </c>
      <c r="O4404" s="3" t="str">
        <f>TEXT(Ticket_Table[[#This Row],[raised_date]],"YYYY-MM")</f>
        <v>2022-05</v>
      </c>
      <c r="P4404" s="3" t="str">
        <f>IF(Ticket_Table[[#This Row],[resolution_hrs]]&lt;=4,"Fast",IF(Ticket_Table[[#This Row],[resolution_hrs]]&lt;=24,"Normal",IF(Ticket_Table[[#This Row],[resolution_hrs]]&lt;=48,"Slow","Very Slow")))</f>
        <v>Very Slow</v>
      </c>
      <c r="Q4404" s="3">
        <f>YEAR(Ticket_Table[[#This Row],[raised_date]])</f>
        <v>2022</v>
      </c>
    </row>
    <row r="4405" spans="1:17">
      <c r="A4405" t="s">
        <v>4966</v>
      </c>
      <c r="B4405" t="s">
        <v>358</v>
      </c>
      <c r="C4405" t="s">
        <v>64</v>
      </c>
      <c r="D4405" t="s">
        <v>90</v>
      </c>
      <c r="E4405" t="s">
        <v>69</v>
      </c>
      <c r="F4405" t="s">
        <v>38</v>
      </c>
      <c r="G4405" t="s">
        <v>23</v>
      </c>
      <c r="H4405" s="1">
        <v>44860</v>
      </c>
      <c r="I4405" s="2">
        <v>44860.5541666667</v>
      </c>
      <c r="J4405">
        <v>13.3</v>
      </c>
      <c r="K4405" t="s">
        <v>24</v>
      </c>
      <c r="L4405">
        <v>0</v>
      </c>
      <c r="M4405">
        <v>2</v>
      </c>
      <c r="N4405" t="s">
        <v>735</v>
      </c>
      <c r="O4405" s="3" t="str">
        <f>TEXT(Ticket_Table[[#This Row],[raised_date]],"YYYY-MM")</f>
        <v>2022-10</v>
      </c>
      <c r="P4405" s="3" t="str">
        <f>IF(Ticket_Table[[#This Row],[resolution_hrs]]&lt;=4,"Fast",IF(Ticket_Table[[#This Row],[resolution_hrs]]&lt;=24,"Normal",IF(Ticket_Table[[#This Row],[resolution_hrs]]&lt;=48,"Slow","Very Slow")))</f>
        <v>Normal</v>
      </c>
      <c r="Q4405" s="3">
        <f>YEAR(Ticket_Table[[#This Row],[raised_date]])</f>
        <v>2022</v>
      </c>
    </row>
    <row r="4406" spans="1:17">
      <c r="A4406" t="s">
        <v>4967</v>
      </c>
      <c r="B4406" t="s">
        <v>737</v>
      </c>
      <c r="C4406" t="s">
        <v>82</v>
      </c>
      <c r="D4406" t="s">
        <v>36</v>
      </c>
      <c r="E4406" t="s">
        <v>37</v>
      </c>
      <c r="F4406" t="s">
        <v>70</v>
      </c>
      <c r="G4406" t="s">
        <v>74</v>
      </c>
      <c r="H4406" s="1">
        <v>44532</v>
      </c>
      <c r="I4406" s="2">
        <v>44534.1708333333</v>
      </c>
      <c r="J4406">
        <v>52.1</v>
      </c>
      <c r="K4406" t="s">
        <v>32</v>
      </c>
      <c r="L4406">
        <v>0</v>
      </c>
      <c r="M4406">
        <v>5</v>
      </c>
      <c r="N4406" t="s">
        <v>191</v>
      </c>
      <c r="O4406" s="3" t="str">
        <f>TEXT(Ticket_Table[[#This Row],[raised_date]],"YYYY-MM")</f>
        <v>2021-12</v>
      </c>
      <c r="P4406" s="3" t="str">
        <f>IF(Ticket_Table[[#This Row],[resolution_hrs]]&lt;=4,"Fast",IF(Ticket_Table[[#This Row],[resolution_hrs]]&lt;=24,"Normal",IF(Ticket_Table[[#This Row],[resolution_hrs]]&lt;=48,"Slow","Very Slow")))</f>
        <v>Very Slow</v>
      </c>
      <c r="Q4406" s="3">
        <f>YEAR(Ticket_Table[[#This Row],[raised_date]])</f>
        <v>2021</v>
      </c>
    </row>
    <row r="4407" spans="1:17">
      <c r="A4407" t="s">
        <v>4968</v>
      </c>
      <c r="B4407" t="s">
        <v>782</v>
      </c>
      <c r="C4407" t="s">
        <v>82</v>
      </c>
      <c r="D4407" t="s">
        <v>20</v>
      </c>
      <c r="E4407" t="s">
        <v>21</v>
      </c>
      <c r="F4407" t="s">
        <v>22</v>
      </c>
      <c r="G4407" t="s">
        <v>23</v>
      </c>
      <c r="H4407" s="1">
        <v>44450</v>
      </c>
      <c r="I4407" s="2">
        <v>44451.5541666667</v>
      </c>
      <c r="J4407">
        <v>37.3</v>
      </c>
      <c r="K4407" t="s">
        <v>24</v>
      </c>
      <c r="L4407">
        <v>0</v>
      </c>
      <c r="M4407">
        <v>4</v>
      </c>
      <c r="N4407" t="s">
        <v>1050</v>
      </c>
      <c r="O4407" s="3" t="str">
        <f>TEXT(Ticket_Table[[#This Row],[raised_date]],"YYYY-MM")</f>
        <v>2021-09</v>
      </c>
      <c r="P4407" s="3" t="str">
        <f>IF(Ticket_Table[[#This Row],[resolution_hrs]]&lt;=4,"Fast",IF(Ticket_Table[[#This Row],[resolution_hrs]]&lt;=24,"Normal",IF(Ticket_Table[[#This Row],[resolution_hrs]]&lt;=48,"Slow","Very Slow")))</f>
        <v>Slow</v>
      </c>
      <c r="Q4407" s="3">
        <f>YEAR(Ticket_Table[[#This Row],[raised_date]])</f>
        <v>2021</v>
      </c>
    </row>
    <row r="4408" spans="1:17">
      <c r="A4408" t="s">
        <v>4969</v>
      </c>
      <c r="B4408" t="s">
        <v>300</v>
      </c>
      <c r="C4408" t="s">
        <v>42</v>
      </c>
      <c r="D4408" t="s">
        <v>36</v>
      </c>
      <c r="E4408" t="s">
        <v>30</v>
      </c>
      <c r="F4408" t="s">
        <v>70</v>
      </c>
      <c r="G4408" t="s">
        <v>74</v>
      </c>
      <c r="H4408" s="1">
        <v>44383</v>
      </c>
      <c r="I4408" s="2">
        <v>44385.1583333333</v>
      </c>
      <c r="J4408">
        <v>51.8</v>
      </c>
      <c r="K4408" t="s">
        <v>32</v>
      </c>
      <c r="L4408">
        <v>0</v>
      </c>
      <c r="M4408">
        <v>5</v>
      </c>
      <c r="N4408" t="s">
        <v>730</v>
      </c>
      <c r="O4408" s="3" t="str">
        <f>TEXT(Ticket_Table[[#This Row],[raised_date]],"YYYY-MM")</f>
        <v>2021-07</v>
      </c>
      <c r="P4408" s="3" t="str">
        <f>IF(Ticket_Table[[#This Row],[resolution_hrs]]&lt;=4,"Fast",IF(Ticket_Table[[#This Row],[resolution_hrs]]&lt;=24,"Normal",IF(Ticket_Table[[#This Row],[resolution_hrs]]&lt;=48,"Slow","Very Slow")))</f>
        <v>Very Slow</v>
      </c>
      <c r="Q4408" s="3">
        <f>YEAR(Ticket_Table[[#This Row],[raised_date]])</f>
        <v>2021</v>
      </c>
    </row>
    <row r="4409" spans="1:17">
      <c r="A4409" t="s">
        <v>4970</v>
      </c>
      <c r="B4409" t="s">
        <v>1041</v>
      </c>
      <c r="C4409" t="s">
        <v>201</v>
      </c>
      <c r="D4409" t="s">
        <v>43</v>
      </c>
      <c r="E4409" t="s">
        <v>69</v>
      </c>
      <c r="F4409" t="s">
        <v>22</v>
      </c>
      <c r="G4409" t="s">
        <v>23</v>
      </c>
      <c r="H4409" s="1">
        <v>44430</v>
      </c>
      <c r="I4409" s="2">
        <v>44433.55</v>
      </c>
      <c r="J4409">
        <v>85.2</v>
      </c>
      <c r="K4409" t="s">
        <v>32</v>
      </c>
      <c r="L4409">
        <v>0</v>
      </c>
      <c r="M4409">
        <v>3</v>
      </c>
      <c r="N4409" t="s">
        <v>1093</v>
      </c>
      <c r="O4409" s="3" t="str">
        <f>TEXT(Ticket_Table[[#This Row],[raised_date]],"YYYY-MM")</f>
        <v>2021-08</v>
      </c>
      <c r="P4409" s="3" t="str">
        <f>IF(Ticket_Table[[#This Row],[resolution_hrs]]&lt;=4,"Fast",IF(Ticket_Table[[#This Row],[resolution_hrs]]&lt;=24,"Normal",IF(Ticket_Table[[#This Row],[resolution_hrs]]&lt;=48,"Slow","Very Slow")))</f>
        <v>Very Slow</v>
      </c>
      <c r="Q4409" s="3">
        <f>YEAR(Ticket_Table[[#This Row],[raised_date]])</f>
        <v>2021</v>
      </c>
    </row>
    <row r="4410" spans="1:17">
      <c r="A4410" t="s">
        <v>4971</v>
      </c>
      <c r="B4410" t="s">
        <v>398</v>
      </c>
      <c r="C4410" t="s">
        <v>50</v>
      </c>
      <c r="D4410" t="s">
        <v>20</v>
      </c>
      <c r="E4410" t="s">
        <v>30</v>
      </c>
      <c r="F4410" t="s">
        <v>70</v>
      </c>
      <c r="G4410" t="s">
        <v>46</v>
      </c>
      <c r="H4410" s="1">
        <v>45117</v>
      </c>
      <c r="I4410" s="2">
        <v>45117.8666666667</v>
      </c>
      <c r="J4410">
        <v>20.8</v>
      </c>
      <c r="K4410" t="s">
        <v>24</v>
      </c>
      <c r="L4410">
        <v>0</v>
      </c>
      <c r="M4410">
        <v>4</v>
      </c>
      <c r="N4410" t="s">
        <v>876</v>
      </c>
      <c r="O4410" s="3" t="str">
        <f>TEXT(Ticket_Table[[#This Row],[raised_date]],"YYYY-MM")</f>
        <v>2023-07</v>
      </c>
      <c r="P4410" s="3" t="str">
        <f>IF(Ticket_Table[[#This Row],[resolution_hrs]]&lt;=4,"Fast",IF(Ticket_Table[[#This Row],[resolution_hrs]]&lt;=24,"Normal",IF(Ticket_Table[[#This Row],[resolution_hrs]]&lt;=48,"Slow","Very Slow")))</f>
        <v>Normal</v>
      </c>
      <c r="Q4410" s="3">
        <f>YEAR(Ticket_Table[[#This Row],[raised_date]])</f>
        <v>2023</v>
      </c>
    </row>
    <row r="4411" spans="1:17">
      <c r="A4411" t="s">
        <v>4972</v>
      </c>
      <c r="B4411" t="s">
        <v>735</v>
      </c>
      <c r="C4411" t="s">
        <v>78</v>
      </c>
      <c r="D4411" t="s">
        <v>36</v>
      </c>
      <c r="E4411" t="s">
        <v>166</v>
      </c>
      <c r="F4411" t="s">
        <v>22</v>
      </c>
      <c r="G4411" t="s">
        <v>91</v>
      </c>
      <c r="H4411" s="1">
        <v>44940</v>
      </c>
      <c r="I4411" s="2">
        <v>44943.4416666667</v>
      </c>
      <c r="J4411">
        <v>82.6</v>
      </c>
      <c r="K4411" t="s">
        <v>32</v>
      </c>
      <c r="L4411">
        <v>1</v>
      </c>
      <c r="M4411">
        <v>3</v>
      </c>
      <c r="N4411" t="s">
        <v>468</v>
      </c>
      <c r="O4411" s="3" t="str">
        <f>TEXT(Ticket_Table[[#This Row],[raised_date]],"YYYY-MM")</f>
        <v>2023-01</v>
      </c>
      <c r="P4411" s="3" t="str">
        <f>IF(Ticket_Table[[#This Row],[resolution_hrs]]&lt;=4,"Fast",IF(Ticket_Table[[#This Row],[resolution_hrs]]&lt;=24,"Normal",IF(Ticket_Table[[#This Row],[resolution_hrs]]&lt;=48,"Slow","Very Slow")))</f>
        <v>Very Slow</v>
      </c>
      <c r="Q4411" s="3">
        <f>YEAR(Ticket_Table[[#This Row],[raised_date]])</f>
        <v>2023</v>
      </c>
    </row>
    <row r="4412" spans="1:17">
      <c r="A4412" t="s">
        <v>4973</v>
      </c>
      <c r="B4412" t="s">
        <v>67</v>
      </c>
      <c r="C4412" t="s">
        <v>117</v>
      </c>
      <c r="D4412" t="s">
        <v>29</v>
      </c>
      <c r="E4412" t="s">
        <v>21</v>
      </c>
      <c r="F4412" t="s">
        <v>22</v>
      </c>
      <c r="G4412" t="s">
        <v>23</v>
      </c>
      <c r="H4412" s="1">
        <v>44371</v>
      </c>
      <c r="I4412" s="2">
        <v>44372.3916666667</v>
      </c>
      <c r="J4412">
        <v>33.4</v>
      </c>
      <c r="K4412" t="s">
        <v>24</v>
      </c>
      <c r="L4412">
        <v>0</v>
      </c>
      <c r="M4412">
        <v>1</v>
      </c>
      <c r="N4412" t="s">
        <v>75</v>
      </c>
      <c r="O4412" s="3" t="str">
        <f>TEXT(Ticket_Table[[#This Row],[raised_date]],"YYYY-MM")</f>
        <v>2021-06</v>
      </c>
      <c r="P4412" s="3" t="str">
        <f>IF(Ticket_Table[[#This Row],[resolution_hrs]]&lt;=4,"Fast",IF(Ticket_Table[[#This Row],[resolution_hrs]]&lt;=24,"Normal",IF(Ticket_Table[[#This Row],[resolution_hrs]]&lt;=48,"Slow","Very Slow")))</f>
        <v>Slow</v>
      </c>
      <c r="Q4412" s="3">
        <f>YEAR(Ticket_Table[[#This Row],[raised_date]])</f>
        <v>2021</v>
      </c>
    </row>
    <row r="4413" spans="1:17">
      <c r="A4413" t="s">
        <v>4974</v>
      </c>
      <c r="B4413" t="s">
        <v>854</v>
      </c>
      <c r="C4413" t="s">
        <v>117</v>
      </c>
      <c r="D4413" t="s">
        <v>20</v>
      </c>
      <c r="E4413" t="s">
        <v>51</v>
      </c>
      <c r="F4413" t="s">
        <v>38</v>
      </c>
      <c r="G4413" t="s">
        <v>31</v>
      </c>
      <c r="H4413" s="1">
        <v>45269</v>
      </c>
      <c r="I4413" s="2">
        <v>45269.6166666667</v>
      </c>
      <c r="J4413">
        <v>14.8</v>
      </c>
      <c r="K4413" t="s">
        <v>24</v>
      </c>
      <c r="L4413">
        <v>0</v>
      </c>
      <c r="M4413">
        <v>5</v>
      </c>
      <c r="N4413" t="s">
        <v>810</v>
      </c>
      <c r="O4413" s="3" t="str">
        <f>TEXT(Ticket_Table[[#This Row],[raised_date]],"YYYY-MM")</f>
        <v>2023-12</v>
      </c>
      <c r="P4413" s="3" t="str">
        <f>IF(Ticket_Table[[#This Row],[resolution_hrs]]&lt;=4,"Fast",IF(Ticket_Table[[#This Row],[resolution_hrs]]&lt;=24,"Normal",IF(Ticket_Table[[#This Row],[resolution_hrs]]&lt;=48,"Slow","Very Slow")))</f>
        <v>Normal</v>
      </c>
      <c r="Q4413" s="3">
        <f>YEAR(Ticket_Table[[#This Row],[raised_date]])</f>
        <v>2023</v>
      </c>
    </row>
    <row r="4414" spans="1:17">
      <c r="A4414" t="s">
        <v>4975</v>
      </c>
      <c r="B4414" t="s">
        <v>450</v>
      </c>
      <c r="C4414" t="s">
        <v>261</v>
      </c>
      <c r="D4414" t="s">
        <v>36</v>
      </c>
      <c r="E4414" t="s">
        <v>106</v>
      </c>
      <c r="F4414" t="s">
        <v>22</v>
      </c>
      <c r="G4414" t="s">
        <v>74</v>
      </c>
      <c r="H4414" s="1">
        <v>44983</v>
      </c>
      <c r="I4414" s="2">
        <v>44987.125</v>
      </c>
      <c r="J4414">
        <v>99</v>
      </c>
      <c r="K4414" t="s">
        <v>32</v>
      </c>
      <c r="L4414">
        <v>0</v>
      </c>
      <c r="M4414">
        <v>4</v>
      </c>
      <c r="N4414" t="s">
        <v>1064</v>
      </c>
      <c r="O4414" s="3" t="str">
        <f>TEXT(Ticket_Table[[#This Row],[raised_date]],"YYYY-MM")</f>
        <v>2023-02</v>
      </c>
      <c r="P4414" s="3" t="str">
        <f>IF(Ticket_Table[[#This Row],[resolution_hrs]]&lt;=4,"Fast",IF(Ticket_Table[[#This Row],[resolution_hrs]]&lt;=24,"Normal",IF(Ticket_Table[[#This Row],[resolution_hrs]]&lt;=48,"Slow","Very Slow")))</f>
        <v>Very Slow</v>
      </c>
      <c r="Q4414" s="3">
        <f>YEAR(Ticket_Table[[#This Row],[raised_date]])</f>
        <v>2023</v>
      </c>
    </row>
    <row r="4415" spans="1:17">
      <c r="A4415" t="s">
        <v>4976</v>
      </c>
      <c r="B4415" t="s">
        <v>560</v>
      </c>
      <c r="C4415" t="s">
        <v>117</v>
      </c>
      <c r="D4415" t="s">
        <v>29</v>
      </c>
      <c r="E4415" t="s">
        <v>30</v>
      </c>
      <c r="F4415" t="s">
        <v>22</v>
      </c>
      <c r="G4415" t="s">
        <v>23</v>
      </c>
      <c r="H4415" s="1">
        <v>45244</v>
      </c>
      <c r="I4415" s="2">
        <v>45246.9166666667</v>
      </c>
      <c r="J4415">
        <v>70</v>
      </c>
      <c r="K4415" t="s">
        <v>24</v>
      </c>
      <c r="L4415">
        <v>0</v>
      </c>
      <c r="M4415">
        <v>5</v>
      </c>
      <c r="N4415" t="s">
        <v>434</v>
      </c>
      <c r="O4415" s="3" t="str">
        <f>TEXT(Ticket_Table[[#This Row],[raised_date]],"YYYY-MM")</f>
        <v>2023-11</v>
      </c>
      <c r="P4415" s="3" t="str">
        <f>IF(Ticket_Table[[#This Row],[resolution_hrs]]&lt;=4,"Fast",IF(Ticket_Table[[#This Row],[resolution_hrs]]&lt;=24,"Normal",IF(Ticket_Table[[#This Row],[resolution_hrs]]&lt;=48,"Slow","Very Slow")))</f>
        <v>Very Slow</v>
      </c>
      <c r="Q4415" s="3">
        <f>YEAR(Ticket_Table[[#This Row],[raised_date]])</f>
        <v>2023</v>
      </c>
    </row>
    <row r="4416" spans="1:17">
      <c r="A4416" t="s">
        <v>4977</v>
      </c>
      <c r="B4416" t="s">
        <v>151</v>
      </c>
      <c r="C4416" t="s">
        <v>82</v>
      </c>
      <c r="D4416" t="s">
        <v>36</v>
      </c>
      <c r="E4416" t="s">
        <v>69</v>
      </c>
      <c r="F4416" t="s">
        <v>70</v>
      </c>
      <c r="G4416" t="s">
        <v>23</v>
      </c>
      <c r="H4416" s="1">
        <v>44524</v>
      </c>
      <c r="I4416" s="2">
        <v>44525.1541666667</v>
      </c>
      <c r="J4416">
        <v>27.7</v>
      </c>
      <c r="K4416" t="s">
        <v>24</v>
      </c>
      <c r="L4416">
        <v>0</v>
      </c>
      <c r="M4416">
        <v>3</v>
      </c>
      <c r="N4416" t="s">
        <v>77</v>
      </c>
      <c r="O4416" s="3" t="str">
        <f>TEXT(Ticket_Table[[#This Row],[raised_date]],"YYYY-MM")</f>
        <v>2021-11</v>
      </c>
      <c r="P4416" s="3" t="str">
        <f>IF(Ticket_Table[[#This Row],[resolution_hrs]]&lt;=4,"Fast",IF(Ticket_Table[[#This Row],[resolution_hrs]]&lt;=24,"Normal",IF(Ticket_Table[[#This Row],[resolution_hrs]]&lt;=48,"Slow","Very Slow")))</f>
        <v>Slow</v>
      </c>
      <c r="Q4416" s="3">
        <f>YEAR(Ticket_Table[[#This Row],[raised_date]])</f>
        <v>2021</v>
      </c>
    </row>
    <row r="4417" spans="1:17">
      <c r="A4417" t="s">
        <v>4978</v>
      </c>
      <c r="B4417" t="s">
        <v>370</v>
      </c>
      <c r="C4417" t="s">
        <v>82</v>
      </c>
      <c r="D4417" t="s">
        <v>43</v>
      </c>
      <c r="E4417" t="s">
        <v>21</v>
      </c>
      <c r="F4417" t="s">
        <v>70</v>
      </c>
      <c r="G4417" t="s">
        <v>23</v>
      </c>
      <c r="H4417" s="1">
        <v>44972</v>
      </c>
      <c r="I4417" s="2">
        <v>44973.4375</v>
      </c>
      <c r="J4417">
        <v>34.5</v>
      </c>
      <c r="K4417" t="s">
        <v>24</v>
      </c>
      <c r="L4417">
        <v>0</v>
      </c>
      <c r="M4417">
        <v>5</v>
      </c>
      <c r="N4417" t="s">
        <v>77</v>
      </c>
      <c r="O4417" s="3" t="str">
        <f>TEXT(Ticket_Table[[#This Row],[raised_date]],"YYYY-MM")</f>
        <v>2023-02</v>
      </c>
      <c r="P4417" s="3" t="str">
        <f>IF(Ticket_Table[[#This Row],[resolution_hrs]]&lt;=4,"Fast",IF(Ticket_Table[[#This Row],[resolution_hrs]]&lt;=24,"Normal",IF(Ticket_Table[[#This Row],[resolution_hrs]]&lt;=48,"Slow","Very Slow")))</f>
        <v>Slow</v>
      </c>
      <c r="Q4417" s="3">
        <f>YEAR(Ticket_Table[[#This Row],[raised_date]])</f>
        <v>2023</v>
      </c>
    </row>
    <row r="4418" spans="1:17">
      <c r="A4418" t="s">
        <v>4979</v>
      </c>
      <c r="B4418" t="s">
        <v>194</v>
      </c>
      <c r="C4418" t="s">
        <v>287</v>
      </c>
      <c r="D4418" t="s">
        <v>90</v>
      </c>
      <c r="E4418" t="s">
        <v>37</v>
      </c>
      <c r="F4418" t="s">
        <v>38</v>
      </c>
      <c r="G4418" t="s">
        <v>31</v>
      </c>
      <c r="H4418" s="1">
        <v>44976</v>
      </c>
      <c r="I4418" s="2">
        <v>44977.0041666667</v>
      </c>
      <c r="J4418">
        <v>24.1</v>
      </c>
      <c r="K4418" t="s">
        <v>32</v>
      </c>
      <c r="L4418">
        <v>2</v>
      </c>
      <c r="M4418">
        <v>4</v>
      </c>
      <c r="N4418" t="s">
        <v>450</v>
      </c>
      <c r="O4418" s="3" t="str">
        <f>TEXT(Ticket_Table[[#This Row],[raised_date]],"YYYY-MM")</f>
        <v>2023-02</v>
      </c>
      <c r="P4418" s="3" t="str">
        <f>IF(Ticket_Table[[#This Row],[resolution_hrs]]&lt;=4,"Fast",IF(Ticket_Table[[#This Row],[resolution_hrs]]&lt;=24,"Normal",IF(Ticket_Table[[#This Row],[resolution_hrs]]&lt;=48,"Slow","Very Slow")))</f>
        <v>Slow</v>
      </c>
      <c r="Q4418" s="3">
        <f>YEAR(Ticket_Table[[#This Row],[raised_date]])</f>
        <v>2023</v>
      </c>
    </row>
    <row r="4419" spans="1:17">
      <c r="A4419" t="s">
        <v>4980</v>
      </c>
      <c r="B4419" t="s">
        <v>223</v>
      </c>
      <c r="C4419" t="s">
        <v>78</v>
      </c>
      <c r="D4419" t="s">
        <v>36</v>
      </c>
      <c r="E4419" t="s">
        <v>44</v>
      </c>
      <c r="F4419" t="s">
        <v>70</v>
      </c>
      <c r="G4419" t="s">
        <v>91</v>
      </c>
      <c r="H4419" s="1">
        <v>44286</v>
      </c>
      <c r="I4419" s="2">
        <v>44287.7458333333</v>
      </c>
      <c r="J4419">
        <v>41.9</v>
      </c>
      <c r="K4419" t="s">
        <v>24</v>
      </c>
      <c r="L4419">
        <v>0</v>
      </c>
      <c r="M4419">
        <v>4</v>
      </c>
      <c r="N4419" t="s">
        <v>1143</v>
      </c>
      <c r="O4419" s="3" t="str">
        <f>TEXT(Ticket_Table[[#This Row],[raised_date]],"YYYY-MM")</f>
        <v>2021-03</v>
      </c>
      <c r="P4419" s="3" t="str">
        <f>IF(Ticket_Table[[#This Row],[resolution_hrs]]&lt;=4,"Fast",IF(Ticket_Table[[#This Row],[resolution_hrs]]&lt;=24,"Normal",IF(Ticket_Table[[#This Row],[resolution_hrs]]&lt;=48,"Slow","Very Slow")))</f>
        <v>Slow</v>
      </c>
      <c r="Q4419" s="3">
        <f>YEAR(Ticket_Table[[#This Row],[raised_date]])</f>
        <v>2021</v>
      </c>
    </row>
    <row r="4420" spans="1:17">
      <c r="A4420" t="s">
        <v>4981</v>
      </c>
      <c r="B4420" t="s">
        <v>376</v>
      </c>
      <c r="C4420" t="s">
        <v>102</v>
      </c>
      <c r="D4420" t="s">
        <v>20</v>
      </c>
      <c r="E4420" t="s">
        <v>83</v>
      </c>
      <c r="F4420" t="s">
        <v>38</v>
      </c>
      <c r="G4420" t="s">
        <v>46</v>
      </c>
      <c r="H4420" s="1">
        <v>44546</v>
      </c>
      <c r="I4420" s="2">
        <v>44547.3958333333</v>
      </c>
      <c r="J4420">
        <v>33.5</v>
      </c>
      <c r="K4420" t="s">
        <v>32</v>
      </c>
      <c r="L4420">
        <v>0</v>
      </c>
      <c r="M4420">
        <v>3</v>
      </c>
      <c r="N4420" t="s">
        <v>474</v>
      </c>
      <c r="O4420" s="3" t="str">
        <f>TEXT(Ticket_Table[[#This Row],[raised_date]],"YYYY-MM")</f>
        <v>2021-12</v>
      </c>
      <c r="P4420" s="3" t="str">
        <f>IF(Ticket_Table[[#This Row],[resolution_hrs]]&lt;=4,"Fast",IF(Ticket_Table[[#This Row],[resolution_hrs]]&lt;=24,"Normal",IF(Ticket_Table[[#This Row],[resolution_hrs]]&lt;=48,"Slow","Very Slow")))</f>
        <v>Slow</v>
      </c>
      <c r="Q4420" s="3">
        <f>YEAR(Ticket_Table[[#This Row],[raised_date]])</f>
        <v>2021</v>
      </c>
    </row>
    <row r="4421" spans="1:17">
      <c r="A4421" t="s">
        <v>4982</v>
      </c>
      <c r="B4421" t="s">
        <v>25</v>
      </c>
      <c r="C4421" t="s">
        <v>60</v>
      </c>
      <c r="D4421" t="s">
        <v>36</v>
      </c>
      <c r="E4421" t="s">
        <v>56</v>
      </c>
      <c r="F4421" t="s">
        <v>70</v>
      </c>
      <c r="G4421" t="s">
        <v>31</v>
      </c>
      <c r="H4421" s="1">
        <v>44883</v>
      </c>
      <c r="I4421" s="2">
        <v>44885.3375</v>
      </c>
      <c r="J4421">
        <v>56.1</v>
      </c>
      <c r="K4421" t="s">
        <v>32</v>
      </c>
      <c r="L4421">
        <v>0</v>
      </c>
      <c r="M4421">
        <v>5</v>
      </c>
      <c r="N4421" t="s">
        <v>286</v>
      </c>
      <c r="O4421" s="3" t="str">
        <f>TEXT(Ticket_Table[[#This Row],[raised_date]],"YYYY-MM")</f>
        <v>2022-11</v>
      </c>
      <c r="P4421" s="3" t="str">
        <f>IF(Ticket_Table[[#This Row],[resolution_hrs]]&lt;=4,"Fast",IF(Ticket_Table[[#This Row],[resolution_hrs]]&lt;=24,"Normal",IF(Ticket_Table[[#This Row],[resolution_hrs]]&lt;=48,"Slow","Very Slow")))</f>
        <v>Very Slow</v>
      </c>
      <c r="Q4421" s="3">
        <f>YEAR(Ticket_Table[[#This Row],[raised_date]])</f>
        <v>2022</v>
      </c>
    </row>
    <row r="4422" spans="1:17">
      <c r="A4422" t="s">
        <v>4983</v>
      </c>
      <c r="B4422" t="s">
        <v>512</v>
      </c>
      <c r="C4422" t="s">
        <v>19</v>
      </c>
      <c r="D4422" t="s">
        <v>36</v>
      </c>
      <c r="E4422" t="s">
        <v>106</v>
      </c>
      <c r="F4422" t="s">
        <v>22</v>
      </c>
      <c r="G4422" t="s">
        <v>31</v>
      </c>
      <c r="H4422" s="1">
        <v>44504</v>
      </c>
      <c r="I4422" s="2">
        <v>44506.3833333333</v>
      </c>
      <c r="J4422">
        <v>57.2</v>
      </c>
      <c r="K4422" t="s">
        <v>24</v>
      </c>
      <c r="L4422">
        <v>0</v>
      </c>
      <c r="M4422">
        <v>5</v>
      </c>
      <c r="N4422" t="s">
        <v>637</v>
      </c>
      <c r="O4422" s="3" t="str">
        <f>TEXT(Ticket_Table[[#This Row],[raised_date]],"YYYY-MM")</f>
        <v>2021-11</v>
      </c>
      <c r="P4422" s="3" t="str">
        <f>IF(Ticket_Table[[#This Row],[resolution_hrs]]&lt;=4,"Fast",IF(Ticket_Table[[#This Row],[resolution_hrs]]&lt;=24,"Normal",IF(Ticket_Table[[#This Row],[resolution_hrs]]&lt;=48,"Slow","Very Slow")))</f>
        <v>Very Slow</v>
      </c>
      <c r="Q4422" s="3">
        <f>YEAR(Ticket_Table[[#This Row],[raised_date]])</f>
        <v>2021</v>
      </c>
    </row>
    <row r="4423" spans="1:17">
      <c r="A4423" t="s">
        <v>4984</v>
      </c>
      <c r="B4423" t="s">
        <v>1050</v>
      </c>
      <c r="C4423" t="s">
        <v>175</v>
      </c>
      <c r="D4423" t="s">
        <v>36</v>
      </c>
      <c r="E4423" t="s">
        <v>106</v>
      </c>
      <c r="F4423" t="s">
        <v>22</v>
      </c>
      <c r="G4423" t="s">
        <v>91</v>
      </c>
      <c r="H4423" s="1">
        <v>44529</v>
      </c>
      <c r="I4423" s="2">
        <v>44529.6166666667</v>
      </c>
      <c r="J4423">
        <v>14.8</v>
      </c>
      <c r="K4423" t="s">
        <v>24</v>
      </c>
      <c r="L4423">
        <v>0</v>
      </c>
      <c r="M4423">
        <v>4</v>
      </c>
      <c r="N4423" t="s">
        <v>1533</v>
      </c>
      <c r="O4423" s="3" t="str">
        <f>TEXT(Ticket_Table[[#This Row],[raised_date]],"YYYY-MM")</f>
        <v>2021-11</v>
      </c>
      <c r="P4423" s="3" t="str">
        <f>IF(Ticket_Table[[#This Row],[resolution_hrs]]&lt;=4,"Fast",IF(Ticket_Table[[#This Row],[resolution_hrs]]&lt;=24,"Normal",IF(Ticket_Table[[#This Row],[resolution_hrs]]&lt;=48,"Slow","Very Slow")))</f>
        <v>Normal</v>
      </c>
      <c r="Q4423" s="3">
        <f>YEAR(Ticket_Table[[#This Row],[raised_date]])</f>
        <v>2021</v>
      </c>
    </row>
    <row r="4424" spans="1:17">
      <c r="A4424" t="s">
        <v>4985</v>
      </c>
      <c r="B4424" t="s">
        <v>105</v>
      </c>
      <c r="C4424" t="s">
        <v>117</v>
      </c>
      <c r="D4424" t="s">
        <v>36</v>
      </c>
      <c r="E4424" t="s">
        <v>56</v>
      </c>
      <c r="F4424" t="s">
        <v>70</v>
      </c>
      <c r="G4424" t="s">
        <v>23</v>
      </c>
      <c r="H4424" s="1">
        <v>44493</v>
      </c>
      <c r="I4424" s="2">
        <v>44494</v>
      </c>
      <c r="J4424">
        <v>24</v>
      </c>
      <c r="K4424" t="s">
        <v>24</v>
      </c>
      <c r="L4424">
        <v>0</v>
      </c>
      <c r="M4424">
        <v>4</v>
      </c>
      <c r="N4424" t="s">
        <v>1502</v>
      </c>
      <c r="O4424" s="3" t="str">
        <f>TEXT(Ticket_Table[[#This Row],[raised_date]],"YYYY-MM")</f>
        <v>2021-10</v>
      </c>
      <c r="P4424" s="3" t="str">
        <f>IF(Ticket_Table[[#This Row],[resolution_hrs]]&lt;=4,"Fast",IF(Ticket_Table[[#This Row],[resolution_hrs]]&lt;=24,"Normal",IF(Ticket_Table[[#This Row],[resolution_hrs]]&lt;=48,"Slow","Very Slow")))</f>
        <v>Normal</v>
      </c>
      <c r="Q4424" s="3">
        <f>YEAR(Ticket_Table[[#This Row],[raised_date]])</f>
        <v>2021</v>
      </c>
    </row>
    <row r="4425" spans="1:17">
      <c r="A4425" t="s">
        <v>4986</v>
      </c>
      <c r="B4425" t="s">
        <v>733</v>
      </c>
      <c r="C4425" t="s">
        <v>287</v>
      </c>
      <c r="D4425" t="s">
        <v>20</v>
      </c>
      <c r="E4425" t="s">
        <v>56</v>
      </c>
      <c r="F4425" t="s">
        <v>70</v>
      </c>
      <c r="G4425" t="s">
        <v>91</v>
      </c>
      <c r="H4425" s="1">
        <v>44563</v>
      </c>
      <c r="I4425" s="2">
        <v>44565.8666666667</v>
      </c>
      <c r="J4425">
        <v>68.8</v>
      </c>
      <c r="K4425" t="s">
        <v>32</v>
      </c>
      <c r="L4425">
        <v>0</v>
      </c>
      <c r="M4425">
        <v>4</v>
      </c>
      <c r="N4425" t="s">
        <v>130</v>
      </c>
      <c r="O4425" s="3" t="str">
        <f>TEXT(Ticket_Table[[#This Row],[raised_date]],"YYYY-MM")</f>
        <v>2022-01</v>
      </c>
      <c r="P4425" s="3" t="str">
        <f>IF(Ticket_Table[[#This Row],[resolution_hrs]]&lt;=4,"Fast",IF(Ticket_Table[[#This Row],[resolution_hrs]]&lt;=24,"Normal",IF(Ticket_Table[[#This Row],[resolution_hrs]]&lt;=48,"Slow","Very Slow")))</f>
        <v>Very Slow</v>
      </c>
      <c r="Q4425" s="3">
        <f>YEAR(Ticket_Table[[#This Row],[raised_date]])</f>
        <v>2022</v>
      </c>
    </row>
    <row r="4426" spans="1:17">
      <c r="A4426" t="s">
        <v>4987</v>
      </c>
      <c r="B4426" t="s">
        <v>358</v>
      </c>
      <c r="C4426" t="s">
        <v>175</v>
      </c>
      <c r="D4426" t="s">
        <v>20</v>
      </c>
      <c r="E4426" t="s">
        <v>56</v>
      </c>
      <c r="F4426" t="s">
        <v>38</v>
      </c>
      <c r="G4426" t="s">
        <v>31</v>
      </c>
      <c r="H4426" s="1">
        <v>44302</v>
      </c>
      <c r="I4426" s="2">
        <v>44302.55</v>
      </c>
      <c r="J4426">
        <v>13.2</v>
      </c>
      <c r="K4426" t="s">
        <v>24</v>
      </c>
      <c r="L4426">
        <v>0</v>
      </c>
      <c r="M4426">
        <v>4</v>
      </c>
      <c r="N4426" t="s">
        <v>926</v>
      </c>
      <c r="O4426" s="3" t="str">
        <f>TEXT(Ticket_Table[[#This Row],[raised_date]],"YYYY-MM")</f>
        <v>2021-04</v>
      </c>
      <c r="P4426" s="3" t="str">
        <f>IF(Ticket_Table[[#This Row],[resolution_hrs]]&lt;=4,"Fast",IF(Ticket_Table[[#This Row],[resolution_hrs]]&lt;=24,"Normal",IF(Ticket_Table[[#This Row],[resolution_hrs]]&lt;=48,"Slow","Very Slow")))</f>
        <v>Normal</v>
      </c>
      <c r="Q4426" s="3">
        <f>YEAR(Ticket_Table[[#This Row],[raised_date]])</f>
        <v>2021</v>
      </c>
    </row>
    <row r="4427" spans="1:17">
      <c r="A4427" t="s">
        <v>4988</v>
      </c>
      <c r="B4427" t="s">
        <v>241</v>
      </c>
      <c r="C4427" t="s">
        <v>55</v>
      </c>
      <c r="D4427" t="s">
        <v>36</v>
      </c>
      <c r="E4427" t="s">
        <v>44</v>
      </c>
      <c r="F4427" t="s">
        <v>70</v>
      </c>
      <c r="G4427" t="s">
        <v>46</v>
      </c>
      <c r="H4427" s="1">
        <v>45056</v>
      </c>
      <c r="I4427" s="2">
        <v>45057.8666666667</v>
      </c>
      <c r="J4427">
        <v>44.8</v>
      </c>
      <c r="K4427" t="s">
        <v>24</v>
      </c>
      <c r="L4427">
        <v>1</v>
      </c>
      <c r="M4427">
        <v>5</v>
      </c>
      <c r="N4427" t="s">
        <v>302</v>
      </c>
      <c r="O4427" s="3" t="str">
        <f>TEXT(Ticket_Table[[#This Row],[raised_date]],"YYYY-MM")</f>
        <v>2023-05</v>
      </c>
      <c r="P4427" s="3" t="str">
        <f>IF(Ticket_Table[[#This Row],[resolution_hrs]]&lt;=4,"Fast",IF(Ticket_Table[[#This Row],[resolution_hrs]]&lt;=24,"Normal",IF(Ticket_Table[[#This Row],[resolution_hrs]]&lt;=48,"Slow","Very Slow")))</f>
        <v>Slow</v>
      </c>
      <c r="Q4427" s="3">
        <f>YEAR(Ticket_Table[[#This Row],[raised_date]])</f>
        <v>2023</v>
      </c>
    </row>
    <row r="4428" spans="1:17">
      <c r="A4428" t="s">
        <v>4989</v>
      </c>
      <c r="B4428" t="s">
        <v>640</v>
      </c>
      <c r="C4428" t="s">
        <v>42</v>
      </c>
      <c r="D4428" t="s">
        <v>90</v>
      </c>
      <c r="E4428" t="s">
        <v>166</v>
      </c>
      <c r="F4428" t="s">
        <v>70</v>
      </c>
      <c r="G4428" t="s">
        <v>23</v>
      </c>
      <c r="H4428" s="1">
        <v>44827</v>
      </c>
      <c r="I4428" s="2">
        <v>44828.2375</v>
      </c>
      <c r="J4428">
        <v>29.7</v>
      </c>
      <c r="K4428" t="s">
        <v>24</v>
      </c>
      <c r="L4428">
        <v>0</v>
      </c>
      <c r="M4428">
        <v>3</v>
      </c>
      <c r="N4428" t="s">
        <v>903</v>
      </c>
      <c r="O4428" s="3" t="str">
        <f>TEXT(Ticket_Table[[#This Row],[raised_date]],"YYYY-MM")</f>
        <v>2022-09</v>
      </c>
      <c r="P4428" s="3" t="str">
        <f>IF(Ticket_Table[[#This Row],[resolution_hrs]]&lt;=4,"Fast",IF(Ticket_Table[[#This Row],[resolution_hrs]]&lt;=24,"Normal",IF(Ticket_Table[[#This Row],[resolution_hrs]]&lt;=48,"Slow","Very Slow")))</f>
        <v>Slow</v>
      </c>
      <c r="Q4428" s="3">
        <f>YEAR(Ticket_Table[[#This Row],[raised_date]])</f>
        <v>2022</v>
      </c>
    </row>
    <row r="4429" spans="1:17">
      <c r="A4429" t="s">
        <v>4990</v>
      </c>
      <c r="B4429" t="s">
        <v>1080</v>
      </c>
      <c r="C4429" t="s">
        <v>64</v>
      </c>
      <c r="D4429" t="s">
        <v>36</v>
      </c>
      <c r="E4429" t="s">
        <v>44</v>
      </c>
      <c r="F4429" t="s">
        <v>22</v>
      </c>
      <c r="G4429" t="s">
        <v>46</v>
      </c>
      <c r="H4429" s="1">
        <v>44830</v>
      </c>
      <c r="I4429" s="2">
        <v>44830.2416666667</v>
      </c>
      <c r="J4429">
        <v>5.8</v>
      </c>
      <c r="K4429" t="s">
        <v>24</v>
      </c>
      <c r="L4429">
        <v>2</v>
      </c>
      <c r="M4429">
        <v>4</v>
      </c>
      <c r="N4429" t="s">
        <v>35</v>
      </c>
      <c r="O4429" s="3" t="str">
        <f>TEXT(Ticket_Table[[#This Row],[raised_date]],"YYYY-MM")</f>
        <v>2022-09</v>
      </c>
      <c r="P4429" s="3" t="str">
        <f>IF(Ticket_Table[[#This Row],[resolution_hrs]]&lt;=4,"Fast",IF(Ticket_Table[[#This Row],[resolution_hrs]]&lt;=24,"Normal",IF(Ticket_Table[[#This Row],[resolution_hrs]]&lt;=48,"Slow","Very Slow")))</f>
        <v>Normal</v>
      </c>
      <c r="Q4429" s="3">
        <f>YEAR(Ticket_Table[[#This Row],[raised_date]])</f>
        <v>2022</v>
      </c>
    </row>
    <row r="4430" spans="1:17">
      <c r="A4430" t="s">
        <v>4991</v>
      </c>
      <c r="B4430" t="s">
        <v>71</v>
      </c>
      <c r="C4430" t="s">
        <v>287</v>
      </c>
      <c r="D4430" t="s">
        <v>20</v>
      </c>
      <c r="E4430" t="s">
        <v>37</v>
      </c>
      <c r="F4430" t="s">
        <v>22</v>
      </c>
      <c r="G4430" t="s">
        <v>23</v>
      </c>
      <c r="H4430" s="1">
        <v>45110</v>
      </c>
      <c r="I4430" s="2">
        <v>45113.8416666667</v>
      </c>
      <c r="J4430">
        <v>92.2</v>
      </c>
      <c r="K4430" t="s">
        <v>32</v>
      </c>
      <c r="L4430">
        <v>0</v>
      </c>
      <c r="M4430">
        <v>3</v>
      </c>
      <c r="N4430" t="s">
        <v>594</v>
      </c>
      <c r="O4430" s="3" t="str">
        <f>TEXT(Ticket_Table[[#This Row],[raised_date]],"YYYY-MM")</f>
        <v>2023-07</v>
      </c>
      <c r="P4430" s="3" t="str">
        <f>IF(Ticket_Table[[#This Row],[resolution_hrs]]&lt;=4,"Fast",IF(Ticket_Table[[#This Row],[resolution_hrs]]&lt;=24,"Normal",IF(Ticket_Table[[#This Row],[resolution_hrs]]&lt;=48,"Slow","Very Slow")))</f>
        <v>Very Slow</v>
      </c>
      <c r="Q4430" s="3">
        <f>YEAR(Ticket_Table[[#This Row],[raised_date]])</f>
        <v>2023</v>
      </c>
    </row>
    <row r="4431" spans="1:17">
      <c r="A4431" t="s">
        <v>4992</v>
      </c>
      <c r="B4431" t="s">
        <v>974</v>
      </c>
      <c r="C4431" t="s">
        <v>42</v>
      </c>
      <c r="D4431" t="s">
        <v>43</v>
      </c>
      <c r="E4431" t="s">
        <v>166</v>
      </c>
      <c r="F4431" t="s">
        <v>70</v>
      </c>
      <c r="G4431" t="s">
        <v>31</v>
      </c>
      <c r="H4431" s="1">
        <v>44788</v>
      </c>
      <c r="I4431" s="2">
        <v>44788.5125</v>
      </c>
      <c r="J4431">
        <v>12.3</v>
      </c>
      <c r="K4431" t="s">
        <v>24</v>
      </c>
      <c r="L4431">
        <v>1</v>
      </c>
      <c r="M4431">
        <v>4</v>
      </c>
      <c r="N4431" t="s">
        <v>403</v>
      </c>
      <c r="O4431" s="3" t="str">
        <f>TEXT(Ticket_Table[[#This Row],[raised_date]],"YYYY-MM")</f>
        <v>2022-08</v>
      </c>
      <c r="P4431" s="3" t="str">
        <f>IF(Ticket_Table[[#This Row],[resolution_hrs]]&lt;=4,"Fast",IF(Ticket_Table[[#This Row],[resolution_hrs]]&lt;=24,"Normal",IF(Ticket_Table[[#This Row],[resolution_hrs]]&lt;=48,"Slow","Very Slow")))</f>
        <v>Normal</v>
      </c>
      <c r="Q4431" s="3">
        <f>YEAR(Ticket_Table[[#This Row],[raised_date]])</f>
        <v>2022</v>
      </c>
    </row>
    <row r="4432" spans="1:17">
      <c r="A4432" t="s">
        <v>4993</v>
      </c>
      <c r="B4432" t="s">
        <v>733</v>
      </c>
      <c r="C4432" t="s">
        <v>50</v>
      </c>
      <c r="D4432" t="s">
        <v>36</v>
      </c>
      <c r="E4432" t="s">
        <v>83</v>
      </c>
      <c r="F4432" t="s">
        <v>70</v>
      </c>
      <c r="G4432" t="s">
        <v>31</v>
      </c>
      <c r="H4432" s="1">
        <v>44567</v>
      </c>
      <c r="I4432" s="2">
        <v>44567.3291666667</v>
      </c>
      <c r="J4432">
        <v>7.9</v>
      </c>
      <c r="K4432" t="s">
        <v>24</v>
      </c>
      <c r="L4432">
        <v>1</v>
      </c>
      <c r="M4432">
        <v>5</v>
      </c>
      <c r="N4432" t="s">
        <v>466</v>
      </c>
      <c r="O4432" s="3" t="str">
        <f>TEXT(Ticket_Table[[#This Row],[raised_date]],"YYYY-MM")</f>
        <v>2022-01</v>
      </c>
      <c r="P4432" s="3" t="str">
        <f>IF(Ticket_Table[[#This Row],[resolution_hrs]]&lt;=4,"Fast",IF(Ticket_Table[[#This Row],[resolution_hrs]]&lt;=24,"Normal",IF(Ticket_Table[[#This Row],[resolution_hrs]]&lt;=48,"Slow","Very Slow")))</f>
        <v>Normal</v>
      </c>
      <c r="Q4432" s="3">
        <f>YEAR(Ticket_Table[[#This Row],[raised_date]])</f>
        <v>2022</v>
      </c>
    </row>
    <row r="4433" spans="1:17">
      <c r="A4433" t="s">
        <v>4994</v>
      </c>
      <c r="B4433" t="s">
        <v>653</v>
      </c>
      <c r="C4433" t="s">
        <v>140</v>
      </c>
      <c r="D4433" t="s">
        <v>36</v>
      </c>
      <c r="E4433" t="s">
        <v>56</v>
      </c>
      <c r="F4433" t="s">
        <v>70</v>
      </c>
      <c r="G4433" t="s">
        <v>31</v>
      </c>
      <c r="H4433" s="1">
        <v>44437</v>
      </c>
      <c r="I4433" s="2">
        <v>44437.3541666667</v>
      </c>
      <c r="J4433">
        <v>8.5</v>
      </c>
      <c r="K4433" t="s">
        <v>24</v>
      </c>
      <c r="L4433">
        <v>1</v>
      </c>
      <c r="M4433">
        <v>3</v>
      </c>
      <c r="N4433" t="s">
        <v>380</v>
      </c>
      <c r="O4433" s="3" t="str">
        <f>TEXT(Ticket_Table[[#This Row],[raised_date]],"YYYY-MM")</f>
        <v>2021-08</v>
      </c>
      <c r="P4433" s="3" t="str">
        <f>IF(Ticket_Table[[#This Row],[resolution_hrs]]&lt;=4,"Fast",IF(Ticket_Table[[#This Row],[resolution_hrs]]&lt;=24,"Normal",IF(Ticket_Table[[#This Row],[resolution_hrs]]&lt;=48,"Slow","Very Slow")))</f>
        <v>Normal</v>
      </c>
      <c r="Q4433" s="3">
        <f>YEAR(Ticket_Table[[#This Row],[raised_date]])</f>
        <v>2021</v>
      </c>
    </row>
    <row r="4434" spans="1:17">
      <c r="A4434" t="s">
        <v>4995</v>
      </c>
      <c r="B4434" t="s">
        <v>658</v>
      </c>
      <c r="C4434" t="s">
        <v>102</v>
      </c>
      <c r="D4434" t="s">
        <v>36</v>
      </c>
      <c r="E4434" t="s">
        <v>44</v>
      </c>
      <c r="F4434" t="s">
        <v>22</v>
      </c>
      <c r="G4434" t="s">
        <v>23</v>
      </c>
      <c r="H4434" s="1">
        <v>44466</v>
      </c>
      <c r="I4434" s="2">
        <v>44470.2083333333</v>
      </c>
      <c r="J4434">
        <v>101</v>
      </c>
      <c r="K4434" t="s">
        <v>32</v>
      </c>
      <c r="L4434">
        <v>0</v>
      </c>
      <c r="M4434">
        <v>2</v>
      </c>
      <c r="N4434" t="s">
        <v>380</v>
      </c>
      <c r="O4434" s="3" t="str">
        <f>TEXT(Ticket_Table[[#This Row],[raised_date]],"YYYY-MM")</f>
        <v>2021-09</v>
      </c>
      <c r="P4434" s="3" t="str">
        <f>IF(Ticket_Table[[#This Row],[resolution_hrs]]&lt;=4,"Fast",IF(Ticket_Table[[#This Row],[resolution_hrs]]&lt;=24,"Normal",IF(Ticket_Table[[#This Row],[resolution_hrs]]&lt;=48,"Slow","Very Slow")))</f>
        <v>Very Slow</v>
      </c>
      <c r="Q4434" s="3">
        <f>YEAR(Ticket_Table[[#This Row],[raised_date]])</f>
        <v>2021</v>
      </c>
    </row>
    <row r="4435" spans="1:17">
      <c r="A4435" t="s">
        <v>4996</v>
      </c>
      <c r="B4435" t="s">
        <v>452</v>
      </c>
      <c r="C4435" t="s">
        <v>213</v>
      </c>
      <c r="D4435" t="s">
        <v>36</v>
      </c>
      <c r="E4435" t="s">
        <v>51</v>
      </c>
      <c r="F4435" t="s">
        <v>38</v>
      </c>
      <c r="G4435" t="s">
        <v>46</v>
      </c>
      <c r="H4435" s="1">
        <v>44612</v>
      </c>
      <c r="I4435" s="2">
        <v>44612.7375</v>
      </c>
      <c r="J4435">
        <v>17.7</v>
      </c>
      <c r="K4435" t="s">
        <v>24</v>
      </c>
      <c r="L4435">
        <v>0</v>
      </c>
      <c r="M4435">
        <v>4</v>
      </c>
      <c r="N4435" t="s">
        <v>974</v>
      </c>
      <c r="O4435" s="3" t="str">
        <f>TEXT(Ticket_Table[[#This Row],[raised_date]],"YYYY-MM")</f>
        <v>2022-02</v>
      </c>
      <c r="P4435" s="3" t="str">
        <f>IF(Ticket_Table[[#This Row],[resolution_hrs]]&lt;=4,"Fast",IF(Ticket_Table[[#This Row],[resolution_hrs]]&lt;=24,"Normal",IF(Ticket_Table[[#This Row],[resolution_hrs]]&lt;=48,"Slow","Very Slow")))</f>
        <v>Normal</v>
      </c>
      <c r="Q4435" s="3">
        <f>YEAR(Ticket_Table[[#This Row],[raised_date]])</f>
        <v>2022</v>
      </c>
    </row>
    <row r="4436" spans="1:17">
      <c r="A4436" t="s">
        <v>4997</v>
      </c>
      <c r="B4436" t="s">
        <v>406</v>
      </c>
      <c r="C4436" t="s">
        <v>78</v>
      </c>
      <c r="D4436" t="s">
        <v>29</v>
      </c>
      <c r="E4436" t="s">
        <v>37</v>
      </c>
      <c r="F4436" t="s">
        <v>38</v>
      </c>
      <c r="G4436" t="s">
        <v>46</v>
      </c>
      <c r="H4436" s="1">
        <v>44204</v>
      </c>
      <c r="I4436" s="2">
        <v>44205.15</v>
      </c>
      <c r="J4436">
        <v>27.6</v>
      </c>
      <c r="K4436" t="s">
        <v>32</v>
      </c>
      <c r="L4436">
        <v>0</v>
      </c>
      <c r="M4436">
        <v>4</v>
      </c>
      <c r="N4436" t="s">
        <v>1238</v>
      </c>
      <c r="O4436" s="3" t="str">
        <f>TEXT(Ticket_Table[[#This Row],[raised_date]],"YYYY-MM")</f>
        <v>2021-01</v>
      </c>
      <c r="P4436" s="3" t="str">
        <f>IF(Ticket_Table[[#This Row],[resolution_hrs]]&lt;=4,"Fast",IF(Ticket_Table[[#This Row],[resolution_hrs]]&lt;=24,"Normal",IF(Ticket_Table[[#This Row],[resolution_hrs]]&lt;=48,"Slow","Very Slow")))</f>
        <v>Slow</v>
      </c>
      <c r="Q4436" s="3">
        <f>YEAR(Ticket_Table[[#This Row],[raised_date]])</f>
        <v>2021</v>
      </c>
    </row>
    <row r="4437" spans="1:17">
      <c r="A4437" t="s">
        <v>4998</v>
      </c>
      <c r="B4437" t="s">
        <v>52</v>
      </c>
      <c r="C4437" t="s">
        <v>201</v>
      </c>
      <c r="D4437" t="s">
        <v>36</v>
      </c>
      <c r="E4437" t="s">
        <v>83</v>
      </c>
      <c r="F4437" t="s">
        <v>22</v>
      </c>
      <c r="G4437" t="s">
        <v>31</v>
      </c>
      <c r="H4437" s="1">
        <v>44715</v>
      </c>
      <c r="I4437" s="2">
        <v>44719.4166666667</v>
      </c>
      <c r="J4437">
        <v>106</v>
      </c>
      <c r="K4437" t="s">
        <v>32</v>
      </c>
      <c r="L4437">
        <v>0</v>
      </c>
      <c r="M4437">
        <v>4</v>
      </c>
      <c r="N4437" t="s">
        <v>283</v>
      </c>
      <c r="O4437" s="3" t="str">
        <f>TEXT(Ticket_Table[[#This Row],[raised_date]],"YYYY-MM")</f>
        <v>2022-06</v>
      </c>
      <c r="P4437" s="3" t="str">
        <f>IF(Ticket_Table[[#This Row],[resolution_hrs]]&lt;=4,"Fast",IF(Ticket_Table[[#This Row],[resolution_hrs]]&lt;=24,"Normal",IF(Ticket_Table[[#This Row],[resolution_hrs]]&lt;=48,"Slow","Very Slow")))</f>
        <v>Very Slow</v>
      </c>
      <c r="Q4437" s="3">
        <f>YEAR(Ticket_Table[[#This Row],[raised_date]])</f>
        <v>2022</v>
      </c>
    </row>
    <row r="4438" spans="1:17">
      <c r="A4438" t="s">
        <v>4999</v>
      </c>
      <c r="B4438" t="s">
        <v>2654</v>
      </c>
      <c r="C4438" t="s">
        <v>50</v>
      </c>
      <c r="D4438" t="s">
        <v>20</v>
      </c>
      <c r="E4438" t="s">
        <v>83</v>
      </c>
      <c r="F4438" t="s">
        <v>70</v>
      </c>
      <c r="G4438" t="s">
        <v>46</v>
      </c>
      <c r="H4438" s="1">
        <v>44222</v>
      </c>
      <c r="I4438" s="2">
        <v>44224.4333333333</v>
      </c>
      <c r="J4438">
        <v>58.4</v>
      </c>
      <c r="K4438" t="s">
        <v>32</v>
      </c>
      <c r="L4438">
        <v>0</v>
      </c>
      <c r="M4438">
        <v>3</v>
      </c>
      <c r="N4438" t="s">
        <v>114</v>
      </c>
      <c r="O4438" s="3" t="str">
        <f>TEXT(Ticket_Table[[#This Row],[raised_date]],"YYYY-MM")</f>
        <v>2021-01</v>
      </c>
      <c r="P4438" s="3" t="str">
        <f>IF(Ticket_Table[[#This Row],[resolution_hrs]]&lt;=4,"Fast",IF(Ticket_Table[[#This Row],[resolution_hrs]]&lt;=24,"Normal",IF(Ticket_Table[[#This Row],[resolution_hrs]]&lt;=48,"Slow","Very Slow")))</f>
        <v>Very Slow</v>
      </c>
      <c r="Q4438" s="3">
        <f>YEAR(Ticket_Table[[#This Row],[raised_date]])</f>
        <v>2021</v>
      </c>
    </row>
    <row r="4439" spans="1:17">
      <c r="A4439" t="s">
        <v>5000</v>
      </c>
      <c r="B4439" t="s">
        <v>653</v>
      </c>
      <c r="C4439" t="s">
        <v>42</v>
      </c>
      <c r="D4439" t="s">
        <v>20</v>
      </c>
      <c r="E4439" t="s">
        <v>69</v>
      </c>
      <c r="F4439" t="s">
        <v>45</v>
      </c>
      <c r="G4439" t="s">
        <v>46</v>
      </c>
      <c r="H4439" s="1">
        <v>45136</v>
      </c>
      <c r="I4439" s="2">
        <v>45136.1958333333</v>
      </c>
      <c r="J4439">
        <v>4.7</v>
      </c>
      <c r="K4439" t="s">
        <v>32</v>
      </c>
      <c r="L4439">
        <v>0</v>
      </c>
      <c r="M4439">
        <v>2</v>
      </c>
      <c r="N4439" t="s">
        <v>96</v>
      </c>
      <c r="O4439" s="3" t="str">
        <f>TEXT(Ticket_Table[[#This Row],[raised_date]],"YYYY-MM")</f>
        <v>2023-07</v>
      </c>
      <c r="P4439" s="3" t="str">
        <f>IF(Ticket_Table[[#This Row],[resolution_hrs]]&lt;=4,"Fast",IF(Ticket_Table[[#This Row],[resolution_hrs]]&lt;=24,"Normal",IF(Ticket_Table[[#This Row],[resolution_hrs]]&lt;=48,"Slow","Very Slow")))</f>
        <v>Normal</v>
      </c>
      <c r="Q4439" s="3">
        <f>YEAR(Ticket_Table[[#This Row],[raised_date]])</f>
        <v>2023</v>
      </c>
    </row>
    <row r="4440" spans="1:17">
      <c r="A4440" t="s">
        <v>5001</v>
      </c>
      <c r="B4440" t="s">
        <v>398</v>
      </c>
      <c r="C4440" t="s">
        <v>95</v>
      </c>
      <c r="D4440" t="s">
        <v>29</v>
      </c>
      <c r="E4440" t="s">
        <v>69</v>
      </c>
      <c r="F4440" t="s">
        <v>70</v>
      </c>
      <c r="G4440" t="s">
        <v>23</v>
      </c>
      <c r="H4440" s="1">
        <v>45216</v>
      </c>
      <c r="I4440" s="2">
        <v>45216.7416666667</v>
      </c>
      <c r="J4440">
        <v>17.8</v>
      </c>
      <c r="K4440" t="s">
        <v>24</v>
      </c>
      <c r="L4440">
        <v>0</v>
      </c>
      <c r="M4440">
        <v>3</v>
      </c>
      <c r="N4440" t="s">
        <v>917</v>
      </c>
      <c r="O4440" s="3" t="str">
        <f>TEXT(Ticket_Table[[#This Row],[raised_date]],"YYYY-MM")</f>
        <v>2023-10</v>
      </c>
      <c r="P4440" s="3" t="str">
        <f>IF(Ticket_Table[[#This Row],[resolution_hrs]]&lt;=4,"Fast",IF(Ticket_Table[[#This Row],[resolution_hrs]]&lt;=24,"Normal",IF(Ticket_Table[[#This Row],[resolution_hrs]]&lt;=48,"Slow","Very Slow")))</f>
        <v>Normal</v>
      </c>
      <c r="Q4440" s="3">
        <f>YEAR(Ticket_Table[[#This Row],[raised_date]])</f>
        <v>2023</v>
      </c>
    </row>
    <row r="4441" spans="1:17">
      <c r="A4441" t="s">
        <v>5002</v>
      </c>
      <c r="B4441" t="s">
        <v>290</v>
      </c>
      <c r="C4441" t="s">
        <v>42</v>
      </c>
      <c r="D4441" t="s">
        <v>36</v>
      </c>
      <c r="E4441" t="s">
        <v>83</v>
      </c>
      <c r="F4441" t="s">
        <v>70</v>
      </c>
      <c r="G4441" t="s">
        <v>74</v>
      </c>
      <c r="H4441" s="1">
        <v>45218</v>
      </c>
      <c r="I4441" s="2">
        <v>45220.7041666667</v>
      </c>
      <c r="J4441">
        <v>64.9</v>
      </c>
      <c r="K4441" t="s">
        <v>32</v>
      </c>
      <c r="L4441">
        <v>0</v>
      </c>
      <c r="M4441">
        <v>4</v>
      </c>
      <c r="N4441" t="s">
        <v>275</v>
      </c>
      <c r="O4441" s="3" t="str">
        <f>TEXT(Ticket_Table[[#This Row],[raised_date]],"YYYY-MM")</f>
        <v>2023-10</v>
      </c>
      <c r="P4441" s="3" t="str">
        <f>IF(Ticket_Table[[#This Row],[resolution_hrs]]&lt;=4,"Fast",IF(Ticket_Table[[#This Row],[resolution_hrs]]&lt;=24,"Normal",IF(Ticket_Table[[#This Row],[resolution_hrs]]&lt;=48,"Slow","Very Slow")))</f>
        <v>Very Slow</v>
      </c>
      <c r="Q4441" s="3">
        <f>YEAR(Ticket_Table[[#This Row],[raised_date]])</f>
        <v>2023</v>
      </c>
    </row>
    <row r="4442" spans="1:17">
      <c r="A4442" t="s">
        <v>5003</v>
      </c>
      <c r="B4442" t="s">
        <v>703</v>
      </c>
      <c r="C4442" t="s">
        <v>287</v>
      </c>
      <c r="D4442" t="s">
        <v>90</v>
      </c>
      <c r="E4442" t="s">
        <v>166</v>
      </c>
      <c r="F4442" t="s">
        <v>22</v>
      </c>
      <c r="G4442" t="s">
        <v>46</v>
      </c>
      <c r="H4442" s="1">
        <v>44208</v>
      </c>
      <c r="I4442" s="2">
        <v>44208.8166666667</v>
      </c>
      <c r="J4442">
        <v>19.6</v>
      </c>
      <c r="K4442" t="s">
        <v>24</v>
      </c>
      <c r="L4442">
        <v>0</v>
      </c>
      <c r="M4442">
        <v>4</v>
      </c>
      <c r="N4442" t="s">
        <v>296</v>
      </c>
      <c r="O4442" s="3" t="str">
        <f>TEXT(Ticket_Table[[#This Row],[raised_date]],"YYYY-MM")</f>
        <v>2021-01</v>
      </c>
      <c r="P4442" s="3" t="str">
        <f>IF(Ticket_Table[[#This Row],[resolution_hrs]]&lt;=4,"Fast",IF(Ticket_Table[[#This Row],[resolution_hrs]]&lt;=24,"Normal",IF(Ticket_Table[[#This Row],[resolution_hrs]]&lt;=48,"Slow","Very Slow")))</f>
        <v>Normal</v>
      </c>
      <c r="Q4442" s="3">
        <f>YEAR(Ticket_Table[[#This Row],[raised_date]])</f>
        <v>2021</v>
      </c>
    </row>
    <row r="4443" spans="1:17">
      <c r="A4443" t="s">
        <v>5004</v>
      </c>
      <c r="B4443" t="s">
        <v>760</v>
      </c>
      <c r="C4443" t="s">
        <v>28</v>
      </c>
      <c r="D4443" t="s">
        <v>36</v>
      </c>
      <c r="E4443" t="s">
        <v>21</v>
      </c>
      <c r="F4443" t="s">
        <v>70</v>
      </c>
      <c r="G4443" t="s">
        <v>46</v>
      </c>
      <c r="H4443" s="1">
        <v>45207</v>
      </c>
      <c r="I4443" s="2">
        <v>45209.6833333333</v>
      </c>
      <c r="J4443">
        <v>64.4</v>
      </c>
      <c r="K4443" t="s">
        <v>32</v>
      </c>
      <c r="L4443">
        <v>0</v>
      </c>
      <c r="M4443">
        <v>4</v>
      </c>
      <c r="N4443" t="s">
        <v>525</v>
      </c>
      <c r="O4443" s="3" t="str">
        <f>TEXT(Ticket_Table[[#This Row],[raised_date]],"YYYY-MM")</f>
        <v>2023-10</v>
      </c>
      <c r="P4443" s="3" t="str">
        <f>IF(Ticket_Table[[#This Row],[resolution_hrs]]&lt;=4,"Fast",IF(Ticket_Table[[#This Row],[resolution_hrs]]&lt;=24,"Normal",IF(Ticket_Table[[#This Row],[resolution_hrs]]&lt;=48,"Slow","Very Slow")))</f>
        <v>Very Slow</v>
      </c>
      <c r="Q4443" s="3">
        <f>YEAR(Ticket_Table[[#This Row],[raised_date]])</f>
        <v>2023</v>
      </c>
    </row>
    <row r="4444" spans="1:17">
      <c r="A4444" t="s">
        <v>5005</v>
      </c>
      <c r="B4444" t="s">
        <v>1582</v>
      </c>
      <c r="C4444" t="s">
        <v>201</v>
      </c>
      <c r="D4444" t="s">
        <v>20</v>
      </c>
      <c r="E4444" t="s">
        <v>37</v>
      </c>
      <c r="F4444" t="s">
        <v>22</v>
      </c>
      <c r="G4444" t="s">
        <v>91</v>
      </c>
      <c r="H4444" s="1">
        <v>44684</v>
      </c>
      <c r="I4444" s="2">
        <v>44687.4125</v>
      </c>
      <c r="J4444">
        <v>81.9</v>
      </c>
      <c r="K4444" t="s">
        <v>32</v>
      </c>
      <c r="L4444">
        <v>0</v>
      </c>
      <c r="M4444">
        <v>2</v>
      </c>
      <c r="N4444" t="s">
        <v>145</v>
      </c>
      <c r="O4444" s="3" t="str">
        <f>TEXT(Ticket_Table[[#This Row],[raised_date]],"YYYY-MM")</f>
        <v>2022-05</v>
      </c>
      <c r="P4444" s="3" t="str">
        <f>IF(Ticket_Table[[#This Row],[resolution_hrs]]&lt;=4,"Fast",IF(Ticket_Table[[#This Row],[resolution_hrs]]&lt;=24,"Normal",IF(Ticket_Table[[#This Row],[resolution_hrs]]&lt;=48,"Slow","Very Slow")))</f>
        <v>Very Slow</v>
      </c>
      <c r="Q4444" s="3">
        <f>YEAR(Ticket_Table[[#This Row],[raised_date]])</f>
        <v>2022</v>
      </c>
    </row>
    <row r="4445" spans="1:17">
      <c r="A4445" t="s">
        <v>5006</v>
      </c>
      <c r="B4445" t="s">
        <v>817</v>
      </c>
      <c r="C4445" t="s">
        <v>140</v>
      </c>
      <c r="D4445" t="s">
        <v>43</v>
      </c>
      <c r="E4445" t="s">
        <v>69</v>
      </c>
      <c r="F4445" t="s">
        <v>45</v>
      </c>
      <c r="G4445" t="s">
        <v>46</v>
      </c>
      <c r="H4445" s="1">
        <v>44641</v>
      </c>
      <c r="I4445" s="2">
        <v>44641.1291666667</v>
      </c>
      <c r="J4445">
        <v>3.1</v>
      </c>
      <c r="K4445" t="s">
        <v>24</v>
      </c>
      <c r="L4445">
        <v>0</v>
      </c>
      <c r="M4445">
        <v>2</v>
      </c>
      <c r="N4445" t="s">
        <v>320</v>
      </c>
      <c r="O4445" s="3" t="str">
        <f>TEXT(Ticket_Table[[#This Row],[raised_date]],"YYYY-MM")</f>
        <v>2022-03</v>
      </c>
      <c r="P4445" s="3" t="str">
        <f>IF(Ticket_Table[[#This Row],[resolution_hrs]]&lt;=4,"Fast",IF(Ticket_Table[[#This Row],[resolution_hrs]]&lt;=24,"Normal",IF(Ticket_Table[[#This Row],[resolution_hrs]]&lt;=48,"Slow","Very Slow")))</f>
        <v>Fast</v>
      </c>
      <c r="Q4445" s="3">
        <f>YEAR(Ticket_Table[[#This Row],[raised_date]])</f>
        <v>2022</v>
      </c>
    </row>
    <row r="4446" spans="1:17">
      <c r="A4446" t="s">
        <v>5007</v>
      </c>
      <c r="B4446" t="s">
        <v>367</v>
      </c>
      <c r="C4446" t="s">
        <v>117</v>
      </c>
      <c r="D4446" t="s">
        <v>43</v>
      </c>
      <c r="E4446" t="s">
        <v>106</v>
      </c>
      <c r="F4446" t="s">
        <v>38</v>
      </c>
      <c r="G4446" t="s">
        <v>31</v>
      </c>
      <c r="H4446" s="1">
        <v>45171</v>
      </c>
      <c r="I4446" s="2">
        <v>45171.1375</v>
      </c>
      <c r="J4446">
        <v>3.3</v>
      </c>
      <c r="K4446" t="s">
        <v>24</v>
      </c>
      <c r="L4446">
        <v>1</v>
      </c>
      <c r="M4446">
        <v>1</v>
      </c>
      <c r="N4446" t="s">
        <v>558</v>
      </c>
      <c r="O4446" s="3" t="str">
        <f>TEXT(Ticket_Table[[#This Row],[raised_date]],"YYYY-MM")</f>
        <v>2023-09</v>
      </c>
      <c r="P4446" s="3" t="str">
        <f>IF(Ticket_Table[[#This Row],[resolution_hrs]]&lt;=4,"Fast",IF(Ticket_Table[[#This Row],[resolution_hrs]]&lt;=24,"Normal",IF(Ticket_Table[[#This Row],[resolution_hrs]]&lt;=48,"Slow","Very Slow")))</f>
        <v>Fast</v>
      </c>
      <c r="Q4446" s="3">
        <f>YEAR(Ticket_Table[[#This Row],[raised_date]])</f>
        <v>2023</v>
      </c>
    </row>
    <row r="4447" spans="1:17">
      <c r="A4447" t="s">
        <v>5008</v>
      </c>
      <c r="B4447" t="s">
        <v>248</v>
      </c>
      <c r="C4447" t="s">
        <v>64</v>
      </c>
      <c r="D4447" t="s">
        <v>90</v>
      </c>
      <c r="E4447" t="s">
        <v>56</v>
      </c>
      <c r="F4447" t="s">
        <v>38</v>
      </c>
      <c r="G4447" t="s">
        <v>46</v>
      </c>
      <c r="H4447" s="1">
        <v>45126</v>
      </c>
      <c r="I4447" s="2">
        <v>45126.9333333333</v>
      </c>
      <c r="J4447">
        <v>22.4</v>
      </c>
      <c r="K4447" t="s">
        <v>24</v>
      </c>
      <c r="L4447">
        <v>0</v>
      </c>
      <c r="M4447">
        <v>4</v>
      </c>
      <c r="N4447" t="s">
        <v>148</v>
      </c>
      <c r="O4447" s="3" t="str">
        <f>TEXT(Ticket_Table[[#This Row],[raised_date]],"YYYY-MM")</f>
        <v>2023-07</v>
      </c>
      <c r="P4447" s="3" t="str">
        <f>IF(Ticket_Table[[#This Row],[resolution_hrs]]&lt;=4,"Fast",IF(Ticket_Table[[#This Row],[resolution_hrs]]&lt;=24,"Normal",IF(Ticket_Table[[#This Row],[resolution_hrs]]&lt;=48,"Slow","Very Slow")))</f>
        <v>Normal</v>
      </c>
      <c r="Q4447" s="3">
        <f>YEAR(Ticket_Table[[#This Row],[raised_date]])</f>
        <v>2023</v>
      </c>
    </row>
    <row r="4448" spans="1:17">
      <c r="A4448" t="s">
        <v>5009</v>
      </c>
      <c r="B4448" t="s">
        <v>1216</v>
      </c>
      <c r="C4448" t="s">
        <v>95</v>
      </c>
      <c r="D4448" t="s">
        <v>36</v>
      </c>
      <c r="E4448" t="s">
        <v>37</v>
      </c>
      <c r="F4448" t="s">
        <v>38</v>
      </c>
      <c r="G4448" t="s">
        <v>31</v>
      </c>
      <c r="H4448" s="1">
        <v>45036</v>
      </c>
      <c r="I4448" s="2">
        <v>45036.2083333333</v>
      </c>
      <c r="J4448">
        <v>5</v>
      </c>
      <c r="K4448" t="s">
        <v>24</v>
      </c>
      <c r="L4448">
        <v>2</v>
      </c>
      <c r="M4448">
        <v>3</v>
      </c>
      <c r="N4448" t="s">
        <v>656</v>
      </c>
      <c r="O4448" s="3" t="str">
        <f>TEXT(Ticket_Table[[#This Row],[raised_date]],"YYYY-MM")</f>
        <v>2023-04</v>
      </c>
      <c r="P4448" s="3" t="str">
        <f>IF(Ticket_Table[[#This Row],[resolution_hrs]]&lt;=4,"Fast",IF(Ticket_Table[[#This Row],[resolution_hrs]]&lt;=24,"Normal",IF(Ticket_Table[[#This Row],[resolution_hrs]]&lt;=48,"Slow","Very Slow")))</f>
        <v>Normal</v>
      </c>
      <c r="Q4448" s="3">
        <f>YEAR(Ticket_Table[[#This Row],[raised_date]])</f>
        <v>2023</v>
      </c>
    </row>
    <row r="4449" spans="1:17">
      <c r="A4449" t="s">
        <v>5010</v>
      </c>
      <c r="B4449" t="s">
        <v>560</v>
      </c>
      <c r="C4449" t="s">
        <v>82</v>
      </c>
      <c r="D4449" t="s">
        <v>29</v>
      </c>
      <c r="E4449" t="s">
        <v>83</v>
      </c>
      <c r="F4449" t="s">
        <v>70</v>
      </c>
      <c r="G4449" t="s">
        <v>23</v>
      </c>
      <c r="H4449" s="1">
        <v>45101</v>
      </c>
      <c r="I4449" s="2">
        <v>45103.5458333333</v>
      </c>
      <c r="J4449">
        <v>61.1</v>
      </c>
      <c r="K4449" t="s">
        <v>32</v>
      </c>
      <c r="L4449">
        <v>0</v>
      </c>
      <c r="M4449">
        <v>5</v>
      </c>
      <c r="N4449" t="s">
        <v>302</v>
      </c>
      <c r="O4449" s="3" t="str">
        <f>TEXT(Ticket_Table[[#This Row],[raised_date]],"YYYY-MM")</f>
        <v>2023-06</v>
      </c>
      <c r="P4449" s="3" t="str">
        <f>IF(Ticket_Table[[#This Row],[resolution_hrs]]&lt;=4,"Fast",IF(Ticket_Table[[#This Row],[resolution_hrs]]&lt;=24,"Normal",IF(Ticket_Table[[#This Row],[resolution_hrs]]&lt;=48,"Slow","Very Slow")))</f>
        <v>Very Slow</v>
      </c>
      <c r="Q4449" s="3">
        <f>YEAR(Ticket_Table[[#This Row],[raised_date]])</f>
        <v>2023</v>
      </c>
    </row>
    <row r="4450" spans="1:17">
      <c r="A4450" t="s">
        <v>5011</v>
      </c>
      <c r="B4450" t="s">
        <v>802</v>
      </c>
      <c r="C4450" t="s">
        <v>140</v>
      </c>
      <c r="D4450" t="s">
        <v>36</v>
      </c>
      <c r="E4450" t="s">
        <v>83</v>
      </c>
      <c r="F4450" t="s">
        <v>70</v>
      </c>
      <c r="G4450" t="s">
        <v>31</v>
      </c>
      <c r="H4450" s="1">
        <v>44359</v>
      </c>
      <c r="I4450" s="2">
        <v>44359.2583333333</v>
      </c>
      <c r="J4450">
        <v>6.2</v>
      </c>
      <c r="K4450" t="s">
        <v>24</v>
      </c>
      <c r="L4450">
        <v>1</v>
      </c>
      <c r="M4450">
        <v>3</v>
      </c>
      <c r="N4450" t="s">
        <v>110</v>
      </c>
      <c r="O4450" s="3" t="str">
        <f>TEXT(Ticket_Table[[#This Row],[raised_date]],"YYYY-MM")</f>
        <v>2021-06</v>
      </c>
      <c r="P4450" s="3" t="str">
        <f>IF(Ticket_Table[[#This Row],[resolution_hrs]]&lt;=4,"Fast",IF(Ticket_Table[[#This Row],[resolution_hrs]]&lt;=24,"Normal",IF(Ticket_Table[[#This Row],[resolution_hrs]]&lt;=48,"Slow","Very Slow")))</f>
        <v>Normal</v>
      </c>
      <c r="Q4450" s="3">
        <f>YEAR(Ticket_Table[[#This Row],[raised_date]])</f>
        <v>2021</v>
      </c>
    </row>
    <row r="4451" spans="1:17">
      <c r="A4451" t="s">
        <v>5012</v>
      </c>
      <c r="B4451" t="s">
        <v>157</v>
      </c>
      <c r="C4451" t="s">
        <v>140</v>
      </c>
      <c r="D4451" t="s">
        <v>90</v>
      </c>
      <c r="E4451" t="s">
        <v>51</v>
      </c>
      <c r="F4451" t="s">
        <v>38</v>
      </c>
      <c r="G4451" t="s">
        <v>31</v>
      </c>
      <c r="H4451" s="1">
        <v>44210</v>
      </c>
      <c r="I4451" s="2">
        <v>44211.1541666667</v>
      </c>
      <c r="J4451">
        <v>27.7</v>
      </c>
      <c r="K4451" t="s">
        <v>32</v>
      </c>
      <c r="L4451">
        <v>0</v>
      </c>
      <c r="M4451">
        <v>3</v>
      </c>
      <c r="N4451" t="s">
        <v>1061</v>
      </c>
      <c r="O4451" s="3" t="str">
        <f>TEXT(Ticket_Table[[#This Row],[raised_date]],"YYYY-MM")</f>
        <v>2021-01</v>
      </c>
      <c r="P4451" s="3" t="str">
        <f>IF(Ticket_Table[[#This Row],[resolution_hrs]]&lt;=4,"Fast",IF(Ticket_Table[[#This Row],[resolution_hrs]]&lt;=24,"Normal",IF(Ticket_Table[[#This Row],[resolution_hrs]]&lt;=48,"Slow","Very Slow")))</f>
        <v>Slow</v>
      </c>
      <c r="Q4451" s="3">
        <f>YEAR(Ticket_Table[[#This Row],[raised_date]])</f>
        <v>2021</v>
      </c>
    </row>
    <row r="4452" spans="1:17">
      <c r="A4452" t="s">
        <v>5013</v>
      </c>
      <c r="B4452" t="s">
        <v>389</v>
      </c>
      <c r="C4452" t="s">
        <v>117</v>
      </c>
      <c r="D4452" t="s">
        <v>90</v>
      </c>
      <c r="E4452" t="s">
        <v>21</v>
      </c>
      <c r="F4452" t="s">
        <v>45</v>
      </c>
      <c r="G4452" t="s">
        <v>23</v>
      </c>
      <c r="H4452" s="1">
        <v>44698</v>
      </c>
      <c r="I4452" s="2">
        <v>44698.1666666667</v>
      </c>
      <c r="J4452">
        <v>4</v>
      </c>
      <c r="K4452" t="s">
        <v>24</v>
      </c>
      <c r="L4452">
        <v>2</v>
      </c>
      <c r="M4452">
        <v>4</v>
      </c>
      <c r="N4452" t="s">
        <v>760</v>
      </c>
      <c r="O4452" s="3" t="str">
        <f>TEXT(Ticket_Table[[#This Row],[raised_date]],"YYYY-MM")</f>
        <v>2022-05</v>
      </c>
      <c r="P4452" s="3" t="str">
        <f>IF(Ticket_Table[[#This Row],[resolution_hrs]]&lt;=4,"Fast",IF(Ticket_Table[[#This Row],[resolution_hrs]]&lt;=24,"Normal",IF(Ticket_Table[[#This Row],[resolution_hrs]]&lt;=48,"Slow","Very Slow")))</f>
        <v>Fast</v>
      </c>
      <c r="Q4452" s="3">
        <f>YEAR(Ticket_Table[[#This Row],[raised_date]])</f>
        <v>2022</v>
      </c>
    </row>
    <row r="4453" spans="1:17">
      <c r="A4453" t="s">
        <v>5014</v>
      </c>
      <c r="B4453" t="s">
        <v>25</v>
      </c>
      <c r="C4453" t="s">
        <v>55</v>
      </c>
      <c r="D4453" t="s">
        <v>90</v>
      </c>
      <c r="E4453" t="s">
        <v>56</v>
      </c>
      <c r="F4453" t="s">
        <v>70</v>
      </c>
      <c r="G4453" t="s">
        <v>31</v>
      </c>
      <c r="H4453" s="1">
        <v>44766</v>
      </c>
      <c r="I4453" s="2">
        <v>44768.5291666667</v>
      </c>
      <c r="J4453">
        <v>60.7</v>
      </c>
      <c r="K4453" t="s">
        <v>32</v>
      </c>
      <c r="L4453">
        <v>0</v>
      </c>
      <c r="M4453">
        <v>3</v>
      </c>
      <c r="N4453" t="s">
        <v>406</v>
      </c>
      <c r="O4453" s="3" t="str">
        <f>TEXT(Ticket_Table[[#This Row],[raised_date]],"YYYY-MM")</f>
        <v>2022-07</v>
      </c>
      <c r="P4453" s="3" t="str">
        <f>IF(Ticket_Table[[#This Row],[resolution_hrs]]&lt;=4,"Fast",IF(Ticket_Table[[#This Row],[resolution_hrs]]&lt;=24,"Normal",IF(Ticket_Table[[#This Row],[resolution_hrs]]&lt;=48,"Slow","Very Slow")))</f>
        <v>Very Slow</v>
      </c>
      <c r="Q4453" s="3">
        <f>YEAR(Ticket_Table[[#This Row],[raised_date]])</f>
        <v>2022</v>
      </c>
    </row>
    <row r="4454" spans="1:17">
      <c r="A4454" t="s">
        <v>5015</v>
      </c>
      <c r="B4454" t="s">
        <v>1200</v>
      </c>
      <c r="C4454" t="s">
        <v>287</v>
      </c>
      <c r="D4454" t="s">
        <v>43</v>
      </c>
      <c r="E4454" t="s">
        <v>106</v>
      </c>
      <c r="F4454" t="s">
        <v>45</v>
      </c>
      <c r="G4454" t="s">
        <v>23</v>
      </c>
      <c r="H4454" s="1">
        <v>44622</v>
      </c>
      <c r="I4454" s="2">
        <v>44622.2333333333</v>
      </c>
      <c r="J4454">
        <v>5.6</v>
      </c>
      <c r="K4454" t="s">
        <v>32</v>
      </c>
      <c r="L4454">
        <v>1</v>
      </c>
      <c r="M4454">
        <v>5</v>
      </c>
      <c r="N4454" t="s">
        <v>378</v>
      </c>
      <c r="O4454" s="3" t="str">
        <f>TEXT(Ticket_Table[[#This Row],[raised_date]],"YYYY-MM")</f>
        <v>2022-03</v>
      </c>
      <c r="P4454" s="3" t="str">
        <f>IF(Ticket_Table[[#This Row],[resolution_hrs]]&lt;=4,"Fast",IF(Ticket_Table[[#This Row],[resolution_hrs]]&lt;=24,"Normal",IF(Ticket_Table[[#This Row],[resolution_hrs]]&lt;=48,"Slow","Very Slow")))</f>
        <v>Normal</v>
      </c>
      <c r="Q4454" s="3">
        <f>YEAR(Ticket_Table[[#This Row],[raised_date]])</f>
        <v>2022</v>
      </c>
    </row>
    <row r="4455" spans="1:17">
      <c r="A4455" t="s">
        <v>5016</v>
      </c>
      <c r="B4455" t="s">
        <v>378</v>
      </c>
      <c r="C4455" t="s">
        <v>55</v>
      </c>
      <c r="D4455" t="s">
        <v>36</v>
      </c>
      <c r="E4455" t="s">
        <v>30</v>
      </c>
      <c r="F4455" t="s">
        <v>70</v>
      </c>
      <c r="G4455" t="s">
        <v>31</v>
      </c>
      <c r="H4455" s="1">
        <v>44297</v>
      </c>
      <c r="I4455" s="2">
        <v>44297.9916666667</v>
      </c>
      <c r="J4455">
        <v>23.8</v>
      </c>
      <c r="K4455" t="s">
        <v>24</v>
      </c>
      <c r="L4455">
        <v>0</v>
      </c>
      <c r="M4455">
        <v>5</v>
      </c>
      <c r="N4455" t="s">
        <v>394</v>
      </c>
      <c r="O4455" s="3" t="str">
        <f>TEXT(Ticket_Table[[#This Row],[raised_date]],"YYYY-MM")</f>
        <v>2021-04</v>
      </c>
      <c r="P4455" s="3" t="str">
        <f>IF(Ticket_Table[[#This Row],[resolution_hrs]]&lt;=4,"Fast",IF(Ticket_Table[[#This Row],[resolution_hrs]]&lt;=24,"Normal",IF(Ticket_Table[[#This Row],[resolution_hrs]]&lt;=48,"Slow","Very Slow")))</f>
        <v>Normal</v>
      </c>
      <c r="Q4455" s="3">
        <f>YEAR(Ticket_Table[[#This Row],[raised_date]])</f>
        <v>2021</v>
      </c>
    </row>
    <row r="4456" spans="1:17">
      <c r="A4456" t="s">
        <v>5017</v>
      </c>
      <c r="B4456" t="s">
        <v>280</v>
      </c>
      <c r="C4456" t="s">
        <v>201</v>
      </c>
      <c r="D4456" t="s">
        <v>36</v>
      </c>
      <c r="E4456" t="s">
        <v>69</v>
      </c>
      <c r="F4456" t="s">
        <v>70</v>
      </c>
      <c r="G4456" t="s">
        <v>23</v>
      </c>
      <c r="H4456" s="1">
        <v>44575</v>
      </c>
      <c r="I4456" s="2">
        <v>44577.1083333333</v>
      </c>
      <c r="J4456">
        <v>50.6</v>
      </c>
      <c r="K4456" t="s">
        <v>32</v>
      </c>
      <c r="L4456">
        <v>0</v>
      </c>
      <c r="M4456">
        <v>1</v>
      </c>
      <c r="N4456" t="s">
        <v>527</v>
      </c>
      <c r="O4456" s="3" t="str">
        <f>TEXT(Ticket_Table[[#This Row],[raised_date]],"YYYY-MM")</f>
        <v>2022-01</v>
      </c>
      <c r="P4456" s="3" t="str">
        <f>IF(Ticket_Table[[#This Row],[resolution_hrs]]&lt;=4,"Fast",IF(Ticket_Table[[#This Row],[resolution_hrs]]&lt;=24,"Normal",IF(Ticket_Table[[#This Row],[resolution_hrs]]&lt;=48,"Slow","Very Slow")))</f>
        <v>Very Slow</v>
      </c>
      <c r="Q4456" s="3">
        <f>YEAR(Ticket_Table[[#This Row],[raised_date]])</f>
        <v>2022</v>
      </c>
    </row>
    <row r="4457" spans="1:17">
      <c r="A4457" t="s">
        <v>5018</v>
      </c>
      <c r="B4457" t="s">
        <v>924</v>
      </c>
      <c r="C4457" t="s">
        <v>175</v>
      </c>
      <c r="D4457" t="s">
        <v>29</v>
      </c>
      <c r="E4457" t="s">
        <v>51</v>
      </c>
      <c r="F4457" t="s">
        <v>70</v>
      </c>
      <c r="G4457" t="s">
        <v>31</v>
      </c>
      <c r="H4457" s="1">
        <v>44500</v>
      </c>
      <c r="I4457" s="2">
        <v>44501.1583333333</v>
      </c>
      <c r="J4457">
        <v>27.8</v>
      </c>
      <c r="K4457" t="s">
        <v>24</v>
      </c>
      <c r="L4457">
        <v>0</v>
      </c>
      <c r="M4457">
        <v>4</v>
      </c>
      <c r="N4457" t="s">
        <v>314</v>
      </c>
      <c r="O4457" s="3" t="str">
        <f>TEXT(Ticket_Table[[#This Row],[raised_date]],"YYYY-MM")</f>
        <v>2021-10</v>
      </c>
      <c r="P4457" s="3" t="str">
        <f>IF(Ticket_Table[[#This Row],[resolution_hrs]]&lt;=4,"Fast",IF(Ticket_Table[[#This Row],[resolution_hrs]]&lt;=24,"Normal",IF(Ticket_Table[[#This Row],[resolution_hrs]]&lt;=48,"Slow","Very Slow")))</f>
        <v>Slow</v>
      </c>
      <c r="Q4457" s="3">
        <f>YEAR(Ticket_Table[[#This Row],[raised_date]])</f>
        <v>2021</v>
      </c>
    </row>
    <row r="4458" spans="1:17">
      <c r="A4458" t="s">
        <v>5019</v>
      </c>
      <c r="B4458" t="s">
        <v>844</v>
      </c>
      <c r="C4458" t="s">
        <v>68</v>
      </c>
      <c r="D4458" t="s">
        <v>90</v>
      </c>
      <c r="E4458" t="s">
        <v>83</v>
      </c>
      <c r="F4458" t="s">
        <v>22</v>
      </c>
      <c r="G4458" t="s">
        <v>31</v>
      </c>
      <c r="H4458" s="1">
        <v>44309</v>
      </c>
      <c r="I4458" s="2">
        <v>44313.45</v>
      </c>
      <c r="J4458">
        <v>106.8</v>
      </c>
      <c r="K4458" t="s">
        <v>32</v>
      </c>
      <c r="L4458">
        <v>0</v>
      </c>
      <c r="M4458">
        <v>4</v>
      </c>
      <c r="N4458" t="s">
        <v>275</v>
      </c>
      <c r="O4458" s="3" t="str">
        <f>TEXT(Ticket_Table[[#This Row],[raised_date]],"YYYY-MM")</f>
        <v>2021-04</v>
      </c>
      <c r="P4458" s="3" t="str">
        <f>IF(Ticket_Table[[#This Row],[resolution_hrs]]&lt;=4,"Fast",IF(Ticket_Table[[#This Row],[resolution_hrs]]&lt;=24,"Normal",IF(Ticket_Table[[#This Row],[resolution_hrs]]&lt;=48,"Slow","Very Slow")))</f>
        <v>Very Slow</v>
      </c>
      <c r="Q4458" s="3">
        <f>YEAR(Ticket_Table[[#This Row],[raised_date]])</f>
        <v>2021</v>
      </c>
    </row>
    <row r="4459" spans="1:17">
      <c r="A4459" t="s">
        <v>5020</v>
      </c>
      <c r="B4459" t="s">
        <v>221</v>
      </c>
      <c r="C4459" t="s">
        <v>50</v>
      </c>
      <c r="D4459" t="s">
        <v>90</v>
      </c>
      <c r="E4459" t="s">
        <v>21</v>
      </c>
      <c r="F4459" t="s">
        <v>22</v>
      </c>
      <c r="G4459" t="s">
        <v>46</v>
      </c>
      <c r="H4459" s="1">
        <v>44911</v>
      </c>
      <c r="I4459" s="2">
        <v>44913.6</v>
      </c>
      <c r="J4459">
        <v>62.4</v>
      </c>
      <c r="K4459" t="s">
        <v>24</v>
      </c>
      <c r="L4459">
        <v>0</v>
      </c>
      <c r="M4459">
        <v>5</v>
      </c>
      <c r="N4459" t="s">
        <v>487</v>
      </c>
      <c r="O4459" s="3" t="str">
        <f>TEXT(Ticket_Table[[#This Row],[raised_date]],"YYYY-MM")</f>
        <v>2022-12</v>
      </c>
      <c r="P4459" s="3" t="str">
        <f>IF(Ticket_Table[[#This Row],[resolution_hrs]]&lt;=4,"Fast",IF(Ticket_Table[[#This Row],[resolution_hrs]]&lt;=24,"Normal",IF(Ticket_Table[[#This Row],[resolution_hrs]]&lt;=48,"Slow","Very Slow")))</f>
        <v>Very Slow</v>
      </c>
      <c r="Q4459" s="3">
        <f>YEAR(Ticket_Table[[#This Row],[raised_date]])</f>
        <v>2022</v>
      </c>
    </row>
    <row r="4460" spans="1:17">
      <c r="A4460" t="s">
        <v>5021</v>
      </c>
      <c r="B4460" t="s">
        <v>637</v>
      </c>
      <c r="C4460" t="s">
        <v>95</v>
      </c>
      <c r="D4460" t="s">
        <v>20</v>
      </c>
      <c r="E4460" t="s">
        <v>166</v>
      </c>
      <c r="F4460" t="s">
        <v>22</v>
      </c>
      <c r="G4460" t="s">
        <v>23</v>
      </c>
      <c r="H4460" s="1">
        <v>44272</v>
      </c>
      <c r="I4460" s="2">
        <v>44272.9333333333</v>
      </c>
      <c r="J4460">
        <v>22.4</v>
      </c>
      <c r="K4460" t="s">
        <v>24</v>
      </c>
      <c r="L4460">
        <v>2</v>
      </c>
      <c r="M4460">
        <v>3</v>
      </c>
      <c r="N4460" t="s">
        <v>389</v>
      </c>
      <c r="O4460" s="3" t="str">
        <f>TEXT(Ticket_Table[[#This Row],[raised_date]],"YYYY-MM")</f>
        <v>2021-03</v>
      </c>
      <c r="P4460" s="3" t="str">
        <f>IF(Ticket_Table[[#This Row],[resolution_hrs]]&lt;=4,"Fast",IF(Ticket_Table[[#This Row],[resolution_hrs]]&lt;=24,"Normal",IF(Ticket_Table[[#This Row],[resolution_hrs]]&lt;=48,"Slow","Very Slow")))</f>
        <v>Normal</v>
      </c>
      <c r="Q4460" s="3">
        <f>YEAR(Ticket_Table[[#This Row],[raised_date]])</f>
        <v>2021</v>
      </c>
    </row>
    <row r="4461" spans="1:17">
      <c r="A4461" t="s">
        <v>5022</v>
      </c>
      <c r="B4461" t="s">
        <v>515</v>
      </c>
      <c r="C4461" t="s">
        <v>117</v>
      </c>
      <c r="D4461" t="s">
        <v>20</v>
      </c>
      <c r="E4461" t="s">
        <v>51</v>
      </c>
      <c r="F4461" t="s">
        <v>70</v>
      </c>
      <c r="G4461" t="s">
        <v>31</v>
      </c>
      <c r="H4461" s="1">
        <v>44494</v>
      </c>
      <c r="I4461" s="2">
        <v>44494.7875</v>
      </c>
      <c r="J4461">
        <v>18.9</v>
      </c>
      <c r="K4461" t="s">
        <v>24</v>
      </c>
      <c r="L4461">
        <v>0</v>
      </c>
      <c r="M4461">
        <v>3</v>
      </c>
      <c r="N4461" t="s">
        <v>368</v>
      </c>
      <c r="O4461" s="3" t="str">
        <f>TEXT(Ticket_Table[[#This Row],[raised_date]],"YYYY-MM")</f>
        <v>2021-10</v>
      </c>
      <c r="P4461" s="3" t="str">
        <f>IF(Ticket_Table[[#This Row],[resolution_hrs]]&lt;=4,"Fast",IF(Ticket_Table[[#This Row],[resolution_hrs]]&lt;=24,"Normal",IF(Ticket_Table[[#This Row],[resolution_hrs]]&lt;=48,"Slow","Very Slow")))</f>
        <v>Normal</v>
      </c>
      <c r="Q4461" s="3">
        <f>YEAR(Ticket_Table[[#This Row],[raised_date]])</f>
        <v>2021</v>
      </c>
    </row>
    <row r="4462" spans="1:17">
      <c r="A4462" t="s">
        <v>5023</v>
      </c>
      <c r="B4462" t="s">
        <v>253</v>
      </c>
      <c r="C4462" t="s">
        <v>28</v>
      </c>
      <c r="D4462" t="s">
        <v>43</v>
      </c>
      <c r="E4462" t="s">
        <v>21</v>
      </c>
      <c r="F4462" t="s">
        <v>70</v>
      </c>
      <c r="G4462" t="s">
        <v>31</v>
      </c>
      <c r="H4462" s="1">
        <v>44263</v>
      </c>
      <c r="I4462" s="2">
        <v>44264.3375</v>
      </c>
      <c r="J4462">
        <v>32.1</v>
      </c>
      <c r="K4462" t="s">
        <v>24</v>
      </c>
      <c r="L4462">
        <v>0</v>
      </c>
      <c r="M4462">
        <v>4</v>
      </c>
      <c r="N4462" t="s">
        <v>256</v>
      </c>
      <c r="O4462" s="3" t="str">
        <f>TEXT(Ticket_Table[[#This Row],[raised_date]],"YYYY-MM")</f>
        <v>2021-03</v>
      </c>
      <c r="P4462" s="3" t="str">
        <f>IF(Ticket_Table[[#This Row],[resolution_hrs]]&lt;=4,"Fast",IF(Ticket_Table[[#This Row],[resolution_hrs]]&lt;=24,"Normal",IF(Ticket_Table[[#This Row],[resolution_hrs]]&lt;=48,"Slow","Very Slow")))</f>
        <v>Slow</v>
      </c>
      <c r="Q4462" s="3">
        <f>YEAR(Ticket_Table[[#This Row],[raised_date]])</f>
        <v>2021</v>
      </c>
    </row>
    <row r="4463" spans="1:17">
      <c r="A4463" t="s">
        <v>5024</v>
      </c>
      <c r="B4463" t="s">
        <v>1019</v>
      </c>
      <c r="C4463" t="s">
        <v>95</v>
      </c>
      <c r="D4463" t="s">
        <v>36</v>
      </c>
      <c r="E4463" t="s">
        <v>37</v>
      </c>
      <c r="F4463" t="s">
        <v>70</v>
      </c>
      <c r="G4463" t="s">
        <v>91</v>
      </c>
      <c r="H4463" s="1">
        <v>44808</v>
      </c>
      <c r="I4463" s="2">
        <v>44808.8875</v>
      </c>
      <c r="J4463">
        <v>21.3</v>
      </c>
      <c r="K4463" t="s">
        <v>24</v>
      </c>
      <c r="L4463">
        <v>0</v>
      </c>
      <c r="M4463">
        <v>4</v>
      </c>
      <c r="N4463" t="s">
        <v>471</v>
      </c>
      <c r="O4463" s="3" t="str">
        <f>TEXT(Ticket_Table[[#This Row],[raised_date]],"YYYY-MM")</f>
        <v>2022-09</v>
      </c>
      <c r="P4463" s="3" t="str">
        <f>IF(Ticket_Table[[#This Row],[resolution_hrs]]&lt;=4,"Fast",IF(Ticket_Table[[#This Row],[resolution_hrs]]&lt;=24,"Normal",IF(Ticket_Table[[#This Row],[resolution_hrs]]&lt;=48,"Slow","Very Slow")))</f>
        <v>Normal</v>
      </c>
      <c r="Q4463" s="3">
        <f>YEAR(Ticket_Table[[#This Row],[raised_date]])</f>
        <v>2022</v>
      </c>
    </row>
    <row r="4464" spans="1:17">
      <c r="A4464" t="s">
        <v>5025</v>
      </c>
      <c r="B4464" t="s">
        <v>512</v>
      </c>
      <c r="C4464" t="s">
        <v>82</v>
      </c>
      <c r="D4464" t="s">
        <v>29</v>
      </c>
      <c r="E4464" t="s">
        <v>37</v>
      </c>
      <c r="F4464" t="s">
        <v>45</v>
      </c>
      <c r="G4464" t="s">
        <v>46</v>
      </c>
      <c r="H4464" s="1">
        <v>44875</v>
      </c>
      <c r="I4464" s="2">
        <v>44875.0833333333</v>
      </c>
      <c r="J4464">
        <v>2</v>
      </c>
      <c r="K4464" t="s">
        <v>24</v>
      </c>
      <c r="L4464">
        <v>0</v>
      </c>
      <c r="M4464">
        <v>4</v>
      </c>
      <c r="N4464" t="s">
        <v>210</v>
      </c>
      <c r="O4464" s="3" t="str">
        <f>TEXT(Ticket_Table[[#This Row],[raised_date]],"YYYY-MM")</f>
        <v>2022-11</v>
      </c>
      <c r="P4464" s="3" t="str">
        <f>IF(Ticket_Table[[#This Row],[resolution_hrs]]&lt;=4,"Fast",IF(Ticket_Table[[#This Row],[resolution_hrs]]&lt;=24,"Normal",IF(Ticket_Table[[#This Row],[resolution_hrs]]&lt;=48,"Slow","Very Slow")))</f>
        <v>Fast</v>
      </c>
      <c r="Q4464" s="3">
        <f>YEAR(Ticket_Table[[#This Row],[raised_date]])</f>
        <v>2022</v>
      </c>
    </row>
    <row r="4465" spans="1:17">
      <c r="A4465" t="s">
        <v>5026</v>
      </c>
      <c r="B4465" t="s">
        <v>343</v>
      </c>
      <c r="C4465" t="s">
        <v>82</v>
      </c>
      <c r="D4465" t="s">
        <v>29</v>
      </c>
      <c r="E4465" t="s">
        <v>44</v>
      </c>
      <c r="F4465" t="s">
        <v>70</v>
      </c>
      <c r="G4465" t="s">
        <v>23</v>
      </c>
      <c r="H4465" s="1">
        <v>44376</v>
      </c>
      <c r="I4465" s="2">
        <v>44376.5208333333</v>
      </c>
      <c r="J4465">
        <v>12.5</v>
      </c>
      <c r="K4465" t="s">
        <v>24</v>
      </c>
      <c r="L4465">
        <v>0</v>
      </c>
      <c r="M4465">
        <v>5</v>
      </c>
      <c r="N4465" t="s">
        <v>419</v>
      </c>
      <c r="O4465" s="3" t="str">
        <f>TEXT(Ticket_Table[[#This Row],[raised_date]],"YYYY-MM")</f>
        <v>2021-06</v>
      </c>
      <c r="P4465" s="3" t="str">
        <f>IF(Ticket_Table[[#This Row],[resolution_hrs]]&lt;=4,"Fast",IF(Ticket_Table[[#This Row],[resolution_hrs]]&lt;=24,"Normal",IF(Ticket_Table[[#This Row],[resolution_hrs]]&lt;=48,"Slow","Very Slow")))</f>
        <v>Normal</v>
      </c>
      <c r="Q4465" s="3">
        <f>YEAR(Ticket_Table[[#This Row],[raised_date]])</f>
        <v>2021</v>
      </c>
    </row>
    <row r="4466" spans="1:17">
      <c r="A4466" t="s">
        <v>5027</v>
      </c>
      <c r="B4466" t="s">
        <v>182</v>
      </c>
      <c r="C4466" t="s">
        <v>102</v>
      </c>
      <c r="D4466" t="s">
        <v>90</v>
      </c>
      <c r="E4466" t="s">
        <v>51</v>
      </c>
      <c r="F4466" t="s">
        <v>70</v>
      </c>
      <c r="G4466" t="s">
        <v>23</v>
      </c>
      <c r="H4466" s="1">
        <v>44297</v>
      </c>
      <c r="I4466" s="2">
        <v>44299.45</v>
      </c>
      <c r="J4466">
        <v>58.8</v>
      </c>
      <c r="K4466" t="s">
        <v>32</v>
      </c>
      <c r="L4466">
        <v>1</v>
      </c>
      <c r="M4466">
        <v>2</v>
      </c>
      <c r="N4466" t="s">
        <v>1080</v>
      </c>
      <c r="O4466" s="3" t="str">
        <f>TEXT(Ticket_Table[[#This Row],[raised_date]],"YYYY-MM")</f>
        <v>2021-04</v>
      </c>
      <c r="P4466" s="3" t="str">
        <f>IF(Ticket_Table[[#This Row],[resolution_hrs]]&lt;=4,"Fast",IF(Ticket_Table[[#This Row],[resolution_hrs]]&lt;=24,"Normal",IF(Ticket_Table[[#This Row],[resolution_hrs]]&lt;=48,"Slow","Very Slow")))</f>
        <v>Very Slow</v>
      </c>
      <c r="Q4466" s="3">
        <f>YEAR(Ticket_Table[[#This Row],[raised_date]])</f>
        <v>2021</v>
      </c>
    </row>
    <row r="4467" spans="1:17">
      <c r="A4467" t="s">
        <v>5028</v>
      </c>
      <c r="B4467" t="s">
        <v>289</v>
      </c>
      <c r="C4467" t="s">
        <v>117</v>
      </c>
      <c r="D4467" t="s">
        <v>29</v>
      </c>
      <c r="E4467" t="s">
        <v>37</v>
      </c>
      <c r="F4467" t="s">
        <v>22</v>
      </c>
      <c r="G4467" t="s">
        <v>46</v>
      </c>
      <c r="H4467" s="1">
        <v>44420</v>
      </c>
      <c r="I4467" s="2">
        <v>44423.6458333333</v>
      </c>
      <c r="J4467">
        <v>87.5</v>
      </c>
      <c r="K4467" t="s">
        <v>32</v>
      </c>
      <c r="L4467">
        <v>0</v>
      </c>
      <c r="M4467">
        <v>5</v>
      </c>
      <c r="N4467" t="s">
        <v>87</v>
      </c>
      <c r="O4467" s="3" t="str">
        <f>TEXT(Ticket_Table[[#This Row],[raised_date]],"YYYY-MM")</f>
        <v>2021-08</v>
      </c>
      <c r="P4467" s="3" t="str">
        <f>IF(Ticket_Table[[#This Row],[resolution_hrs]]&lt;=4,"Fast",IF(Ticket_Table[[#This Row],[resolution_hrs]]&lt;=24,"Normal",IF(Ticket_Table[[#This Row],[resolution_hrs]]&lt;=48,"Slow","Very Slow")))</f>
        <v>Very Slow</v>
      </c>
      <c r="Q4467" s="3">
        <f>YEAR(Ticket_Table[[#This Row],[raised_date]])</f>
        <v>2021</v>
      </c>
    </row>
    <row r="4468" spans="1:17">
      <c r="A4468" t="s">
        <v>5029</v>
      </c>
      <c r="B4468" t="s">
        <v>956</v>
      </c>
      <c r="C4468" t="s">
        <v>201</v>
      </c>
      <c r="D4468" t="s">
        <v>90</v>
      </c>
      <c r="E4468" t="s">
        <v>83</v>
      </c>
      <c r="F4468" t="s">
        <v>22</v>
      </c>
      <c r="G4468" t="s">
        <v>23</v>
      </c>
      <c r="H4468" s="1">
        <v>45050</v>
      </c>
      <c r="I4468" s="2">
        <v>45050.9</v>
      </c>
      <c r="J4468">
        <v>21.6</v>
      </c>
      <c r="K4468" t="s">
        <v>24</v>
      </c>
      <c r="L4468">
        <v>0</v>
      </c>
      <c r="M4468">
        <v>5</v>
      </c>
      <c r="N4468" t="s">
        <v>740</v>
      </c>
      <c r="O4468" s="3" t="str">
        <f>TEXT(Ticket_Table[[#This Row],[raised_date]],"YYYY-MM")</f>
        <v>2023-05</v>
      </c>
      <c r="P4468" s="3" t="str">
        <f>IF(Ticket_Table[[#This Row],[resolution_hrs]]&lt;=4,"Fast",IF(Ticket_Table[[#This Row],[resolution_hrs]]&lt;=24,"Normal",IF(Ticket_Table[[#This Row],[resolution_hrs]]&lt;=48,"Slow","Very Slow")))</f>
        <v>Normal</v>
      </c>
      <c r="Q4468" s="3">
        <f>YEAR(Ticket_Table[[#This Row],[raised_date]])</f>
        <v>2023</v>
      </c>
    </row>
    <row r="4469" spans="1:17">
      <c r="A4469" t="s">
        <v>5030</v>
      </c>
      <c r="B4469" t="s">
        <v>844</v>
      </c>
      <c r="C4469" t="s">
        <v>28</v>
      </c>
      <c r="D4469" t="s">
        <v>36</v>
      </c>
      <c r="E4469" t="s">
        <v>37</v>
      </c>
      <c r="F4469" t="s">
        <v>38</v>
      </c>
      <c r="G4469" t="s">
        <v>23</v>
      </c>
      <c r="H4469" s="1">
        <v>44562</v>
      </c>
      <c r="I4469" s="2">
        <v>44562.8916666667</v>
      </c>
      <c r="J4469">
        <v>21.4</v>
      </c>
      <c r="K4469" t="s">
        <v>24</v>
      </c>
      <c r="L4469">
        <v>0</v>
      </c>
      <c r="M4469">
        <v>5</v>
      </c>
      <c r="N4469" t="s">
        <v>209</v>
      </c>
      <c r="O4469" s="3" t="str">
        <f>TEXT(Ticket_Table[[#This Row],[raised_date]],"YYYY-MM")</f>
        <v>2022-01</v>
      </c>
      <c r="P4469" s="3" t="str">
        <f>IF(Ticket_Table[[#This Row],[resolution_hrs]]&lt;=4,"Fast",IF(Ticket_Table[[#This Row],[resolution_hrs]]&lt;=24,"Normal",IF(Ticket_Table[[#This Row],[resolution_hrs]]&lt;=48,"Slow","Very Slow")))</f>
        <v>Normal</v>
      </c>
      <c r="Q4469" s="3">
        <f>YEAR(Ticket_Table[[#This Row],[raised_date]])</f>
        <v>2022</v>
      </c>
    </row>
    <row r="4470" spans="1:17">
      <c r="A4470" t="s">
        <v>5031</v>
      </c>
      <c r="B4470" t="s">
        <v>428</v>
      </c>
      <c r="C4470" t="s">
        <v>95</v>
      </c>
      <c r="D4470" t="s">
        <v>29</v>
      </c>
      <c r="E4470" t="s">
        <v>21</v>
      </c>
      <c r="F4470" t="s">
        <v>70</v>
      </c>
      <c r="G4470" t="s">
        <v>46</v>
      </c>
      <c r="H4470" s="1">
        <v>44527</v>
      </c>
      <c r="I4470" s="2">
        <v>44528.9041666667</v>
      </c>
      <c r="J4470">
        <v>45.7</v>
      </c>
      <c r="K4470" t="s">
        <v>24</v>
      </c>
      <c r="L4470">
        <v>0</v>
      </c>
      <c r="M4470">
        <v>4</v>
      </c>
      <c r="N4470" t="s">
        <v>445</v>
      </c>
      <c r="O4470" s="3" t="str">
        <f>TEXT(Ticket_Table[[#This Row],[raised_date]],"YYYY-MM")</f>
        <v>2021-11</v>
      </c>
      <c r="P4470" s="3" t="str">
        <f>IF(Ticket_Table[[#This Row],[resolution_hrs]]&lt;=4,"Fast",IF(Ticket_Table[[#This Row],[resolution_hrs]]&lt;=24,"Normal",IF(Ticket_Table[[#This Row],[resolution_hrs]]&lt;=48,"Slow","Very Slow")))</f>
        <v>Slow</v>
      </c>
      <c r="Q4470" s="3">
        <f>YEAR(Ticket_Table[[#This Row],[raised_date]])</f>
        <v>2021</v>
      </c>
    </row>
    <row r="4471" spans="1:17">
      <c r="A4471" t="s">
        <v>5032</v>
      </c>
      <c r="B4471" t="s">
        <v>59</v>
      </c>
      <c r="C4471" t="s">
        <v>287</v>
      </c>
      <c r="D4471" t="s">
        <v>90</v>
      </c>
      <c r="E4471" t="s">
        <v>30</v>
      </c>
      <c r="F4471" t="s">
        <v>38</v>
      </c>
      <c r="G4471" t="s">
        <v>23</v>
      </c>
      <c r="H4471" s="1">
        <v>44779</v>
      </c>
      <c r="I4471" s="2">
        <v>44780.0166666667</v>
      </c>
      <c r="J4471">
        <v>24.4</v>
      </c>
      <c r="K4471" t="s">
        <v>32</v>
      </c>
      <c r="L4471">
        <v>0</v>
      </c>
      <c r="M4471">
        <v>4</v>
      </c>
      <c r="N4471" t="s">
        <v>270</v>
      </c>
      <c r="O4471" s="3" t="str">
        <f>TEXT(Ticket_Table[[#This Row],[raised_date]],"YYYY-MM")</f>
        <v>2022-08</v>
      </c>
      <c r="P4471" s="3" t="str">
        <f>IF(Ticket_Table[[#This Row],[resolution_hrs]]&lt;=4,"Fast",IF(Ticket_Table[[#This Row],[resolution_hrs]]&lt;=24,"Normal",IF(Ticket_Table[[#This Row],[resolution_hrs]]&lt;=48,"Slow","Very Slow")))</f>
        <v>Slow</v>
      </c>
      <c r="Q4471" s="3">
        <f>YEAR(Ticket_Table[[#This Row],[raised_date]])</f>
        <v>2022</v>
      </c>
    </row>
    <row r="4472" spans="1:17">
      <c r="A4472" t="s">
        <v>5033</v>
      </c>
      <c r="B4472" t="s">
        <v>344</v>
      </c>
      <c r="C4472" t="s">
        <v>55</v>
      </c>
      <c r="D4472" t="s">
        <v>36</v>
      </c>
      <c r="E4472" t="s">
        <v>69</v>
      </c>
      <c r="F4472" t="s">
        <v>22</v>
      </c>
      <c r="G4472" t="s">
        <v>46</v>
      </c>
      <c r="H4472" s="1">
        <v>44560</v>
      </c>
      <c r="I4472" s="2">
        <v>44560.95</v>
      </c>
      <c r="J4472">
        <v>22.8</v>
      </c>
      <c r="K4472" t="s">
        <v>24</v>
      </c>
      <c r="L4472">
        <v>0</v>
      </c>
      <c r="M4472">
        <v>1</v>
      </c>
      <c r="N4472" t="s">
        <v>824</v>
      </c>
      <c r="O4472" s="3" t="str">
        <f>TEXT(Ticket_Table[[#This Row],[raised_date]],"YYYY-MM")</f>
        <v>2021-12</v>
      </c>
      <c r="P4472" s="3" t="str">
        <f>IF(Ticket_Table[[#This Row],[resolution_hrs]]&lt;=4,"Fast",IF(Ticket_Table[[#This Row],[resolution_hrs]]&lt;=24,"Normal",IF(Ticket_Table[[#This Row],[resolution_hrs]]&lt;=48,"Slow","Very Slow")))</f>
        <v>Normal</v>
      </c>
      <c r="Q4472" s="3">
        <f>YEAR(Ticket_Table[[#This Row],[raised_date]])</f>
        <v>2021</v>
      </c>
    </row>
    <row r="4473" spans="1:17">
      <c r="A4473" t="s">
        <v>5034</v>
      </c>
      <c r="B4473" t="s">
        <v>866</v>
      </c>
      <c r="C4473" t="s">
        <v>102</v>
      </c>
      <c r="D4473" t="s">
        <v>36</v>
      </c>
      <c r="E4473" t="s">
        <v>83</v>
      </c>
      <c r="F4473" t="s">
        <v>70</v>
      </c>
      <c r="G4473" t="s">
        <v>31</v>
      </c>
      <c r="H4473" s="1">
        <v>45129</v>
      </c>
      <c r="I4473" s="2">
        <v>45131.4375</v>
      </c>
      <c r="J4473">
        <v>58.5</v>
      </c>
      <c r="K4473" t="s">
        <v>32</v>
      </c>
      <c r="L4473">
        <v>0</v>
      </c>
      <c r="M4473">
        <v>5</v>
      </c>
      <c r="N4473" t="s">
        <v>109</v>
      </c>
      <c r="O4473" s="3" t="str">
        <f>TEXT(Ticket_Table[[#This Row],[raised_date]],"YYYY-MM")</f>
        <v>2023-07</v>
      </c>
      <c r="P44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473" s="3">
        <f>YEAR(Ticket_Table[[#This Row],[raised_date]])</f>
        <v>2023</v>
      </c>
    </row>
    <row r="4474" spans="1:17">
      <c r="A4474" t="s">
        <v>5035</v>
      </c>
      <c r="B4474" t="s">
        <v>194</v>
      </c>
      <c r="C4474" t="s">
        <v>55</v>
      </c>
      <c r="D4474" t="s">
        <v>90</v>
      </c>
      <c r="E4474" t="s">
        <v>56</v>
      </c>
      <c r="F4474" t="s">
        <v>22</v>
      </c>
      <c r="G4474" t="s">
        <v>23</v>
      </c>
      <c r="H4474" s="1">
        <v>44934</v>
      </c>
      <c r="I4474" s="2">
        <v>44938.025</v>
      </c>
      <c r="J4474">
        <v>96.6</v>
      </c>
      <c r="K4474" t="s">
        <v>32</v>
      </c>
      <c r="L4474">
        <v>2</v>
      </c>
      <c r="M4474">
        <v>3</v>
      </c>
      <c r="N4474" t="s">
        <v>317</v>
      </c>
      <c r="O4474" s="3" t="str">
        <f>TEXT(Ticket_Table[[#This Row],[raised_date]],"YYYY-MM")</f>
        <v>2023-01</v>
      </c>
      <c r="P4474" s="3" t="str">
        <f>IF(Ticket_Table[[#This Row],[resolution_hrs]]&lt;=4,"Fast",IF(Ticket_Table[[#This Row],[resolution_hrs]]&lt;=24,"Normal",IF(Ticket_Table[[#This Row],[resolution_hrs]]&lt;=48,"Slow","Very Slow")))</f>
        <v>Very Slow</v>
      </c>
      <c r="Q4474" s="3">
        <f>YEAR(Ticket_Table[[#This Row],[raised_date]])</f>
        <v>2023</v>
      </c>
    </row>
    <row r="4475" spans="1:17">
      <c r="A4475" t="s">
        <v>5036</v>
      </c>
      <c r="B4475" t="s">
        <v>61</v>
      </c>
      <c r="C4475" t="s">
        <v>68</v>
      </c>
      <c r="D4475" t="s">
        <v>90</v>
      </c>
      <c r="E4475" t="s">
        <v>21</v>
      </c>
      <c r="F4475" t="s">
        <v>22</v>
      </c>
      <c r="G4475" t="s">
        <v>46</v>
      </c>
      <c r="H4475" s="1">
        <v>44270</v>
      </c>
      <c r="I4475" s="2">
        <v>44271.6458333333</v>
      </c>
      <c r="J4475">
        <v>39.5</v>
      </c>
      <c r="K4475" t="s">
        <v>24</v>
      </c>
      <c r="L4475">
        <v>0</v>
      </c>
      <c r="M4475">
        <v>1</v>
      </c>
      <c r="N4475" t="s">
        <v>176</v>
      </c>
      <c r="O4475" s="3" t="str">
        <f>TEXT(Ticket_Table[[#This Row],[raised_date]],"YYYY-MM")</f>
        <v>2021-03</v>
      </c>
      <c r="P4475" s="3" t="str">
        <f>IF(Ticket_Table[[#This Row],[resolution_hrs]]&lt;=4,"Fast",IF(Ticket_Table[[#This Row],[resolution_hrs]]&lt;=24,"Normal",IF(Ticket_Table[[#This Row],[resolution_hrs]]&lt;=48,"Slow","Very Slow")))</f>
        <v>Slow</v>
      </c>
      <c r="Q4475" s="3">
        <f>YEAR(Ticket_Table[[#This Row],[raised_date]])</f>
        <v>2021</v>
      </c>
    </row>
    <row r="4476" spans="1:17">
      <c r="A4476" t="s">
        <v>5037</v>
      </c>
      <c r="B4476" t="s">
        <v>359</v>
      </c>
      <c r="C4476" t="s">
        <v>95</v>
      </c>
      <c r="D4476" t="s">
        <v>43</v>
      </c>
      <c r="E4476" t="s">
        <v>30</v>
      </c>
      <c r="F4476" t="s">
        <v>22</v>
      </c>
      <c r="G4476" t="s">
        <v>23</v>
      </c>
      <c r="H4476" s="1">
        <v>44387</v>
      </c>
      <c r="I4476" s="2">
        <v>44388.8625</v>
      </c>
      <c r="J4476">
        <v>44.7</v>
      </c>
      <c r="K4476" t="s">
        <v>24</v>
      </c>
      <c r="L4476">
        <v>1</v>
      </c>
      <c r="M4476">
        <v>4</v>
      </c>
      <c r="N4476" t="s">
        <v>584</v>
      </c>
      <c r="O4476" s="3" t="str">
        <f>TEXT(Ticket_Table[[#This Row],[raised_date]],"YYYY-MM")</f>
        <v>2021-07</v>
      </c>
      <c r="P4476" s="3" t="str">
        <f>IF(Ticket_Table[[#This Row],[resolution_hrs]]&lt;=4,"Fast",IF(Ticket_Table[[#This Row],[resolution_hrs]]&lt;=24,"Normal",IF(Ticket_Table[[#This Row],[resolution_hrs]]&lt;=48,"Slow","Very Slow")))</f>
        <v>Slow</v>
      </c>
      <c r="Q4476" s="3">
        <f>YEAR(Ticket_Table[[#This Row],[raised_date]])</f>
        <v>2021</v>
      </c>
    </row>
    <row r="4477" spans="1:17">
      <c r="A4477" t="s">
        <v>5038</v>
      </c>
      <c r="B4477" t="s">
        <v>637</v>
      </c>
      <c r="C4477" t="s">
        <v>140</v>
      </c>
      <c r="D4477" t="s">
        <v>36</v>
      </c>
      <c r="E4477" t="s">
        <v>37</v>
      </c>
      <c r="F4477" t="s">
        <v>22</v>
      </c>
      <c r="G4477" t="s">
        <v>74</v>
      </c>
      <c r="H4477" s="1">
        <v>44809</v>
      </c>
      <c r="I4477" s="2">
        <v>44811.4791666667</v>
      </c>
      <c r="J4477">
        <v>59.5</v>
      </c>
      <c r="K4477" t="s">
        <v>24</v>
      </c>
      <c r="L4477">
        <v>0</v>
      </c>
      <c r="M4477">
        <v>4</v>
      </c>
      <c r="N4477" t="s">
        <v>340</v>
      </c>
      <c r="O4477" s="3" t="str">
        <f>TEXT(Ticket_Table[[#This Row],[raised_date]],"YYYY-MM")</f>
        <v>2022-09</v>
      </c>
      <c r="P4477" s="3" t="str">
        <f>IF(Ticket_Table[[#This Row],[resolution_hrs]]&lt;=4,"Fast",IF(Ticket_Table[[#This Row],[resolution_hrs]]&lt;=24,"Normal",IF(Ticket_Table[[#This Row],[resolution_hrs]]&lt;=48,"Slow","Very Slow")))</f>
        <v>Very Slow</v>
      </c>
      <c r="Q4477" s="3">
        <f>YEAR(Ticket_Table[[#This Row],[raised_date]])</f>
        <v>2022</v>
      </c>
    </row>
    <row r="4478" spans="1:17">
      <c r="A4478" t="s">
        <v>5039</v>
      </c>
      <c r="B4478" t="s">
        <v>489</v>
      </c>
      <c r="C4478" t="s">
        <v>95</v>
      </c>
      <c r="D4478" t="s">
        <v>90</v>
      </c>
      <c r="E4478" t="s">
        <v>106</v>
      </c>
      <c r="F4478" t="s">
        <v>70</v>
      </c>
      <c r="G4478" t="s">
        <v>31</v>
      </c>
      <c r="H4478" s="1">
        <v>44858</v>
      </c>
      <c r="I4478" s="2">
        <v>44858.2541666667</v>
      </c>
      <c r="J4478">
        <v>6.1</v>
      </c>
      <c r="K4478" t="s">
        <v>24</v>
      </c>
      <c r="L4478">
        <v>0</v>
      </c>
      <c r="M4478">
        <v>4</v>
      </c>
      <c r="N4478" t="s">
        <v>259</v>
      </c>
      <c r="O4478" s="3" t="str">
        <f>TEXT(Ticket_Table[[#This Row],[raised_date]],"YYYY-MM")</f>
        <v>2022-10</v>
      </c>
      <c r="P4478" s="3" t="str">
        <f>IF(Ticket_Table[[#This Row],[resolution_hrs]]&lt;=4,"Fast",IF(Ticket_Table[[#This Row],[resolution_hrs]]&lt;=24,"Normal",IF(Ticket_Table[[#This Row],[resolution_hrs]]&lt;=48,"Slow","Very Slow")))</f>
        <v>Normal</v>
      </c>
      <c r="Q4478" s="3">
        <f>YEAR(Ticket_Table[[#This Row],[raised_date]])</f>
        <v>2022</v>
      </c>
    </row>
    <row r="4479" spans="1:17">
      <c r="A4479" t="s">
        <v>5040</v>
      </c>
      <c r="B4479" t="s">
        <v>394</v>
      </c>
      <c r="C4479" t="s">
        <v>68</v>
      </c>
      <c r="D4479" t="s">
        <v>36</v>
      </c>
      <c r="E4479" t="s">
        <v>44</v>
      </c>
      <c r="F4479" t="s">
        <v>22</v>
      </c>
      <c r="G4479" t="s">
        <v>23</v>
      </c>
      <c r="H4479" s="1">
        <v>44951</v>
      </c>
      <c r="I4479" s="2">
        <v>44951.8666666667</v>
      </c>
      <c r="J4479">
        <v>20.8</v>
      </c>
      <c r="K4479" t="s">
        <v>24</v>
      </c>
      <c r="L4479">
        <v>0</v>
      </c>
      <c r="M4479">
        <v>4</v>
      </c>
      <c r="N4479" t="s">
        <v>412</v>
      </c>
      <c r="O4479" s="3" t="str">
        <f>TEXT(Ticket_Table[[#This Row],[raised_date]],"YYYY-MM")</f>
        <v>2023-01</v>
      </c>
      <c r="P4479" s="3" t="str">
        <f>IF(Ticket_Table[[#This Row],[resolution_hrs]]&lt;=4,"Fast",IF(Ticket_Table[[#This Row],[resolution_hrs]]&lt;=24,"Normal",IF(Ticket_Table[[#This Row],[resolution_hrs]]&lt;=48,"Slow","Very Slow")))</f>
        <v>Normal</v>
      </c>
      <c r="Q4479" s="3">
        <f>YEAR(Ticket_Table[[#This Row],[raised_date]])</f>
        <v>2023</v>
      </c>
    </row>
    <row r="4480" spans="1:17">
      <c r="A4480" t="s">
        <v>5041</v>
      </c>
      <c r="B4480" t="s">
        <v>176</v>
      </c>
      <c r="C4480" t="s">
        <v>68</v>
      </c>
      <c r="D4480" t="s">
        <v>29</v>
      </c>
      <c r="E4480" t="s">
        <v>30</v>
      </c>
      <c r="F4480" t="s">
        <v>45</v>
      </c>
      <c r="G4480" t="s">
        <v>31</v>
      </c>
      <c r="H4480" s="1">
        <v>44973</v>
      </c>
      <c r="I4480" s="2">
        <v>44973.1916666667</v>
      </c>
      <c r="J4480">
        <v>4.6</v>
      </c>
      <c r="K4480" t="s">
        <v>32</v>
      </c>
      <c r="L4480">
        <v>0</v>
      </c>
      <c r="M4480">
        <v>4</v>
      </c>
      <c r="N4480" t="s">
        <v>174</v>
      </c>
      <c r="O4480" s="3" t="str">
        <f>TEXT(Ticket_Table[[#This Row],[raised_date]],"YYYY-MM")</f>
        <v>2023-02</v>
      </c>
      <c r="P4480" s="3" t="str">
        <f>IF(Ticket_Table[[#This Row],[resolution_hrs]]&lt;=4,"Fast",IF(Ticket_Table[[#This Row],[resolution_hrs]]&lt;=24,"Normal",IF(Ticket_Table[[#This Row],[resolution_hrs]]&lt;=48,"Slow","Very Slow")))</f>
        <v>Normal</v>
      </c>
      <c r="Q4480" s="3">
        <f>YEAR(Ticket_Table[[#This Row],[raised_date]])</f>
        <v>2023</v>
      </c>
    </row>
    <row r="4481" spans="1:17">
      <c r="A4481" t="s">
        <v>5042</v>
      </c>
      <c r="B4481" t="s">
        <v>1037</v>
      </c>
      <c r="C4481" t="s">
        <v>213</v>
      </c>
      <c r="D4481" t="s">
        <v>20</v>
      </c>
      <c r="E4481" t="s">
        <v>37</v>
      </c>
      <c r="F4481" t="s">
        <v>70</v>
      </c>
      <c r="G4481" t="s">
        <v>23</v>
      </c>
      <c r="H4481" s="1">
        <v>44335</v>
      </c>
      <c r="I4481" s="2">
        <v>44337.7375</v>
      </c>
      <c r="J4481">
        <v>65.7</v>
      </c>
      <c r="K4481" t="s">
        <v>32</v>
      </c>
      <c r="L4481">
        <v>0</v>
      </c>
      <c r="M4481">
        <v>3</v>
      </c>
      <c r="N4481" t="s">
        <v>532</v>
      </c>
      <c r="O4481" s="3" t="str">
        <f>TEXT(Ticket_Table[[#This Row],[raised_date]],"YYYY-MM")</f>
        <v>2021-05</v>
      </c>
      <c r="P4481" s="3" t="str">
        <f>IF(Ticket_Table[[#This Row],[resolution_hrs]]&lt;=4,"Fast",IF(Ticket_Table[[#This Row],[resolution_hrs]]&lt;=24,"Normal",IF(Ticket_Table[[#This Row],[resolution_hrs]]&lt;=48,"Slow","Very Slow")))</f>
        <v>Very Slow</v>
      </c>
      <c r="Q4481" s="3">
        <f>YEAR(Ticket_Table[[#This Row],[raised_date]])</f>
        <v>2021</v>
      </c>
    </row>
    <row r="4482" spans="1:17">
      <c r="A4482" t="s">
        <v>5043</v>
      </c>
      <c r="B4482" t="s">
        <v>59</v>
      </c>
      <c r="C4482" t="s">
        <v>82</v>
      </c>
      <c r="D4482" t="s">
        <v>20</v>
      </c>
      <c r="E4482" t="s">
        <v>30</v>
      </c>
      <c r="F4482" t="s">
        <v>22</v>
      </c>
      <c r="G4482" t="s">
        <v>31</v>
      </c>
      <c r="H4482" s="1">
        <v>45072</v>
      </c>
      <c r="I4482" s="2">
        <v>45074.9041666667</v>
      </c>
      <c r="J4482">
        <v>69.7</v>
      </c>
      <c r="K4482" t="s">
        <v>24</v>
      </c>
      <c r="L4482">
        <v>0</v>
      </c>
      <c r="M4482">
        <v>3</v>
      </c>
      <c r="N4482" t="s">
        <v>530</v>
      </c>
      <c r="O4482" s="3" t="str">
        <f>TEXT(Ticket_Table[[#This Row],[raised_date]],"YYYY-MM")</f>
        <v>2023-05</v>
      </c>
      <c r="P4482" s="3" t="str">
        <f>IF(Ticket_Table[[#This Row],[resolution_hrs]]&lt;=4,"Fast",IF(Ticket_Table[[#This Row],[resolution_hrs]]&lt;=24,"Normal",IF(Ticket_Table[[#This Row],[resolution_hrs]]&lt;=48,"Slow","Very Slow")))</f>
        <v>Very Slow</v>
      </c>
      <c r="Q4482" s="3">
        <f>YEAR(Ticket_Table[[#This Row],[raised_date]])</f>
        <v>2023</v>
      </c>
    </row>
    <row r="4483" spans="1:17">
      <c r="A4483" t="s">
        <v>5044</v>
      </c>
      <c r="B4483" t="s">
        <v>468</v>
      </c>
      <c r="C4483" t="s">
        <v>50</v>
      </c>
      <c r="D4483" t="s">
        <v>90</v>
      </c>
      <c r="E4483" t="s">
        <v>30</v>
      </c>
      <c r="F4483" t="s">
        <v>22</v>
      </c>
      <c r="G4483" t="s">
        <v>46</v>
      </c>
      <c r="H4483" s="1">
        <v>44329</v>
      </c>
      <c r="I4483" s="2">
        <v>44331.2541666667</v>
      </c>
      <c r="J4483">
        <v>54.1</v>
      </c>
      <c r="K4483" t="s">
        <v>24</v>
      </c>
      <c r="L4483">
        <v>2</v>
      </c>
      <c r="M4483">
        <v>4</v>
      </c>
      <c r="N4483" t="s">
        <v>1348</v>
      </c>
      <c r="O4483" s="3" t="str">
        <f>TEXT(Ticket_Table[[#This Row],[raised_date]],"YYYY-MM")</f>
        <v>2021-05</v>
      </c>
      <c r="P4483" s="3" t="str">
        <f>IF(Ticket_Table[[#This Row],[resolution_hrs]]&lt;=4,"Fast",IF(Ticket_Table[[#This Row],[resolution_hrs]]&lt;=24,"Normal",IF(Ticket_Table[[#This Row],[resolution_hrs]]&lt;=48,"Slow","Very Slow")))</f>
        <v>Very Slow</v>
      </c>
      <c r="Q4483" s="3">
        <f>YEAR(Ticket_Table[[#This Row],[raised_date]])</f>
        <v>2021</v>
      </c>
    </row>
    <row r="4484" spans="1:17">
      <c r="A4484" t="s">
        <v>5045</v>
      </c>
      <c r="B4484" t="s">
        <v>656</v>
      </c>
      <c r="C4484" t="s">
        <v>64</v>
      </c>
      <c r="D4484" t="s">
        <v>90</v>
      </c>
      <c r="E4484" t="s">
        <v>21</v>
      </c>
      <c r="F4484" t="s">
        <v>70</v>
      </c>
      <c r="G4484" t="s">
        <v>46</v>
      </c>
      <c r="H4484" s="1">
        <v>44796</v>
      </c>
      <c r="I4484" s="2">
        <v>44798.5041666667</v>
      </c>
      <c r="J4484">
        <v>60.1</v>
      </c>
      <c r="K4484" t="s">
        <v>32</v>
      </c>
      <c r="L4484">
        <v>0</v>
      </c>
      <c r="M4484">
        <v>1</v>
      </c>
      <c r="N4484" t="s">
        <v>434</v>
      </c>
      <c r="O4484" s="3" t="str">
        <f>TEXT(Ticket_Table[[#This Row],[raised_date]],"YYYY-MM")</f>
        <v>2022-08</v>
      </c>
      <c r="P4484" s="3" t="str">
        <f>IF(Ticket_Table[[#This Row],[resolution_hrs]]&lt;=4,"Fast",IF(Ticket_Table[[#This Row],[resolution_hrs]]&lt;=24,"Normal",IF(Ticket_Table[[#This Row],[resolution_hrs]]&lt;=48,"Slow","Very Slow")))</f>
        <v>Very Slow</v>
      </c>
      <c r="Q4484" s="3">
        <f>YEAR(Ticket_Table[[#This Row],[raised_date]])</f>
        <v>2022</v>
      </c>
    </row>
    <row r="4485" spans="1:17">
      <c r="A4485" t="s">
        <v>5046</v>
      </c>
      <c r="B4485" t="s">
        <v>1050</v>
      </c>
      <c r="C4485" t="s">
        <v>261</v>
      </c>
      <c r="D4485" t="s">
        <v>36</v>
      </c>
      <c r="E4485" t="s">
        <v>106</v>
      </c>
      <c r="F4485" t="s">
        <v>22</v>
      </c>
      <c r="G4485" t="s">
        <v>31</v>
      </c>
      <c r="H4485" s="1">
        <v>45161</v>
      </c>
      <c r="I4485" s="2">
        <v>45163.5833333333</v>
      </c>
      <c r="J4485">
        <v>62</v>
      </c>
      <c r="K4485" t="s">
        <v>24</v>
      </c>
      <c r="L4485">
        <v>1</v>
      </c>
      <c r="M4485">
        <v>4</v>
      </c>
      <c r="N4485" t="s">
        <v>476</v>
      </c>
      <c r="O4485" s="3" t="str">
        <f>TEXT(Ticket_Table[[#This Row],[raised_date]],"YYYY-MM")</f>
        <v>2023-08</v>
      </c>
      <c r="P4485" s="3" t="str">
        <f>IF(Ticket_Table[[#This Row],[resolution_hrs]]&lt;=4,"Fast",IF(Ticket_Table[[#This Row],[resolution_hrs]]&lt;=24,"Normal",IF(Ticket_Table[[#This Row],[resolution_hrs]]&lt;=48,"Slow","Very Slow")))</f>
        <v>Very Slow</v>
      </c>
      <c r="Q4485" s="3">
        <f>YEAR(Ticket_Table[[#This Row],[raised_date]])</f>
        <v>2023</v>
      </c>
    </row>
    <row r="4486" spans="1:17">
      <c r="A4486" t="s">
        <v>5047</v>
      </c>
      <c r="B4486" t="s">
        <v>209</v>
      </c>
      <c r="C4486" t="s">
        <v>50</v>
      </c>
      <c r="D4486" t="s">
        <v>90</v>
      </c>
      <c r="E4486" t="s">
        <v>37</v>
      </c>
      <c r="F4486" t="s">
        <v>38</v>
      </c>
      <c r="G4486" t="s">
        <v>46</v>
      </c>
      <c r="H4486" s="1">
        <v>44472</v>
      </c>
      <c r="I4486" s="2">
        <v>44472.7333333333</v>
      </c>
      <c r="J4486">
        <v>17.6</v>
      </c>
      <c r="K4486" t="s">
        <v>24</v>
      </c>
      <c r="L4486">
        <v>0</v>
      </c>
      <c r="M4486">
        <v>2</v>
      </c>
      <c r="N4486" t="s">
        <v>449</v>
      </c>
      <c r="O4486" s="3" t="str">
        <f>TEXT(Ticket_Table[[#This Row],[raised_date]],"YYYY-MM")</f>
        <v>2021-10</v>
      </c>
      <c r="P4486" s="3" t="str">
        <f>IF(Ticket_Table[[#This Row],[resolution_hrs]]&lt;=4,"Fast",IF(Ticket_Table[[#This Row],[resolution_hrs]]&lt;=24,"Normal",IF(Ticket_Table[[#This Row],[resolution_hrs]]&lt;=48,"Slow","Very Slow")))</f>
        <v>Normal</v>
      </c>
      <c r="Q4486" s="3">
        <f>YEAR(Ticket_Table[[#This Row],[raised_date]])</f>
        <v>2021</v>
      </c>
    </row>
    <row r="4487" spans="1:17">
      <c r="A4487" t="s">
        <v>5048</v>
      </c>
      <c r="B4487" t="s">
        <v>63</v>
      </c>
      <c r="C4487" t="s">
        <v>55</v>
      </c>
      <c r="D4487" t="s">
        <v>36</v>
      </c>
      <c r="E4487" t="s">
        <v>106</v>
      </c>
      <c r="F4487" t="s">
        <v>45</v>
      </c>
      <c r="G4487" t="s">
        <v>31</v>
      </c>
      <c r="H4487" s="1">
        <v>44446</v>
      </c>
      <c r="I4487" s="2">
        <v>44446.1166666667</v>
      </c>
      <c r="J4487">
        <v>2.8</v>
      </c>
      <c r="K4487" t="s">
        <v>24</v>
      </c>
      <c r="L4487">
        <v>0</v>
      </c>
      <c r="M4487">
        <v>5</v>
      </c>
      <c r="N4487" t="s">
        <v>576</v>
      </c>
      <c r="O4487" s="3" t="str">
        <f>TEXT(Ticket_Table[[#This Row],[raised_date]],"YYYY-MM")</f>
        <v>2021-09</v>
      </c>
      <c r="P4487" s="3" t="str">
        <f>IF(Ticket_Table[[#This Row],[resolution_hrs]]&lt;=4,"Fast",IF(Ticket_Table[[#This Row],[resolution_hrs]]&lt;=24,"Normal",IF(Ticket_Table[[#This Row],[resolution_hrs]]&lt;=48,"Slow","Very Slow")))</f>
        <v>Fast</v>
      </c>
      <c r="Q4487" s="3">
        <f>YEAR(Ticket_Table[[#This Row],[raised_date]])</f>
        <v>2021</v>
      </c>
    </row>
    <row r="4488" spans="1:17">
      <c r="A4488" t="s">
        <v>5049</v>
      </c>
      <c r="B4488" t="s">
        <v>372</v>
      </c>
      <c r="C4488" t="s">
        <v>102</v>
      </c>
      <c r="D4488" t="s">
        <v>90</v>
      </c>
      <c r="E4488" t="s">
        <v>51</v>
      </c>
      <c r="F4488" t="s">
        <v>22</v>
      </c>
      <c r="G4488" t="s">
        <v>23</v>
      </c>
      <c r="H4488" s="1">
        <v>44759</v>
      </c>
      <c r="I4488" s="2">
        <v>44761.8</v>
      </c>
      <c r="J4488">
        <v>67.2</v>
      </c>
      <c r="K4488" t="s">
        <v>24</v>
      </c>
      <c r="L4488">
        <v>0</v>
      </c>
      <c r="M4488">
        <v>4</v>
      </c>
      <c r="N4488" t="s">
        <v>235</v>
      </c>
      <c r="O4488" s="3" t="str">
        <f>TEXT(Ticket_Table[[#This Row],[raised_date]],"YYYY-MM")</f>
        <v>2022-07</v>
      </c>
      <c r="P4488" s="3" t="str">
        <f>IF(Ticket_Table[[#This Row],[resolution_hrs]]&lt;=4,"Fast",IF(Ticket_Table[[#This Row],[resolution_hrs]]&lt;=24,"Normal",IF(Ticket_Table[[#This Row],[resolution_hrs]]&lt;=48,"Slow","Very Slow")))</f>
        <v>Very Slow</v>
      </c>
      <c r="Q4488" s="3">
        <f>YEAR(Ticket_Table[[#This Row],[raised_date]])</f>
        <v>2022</v>
      </c>
    </row>
    <row r="4489" spans="1:17">
      <c r="A4489" t="s">
        <v>5050</v>
      </c>
      <c r="B4489" t="s">
        <v>273</v>
      </c>
      <c r="C4489" t="s">
        <v>68</v>
      </c>
      <c r="D4489" t="s">
        <v>36</v>
      </c>
      <c r="E4489" t="s">
        <v>21</v>
      </c>
      <c r="F4489" t="s">
        <v>70</v>
      </c>
      <c r="G4489" t="s">
        <v>31</v>
      </c>
      <c r="H4489" s="1">
        <v>44871</v>
      </c>
      <c r="I4489" s="2">
        <v>44872.6958333333</v>
      </c>
      <c r="J4489">
        <v>40.7</v>
      </c>
      <c r="K4489" t="s">
        <v>24</v>
      </c>
      <c r="L4489">
        <v>0</v>
      </c>
      <c r="M4489">
        <v>4</v>
      </c>
      <c r="N4489" t="s">
        <v>919</v>
      </c>
      <c r="O4489" s="3" t="str">
        <f>TEXT(Ticket_Table[[#This Row],[raised_date]],"YYYY-MM")</f>
        <v>2022-11</v>
      </c>
      <c r="P4489" s="3" t="str">
        <f>IF(Ticket_Table[[#This Row],[resolution_hrs]]&lt;=4,"Fast",IF(Ticket_Table[[#This Row],[resolution_hrs]]&lt;=24,"Normal",IF(Ticket_Table[[#This Row],[resolution_hrs]]&lt;=48,"Slow","Very Slow")))</f>
        <v>Slow</v>
      </c>
      <c r="Q4489" s="3">
        <f>YEAR(Ticket_Table[[#This Row],[raised_date]])</f>
        <v>2022</v>
      </c>
    </row>
    <row r="4490" spans="1:17">
      <c r="A4490" t="s">
        <v>5051</v>
      </c>
      <c r="B4490" t="s">
        <v>81</v>
      </c>
      <c r="C4490" t="s">
        <v>82</v>
      </c>
      <c r="D4490" t="s">
        <v>90</v>
      </c>
      <c r="E4490" t="s">
        <v>69</v>
      </c>
      <c r="F4490" t="s">
        <v>22</v>
      </c>
      <c r="G4490" t="s">
        <v>31</v>
      </c>
      <c r="H4490" s="1">
        <v>45276</v>
      </c>
      <c r="I4490" s="2">
        <v>45276.6583333333</v>
      </c>
      <c r="J4490">
        <v>15.8</v>
      </c>
      <c r="K4490" t="s">
        <v>24</v>
      </c>
      <c r="L4490">
        <v>0</v>
      </c>
      <c r="M4490">
        <v>3</v>
      </c>
      <c r="N4490" t="s">
        <v>805</v>
      </c>
      <c r="O4490" s="3" t="str">
        <f>TEXT(Ticket_Table[[#This Row],[raised_date]],"YYYY-MM")</f>
        <v>2023-12</v>
      </c>
      <c r="P4490" s="3" t="str">
        <f>IF(Ticket_Table[[#This Row],[resolution_hrs]]&lt;=4,"Fast",IF(Ticket_Table[[#This Row],[resolution_hrs]]&lt;=24,"Normal",IF(Ticket_Table[[#This Row],[resolution_hrs]]&lt;=48,"Slow","Very Slow")))</f>
        <v>Normal</v>
      </c>
      <c r="Q4490" s="3">
        <f>YEAR(Ticket_Table[[#This Row],[raised_date]])</f>
        <v>2023</v>
      </c>
    </row>
    <row r="4491" spans="1:17">
      <c r="A4491" t="s">
        <v>5052</v>
      </c>
      <c r="B4491" t="s">
        <v>195</v>
      </c>
      <c r="C4491" t="s">
        <v>78</v>
      </c>
      <c r="D4491" t="s">
        <v>43</v>
      </c>
      <c r="E4491" t="s">
        <v>69</v>
      </c>
      <c r="F4491" t="s">
        <v>70</v>
      </c>
      <c r="G4491" t="s">
        <v>91</v>
      </c>
      <c r="H4491" s="1">
        <v>45044</v>
      </c>
      <c r="I4491" s="2">
        <v>45044.2416666667</v>
      </c>
      <c r="J4491">
        <v>5.8</v>
      </c>
      <c r="K4491" t="s">
        <v>24</v>
      </c>
      <c r="L4491">
        <v>0</v>
      </c>
      <c r="M4491">
        <v>3</v>
      </c>
      <c r="N4491" t="s">
        <v>1064</v>
      </c>
      <c r="O4491" s="3" t="str">
        <f>TEXT(Ticket_Table[[#This Row],[raised_date]],"YYYY-MM")</f>
        <v>2023-04</v>
      </c>
      <c r="P4491" s="3" t="str">
        <f>IF(Ticket_Table[[#This Row],[resolution_hrs]]&lt;=4,"Fast",IF(Ticket_Table[[#This Row],[resolution_hrs]]&lt;=24,"Normal",IF(Ticket_Table[[#This Row],[resolution_hrs]]&lt;=48,"Slow","Very Slow")))</f>
        <v>Normal</v>
      </c>
      <c r="Q4491" s="3">
        <f>YEAR(Ticket_Table[[#This Row],[raised_date]])</f>
        <v>2023</v>
      </c>
    </row>
    <row r="4492" spans="1:17">
      <c r="A4492" t="s">
        <v>5053</v>
      </c>
      <c r="B4492" t="s">
        <v>2204</v>
      </c>
      <c r="C4492" t="s">
        <v>201</v>
      </c>
      <c r="D4492" t="s">
        <v>36</v>
      </c>
      <c r="E4492" t="s">
        <v>30</v>
      </c>
      <c r="F4492" t="s">
        <v>70</v>
      </c>
      <c r="G4492" t="s">
        <v>23</v>
      </c>
      <c r="H4492" s="1">
        <v>45271</v>
      </c>
      <c r="I4492" s="2">
        <v>45272.3083333333</v>
      </c>
      <c r="J4492">
        <v>31.4</v>
      </c>
      <c r="K4492" t="s">
        <v>24</v>
      </c>
      <c r="L4492">
        <v>0</v>
      </c>
      <c r="M4492">
        <v>4</v>
      </c>
      <c r="N4492" t="s">
        <v>523</v>
      </c>
      <c r="O4492" s="3" t="str">
        <f>TEXT(Ticket_Table[[#This Row],[raised_date]],"YYYY-MM")</f>
        <v>2023-12</v>
      </c>
      <c r="P4492" s="3" t="str">
        <f>IF(Ticket_Table[[#This Row],[resolution_hrs]]&lt;=4,"Fast",IF(Ticket_Table[[#This Row],[resolution_hrs]]&lt;=24,"Normal",IF(Ticket_Table[[#This Row],[resolution_hrs]]&lt;=48,"Slow","Very Slow")))</f>
        <v>Slow</v>
      </c>
      <c r="Q4492" s="3">
        <f>YEAR(Ticket_Table[[#This Row],[raised_date]])</f>
        <v>2023</v>
      </c>
    </row>
    <row r="4493" spans="1:17">
      <c r="A4493" t="s">
        <v>5054</v>
      </c>
      <c r="B4493" t="s">
        <v>209</v>
      </c>
      <c r="C4493" t="s">
        <v>175</v>
      </c>
      <c r="D4493" t="s">
        <v>43</v>
      </c>
      <c r="E4493" t="s">
        <v>83</v>
      </c>
      <c r="F4493" t="s">
        <v>22</v>
      </c>
      <c r="G4493" t="s">
        <v>23</v>
      </c>
      <c r="H4493" s="1">
        <v>44626</v>
      </c>
      <c r="I4493" s="2">
        <v>44627.7166666667</v>
      </c>
      <c r="J4493">
        <v>41.2</v>
      </c>
      <c r="K4493" t="s">
        <v>24</v>
      </c>
      <c r="L4493">
        <v>0</v>
      </c>
      <c r="M4493">
        <v>4</v>
      </c>
      <c r="N4493" t="s">
        <v>493</v>
      </c>
      <c r="O4493" s="3" t="str">
        <f>TEXT(Ticket_Table[[#This Row],[raised_date]],"YYYY-MM")</f>
        <v>2022-03</v>
      </c>
      <c r="P4493" s="3" t="str">
        <f>IF(Ticket_Table[[#This Row],[resolution_hrs]]&lt;=4,"Fast",IF(Ticket_Table[[#This Row],[resolution_hrs]]&lt;=24,"Normal",IF(Ticket_Table[[#This Row],[resolution_hrs]]&lt;=48,"Slow","Very Slow")))</f>
        <v>Slow</v>
      </c>
      <c r="Q4493" s="3">
        <f>YEAR(Ticket_Table[[#This Row],[raised_date]])</f>
        <v>2022</v>
      </c>
    </row>
    <row r="4494" spans="1:17">
      <c r="A4494" t="s">
        <v>5055</v>
      </c>
      <c r="B4494" t="s">
        <v>493</v>
      </c>
      <c r="C4494" t="s">
        <v>50</v>
      </c>
      <c r="D4494" t="s">
        <v>43</v>
      </c>
      <c r="E4494" t="s">
        <v>44</v>
      </c>
      <c r="F4494" t="s">
        <v>22</v>
      </c>
      <c r="G4494" t="s">
        <v>91</v>
      </c>
      <c r="H4494" s="1">
        <v>44625</v>
      </c>
      <c r="I4494" s="2">
        <v>44625.3583333333</v>
      </c>
      <c r="J4494">
        <v>8.6</v>
      </c>
      <c r="K4494" t="s">
        <v>24</v>
      </c>
      <c r="L4494">
        <v>0</v>
      </c>
      <c r="M4494">
        <v>2</v>
      </c>
      <c r="N4494" t="s">
        <v>550</v>
      </c>
      <c r="O4494" s="3" t="str">
        <f>TEXT(Ticket_Table[[#This Row],[raised_date]],"YYYY-MM")</f>
        <v>2022-03</v>
      </c>
      <c r="P4494" s="3" t="str">
        <f>IF(Ticket_Table[[#This Row],[resolution_hrs]]&lt;=4,"Fast",IF(Ticket_Table[[#This Row],[resolution_hrs]]&lt;=24,"Normal",IF(Ticket_Table[[#This Row],[resolution_hrs]]&lt;=48,"Slow","Very Slow")))</f>
        <v>Normal</v>
      </c>
      <c r="Q4494" s="3">
        <f>YEAR(Ticket_Table[[#This Row],[raised_date]])</f>
        <v>2022</v>
      </c>
    </row>
    <row r="4495" spans="1:17">
      <c r="A4495" t="s">
        <v>5056</v>
      </c>
      <c r="B4495" t="s">
        <v>114</v>
      </c>
      <c r="C4495" t="s">
        <v>55</v>
      </c>
      <c r="D4495" t="s">
        <v>43</v>
      </c>
      <c r="E4495" t="s">
        <v>51</v>
      </c>
      <c r="F4495" t="s">
        <v>38</v>
      </c>
      <c r="G4495" t="s">
        <v>31</v>
      </c>
      <c r="H4495" s="1">
        <v>44316</v>
      </c>
      <c r="I4495" s="2">
        <v>44316.1541666667</v>
      </c>
      <c r="J4495">
        <v>3.7</v>
      </c>
      <c r="K4495" t="s">
        <v>24</v>
      </c>
      <c r="L4495">
        <v>0</v>
      </c>
      <c r="M4495">
        <v>3</v>
      </c>
      <c r="N4495" t="s">
        <v>283</v>
      </c>
      <c r="O4495" s="3" t="str">
        <f>TEXT(Ticket_Table[[#This Row],[raised_date]],"YYYY-MM")</f>
        <v>2021-04</v>
      </c>
      <c r="P4495" s="3" t="str">
        <f>IF(Ticket_Table[[#This Row],[resolution_hrs]]&lt;=4,"Fast",IF(Ticket_Table[[#This Row],[resolution_hrs]]&lt;=24,"Normal",IF(Ticket_Table[[#This Row],[resolution_hrs]]&lt;=48,"Slow","Very Slow")))</f>
        <v>Fast</v>
      </c>
      <c r="Q4495" s="3">
        <f>YEAR(Ticket_Table[[#This Row],[raised_date]])</f>
        <v>2021</v>
      </c>
    </row>
    <row r="4496" spans="1:17">
      <c r="A4496" t="s">
        <v>5057</v>
      </c>
      <c r="B4496" t="s">
        <v>517</v>
      </c>
      <c r="C4496" t="s">
        <v>68</v>
      </c>
      <c r="D4496" t="s">
        <v>43</v>
      </c>
      <c r="E4496" t="s">
        <v>21</v>
      </c>
      <c r="F4496" t="s">
        <v>70</v>
      </c>
      <c r="G4496" t="s">
        <v>74</v>
      </c>
      <c r="H4496" s="1">
        <v>44420</v>
      </c>
      <c r="I4496" s="2">
        <v>44422.3541666667</v>
      </c>
      <c r="J4496">
        <v>56.5</v>
      </c>
      <c r="K4496" t="s">
        <v>32</v>
      </c>
      <c r="L4496">
        <v>1</v>
      </c>
      <c r="M4496">
        <v>5</v>
      </c>
      <c r="N4496" t="s">
        <v>207</v>
      </c>
      <c r="O4496" s="3" t="str">
        <f>TEXT(Ticket_Table[[#This Row],[raised_date]],"YYYY-MM")</f>
        <v>2021-08</v>
      </c>
      <c r="P4496" s="3" t="str">
        <f>IF(Ticket_Table[[#This Row],[resolution_hrs]]&lt;=4,"Fast",IF(Ticket_Table[[#This Row],[resolution_hrs]]&lt;=24,"Normal",IF(Ticket_Table[[#This Row],[resolution_hrs]]&lt;=48,"Slow","Very Slow")))</f>
        <v>Very Slow</v>
      </c>
      <c r="Q4496" s="3">
        <f>YEAR(Ticket_Table[[#This Row],[raised_date]])</f>
        <v>2021</v>
      </c>
    </row>
    <row r="4497" spans="1:17">
      <c r="A4497" t="s">
        <v>5058</v>
      </c>
      <c r="B4497" t="s">
        <v>567</v>
      </c>
      <c r="C4497" t="s">
        <v>201</v>
      </c>
      <c r="D4497" t="s">
        <v>29</v>
      </c>
      <c r="E4497" t="s">
        <v>83</v>
      </c>
      <c r="F4497" t="s">
        <v>22</v>
      </c>
      <c r="G4497" t="s">
        <v>23</v>
      </c>
      <c r="H4497" s="1">
        <v>45280</v>
      </c>
      <c r="I4497" s="2">
        <v>45281.3708333333</v>
      </c>
      <c r="J4497">
        <v>32.9</v>
      </c>
      <c r="K4497" t="s">
        <v>24</v>
      </c>
      <c r="L4497">
        <v>0</v>
      </c>
      <c r="M4497">
        <v>3</v>
      </c>
      <c r="N4497" t="s">
        <v>435</v>
      </c>
      <c r="O4497" s="3" t="str">
        <f>TEXT(Ticket_Table[[#This Row],[raised_date]],"YYYY-MM")</f>
        <v>2023-12</v>
      </c>
      <c r="P4497" s="3" t="str">
        <f>IF(Ticket_Table[[#This Row],[resolution_hrs]]&lt;=4,"Fast",IF(Ticket_Table[[#This Row],[resolution_hrs]]&lt;=24,"Normal",IF(Ticket_Table[[#This Row],[resolution_hrs]]&lt;=48,"Slow","Very Slow")))</f>
        <v>Slow</v>
      </c>
      <c r="Q4497" s="3">
        <f>YEAR(Ticket_Table[[#This Row],[raised_date]])</f>
        <v>2023</v>
      </c>
    </row>
    <row r="4498" spans="1:17">
      <c r="A4498" t="s">
        <v>5059</v>
      </c>
      <c r="B4498" t="s">
        <v>756</v>
      </c>
      <c r="C4498" t="s">
        <v>213</v>
      </c>
      <c r="D4498" t="s">
        <v>20</v>
      </c>
      <c r="E4498" t="s">
        <v>166</v>
      </c>
      <c r="F4498" t="s">
        <v>38</v>
      </c>
      <c r="G4498" t="s">
        <v>46</v>
      </c>
      <c r="H4498" s="1">
        <v>44376</v>
      </c>
      <c r="I4498" s="2">
        <v>44376.2125</v>
      </c>
      <c r="J4498">
        <v>5.1</v>
      </c>
      <c r="K4498" t="s">
        <v>24</v>
      </c>
      <c r="L4498">
        <v>2</v>
      </c>
      <c r="M4498">
        <v>1</v>
      </c>
      <c r="N4498" t="s">
        <v>318</v>
      </c>
      <c r="O4498" s="3" t="str">
        <f>TEXT(Ticket_Table[[#This Row],[raised_date]],"YYYY-MM")</f>
        <v>2021-06</v>
      </c>
      <c r="P4498" s="3" t="str">
        <f>IF(Ticket_Table[[#This Row],[resolution_hrs]]&lt;=4,"Fast",IF(Ticket_Table[[#This Row],[resolution_hrs]]&lt;=24,"Normal",IF(Ticket_Table[[#This Row],[resolution_hrs]]&lt;=48,"Slow","Very Slow")))</f>
        <v>Normal</v>
      </c>
      <c r="Q4498" s="3">
        <f>YEAR(Ticket_Table[[#This Row],[raised_date]])</f>
        <v>2021</v>
      </c>
    </row>
    <row r="4499" spans="1:17">
      <c r="A4499" t="s">
        <v>5060</v>
      </c>
      <c r="B4499" t="s">
        <v>1129</v>
      </c>
      <c r="C4499" t="s">
        <v>60</v>
      </c>
      <c r="D4499" t="s">
        <v>29</v>
      </c>
      <c r="E4499" t="s">
        <v>44</v>
      </c>
      <c r="F4499" t="s">
        <v>70</v>
      </c>
      <c r="G4499" t="s">
        <v>91</v>
      </c>
      <c r="H4499" s="1">
        <v>45187</v>
      </c>
      <c r="I4499" s="2">
        <v>45187.725</v>
      </c>
      <c r="J4499">
        <v>17.4</v>
      </c>
      <c r="K4499" t="s">
        <v>24</v>
      </c>
      <c r="L4499">
        <v>0</v>
      </c>
      <c r="M4499">
        <v>2</v>
      </c>
      <c r="N4499" t="s">
        <v>566</v>
      </c>
      <c r="O4499" s="3" t="str">
        <f>TEXT(Ticket_Table[[#This Row],[raised_date]],"YYYY-MM")</f>
        <v>2023-09</v>
      </c>
      <c r="P4499" s="3" t="str">
        <f>IF(Ticket_Table[[#This Row],[resolution_hrs]]&lt;=4,"Fast",IF(Ticket_Table[[#This Row],[resolution_hrs]]&lt;=24,"Normal",IF(Ticket_Table[[#This Row],[resolution_hrs]]&lt;=48,"Slow","Very Slow")))</f>
        <v>Normal</v>
      </c>
      <c r="Q4499" s="3">
        <f>YEAR(Ticket_Table[[#This Row],[raised_date]])</f>
        <v>2023</v>
      </c>
    </row>
    <row r="4500" spans="1:17">
      <c r="A4500" t="s">
        <v>5061</v>
      </c>
      <c r="B4500" t="s">
        <v>163</v>
      </c>
      <c r="C4500" t="s">
        <v>28</v>
      </c>
      <c r="D4500" t="s">
        <v>90</v>
      </c>
      <c r="E4500" t="s">
        <v>69</v>
      </c>
      <c r="F4500" t="s">
        <v>38</v>
      </c>
      <c r="G4500" t="s">
        <v>46</v>
      </c>
      <c r="H4500" s="1">
        <v>44785</v>
      </c>
      <c r="I4500" s="2">
        <v>44785.9208333333</v>
      </c>
      <c r="J4500">
        <v>22.1</v>
      </c>
      <c r="K4500" t="s">
        <v>24</v>
      </c>
      <c r="L4500">
        <v>0</v>
      </c>
      <c r="M4500">
        <v>4</v>
      </c>
      <c r="N4500" t="s">
        <v>1037</v>
      </c>
      <c r="O4500" s="3" t="str">
        <f>TEXT(Ticket_Table[[#This Row],[raised_date]],"YYYY-MM")</f>
        <v>2022-08</v>
      </c>
      <c r="P4500" s="3" t="str">
        <f>IF(Ticket_Table[[#This Row],[resolution_hrs]]&lt;=4,"Fast",IF(Ticket_Table[[#This Row],[resolution_hrs]]&lt;=24,"Normal",IF(Ticket_Table[[#This Row],[resolution_hrs]]&lt;=48,"Slow","Very Slow")))</f>
        <v>Normal</v>
      </c>
      <c r="Q4500" s="3">
        <f>YEAR(Ticket_Table[[#This Row],[raised_date]])</f>
        <v>2022</v>
      </c>
    </row>
    <row r="4501" spans="1:17">
      <c r="A4501" t="s">
        <v>5062</v>
      </c>
      <c r="B4501" t="s">
        <v>39</v>
      </c>
      <c r="C4501" t="s">
        <v>133</v>
      </c>
      <c r="D4501" t="s">
        <v>90</v>
      </c>
      <c r="E4501" t="s">
        <v>69</v>
      </c>
      <c r="F4501" t="s">
        <v>22</v>
      </c>
      <c r="G4501" t="s">
        <v>23</v>
      </c>
      <c r="H4501" s="1">
        <v>45071</v>
      </c>
      <c r="I4501" s="2">
        <v>45072.5166666667</v>
      </c>
      <c r="J4501">
        <v>36.4</v>
      </c>
      <c r="K4501" t="s">
        <v>24</v>
      </c>
      <c r="L4501">
        <v>0</v>
      </c>
      <c r="M4501">
        <v>4</v>
      </c>
      <c r="N4501" t="s">
        <v>329</v>
      </c>
      <c r="O4501" s="3" t="str">
        <f>TEXT(Ticket_Table[[#This Row],[raised_date]],"YYYY-MM")</f>
        <v>2023-05</v>
      </c>
      <c r="P4501" s="3" t="str">
        <f>IF(Ticket_Table[[#This Row],[resolution_hrs]]&lt;=4,"Fast",IF(Ticket_Table[[#This Row],[resolution_hrs]]&lt;=24,"Normal",IF(Ticket_Table[[#This Row],[resolution_hrs]]&lt;=48,"Slow","Very Slow")))</f>
        <v>Slow</v>
      </c>
      <c r="Q4501" s="3">
        <f>YEAR(Ticket_Table[[#This Row],[raised_date]])</f>
        <v>2023</v>
      </c>
    </row>
    <row r="4502" spans="1:17">
      <c r="A4502" t="s">
        <v>5063</v>
      </c>
      <c r="B4502" t="s">
        <v>267</v>
      </c>
      <c r="C4502" t="s">
        <v>50</v>
      </c>
      <c r="D4502" t="s">
        <v>20</v>
      </c>
      <c r="E4502" t="s">
        <v>83</v>
      </c>
      <c r="F4502" t="s">
        <v>38</v>
      </c>
      <c r="G4502" t="s">
        <v>31</v>
      </c>
      <c r="H4502" s="1">
        <v>44845</v>
      </c>
      <c r="I4502" s="2">
        <v>44845.3666666667</v>
      </c>
      <c r="J4502">
        <v>8.8</v>
      </c>
      <c r="K4502" t="s">
        <v>24</v>
      </c>
      <c r="L4502">
        <v>0</v>
      </c>
      <c r="M4502">
        <v>3</v>
      </c>
      <c r="N4502" t="s">
        <v>152</v>
      </c>
      <c r="O4502" s="3" t="str">
        <f>TEXT(Ticket_Table[[#This Row],[raised_date]],"YYYY-MM")</f>
        <v>2022-10</v>
      </c>
      <c r="P4502" s="3" t="str">
        <f>IF(Ticket_Table[[#This Row],[resolution_hrs]]&lt;=4,"Fast",IF(Ticket_Table[[#This Row],[resolution_hrs]]&lt;=24,"Normal",IF(Ticket_Table[[#This Row],[resolution_hrs]]&lt;=48,"Slow","Very Slow")))</f>
        <v>Normal</v>
      </c>
      <c r="Q4502" s="3">
        <f>YEAR(Ticket_Table[[#This Row],[raised_date]])</f>
        <v>2022</v>
      </c>
    </row>
    <row r="4503" spans="1:17">
      <c r="A4503" t="s">
        <v>5064</v>
      </c>
      <c r="B4503" t="s">
        <v>527</v>
      </c>
      <c r="C4503" t="s">
        <v>213</v>
      </c>
      <c r="D4503" t="s">
        <v>20</v>
      </c>
      <c r="E4503" t="s">
        <v>51</v>
      </c>
      <c r="F4503" t="s">
        <v>38</v>
      </c>
      <c r="G4503" t="s">
        <v>31</v>
      </c>
      <c r="H4503" s="1">
        <v>44728</v>
      </c>
      <c r="I4503" s="2">
        <v>44729.4125</v>
      </c>
      <c r="J4503">
        <v>33.9</v>
      </c>
      <c r="K4503" t="s">
        <v>32</v>
      </c>
      <c r="L4503">
        <v>1</v>
      </c>
      <c r="M4503">
        <v>3</v>
      </c>
      <c r="N4503" t="s">
        <v>298</v>
      </c>
      <c r="O4503" s="3" t="str">
        <f>TEXT(Ticket_Table[[#This Row],[raised_date]],"YYYY-MM")</f>
        <v>2022-06</v>
      </c>
      <c r="P4503" s="3" t="str">
        <f>IF(Ticket_Table[[#This Row],[resolution_hrs]]&lt;=4,"Fast",IF(Ticket_Table[[#This Row],[resolution_hrs]]&lt;=24,"Normal",IF(Ticket_Table[[#This Row],[resolution_hrs]]&lt;=48,"Slow","Very Slow")))</f>
        <v>Slow</v>
      </c>
      <c r="Q4503" s="3">
        <f>YEAR(Ticket_Table[[#This Row],[raised_date]])</f>
        <v>2022</v>
      </c>
    </row>
    <row r="4504" spans="1:17">
      <c r="A4504" t="s">
        <v>5065</v>
      </c>
      <c r="B4504" t="s">
        <v>518</v>
      </c>
      <c r="C4504" t="s">
        <v>60</v>
      </c>
      <c r="D4504" t="s">
        <v>20</v>
      </c>
      <c r="E4504" t="s">
        <v>44</v>
      </c>
      <c r="F4504" t="s">
        <v>22</v>
      </c>
      <c r="G4504" t="s">
        <v>31</v>
      </c>
      <c r="H4504" s="1">
        <v>45273</v>
      </c>
      <c r="I4504" s="2">
        <v>45277.1541666667</v>
      </c>
      <c r="J4504">
        <v>99.7</v>
      </c>
      <c r="K4504" t="s">
        <v>32</v>
      </c>
      <c r="L4504">
        <v>0</v>
      </c>
      <c r="M4504">
        <v>4</v>
      </c>
      <c r="N4504" t="s">
        <v>478</v>
      </c>
      <c r="O4504" s="3" t="str">
        <f>TEXT(Ticket_Table[[#This Row],[raised_date]],"YYYY-MM")</f>
        <v>2023-12</v>
      </c>
      <c r="P4504" s="3" t="str">
        <f>IF(Ticket_Table[[#This Row],[resolution_hrs]]&lt;=4,"Fast",IF(Ticket_Table[[#This Row],[resolution_hrs]]&lt;=24,"Normal",IF(Ticket_Table[[#This Row],[resolution_hrs]]&lt;=48,"Slow","Very Slow")))</f>
        <v>Very Slow</v>
      </c>
      <c r="Q4504" s="3">
        <f>YEAR(Ticket_Table[[#This Row],[raised_date]])</f>
        <v>2023</v>
      </c>
    </row>
    <row r="4505" spans="1:17">
      <c r="A4505" t="s">
        <v>5066</v>
      </c>
      <c r="B4505" t="s">
        <v>124</v>
      </c>
      <c r="C4505" t="s">
        <v>102</v>
      </c>
      <c r="D4505" t="s">
        <v>43</v>
      </c>
      <c r="E4505" t="s">
        <v>83</v>
      </c>
      <c r="F4505" t="s">
        <v>38</v>
      </c>
      <c r="G4505" t="s">
        <v>46</v>
      </c>
      <c r="H4505" s="1">
        <v>44921</v>
      </c>
      <c r="I4505" s="2">
        <v>44921.4083333333</v>
      </c>
      <c r="J4505">
        <v>9.8</v>
      </c>
      <c r="K4505" t="s">
        <v>24</v>
      </c>
      <c r="L4505">
        <v>0</v>
      </c>
      <c r="M4505">
        <v>3</v>
      </c>
      <c r="N4505" t="s">
        <v>710</v>
      </c>
      <c r="O4505" s="3" t="str">
        <f>TEXT(Ticket_Table[[#This Row],[raised_date]],"YYYY-MM")</f>
        <v>2022-12</v>
      </c>
      <c r="P4505" s="3" t="str">
        <f>IF(Ticket_Table[[#This Row],[resolution_hrs]]&lt;=4,"Fast",IF(Ticket_Table[[#This Row],[resolution_hrs]]&lt;=24,"Normal",IF(Ticket_Table[[#This Row],[resolution_hrs]]&lt;=48,"Slow","Very Slow")))</f>
        <v>Normal</v>
      </c>
      <c r="Q4505" s="3">
        <f>YEAR(Ticket_Table[[#This Row],[raised_date]])</f>
        <v>2022</v>
      </c>
    </row>
    <row r="4506" spans="1:17">
      <c r="A4506" t="s">
        <v>5067</v>
      </c>
      <c r="B4506" t="s">
        <v>866</v>
      </c>
      <c r="C4506" t="s">
        <v>140</v>
      </c>
      <c r="D4506" t="s">
        <v>29</v>
      </c>
      <c r="E4506" t="s">
        <v>166</v>
      </c>
      <c r="F4506" t="s">
        <v>70</v>
      </c>
      <c r="G4506" t="s">
        <v>23</v>
      </c>
      <c r="H4506" s="1">
        <v>44462</v>
      </c>
      <c r="I4506" s="2">
        <v>44464.1208333333</v>
      </c>
      <c r="J4506">
        <v>50.9</v>
      </c>
      <c r="K4506" t="s">
        <v>32</v>
      </c>
      <c r="L4506">
        <v>0</v>
      </c>
      <c r="M4506">
        <v>3</v>
      </c>
      <c r="N4506" t="s">
        <v>75</v>
      </c>
      <c r="O4506" s="3" t="str">
        <f>TEXT(Ticket_Table[[#This Row],[raised_date]],"YYYY-MM")</f>
        <v>2021-09</v>
      </c>
      <c r="P4506" s="3" t="str">
        <f>IF(Ticket_Table[[#This Row],[resolution_hrs]]&lt;=4,"Fast",IF(Ticket_Table[[#This Row],[resolution_hrs]]&lt;=24,"Normal",IF(Ticket_Table[[#This Row],[resolution_hrs]]&lt;=48,"Slow","Very Slow")))</f>
        <v>Very Slow</v>
      </c>
      <c r="Q4506" s="3">
        <f>YEAR(Ticket_Table[[#This Row],[raised_date]])</f>
        <v>2021</v>
      </c>
    </row>
    <row r="4507" spans="1:17">
      <c r="A4507" t="s">
        <v>5068</v>
      </c>
      <c r="B4507" t="s">
        <v>186</v>
      </c>
      <c r="C4507" t="s">
        <v>201</v>
      </c>
      <c r="D4507" t="s">
        <v>90</v>
      </c>
      <c r="E4507" t="s">
        <v>21</v>
      </c>
      <c r="F4507" t="s">
        <v>45</v>
      </c>
      <c r="G4507" t="s">
        <v>91</v>
      </c>
      <c r="H4507" s="1">
        <v>45213</v>
      </c>
      <c r="I4507" s="2">
        <v>45213.0541666667</v>
      </c>
      <c r="J4507">
        <v>1.3</v>
      </c>
      <c r="K4507" t="s">
        <v>24</v>
      </c>
      <c r="L4507">
        <v>0</v>
      </c>
      <c r="M4507">
        <v>3</v>
      </c>
      <c r="N4507" t="s">
        <v>243</v>
      </c>
      <c r="O4507" s="3" t="str">
        <f>TEXT(Ticket_Table[[#This Row],[raised_date]],"YYYY-MM")</f>
        <v>2023-10</v>
      </c>
      <c r="P4507" s="3" t="str">
        <f>IF(Ticket_Table[[#This Row],[resolution_hrs]]&lt;=4,"Fast",IF(Ticket_Table[[#This Row],[resolution_hrs]]&lt;=24,"Normal",IF(Ticket_Table[[#This Row],[resolution_hrs]]&lt;=48,"Slow","Very Slow")))</f>
        <v>Fast</v>
      </c>
      <c r="Q4507" s="3">
        <f>YEAR(Ticket_Table[[#This Row],[raised_date]])</f>
        <v>2023</v>
      </c>
    </row>
    <row r="4508" spans="1:17">
      <c r="A4508" t="s">
        <v>5069</v>
      </c>
      <c r="B4508" t="s">
        <v>241</v>
      </c>
      <c r="C4508" t="s">
        <v>60</v>
      </c>
      <c r="D4508" t="s">
        <v>29</v>
      </c>
      <c r="E4508" t="s">
        <v>83</v>
      </c>
      <c r="F4508" t="s">
        <v>22</v>
      </c>
      <c r="G4508" t="s">
        <v>31</v>
      </c>
      <c r="H4508" s="1">
        <v>45261</v>
      </c>
      <c r="I4508" s="2">
        <v>45264.925</v>
      </c>
      <c r="J4508">
        <v>94.2</v>
      </c>
      <c r="K4508" t="s">
        <v>32</v>
      </c>
      <c r="L4508">
        <v>2</v>
      </c>
      <c r="M4508">
        <v>2</v>
      </c>
      <c r="N4508" t="s">
        <v>346</v>
      </c>
      <c r="O4508" s="3" t="str">
        <f>TEXT(Ticket_Table[[#This Row],[raised_date]],"YYYY-MM")</f>
        <v>2023-12</v>
      </c>
      <c r="P4508" s="3" t="str">
        <f>IF(Ticket_Table[[#This Row],[resolution_hrs]]&lt;=4,"Fast",IF(Ticket_Table[[#This Row],[resolution_hrs]]&lt;=24,"Normal",IF(Ticket_Table[[#This Row],[resolution_hrs]]&lt;=48,"Slow","Very Slow")))</f>
        <v>Very Slow</v>
      </c>
      <c r="Q4508" s="3">
        <f>YEAR(Ticket_Table[[#This Row],[raised_date]])</f>
        <v>2023</v>
      </c>
    </row>
    <row r="4509" spans="1:17">
      <c r="A4509" t="s">
        <v>5070</v>
      </c>
      <c r="B4509" t="s">
        <v>240</v>
      </c>
      <c r="C4509" t="s">
        <v>19</v>
      </c>
      <c r="D4509" t="s">
        <v>29</v>
      </c>
      <c r="E4509" t="s">
        <v>30</v>
      </c>
      <c r="F4509" t="s">
        <v>70</v>
      </c>
      <c r="G4509" t="s">
        <v>31</v>
      </c>
      <c r="H4509" s="1">
        <v>45216</v>
      </c>
      <c r="I4509" s="2">
        <v>45218.9041666667</v>
      </c>
      <c r="J4509">
        <v>69.7</v>
      </c>
      <c r="K4509" t="s">
        <v>32</v>
      </c>
      <c r="L4509">
        <v>1</v>
      </c>
      <c r="M4509">
        <v>4</v>
      </c>
      <c r="N4509" t="s">
        <v>670</v>
      </c>
      <c r="O4509" s="3" t="str">
        <f>TEXT(Ticket_Table[[#This Row],[raised_date]],"YYYY-MM")</f>
        <v>2023-10</v>
      </c>
      <c r="P4509" s="3" t="str">
        <f>IF(Ticket_Table[[#This Row],[resolution_hrs]]&lt;=4,"Fast",IF(Ticket_Table[[#This Row],[resolution_hrs]]&lt;=24,"Normal",IF(Ticket_Table[[#This Row],[resolution_hrs]]&lt;=48,"Slow","Very Slow")))</f>
        <v>Very Slow</v>
      </c>
      <c r="Q4509" s="3">
        <f>YEAR(Ticket_Table[[#This Row],[raised_date]])</f>
        <v>2023</v>
      </c>
    </row>
    <row r="4510" spans="1:17">
      <c r="A4510" t="s">
        <v>5071</v>
      </c>
      <c r="B4510" t="s">
        <v>363</v>
      </c>
      <c r="C4510" t="s">
        <v>140</v>
      </c>
      <c r="D4510" t="s">
        <v>29</v>
      </c>
      <c r="E4510" t="s">
        <v>37</v>
      </c>
      <c r="F4510" t="s">
        <v>70</v>
      </c>
      <c r="G4510" t="s">
        <v>31</v>
      </c>
      <c r="H4510" s="1">
        <v>45205</v>
      </c>
      <c r="I4510" s="2">
        <v>45205.2625</v>
      </c>
      <c r="J4510">
        <v>6.3</v>
      </c>
      <c r="K4510" t="s">
        <v>24</v>
      </c>
      <c r="L4510">
        <v>0</v>
      </c>
      <c r="M4510">
        <v>4</v>
      </c>
      <c r="N4510" t="s">
        <v>207</v>
      </c>
      <c r="O4510" s="3" t="str">
        <f>TEXT(Ticket_Table[[#This Row],[raised_date]],"YYYY-MM")</f>
        <v>2023-10</v>
      </c>
      <c r="P4510" s="3" t="str">
        <f>IF(Ticket_Table[[#This Row],[resolution_hrs]]&lt;=4,"Fast",IF(Ticket_Table[[#This Row],[resolution_hrs]]&lt;=24,"Normal",IF(Ticket_Table[[#This Row],[resolution_hrs]]&lt;=48,"Slow","Very Slow")))</f>
        <v>Normal</v>
      </c>
      <c r="Q4510" s="3">
        <f>YEAR(Ticket_Table[[#This Row],[raised_date]])</f>
        <v>2023</v>
      </c>
    </row>
    <row r="4511" spans="1:17">
      <c r="A4511" t="s">
        <v>5072</v>
      </c>
      <c r="B4511" t="s">
        <v>114</v>
      </c>
      <c r="C4511" t="s">
        <v>213</v>
      </c>
      <c r="D4511" t="s">
        <v>20</v>
      </c>
      <c r="E4511" t="s">
        <v>30</v>
      </c>
      <c r="F4511" t="s">
        <v>45</v>
      </c>
      <c r="G4511" t="s">
        <v>23</v>
      </c>
      <c r="H4511" s="1">
        <v>44565</v>
      </c>
      <c r="I4511" s="2">
        <v>44565.1625</v>
      </c>
      <c r="J4511">
        <v>3.9</v>
      </c>
      <c r="K4511" t="s">
        <v>24</v>
      </c>
      <c r="L4511">
        <v>0</v>
      </c>
      <c r="M4511">
        <v>5</v>
      </c>
      <c r="N4511" t="s">
        <v>429</v>
      </c>
      <c r="O4511" s="3" t="str">
        <f>TEXT(Ticket_Table[[#This Row],[raised_date]],"YYYY-MM")</f>
        <v>2022-01</v>
      </c>
      <c r="P4511" s="3" t="str">
        <f>IF(Ticket_Table[[#This Row],[resolution_hrs]]&lt;=4,"Fast",IF(Ticket_Table[[#This Row],[resolution_hrs]]&lt;=24,"Normal",IF(Ticket_Table[[#This Row],[resolution_hrs]]&lt;=48,"Slow","Very Slow")))</f>
        <v>Fast</v>
      </c>
      <c r="Q4511" s="3">
        <f>YEAR(Ticket_Table[[#This Row],[raised_date]])</f>
        <v>2022</v>
      </c>
    </row>
    <row r="4512" spans="1:17">
      <c r="A4512" t="s">
        <v>5073</v>
      </c>
      <c r="B4512" t="s">
        <v>544</v>
      </c>
      <c r="C4512" t="s">
        <v>117</v>
      </c>
      <c r="D4512" t="s">
        <v>20</v>
      </c>
      <c r="E4512" t="s">
        <v>44</v>
      </c>
      <c r="F4512" t="s">
        <v>70</v>
      </c>
      <c r="G4512" t="s">
        <v>31</v>
      </c>
      <c r="H4512" s="1">
        <v>44673</v>
      </c>
      <c r="I4512" s="2">
        <v>44675.5666666667</v>
      </c>
      <c r="J4512">
        <v>61.6</v>
      </c>
      <c r="K4512" t="s">
        <v>32</v>
      </c>
      <c r="L4512">
        <v>1</v>
      </c>
      <c r="M4512">
        <v>4</v>
      </c>
      <c r="N4512" t="s">
        <v>671</v>
      </c>
      <c r="O4512" s="3" t="str">
        <f>TEXT(Ticket_Table[[#This Row],[raised_date]],"YYYY-MM")</f>
        <v>2022-04</v>
      </c>
      <c r="P4512" s="3" t="str">
        <f>IF(Ticket_Table[[#This Row],[resolution_hrs]]&lt;=4,"Fast",IF(Ticket_Table[[#This Row],[resolution_hrs]]&lt;=24,"Normal",IF(Ticket_Table[[#This Row],[resolution_hrs]]&lt;=48,"Slow","Very Slow")))</f>
        <v>Very Slow</v>
      </c>
      <c r="Q4512" s="3">
        <f>YEAR(Ticket_Table[[#This Row],[raised_date]])</f>
        <v>2022</v>
      </c>
    </row>
    <row r="4513" spans="1:17">
      <c r="A4513" t="s">
        <v>5074</v>
      </c>
      <c r="B4513" t="s">
        <v>130</v>
      </c>
      <c r="C4513" t="s">
        <v>82</v>
      </c>
      <c r="D4513" t="s">
        <v>90</v>
      </c>
      <c r="E4513" t="s">
        <v>106</v>
      </c>
      <c r="F4513" t="s">
        <v>45</v>
      </c>
      <c r="G4513" t="s">
        <v>46</v>
      </c>
      <c r="H4513" s="1">
        <v>44791</v>
      </c>
      <c r="I4513" s="2">
        <v>44791.2375</v>
      </c>
      <c r="J4513">
        <v>5.7</v>
      </c>
      <c r="K4513" t="s">
        <v>32</v>
      </c>
      <c r="L4513">
        <v>0</v>
      </c>
      <c r="M4513">
        <v>5</v>
      </c>
      <c r="N4513" t="s">
        <v>63</v>
      </c>
      <c r="O4513" s="3" t="str">
        <f>TEXT(Ticket_Table[[#This Row],[raised_date]],"YYYY-MM")</f>
        <v>2022-08</v>
      </c>
      <c r="P4513" s="3" t="str">
        <f>IF(Ticket_Table[[#This Row],[resolution_hrs]]&lt;=4,"Fast",IF(Ticket_Table[[#This Row],[resolution_hrs]]&lt;=24,"Normal",IF(Ticket_Table[[#This Row],[resolution_hrs]]&lt;=48,"Slow","Very Slow")))</f>
        <v>Normal</v>
      </c>
      <c r="Q4513" s="3">
        <f>YEAR(Ticket_Table[[#This Row],[raised_date]])</f>
        <v>2022</v>
      </c>
    </row>
    <row r="4514" spans="1:17">
      <c r="A4514" t="s">
        <v>5075</v>
      </c>
      <c r="B4514" t="s">
        <v>501</v>
      </c>
      <c r="C4514" t="s">
        <v>102</v>
      </c>
      <c r="D4514" t="s">
        <v>90</v>
      </c>
      <c r="E4514" t="s">
        <v>30</v>
      </c>
      <c r="F4514" t="s">
        <v>45</v>
      </c>
      <c r="G4514" t="s">
        <v>23</v>
      </c>
      <c r="H4514" s="1">
        <v>44593</v>
      </c>
      <c r="I4514" s="2">
        <v>44593.1458333333</v>
      </c>
      <c r="J4514">
        <v>3.5</v>
      </c>
      <c r="K4514" t="s">
        <v>24</v>
      </c>
      <c r="L4514">
        <v>1</v>
      </c>
      <c r="M4514">
        <v>5</v>
      </c>
      <c r="N4514" t="s">
        <v>1265</v>
      </c>
      <c r="O4514" s="3" t="str">
        <f>TEXT(Ticket_Table[[#This Row],[raised_date]],"YYYY-MM")</f>
        <v>2022-02</v>
      </c>
      <c r="P4514" s="3" t="str">
        <f>IF(Ticket_Table[[#This Row],[resolution_hrs]]&lt;=4,"Fast",IF(Ticket_Table[[#This Row],[resolution_hrs]]&lt;=24,"Normal",IF(Ticket_Table[[#This Row],[resolution_hrs]]&lt;=48,"Slow","Very Slow")))</f>
        <v>Fast</v>
      </c>
      <c r="Q4514" s="3">
        <f>YEAR(Ticket_Table[[#This Row],[raised_date]])</f>
        <v>2022</v>
      </c>
    </row>
    <row r="4515" spans="1:17">
      <c r="A4515" t="s">
        <v>5076</v>
      </c>
      <c r="B4515" t="s">
        <v>1382</v>
      </c>
      <c r="C4515" t="s">
        <v>175</v>
      </c>
      <c r="D4515" t="s">
        <v>90</v>
      </c>
      <c r="E4515" t="s">
        <v>37</v>
      </c>
      <c r="F4515" t="s">
        <v>22</v>
      </c>
      <c r="G4515" t="s">
        <v>31</v>
      </c>
      <c r="H4515" s="1">
        <v>44200</v>
      </c>
      <c r="I4515" s="2">
        <v>44201.8208333333</v>
      </c>
      <c r="J4515">
        <v>43.7</v>
      </c>
      <c r="K4515" t="s">
        <v>24</v>
      </c>
      <c r="L4515">
        <v>0</v>
      </c>
      <c r="M4515">
        <v>3</v>
      </c>
      <c r="N4515" t="s">
        <v>1112</v>
      </c>
      <c r="O4515" s="3" t="str">
        <f>TEXT(Ticket_Table[[#This Row],[raised_date]],"YYYY-MM")</f>
        <v>2021-01</v>
      </c>
      <c r="P4515" s="3" t="str">
        <f>IF(Ticket_Table[[#This Row],[resolution_hrs]]&lt;=4,"Fast",IF(Ticket_Table[[#This Row],[resolution_hrs]]&lt;=24,"Normal",IF(Ticket_Table[[#This Row],[resolution_hrs]]&lt;=48,"Slow","Very Slow")))</f>
        <v>Slow</v>
      </c>
      <c r="Q4515" s="3">
        <f>YEAR(Ticket_Table[[#This Row],[raised_date]])</f>
        <v>2021</v>
      </c>
    </row>
    <row r="4516" spans="1:17">
      <c r="A4516" t="s">
        <v>5077</v>
      </c>
      <c r="B4516" t="s">
        <v>256</v>
      </c>
      <c r="C4516" t="s">
        <v>42</v>
      </c>
      <c r="D4516" t="s">
        <v>29</v>
      </c>
      <c r="E4516" t="s">
        <v>30</v>
      </c>
      <c r="F4516" t="s">
        <v>38</v>
      </c>
      <c r="G4516" t="s">
        <v>74</v>
      </c>
      <c r="H4516" s="1">
        <v>44439</v>
      </c>
      <c r="I4516" s="2">
        <v>44439.125</v>
      </c>
      <c r="J4516">
        <v>3</v>
      </c>
      <c r="K4516" t="s">
        <v>24</v>
      </c>
      <c r="L4516">
        <v>0</v>
      </c>
      <c r="M4516">
        <v>3</v>
      </c>
      <c r="N4516" t="s">
        <v>1154</v>
      </c>
      <c r="O4516" s="3" t="str">
        <f>TEXT(Ticket_Table[[#This Row],[raised_date]],"YYYY-MM")</f>
        <v>2021-08</v>
      </c>
      <c r="P4516" s="3" t="str">
        <f>IF(Ticket_Table[[#This Row],[resolution_hrs]]&lt;=4,"Fast",IF(Ticket_Table[[#This Row],[resolution_hrs]]&lt;=24,"Normal",IF(Ticket_Table[[#This Row],[resolution_hrs]]&lt;=48,"Slow","Very Slow")))</f>
        <v>Fast</v>
      </c>
      <c r="Q4516" s="3">
        <f>YEAR(Ticket_Table[[#This Row],[raised_date]])</f>
        <v>2021</v>
      </c>
    </row>
    <row r="4517" spans="1:17">
      <c r="A4517" t="s">
        <v>5078</v>
      </c>
      <c r="B4517" t="s">
        <v>608</v>
      </c>
      <c r="C4517" t="s">
        <v>261</v>
      </c>
      <c r="D4517" t="s">
        <v>20</v>
      </c>
      <c r="E4517" t="s">
        <v>83</v>
      </c>
      <c r="F4517" t="s">
        <v>45</v>
      </c>
      <c r="G4517" t="s">
        <v>23</v>
      </c>
      <c r="H4517" s="1">
        <v>44246</v>
      </c>
      <c r="I4517" s="2">
        <v>44246.1875</v>
      </c>
      <c r="J4517">
        <v>4.5</v>
      </c>
      <c r="K4517" t="s">
        <v>32</v>
      </c>
      <c r="L4517">
        <v>1</v>
      </c>
      <c r="M4517">
        <v>4</v>
      </c>
      <c r="N4517" t="s">
        <v>985</v>
      </c>
      <c r="O4517" s="3" t="str">
        <f>TEXT(Ticket_Table[[#This Row],[raised_date]],"YYYY-MM")</f>
        <v>2021-02</v>
      </c>
      <c r="P4517" s="3" t="str">
        <f>IF(Ticket_Table[[#This Row],[resolution_hrs]]&lt;=4,"Fast",IF(Ticket_Table[[#This Row],[resolution_hrs]]&lt;=24,"Normal",IF(Ticket_Table[[#This Row],[resolution_hrs]]&lt;=48,"Slow","Very Slow")))</f>
        <v>Normal</v>
      </c>
      <c r="Q4517" s="3">
        <f>YEAR(Ticket_Table[[#This Row],[raised_date]])</f>
        <v>2021</v>
      </c>
    </row>
    <row r="4518" spans="1:17">
      <c r="A4518" t="s">
        <v>5079</v>
      </c>
      <c r="B4518" t="s">
        <v>726</v>
      </c>
      <c r="C4518" t="s">
        <v>201</v>
      </c>
      <c r="D4518" t="s">
        <v>43</v>
      </c>
      <c r="E4518" t="s">
        <v>37</v>
      </c>
      <c r="F4518" t="s">
        <v>22</v>
      </c>
      <c r="G4518" t="s">
        <v>23</v>
      </c>
      <c r="H4518" s="1">
        <v>45149</v>
      </c>
      <c r="I4518" s="2">
        <v>45149.5375</v>
      </c>
      <c r="J4518">
        <v>12.9</v>
      </c>
      <c r="K4518" t="s">
        <v>24</v>
      </c>
      <c r="L4518">
        <v>0</v>
      </c>
      <c r="M4518">
        <v>4</v>
      </c>
      <c r="N4518" t="s">
        <v>1180</v>
      </c>
      <c r="O4518" s="3" t="str">
        <f>TEXT(Ticket_Table[[#This Row],[raised_date]],"YYYY-MM")</f>
        <v>2023-08</v>
      </c>
      <c r="P4518" s="3" t="str">
        <f>IF(Ticket_Table[[#This Row],[resolution_hrs]]&lt;=4,"Fast",IF(Ticket_Table[[#This Row],[resolution_hrs]]&lt;=24,"Normal",IF(Ticket_Table[[#This Row],[resolution_hrs]]&lt;=48,"Slow","Very Slow")))</f>
        <v>Normal</v>
      </c>
      <c r="Q4518" s="3">
        <f>YEAR(Ticket_Table[[#This Row],[raised_date]])</f>
        <v>2023</v>
      </c>
    </row>
    <row r="4519" spans="1:17">
      <c r="A4519" t="s">
        <v>5080</v>
      </c>
      <c r="B4519" t="s">
        <v>75</v>
      </c>
      <c r="C4519" t="s">
        <v>287</v>
      </c>
      <c r="D4519" t="s">
        <v>29</v>
      </c>
      <c r="E4519" t="s">
        <v>21</v>
      </c>
      <c r="F4519" t="s">
        <v>70</v>
      </c>
      <c r="G4519" t="s">
        <v>46</v>
      </c>
      <c r="H4519" s="1">
        <v>44438</v>
      </c>
      <c r="I4519" s="2">
        <v>44439.4333333333</v>
      </c>
      <c r="J4519">
        <v>34.4</v>
      </c>
      <c r="K4519" t="s">
        <v>24</v>
      </c>
      <c r="L4519">
        <v>0</v>
      </c>
      <c r="M4519">
        <v>5</v>
      </c>
      <c r="N4519" t="s">
        <v>214</v>
      </c>
      <c r="O4519" s="3" t="str">
        <f>TEXT(Ticket_Table[[#This Row],[raised_date]],"YYYY-MM")</f>
        <v>2021-08</v>
      </c>
      <c r="P4519" s="3" t="str">
        <f>IF(Ticket_Table[[#This Row],[resolution_hrs]]&lt;=4,"Fast",IF(Ticket_Table[[#This Row],[resolution_hrs]]&lt;=24,"Normal",IF(Ticket_Table[[#This Row],[resolution_hrs]]&lt;=48,"Slow","Very Slow")))</f>
        <v>Slow</v>
      </c>
      <c r="Q4519" s="3">
        <f>YEAR(Ticket_Table[[#This Row],[raised_date]])</f>
        <v>2021</v>
      </c>
    </row>
    <row r="4520" spans="1:17">
      <c r="A4520" t="s">
        <v>5081</v>
      </c>
      <c r="B4520" t="s">
        <v>491</v>
      </c>
      <c r="C4520" t="s">
        <v>28</v>
      </c>
      <c r="D4520" t="s">
        <v>36</v>
      </c>
      <c r="E4520" t="s">
        <v>106</v>
      </c>
      <c r="F4520" t="s">
        <v>70</v>
      </c>
      <c r="G4520" t="s">
        <v>31</v>
      </c>
      <c r="H4520" s="1">
        <v>44621</v>
      </c>
      <c r="I4520" s="2">
        <v>44623.7541666667</v>
      </c>
      <c r="J4520">
        <v>66.1</v>
      </c>
      <c r="K4520" t="s">
        <v>32</v>
      </c>
      <c r="L4520">
        <v>0</v>
      </c>
      <c r="M4520">
        <v>4</v>
      </c>
      <c r="N4520" t="s">
        <v>733</v>
      </c>
      <c r="O4520" s="3" t="str">
        <f>TEXT(Ticket_Table[[#This Row],[raised_date]],"YYYY-MM")</f>
        <v>2022-03</v>
      </c>
      <c r="P4520" s="3" t="str">
        <f>IF(Ticket_Table[[#This Row],[resolution_hrs]]&lt;=4,"Fast",IF(Ticket_Table[[#This Row],[resolution_hrs]]&lt;=24,"Normal",IF(Ticket_Table[[#This Row],[resolution_hrs]]&lt;=48,"Slow","Very Slow")))</f>
        <v>Very Slow</v>
      </c>
      <c r="Q4520" s="3">
        <f>YEAR(Ticket_Table[[#This Row],[raised_date]])</f>
        <v>2022</v>
      </c>
    </row>
    <row r="4521" spans="1:17">
      <c r="A4521" t="s">
        <v>5082</v>
      </c>
      <c r="B4521" t="s">
        <v>154</v>
      </c>
      <c r="C4521" t="s">
        <v>19</v>
      </c>
      <c r="D4521" t="s">
        <v>29</v>
      </c>
      <c r="E4521" t="s">
        <v>83</v>
      </c>
      <c r="F4521" t="s">
        <v>22</v>
      </c>
      <c r="G4521" t="s">
        <v>31</v>
      </c>
      <c r="H4521" s="1">
        <v>45046</v>
      </c>
      <c r="I4521" s="2">
        <v>45047.2125</v>
      </c>
      <c r="J4521">
        <v>29.1</v>
      </c>
      <c r="K4521" t="s">
        <v>24</v>
      </c>
      <c r="L4521">
        <v>0</v>
      </c>
      <c r="M4521">
        <v>4</v>
      </c>
      <c r="N4521" t="s">
        <v>549</v>
      </c>
      <c r="O4521" s="3" t="str">
        <f>TEXT(Ticket_Table[[#This Row],[raised_date]],"YYYY-MM")</f>
        <v>2023-04</v>
      </c>
      <c r="P4521" s="3" t="str">
        <f>IF(Ticket_Table[[#This Row],[resolution_hrs]]&lt;=4,"Fast",IF(Ticket_Table[[#This Row],[resolution_hrs]]&lt;=24,"Normal",IF(Ticket_Table[[#This Row],[resolution_hrs]]&lt;=48,"Slow","Very Slow")))</f>
        <v>Slow</v>
      </c>
      <c r="Q4521" s="3">
        <f>YEAR(Ticket_Table[[#This Row],[raised_date]])</f>
        <v>2023</v>
      </c>
    </row>
    <row r="4522" spans="1:17">
      <c r="A4522" t="s">
        <v>5083</v>
      </c>
      <c r="B4522" t="s">
        <v>365</v>
      </c>
      <c r="C4522" t="s">
        <v>60</v>
      </c>
      <c r="D4522" t="s">
        <v>20</v>
      </c>
      <c r="E4522" t="s">
        <v>166</v>
      </c>
      <c r="F4522" t="s">
        <v>22</v>
      </c>
      <c r="G4522" t="s">
        <v>46</v>
      </c>
      <c r="H4522" s="1">
        <v>45044</v>
      </c>
      <c r="I4522" s="2">
        <v>45044.175</v>
      </c>
      <c r="J4522">
        <v>4.2</v>
      </c>
      <c r="K4522" t="s">
        <v>24</v>
      </c>
      <c r="L4522">
        <v>0</v>
      </c>
      <c r="M4522">
        <v>3</v>
      </c>
      <c r="N4522" t="s">
        <v>315</v>
      </c>
      <c r="O4522" s="3" t="str">
        <f>TEXT(Ticket_Table[[#This Row],[raised_date]],"YYYY-MM")</f>
        <v>2023-04</v>
      </c>
      <c r="P4522" s="3" t="str">
        <f>IF(Ticket_Table[[#This Row],[resolution_hrs]]&lt;=4,"Fast",IF(Ticket_Table[[#This Row],[resolution_hrs]]&lt;=24,"Normal",IF(Ticket_Table[[#This Row],[resolution_hrs]]&lt;=48,"Slow","Very Slow")))</f>
        <v>Normal</v>
      </c>
      <c r="Q4522" s="3">
        <f>YEAR(Ticket_Table[[#This Row],[raised_date]])</f>
        <v>2023</v>
      </c>
    </row>
    <row r="4523" spans="1:17">
      <c r="A4523" t="s">
        <v>5084</v>
      </c>
      <c r="B4523" t="s">
        <v>127</v>
      </c>
      <c r="C4523" t="s">
        <v>261</v>
      </c>
      <c r="D4523" t="s">
        <v>36</v>
      </c>
      <c r="E4523" t="s">
        <v>166</v>
      </c>
      <c r="F4523" t="s">
        <v>22</v>
      </c>
      <c r="G4523" t="s">
        <v>23</v>
      </c>
      <c r="H4523" s="1">
        <v>44290</v>
      </c>
      <c r="I4523" s="2">
        <v>44291.55</v>
      </c>
      <c r="J4523">
        <v>37.2</v>
      </c>
      <c r="K4523" t="s">
        <v>24</v>
      </c>
      <c r="L4523">
        <v>0</v>
      </c>
      <c r="M4523">
        <v>4</v>
      </c>
      <c r="N4523" t="s">
        <v>668</v>
      </c>
      <c r="O4523" s="3" t="str">
        <f>TEXT(Ticket_Table[[#This Row],[raised_date]],"YYYY-MM")</f>
        <v>2021-04</v>
      </c>
      <c r="P4523" s="3" t="str">
        <f>IF(Ticket_Table[[#This Row],[resolution_hrs]]&lt;=4,"Fast",IF(Ticket_Table[[#This Row],[resolution_hrs]]&lt;=24,"Normal",IF(Ticket_Table[[#This Row],[resolution_hrs]]&lt;=48,"Slow","Very Slow")))</f>
        <v>Slow</v>
      </c>
      <c r="Q4523" s="3">
        <f>YEAR(Ticket_Table[[#This Row],[raised_date]])</f>
        <v>2021</v>
      </c>
    </row>
    <row r="4524" spans="1:17">
      <c r="A4524" t="s">
        <v>5085</v>
      </c>
      <c r="B4524" t="s">
        <v>2204</v>
      </c>
      <c r="C4524" t="s">
        <v>117</v>
      </c>
      <c r="D4524" t="s">
        <v>29</v>
      </c>
      <c r="E4524" t="s">
        <v>44</v>
      </c>
      <c r="F4524" t="s">
        <v>22</v>
      </c>
      <c r="G4524" t="s">
        <v>23</v>
      </c>
      <c r="H4524" s="1">
        <v>44880</v>
      </c>
      <c r="I4524" s="2">
        <v>44881.2041666667</v>
      </c>
      <c r="J4524">
        <v>28.9</v>
      </c>
      <c r="K4524" t="s">
        <v>24</v>
      </c>
      <c r="L4524">
        <v>0</v>
      </c>
      <c r="M4524">
        <v>5</v>
      </c>
      <c r="N4524" t="s">
        <v>796</v>
      </c>
      <c r="O4524" s="3" t="str">
        <f>TEXT(Ticket_Table[[#This Row],[raised_date]],"YYYY-MM")</f>
        <v>2022-11</v>
      </c>
      <c r="P4524" s="3" t="str">
        <f>IF(Ticket_Table[[#This Row],[resolution_hrs]]&lt;=4,"Fast",IF(Ticket_Table[[#This Row],[resolution_hrs]]&lt;=24,"Normal",IF(Ticket_Table[[#This Row],[resolution_hrs]]&lt;=48,"Slow","Very Slow")))</f>
        <v>Slow</v>
      </c>
      <c r="Q4524" s="3">
        <f>YEAR(Ticket_Table[[#This Row],[raised_date]])</f>
        <v>2022</v>
      </c>
    </row>
    <row r="4525" spans="1:17">
      <c r="A4525" t="s">
        <v>5086</v>
      </c>
      <c r="B4525" t="s">
        <v>1107</v>
      </c>
      <c r="C4525" t="s">
        <v>19</v>
      </c>
      <c r="D4525" t="s">
        <v>20</v>
      </c>
      <c r="E4525" t="s">
        <v>56</v>
      </c>
      <c r="F4525" t="s">
        <v>70</v>
      </c>
      <c r="G4525" t="s">
        <v>46</v>
      </c>
      <c r="H4525" s="1">
        <v>44913</v>
      </c>
      <c r="I4525" s="2">
        <v>44914.0333333333</v>
      </c>
      <c r="J4525">
        <v>24.8</v>
      </c>
      <c r="K4525" t="s">
        <v>24</v>
      </c>
      <c r="L4525">
        <v>0</v>
      </c>
      <c r="M4525">
        <v>5</v>
      </c>
      <c r="N4525" t="s">
        <v>722</v>
      </c>
      <c r="O4525" s="3" t="str">
        <f>TEXT(Ticket_Table[[#This Row],[raised_date]],"YYYY-MM")</f>
        <v>2022-12</v>
      </c>
      <c r="P4525" s="3" t="str">
        <f>IF(Ticket_Table[[#This Row],[resolution_hrs]]&lt;=4,"Fast",IF(Ticket_Table[[#This Row],[resolution_hrs]]&lt;=24,"Normal",IF(Ticket_Table[[#This Row],[resolution_hrs]]&lt;=48,"Slow","Very Slow")))</f>
        <v>Slow</v>
      </c>
      <c r="Q4525" s="3">
        <f>YEAR(Ticket_Table[[#This Row],[raised_date]])</f>
        <v>2022</v>
      </c>
    </row>
    <row r="4526" spans="1:17">
      <c r="A4526" t="s">
        <v>5087</v>
      </c>
      <c r="B4526" t="s">
        <v>1582</v>
      </c>
      <c r="C4526" t="s">
        <v>55</v>
      </c>
      <c r="D4526" t="s">
        <v>20</v>
      </c>
      <c r="E4526" t="s">
        <v>30</v>
      </c>
      <c r="F4526" t="s">
        <v>22</v>
      </c>
      <c r="G4526" t="s">
        <v>31</v>
      </c>
      <c r="H4526" s="1">
        <v>44631</v>
      </c>
      <c r="I4526" s="2">
        <v>44634.45</v>
      </c>
      <c r="J4526">
        <v>82.8</v>
      </c>
      <c r="K4526" t="s">
        <v>32</v>
      </c>
      <c r="L4526">
        <v>0</v>
      </c>
      <c r="M4526">
        <v>2</v>
      </c>
      <c r="N4526" t="s">
        <v>79</v>
      </c>
      <c r="O4526" s="3" t="str">
        <f>TEXT(Ticket_Table[[#This Row],[raised_date]],"YYYY-MM")</f>
        <v>2022-03</v>
      </c>
      <c r="P4526" s="3" t="str">
        <f>IF(Ticket_Table[[#This Row],[resolution_hrs]]&lt;=4,"Fast",IF(Ticket_Table[[#This Row],[resolution_hrs]]&lt;=24,"Normal",IF(Ticket_Table[[#This Row],[resolution_hrs]]&lt;=48,"Slow","Very Slow")))</f>
        <v>Very Slow</v>
      </c>
      <c r="Q4526" s="3">
        <f>YEAR(Ticket_Table[[#This Row],[raised_date]])</f>
        <v>2022</v>
      </c>
    </row>
    <row r="4527" spans="1:17">
      <c r="A4527" t="s">
        <v>5088</v>
      </c>
      <c r="B4527" t="s">
        <v>966</v>
      </c>
      <c r="C4527" t="s">
        <v>102</v>
      </c>
      <c r="D4527" t="s">
        <v>43</v>
      </c>
      <c r="E4527" t="s">
        <v>37</v>
      </c>
      <c r="F4527" t="s">
        <v>38</v>
      </c>
      <c r="G4527" t="s">
        <v>23</v>
      </c>
      <c r="H4527" s="1">
        <v>44220</v>
      </c>
      <c r="I4527" s="2">
        <v>44220.2458333333</v>
      </c>
      <c r="J4527">
        <v>5.9</v>
      </c>
      <c r="K4527" t="s">
        <v>24</v>
      </c>
      <c r="L4527">
        <v>2</v>
      </c>
      <c r="M4527">
        <v>4</v>
      </c>
      <c r="N4527" t="s">
        <v>135</v>
      </c>
      <c r="O4527" s="3" t="str">
        <f>TEXT(Ticket_Table[[#This Row],[raised_date]],"YYYY-MM")</f>
        <v>2021-01</v>
      </c>
      <c r="P4527" s="3" t="str">
        <f>IF(Ticket_Table[[#This Row],[resolution_hrs]]&lt;=4,"Fast",IF(Ticket_Table[[#This Row],[resolution_hrs]]&lt;=24,"Normal",IF(Ticket_Table[[#This Row],[resolution_hrs]]&lt;=48,"Slow","Very Slow")))</f>
        <v>Normal</v>
      </c>
      <c r="Q4527" s="3">
        <f>YEAR(Ticket_Table[[#This Row],[raised_date]])</f>
        <v>2021</v>
      </c>
    </row>
    <row r="4528" spans="1:17">
      <c r="A4528" t="s">
        <v>5089</v>
      </c>
      <c r="B4528" t="s">
        <v>558</v>
      </c>
      <c r="C4528" t="s">
        <v>68</v>
      </c>
      <c r="D4528" t="s">
        <v>29</v>
      </c>
      <c r="E4528" t="s">
        <v>83</v>
      </c>
      <c r="F4528" t="s">
        <v>38</v>
      </c>
      <c r="G4528" t="s">
        <v>31</v>
      </c>
      <c r="H4528" s="1">
        <v>44609</v>
      </c>
      <c r="I4528" s="2">
        <v>44609.8375</v>
      </c>
      <c r="J4528">
        <v>20.1</v>
      </c>
      <c r="K4528" t="s">
        <v>24</v>
      </c>
      <c r="L4528">
        <v>1</v>
      </c>
      <c r="M4528">
        <v>4</v>
      </c>
      <c r="N4528" t="s">
        <v>1063</v>
      </c>
      <c r="O4528" s="3" t="str">
        <f>TEXT(Ticket_Table[[#This Row],[raised_date]],"YYYY-MM")</f>
        <v>2022-02</v>
      </c>
      <c r="P4528" s="3" t="str">
        <f>IF(Ticket_Table[[#This Row],[resolution_hrs]]&lt;=4,"Fast",IF(Ticket_Table[[#This Row],[resolution_hrs]]&lt;=24,"Normal",IF(Ticket_Table[[#This Row],[resolution_hrs]]&lt;=48,"Slow","Very Slow")))</f>
        <v>Normal</v>
      </c>
      <c r="Q4528" s="3">
        <f>YEAR(Ticket_Table[[#This Row],[raised_date]])</f>
        <v>2022</v>
      </c>
    </row>
    <row r="4529" spans="1:17">
      <c r="A4529" t="s">
        <v>5090</v>
      </c>
      <c r="B4529" t="s">
        <v>423</v>
      </c>
      <c r="C4529" t="s">
        <v>28</v>
      </c>
      <c r="D4529" t="s">
        <v>20</v>
      </c>
      <c r="E4529" t="s">
        <v>166</v>
      </c>
      <c r="F4529" t="s">
        <v>22</v>
      </c>
      <c r="G4529" t="s">
        <v>46</v>
      </c>
      <c r="H4529" s="1">
        <v>44773</v>
      </c>
      <c r="I4529" s="2">
        <v>44776.3125</v>
      </c>
      <c r="J4529">
        <v>79.5</v>
      </c>
      <c r="K4529" t="s">
        <v>32</v>
      </c>
      <c r="L4529">
        <v>0</v>
      </c>
      <c r="M4529">
        <v>3</v>
      </c>
      <c r="N4529" t="s">
        <v>358</v>
      </c>
      <c r="O4529" s="3" t="str">
        <f>TEXT(Ticket_Table[[#This Row],[raised_date]],"YYYY-MM")</f>
        <v>2022-07</v>
      </c>
      <c r="P4529" s="3" t="str">
        <f>IF(Ticket_Table[[#This Row],[resolution_hrs]]&lt;=4,"Fast",IF(Ticket_Table[[#This Row],[resolution_hrs]]&lt;=24,"Normal",IF(Ticket_Table[[#This Row],[resolution_hrs]]&lt;=48,"Slow","Very Slow")))</f>
        <v>Very Slow</v>
      </c>
      <c r="Q4529" s="3">
        <f>YEAR(Ticket_Table[[#This Row],[raised_date]])</f>
        <v>2022</v>
      </c>
    </row>
    <row r="4530" spans="1:17">
      <c r="A4530" t="s">
        <v>5091</v>
      </c>
      <c r="B4530" t="s">
        <v>716</v>
      </c>
      <c r="C4530" t="s">
        <v>68</v>
      </c>
      <c r="D4530" t="s">
        <v>90</v>
      </c>
      <c r="E4530" t="s">
        <v>106</v>
      </c>
      <c r="F4530" t="s">
        <v>38</v>
      </c>
      <c r="G4530" t="s">
        <v>23</v>
      </c>
      <c r="H4530" s="1">
        <v>44718</v>
      </c>
      <c r="I4530" s="2">
        <v>44719.3875</v>
      </c>
      <c r="J4530">
        <v>33.3</v>
      </c>
      <c r="K4530" t="s">
        <v>32</v>
      </c>
      <c r="L4530">
        <v>0</v>
      </c>
      <c r="M4530">
        <v>5</v>
      </c>
      <c r="N4530" t="s">
        <v>685</v>
      </c>
      <c r="O4530" s="3" t="str">
        <f>TEXT(Ticket_Table[[#This Row],[raised_date]],"YYYY-MM")</f>
        <v>2022-06</v>
      </c>
      <c r="P4530" s="3" t="str">
        <f>IF(Ticket_Table[[#This Row],[resolution_hrs]]&lt;=4,"Fast",IF(Ticket_Table[[#This Row],[resolution_hrs]]&lt;=24,"Normal",IF(Ticket_Table[[#This Row],[resolution_hrs]]&lt;=48,"Slow","Very Slow")))</f>
        <v>Slow</v>
      </c>
      <c r="Q4530" s="3">
        <f>YEAR(Ticket_Table[[#This Row],[raised_date]])</f>
        <v>2022</v>
      </c>
    </row>
    <row r="4531" spans="1:17">
      <c r="A4531" t="s">
        <v>5092</v>
      </c>
      <c r="B4531" t="s">
        <v>331</v>
      </c>
      <c r="C4531" t="s">
        <v>64</v>
      </c>
      <c r="D4531" t="s">
        <v>20</v>
      </c>
      <c r="E4531" t="s">
        <v>56</v>
      </c>
      <c r="F4531" t="s">
        <v>38</v>
      </c>
      <c r="G4531" t="s">
        <v>74</v>
      </c>
      <c r="H4531" s="1">
        <v>44335</v>
      </c>
      <c r="I4531" s="2">
        <v>44336.0083333333</v>
      </c>
      <c r="J4531">
        <v>24.2</v>
      </c>
      <c r="K4531" t="s">
        <v>32</v>
      </c>
      <c r="L4531">
        <v>0</v>
      </c>
      <c r="M4531">
        <v>4</v>
      </c>
      <c r="N4531" t="s">
        <v>86</v>
      </c>
      <c r="O4531" s="3" t="str">
        <f>TEXT(Ticket_Table[[#This Row],[raised_date]],"YYYY-MM")</f>
        <v>2021-05</v>
      </c>
      <c r="P4531" s="3" t="str">
        <f>IF(Ticket_Table[[#This Row],[resolution_hrs]]&lt;=4,"Fast",IF(Ticket_Table[[#This Row],[resolution_hrs]]&lt;=24,"Normal",IF(Ticket_Table[[#This Row],[resolution_hrs]]&lt;=48,"Slow","Very Slow")))</f>
        <v>Slow</v>
      </c>
      <c r="Q4531" s="3">
        <f>YEAR(Ticket_Table[[#This Row],[raised_date]])</f>
        <v>2021</v>
      </c>
    </row>
    <row r="4532" spans="1:17">
      <c r="A4532" t="s">
        <v>5093</v>
      </c>
      <c r="B4532" t="s">
        <v>191</v>
      </c>
      <c r="C4532" t="s">
        <v>50</v>
      </c>
      <c r="D4532" t="s">
        <v>43</v>
      </c>
      <c r="E4532" t="s">
        <v>106</v>
      </c>
      <c r="F4532" t="s">
        <v>45</v>
      </c>
      <c r="G4532" t="s">
        <v>46</v>
      </c>
      <c r="H4532" s="1">
        <v>44827</v>
      </c>
      <c r="I4532" s="2">
        <v>44827.225</v>
      </c>
      <c r="J4532">
        <v>5.4</v>
      </c>
      <c r="K4532" t="s">
        <v>32</v>
      </c>
      <c r="L4532">
        <v>1</v>
      </c>
      <c r="M4532">
        <v>3</v>
      </c>
      <c r="N4532" t="s">
        <v>374</v>
      </c>
      <c r="O4532" s="3" t="str">
        <f>TEXT(Ticket_Table[[#This Row],[raised_date]],"YYYY-MM")</f>
        <v>2022-09</v>
      </c>
      <c r="P4532" s="3" t="str">
        <f>IF(Ticket_Table[[#This Row],[resolution_hrs]]&lt;=4,"Fast",IF(Ticket_Table[[#This Row],[resolution_hrs]]&lt;=24,"Normal",IF(Ticket_Table[[#This Row],[resolution_hrs]]&lt;=48,"Slow","Very Slow")))</f>
        <v>Normal</v>
      </c>
      <c r="Q4532" s="3">
        <f>YEAR(Ticket_Table[[#This Row],[raised_date]])</f>
        <v>2022</v>
      </c>
    </row>
    <row r="4533" spans="1:17">
      <c r="A4533" t="s">
        <v>5094</v>
      </c>
      <c r="B4533" t="s">
        <v>1093</v>
      </c>
      <c r="C4533" t="s">
        <v>95</v>
      </c>
      <c r="D4533" t="s">
        <v>20</v>
      </c>
      <c r="E4533" t="s">
        <v>30</v>
      </c>
      <c r="F4533" t="s">
        <v>22</v>
      </c>
      <c r="G4533" t="s">
        <v>31</v>
      </c>
      <c r="H4533" s="1">
        <v>44811</v>
      </c>
      <c r="I4533" s="2">
        <v>44812.0916666667</v>
      </c>
      <c r="J4533">
        <v>26.2</v>
      </c>
      <c r="K4533" t="s">
        <v>24</v>
      </c>
      <c r="L4533">
        <v>0</v>
      </c>
      <c r="M4533">
        <v>4</v>
      </c>
      <c r="N4533" t="s">
        <v>578</v>
      </c>
      <c r="O4533" s="3" t="str">
        <f>TEXT(Ticket_Table[[#This Row],[raised_date]],"YYYY-MM")</f>
        <v>2022-09</v>
      </c>
      <c r="P4533" s="3" t="str">
        <f>IF(Ticket_Table[[#This Row],[resolution_hrs]]&lt;=4,"Fast",IF(Ticket_Table[[#This Row],[resolution_hrs]]&lt;=24,"Normal",IF(Ticket_Table[[#This Row],[resolution_hrs]]&lt;=48,"Slow","Very Slow")))</f>
        <v>Slow</v>
      </c>
      <c r="Q4533" s="3">
        <f>YEAR(Ticket_Table[[#This Row],[raised_date]])</f>
        <v>2022</v>
      </c>
    </row>
    <row r="4534" spans="1:17">
      <c r="A4534" t="s">
        <v>5095</v>
      </c>
      <c r="B4534" t="s">
        <v>110</v>
      </c>
      <c r="C4534" t="s">
        <v>68</v>
      </c>
      <c r="D4534" t="s">
        <v>29</v>
      </c>
      <c r="E4534" t="s">
        <v>51</v>
      </c>
      <c r="F4534" t="s">
        <v>22</v>
      </c>
      <c r="G4534" t="s">
        <v>46</v>
      </c>
      <c r="H4534" s="1">
        <v>45234</v>
      </c>
      <c r="I4534" s="2">
        <v>45234.3666666667</v>
      </c>
      <c r="J4534">
        <v>8.8</v>
      </c>
      <c r="K4534" t="s">
        <v>24</v>
      </c>
      <c r="L4534">
        <v>1</v>
      </c>
      <c r="M4534">
        <v>3</v>
      </c>
      <c r="N4534" t="s">
        <v>302</v>
      </c>
      <c r="O4534" s="3" t="str">
        <f>TEXT(Ticket_Table[[#This Row],[raised_date]],"YYYY-MM")</f>
        <v>2023-11</v>
      </c>
      <c r="P4534" s="3" t="str">
        <f>IF(Ticket_Table[[#This Row],[resolution_hrs]]&lt;=4,"Fast",IF(Ticket_Table[[#This Row],[resolution_hrs]]&lt;=24,"Normal",IF(Ticket_Table[[#This Row],[resolution_hrs]]&lt;=48,"Slow","Very Slow")))</f>
        <v>Normal</v>
      </c>
      <c r="Q4534" s="3">
        <f>YEAR(Ticket_Table[[#This Row],[raised_date]])</f>
        <v>2023</v>
      </c>
    </row>
    <row r="4535" spans="1:17">
      <c r="A4535" t="s">
        <v>5096</v>
      </c>
      <c r="B4535" t="s">
        <v>621</v>
      </c>
      <c r="C4535" t="s">
        <v>133</v>
      </c>
      <c r="D4535" t="s">
        <v>29</v>
      </c>
      <c r="E4535" t="s">
        <v>56</v>
      </c>
      <c r="F4535" t="s">
        <v>45</v>
      </c>
      <c r="G4535" t="s">
        <v>74</v>
      </c>
      <c r="H4535" s="1">
        <v>44860</v>
      </c>
      <c r="I4535" s="2">
        <v>44860.2375</v>
      </c>
      <c r="J4535">
        <v>5.7</v>
      </c>
      <c r="K4535" t="s">
        <v>32</v>
      </c>
      <c r="L4535">
        <v>0</v>
      </c>
      <c r="M4535">
        <v>4</v>
      </c>
      <c r="N4535" t="s">
        <v>174</v>
      </c>
      <c r="O4535" s="3" t="str">
        <f>TEXT(Ticket_Table[[#This Row],[raised_date]],"YYYY-MM")</f>
        <v>2022-10</v>
      </c>
      <c r="P4535" s="3" t="str">
        <f>IF(Ticket_Table[[#This Row],[resolution_hrs]]&lt;=4,"Fast",IF(Ticket_Table[[#This Row],[resolution_hrs]]&lt;=24,"Normal",IF(Ticket_Table[[#This Row],[resolution_hrs]]&lt;=48,"Slow","Very Slow")))</f>
        <v>Normal</v>
      </c>
      <c r="Q4535" s="3">
        <f>YEAR(Ticket_Table[[#This Row],[raised_date]])</f>
        <v>2022</v>
      </c>
    </row>
    <row r="4536" spans="1:17">
      <c r="A4536" t="s">
        <v>5097</v>
      </c>
      <c r="B4536" t="s">
        <v>86</v>
      </c>
      <c r="C4536" t="s">
        <v>42</v>
      </c>
      <c r="D4536" t="s">
        <v>36</v>
      </c>
      <c r="E4536" t="s">
        <v>69</v>
      </c>
      <c r="F4536" t="s">
        <v>45</v>
      </c>
      <c r="G4536" t="s">
        <v>31</v>
      </c>
      <c r="H4536" s="1">
        <v>44209</v>
      </c>
      <c r="I4536" s="2">
        <v>44209.2291666667</v>
      </c>
      <c r="J4536">
        <v>5.5</v>
      </c>
      <c r="K4536" t="s">
        <v>32</v>
      </c>
      <c r="L4536">
        <v>0</v>
      </c>
      <c r="M4536">
        <v>2</v>
      </c>
      <c r="N4536" t="s">
        <v>476</v>
      </c>
      <c r="O4536" s="3" t="str">
        <f>TEXT(Ticket_Table[[#This Row],[raised_date]],"YYYY-MM")</f>
        <v>2021-01</v>
      </c>
      <c r="P4536" s="3" t="str">
        <f>IF(Ticket_Table[[#This Row],[resolution_hrs]]&lt;=4,"Fast",IF(Ticket_Table[[#This Row],[resolution_hrs]]&lt;=24,"Normal",IF(Ticket_Table[[#This Row],[resolution_hrs]]&lt;=48,"Slow","Very Slow")))</f>
        <v>Normal</v>
      </c>
      <c r="Q4536" s="3">
        <f>YEAR(Ticket_Table[[#This Row],[raised_date]])</f>
        <v>2021</v>
      </c>
    </row>
    <row r="4537" spans="1:17">
      <c r="A4537" t="s">
        <v>5098</v>
      </c>
      <c r="B4537" t="s">
        <v>525</v>
      </c>
      <c r="C4537" t="s">
        <v>19</v>
      </c>
      <c r="D4537" t="s">
        <v>29</v>
      </c>
      <c r="E4537" t="s">
        <v>51</v>
      </c>
      <c r="F4537" t="s">
        <v>38</v>
      </c>
      <c r="G4537" t="s">
        <v>23</v>
      </c>
      <c r="H4537" s="1">
        <v>44430</v>
      </c>
      <c r="I4537" s="2">
        <v>44431.0666666667</v>
      </c>
      <c r="J4537">
        <v>25.6</v>
      </c>
      <c r="K4537" t="s">
        <v>32</v>
      </c>
      <c r="L4537">
        <v>0</v>
      </c>
      <c r="M4537">
        <v>2</v>
      </c>
      <c r="N4537" t="s">
        <v>710</v>
      </c>
      <c r="O4537" s="3" t="str">
        <f>TEXT(Ticket_Table[[#This Row],[raised_date]],"YYYY-MM")</f>
        <v>2021-08</v>
      </c>
      <c r="P4537" s="3" t="str">
        <f>IF(Ticket_Table[[#This Row],[resolution_hrs]]&lt;=4,"Fast",IF(Ticket_Table[[#This Row],[resolution_hrs]]&lt;=24,"Normal",IF(Ticket_Table[[#This Row],[resolution_hrs]]&lt;=48,"Slow","Very Slow")))</f>
        <v>Slow</v>
      </c>
      <c r="Q4537" s="3">
        <f>YEAR(Ticket_Table[[#This Row],[raised_date]])</f>
        <v>2021</v>
      </c>
    </row>
    <row r="4538" spans="1:17">
      <c r="A4538" t="s">
        <v>5099</v>
      </c>
      <c r="B4538" t="s">
        <v>666</v>
      </c>
      <c r="C4538" t="s">
        <v>117</v>
      </c>
      <c r="D4538" t="s">
        <v>36</v>
      </c>
      <c r="E4538" t="s">
        <v>51</v>
      </c>
      <c r="F4538" t="s">
        <v>38</v>
      </c>
      <c r="G4538" t="s">
        <v>46</v>
      </c>
      <c r="H4538" s="1">
        <v>44879</v>
      </c>
      <c r="I4538" s="2">
        <v>44880.1583333333</v>
      </c>
      <c r="J4538">
        <v>27.8</v>
      </c>
      <c r="K4538" t="s">
        <v>32</v>
      </c>
      <c r="L4538">
        <v>0</v>
      </c>
      <c r="M4538">
        <v>4</v>
      </c>
      <c r="N4538" t="s">
        <v>474</v>
      </c>
      <c r="O4538" s="3" t="str">
        <f>TEXT(Ticket_Table[[#This Row],[raised_date]],"YYYY-MM")</f>
        <v>2022-11</v>
      </c>
      <c r="P4538" s="3" t="str">
        <f>IF(Ticket_Table[[#This Row],[resolution_hrs]]&lt;=4,"Fast",IF(Ticket_Table[[#This Row],[resolution_hrs]]&lt;=24,"Normal",IF(Ticket_Table[[#This Row],[resolution_hrs]]&lt;=48,"Slow","Very Slow")))</f>
        <v>Slow</v>
      </c>
      <c r="Q4538" s="3">
        <f>YEAR(Ticket_Table[[#This Row],[raised_date]])</f>
        <v>2022</v>
      </c>
    </row>
    <row r="4539" spans="1:17">
      <c r="A4539" t="s">
        <v>5100</v>
      </c>
      <c r="B4539" t="s">
        <v>329</v>
      </c>
      <c r="C4539" t="s">
        <v>50</v>
      </c>
      <c r="D4539" t="s">
        <v>90</v>
      </c>
      <c r="E4539" t="s">
        <v>30</v>
      </c>
      <c r="F4539" t="s">
        <v>22</v>
      </c>
      <c r="G4539" t="s">
        <v>91</v>
      </c>
      <c r="H4539" s="1">
        <v>44896</v>
      </c>
      <c r="I4539" s="2">
        <v>44896.2</v>
      </c>
      <c r="J4539">
        <v>4.8</v>
      </c>
      <c r="K4539" t="s">
        <v>24</v>
      </c>
      <c r="L4539">
        <v>0</v>
      </c>
      <c r="M4539">
        <v>4</v>
      </c>
      <c r="N4539" t="s">
        <v>258</v>
      </c>
      <c r="O4539" s="3" t="str">
        <f>TEXT(Ticket_Table[[#This Row],[raised_date]],"YYYY-MM")</f>
        <v>2022-12</v>
      </c>
      <c r="P4539" s="3" t="str">
        <f>IF(Ticket_Table[[#This Row],[resolution_hrs]]&lt;=4,"Fast",IF(Ticket_Table[[#This Row],[resolution_hrs]]&lt;=24,"Normal",IF(Ticket_Table[[#This Row],[resolution_hrs]]&lt;=48,"Slow","Very Slow")))</f>
        <v>Normal</v>
      </c>
      <c r="Q4539" s="3">
        <f>YEAR(Ticket_Table[[#This Row],[raised_date]])</f>
        <v>2022</v>
      </c>
    </row>
    <row r="4540" spans="1:17">
      <c r="A4540" t="s">
        <v>5101</v>
      </c>
      <c r="B4540" t="s">
        <v>1011</v>
      </c>
      <c r="C4540" t="s">
        <v>64</v>
      </c>
      <c r="D4540" t="s">
        <v>43</v>
      </c>
      <c r="E4540" t="s">
        <v>106</v>
      </c>
      <c r="F4540" t="s">
        <v>70</v>
      </c>
      <c r="G4540" t="s">
        <v>46</v>
      </c>
      <c r="H4540" s="1">
        <v>45008</v>
      </c>
      <c r="I4540" s="2">
        <v>45010.9458333333</v>
      </c>
      <c r="J4540">
        <v>70.7</v>
      </c>
      <c r="K4540" t="s">
        <v>32</v>
      </c>
      <c r="L4540">
        <v>0</v>
      </c>
      <c r="M4540">
        <v>4</v>
      </c>
      <c r="N4540" t="s">
        <v>1011</v>
      </c>
      <c r="O4540" s="3" t="str">
        <f>TEXT(Ticket_Table[[#This Row],[raised_date]],"YYYY-MM")</f>
        <v>2023-03</v>
      </c>
      <c r="P4540" s="3" t="str">
        <f>IF(Ticket_Table[[#This Row],[resolution_hrs]]&lt;=4,"Fast",IF(Ticket_Table[[#This Row],[resolution_hrs]]&lt;=24,"Normal",IF(Ticket_Table[[#This Row],[resolution_hrs]]&lt;=48,"Slow","Very Slow")))</f>
        <v>Very Slow</v>
      </c>
      <c r="Q4540" s="3">
        <f>YEAR(Ticket_Table[[#This Row],[raised_date]])</f>
        <v>2023</v>
      </c>
    </row>
    <row r="4541" spans="1:17">
      <c r="A4541" t="s">
        <v>5102</v>
      </c>
      <c r="B4541" t="s">
        <v>47</v>
      </c>
      <c r="C4541" t="s">
        <v>213</v>
      </c>
      <c r="D4541" t="s">
        <v>90</v>
      </c>
      <c r="E4541" t="s">
        <v>21</v>
      </c>
      <c r="F4541" t="s">
        <v>22</v>
      </c>
      <c r="G4541" t="s">
        <v>31</v>
      </c>
      <c r="H4541" s="1">
        <v>44256</v>
      </c>
      <c r="I4541" s="2">
        <v>44260.275</v>
      </c>
      <c r="J4541">
        <v>102.6</v>
      </c>
      <c r="K4541" t="s">
        <v>32</v>
      </c>
      <c r="L4541">
        <v>0</v>
      </c>
      <c r="M4541">
        <v>4</v>
      </c>
      <c r="N4541" t="s">
        <v>307</v>
      </c>
      <c r="O4541" s="3" t="str">
        <f>TEXT(Ticket_Table[[#This Row],[raised_date]],"YYYY-MM")</f>
        <v>2021-03</v>
      </c>
      <c r="P4541" s="3" t="str">
        <f>IF(Ticket_Table[[#This Row],[resolution_hrs]]&lt;=4,"Fast",IF(Ticket_Table[[#This Row],[resolution_hrs]]&lt;=24,"Normal",IF(Ticket_Table[[#This Row],[resolution_hrs]]&lt;=48,"Slow","Very Slow")))</f>
        <v>Very Slow</v>
      </c>
      <c r="Q4541" s="3">
        <f>YEAR(Ticket_Table[[#This Row],[raised_date]])</f>
        <v>2021</v>
      </c>
    </row>
    <row r="4542" spans="1:17">
      <c r="A4542" t="s">
        <v>5103</v>
      </c>
      <c r="B4542" t="s">
        <v>670</v>
      </c>
      <c r="C4542" t="s">
        <v>19</v>
      </c>
      <c r="D4542" t="s">
        <v>36</v>
      </c>
      <c r="E4542" t="s">
        <v>166</v>
      </c>
      <c r="F4542" t="s">
        <v>22</v>
      </c>
      <c r="G4542" t="s">
        <v>74</v>
      </c>
      <c r="H4542" s="1">
        <v>44556</v>
      </c>
      <c r="I4542" s="2">
        <v>44558.7083333333</v>
      </c>
      <c r="J4542">
        <v>65</v>
      </c>
      <c r="K4542" t="s">
        <v>24</v>
      </c>
      <c r="L4542">
        <v>0</v>
      </c>
      <c r="M4542">
        <v>5</v>
      </c>
      <c r="N4542" t="s">
        <v>439</v>
      </c>
      <c r="O4542" s="3" t="str">
        <f>TEXT(Ticket_Table[[#This Row],[raised_date]],"YYYY-MM")</f>
        <v>2021-12</v>
      </c>
      <c r="P4542" s="3" t="str">
        <f>IF(Ticket_Table[[#This Row],[resolution_hrs]]&lt;=4,"Fast",IF(Ticket_Table[[#This Row],[resolution_hrs]]&lt;=24,"Normal",IF(Ticket_Table[[#This Row],[resolution_hrs]]&lt;=48,"Slow","Very Slow")))</f>
        <v>Very Slow</v>
      </c>
      <c r="Q4542" s="3">
        <f>YEAR(Ticket_Table[[#This Row],[raised_date]])</f>
        <v>2021</v>
      </c>
    </row>
    <row r="4543" spans="1:17">
      <c r="A4543" t="s">
        <v>5104</v>
      </c>
      <c r="B4543" t="s">
        <v>109</v>
      </c>
      <c r="C4543" t="s">
        <v>68</v>
      </c>
      <c r="D4543" t="s">
        <v>20</v>
      </c>
      <c r="E4543" t="s">
        <v>37</v>
      </c>
      <c r="F4543" t="s">
        <v>38</v>
      </c>
      <c r="G4543" t="s">
        <v>23</v>
      </c>
      <c r="H4543" s="1">
        <v>44594</v>
      </c>
      <c r="I4543" s="2">
        <v>44594.9333333333</v>
      </c>
      <c r="J4543">
        <v>22.4</v>
      </c>
      <c r="K4543" t="s">
        <v>24</v>
      </c>
      <c r="L4543">
        <v>0</v>
      </c>
      <c r="M4543">
        <v>5</v>
      </c>
      <c r="N4543" t="s">
        <v>484</v>
      </c>
      <c r="O4543" s="3" t="str">
        <f>TEXT(Ticket_Table[[#This Row],[raised_date]],"YYYY-MM")</f>
        <v>2022-02</v>
      </c>
      <c r="P4543" s="3" t="str">
        <f>IF(Ticket_Table[[#This Row],[resolution_hrs]]&lt;=4,"Fast",IF(Ticket_Table[[#This Row],[resolution_hrs]]&lt;=24,"Normal",IF(Ticket_Table[[#This Row],[resolution_hrs]]&lt;=48,"Slow","Very Slow")))</f>
        <v>Normal</v>
      </c>
      <c r="Q4543" s="3">
        <f>YEAR(Ticket_Table[[#This Row],[raised_date]])</f>
        <v>2022</v>
      </c>
    </row>
    <row r="4544" spans="1:17">
      <c r="A4544" t="s">
        <v>5105</v>
      </c>
      <c r="B4544" t="s">
        <v>922</v>
      </c>
      <c r="C4544" t="s">
        <v>102</v>
      </c>
      <c r="D4544" t="s">
        <v>20</v>
      </c>
      <c r="E4544" t="s">
        <v>37</v>
      </c>
      <c r="F4544" t="s">
        <v>22</v>
      </c>
      <c r="G4544" t="s">
        <v>23</v>
      </c>
      <c r="H4544" s="1">
        <v>44873</v>
      </c>
      <c r="I4544" s="2">
        <v>44873.4</v>
      </c>
      <c r="J4544">
        <v>9.6</v>
      </c>
      <c r="K4544" t="s">
        <v>24</v>
      </c>
      <c r="L4544">
        <v>0</v>
      </c>
      <c r="M4544">
        <v>4</v>
      </c>
      <c r="N4544" t="s">
        <v>332</v>
      </c>
      <c r="O4544" s="3" t="str">
        <f>TEXT(Ticket_Table[[#This Row],[raised_date]],"YYYY-MM")</f>
        <v>2022-11</v>
      </c>
      <c r="P4544" s="3" t="str">
        <f>IF(Ticket_Table[[#This Row],[resolution_hrs]]&lt;=4,"Fast",IF(Ticket_Table[[#This Row],[resolution_hrs]]&lt;=24,"Normal",IF(Ticket_Table[[#This Row],[resolution_hrs]]&lt;=48,"Slow","Very Slow")))</f>
        <v>Normal</v>
      </c>
      <c r="Q4544" s="3">
        <f>YEAR(Ticket_Table[[#This Row],[raised_date]])</f>
        <v>2022</v>
      </c>
    </row>
    <row r="4545" spans="1:17">
      <c r="A4545" t="s">
        <v>5106</v>
      </c>
      <c r="B4545" t="s">
        <v>372</v>
      </c>
      <c r="C4545" t="s">
        <v>261</v>
      </c>
      <c r="D4545" t="s">
        <v>90</v>
      </c>
      <c r="E4545" t="s">
        <v>83</v>
      </c>
      <c r="F4545" t="s">
        <v>70</v>
      </c>
      <c r="G4545" t="s">
        <v>46</v>
      </c>
      <c r="H4545" s="1">
        <v>44889</v>
      </c>
      <c r="I4545" s="2">
        <v>44890.675</v>
      </c>
      <c r="J4545">
        <v>40.2</v>
      </c>
      <c r="K4545" t="s">
        <v>24</v>
      </c>
      <c r="L4545">
        <v>1</v>
      </c>
      <c r="M4545">
        <v>3</v>
      </c>
      <c r="N4545" t="s">
        <v>804</v>
      </c>
      <c r="O4545" s="3" t="str">
        <f>TEXT(Ticket_Table[[#This Row],[raised_date]],"YYYY-MM")</f>
        <v>2022-11</v>
      </c>
      <c r="P4545" s="3" t="str">
        <f>IF(Ticket_Table[[#This Row],[resolution_hrs]]&lt;=4,"Fast",IF(Ticket_Table[[#This Row],[resolution_hrs]]&lt;=24,"Normal",IF(Ticket_Table[[#This Row],[resolution_hrs]]&lt;=48,"Slow","Very Slow")))</f>
        <v>Slow</v>
      </c>
      <c r="Q4545" s="3">
        <f>YEAR(Ticket_Table[[#This Row],[raised_date]])</f>
        <v>2022</v>
      </c>
    </row>
    <row r="4546" spans="1:17">
      <c r="A4546" t="s">
        <v>5107</v>
      </c>
      <c r="B4546" t="s">
        <v>109</v>
      </c>
      <c r="C4546" t="s">
        <v>261</v>
      </c>
      <c r="D4546" t="s">
        <v>20</v>
      </c>
      <c r="E4546" t="s">
        <v>83</v>
      </c>
      <c r="F4546" t="s">
        <v>45</v>
      </c>
      <c r="G4546" t="s">
        <v>23</v>
      </c>
      <c r="H4546" s="1">
        <v>45178</v>
      </c>
      <c r="I4546" s="2">
        <v>45178.2375</v>
      </c>
      <c r="J4546">
        <v>5.7</v>
      </c>
      <c r="K4546" t="s">
        <v>32</v>
      </c>
      <c r="L4546">
        <v>0</v>
      </c>
      <c r="M4546">
        <v>3</v>
      </c>
      <c r="N4546" t="s">
        <v>620</v>
      </c>
      <c r="O4546" s="3" t="str">
        <f>TEXT(Ticket_Table[[#This Row],[raised_date]],"YYYY-MM")</f>
        <v>2023-09</v>
      </c>
      <c r="P4546" s="3" t="str">
        <f>IF(Ticket_Table[[#This Row],[resolution_hrs]]&lt;=4,"Fast",IF(Ticket_Table[[#This Row],[resolution_hrs]]&lt;=24,"Normal",IF(Ticket_Table[[#This Row],[resolution_hrs]]&lt;=48,"Slow","Very Slow")))</f>
        <v>Normal</v>
      </c>
      <c r="Q4546" s="3">
        <f>YEAR(Ticket_Table[[#This Row],[raised_date]])</f>
        <v>2023</v>
      </c>
    </row>
    <row r="4547" spans="1:17">
      <c r="A4547" t="s">
        <v>5108</v>
      </c>
      <c r="B4547" t="s">
        <v>618</v>
      </c>
      <c r="C4547" t="s">
        <v>50</v>
      </c>
      <c r="D4547" t="s">
        <v>36</v>
      </c>
      <c r="E4547" t="s">
        <v>51</v>
      </c>
      <c r="F4547" t="s">
        <v>22</v>
      </c>
      <c r="G4547" t="s">
        <v>23</v>
      </c>
      <c r="H4547" s="1">
        <v>45168</v>
      </c>
      <c r="I4547" s="2">
        <v>45169.2458333333</v>
      </c>
      <c r="J4547">
        <v>29.9</v>
      </c>
      <c r="K4547" t="s">
        <v>24</v>
      </c>
      <c r="L4547">
        <v>1</v>
      </c>
      <c r="M4547">
        <v>4</v>
      </c>
      <c r="N4547" t="s">
        <v>266</v>
      </c>
      <c r="O4547" s="3" t="str">
        <f>TEXT(Ticket_Table[[#This Row],[raised_date]],"YYYY-MM")</f>
        <v>2023-08</v>
      </c>
      <c r="P4547" s="3" t="str">
        <f>IF(Ticket_Table[[#This Row],[resolution_hrs]]&lt;=4,"Fast",IF(Ticket_Table[[#This Row],[resolution_hrs]]&lt;=24,"Normal",IF(Ticket_Table[[#This Row],[resolution_hrs]]&lt;=48,"Slow","Very Slow")))</f>
        <v>Slow</v>
      </c>
      <c r="Q4547" s="3">
        <f>YEAR(Ticket_Table[[#This Row],[raised_date]])</f>
        <v>2023</v>
      </c>
    </row>
    <row r="4548" spans="1:17">
      <c r="A4548" t="s">
        <v>5109</v>
      </c>
      <c r="B4548" t="s">
        <v>950</v>
      </c>
      <c r="C4548" t="s">
        <v>261</v>
      </c>
      <c r="D4548" t="s">
        <v>43</v>
      </c>
      <c r="E4548" t="s">
        <v>51</v>
      </c>
      <c r="F4548" t="s">
        <v>45</v>
      </c>
      <c r="G4548" t="s">
        <v>31</v>
      </c>
      <c r="H4548" s="1">
        <v>44269</v>
      </c>
      <c r="I4548" s="2">
        <v>44269.05</v>
      </c>
      <c r="J4548">
        <v>1.2</v>
      </c>
      <c r="K4548" t="s">
        <v>24</v>
      </c>
      <c r="L4548">
        <v>0</v>
      </c>
      <c r="M4548">
        <v>5</v>
      </c>
      <c r="N4548" t="s">
        <v>981</v>
      </c>
      <c r="O4548" s="3" t="str">
        <f>TEXT(Ticket_Table[[#This Row],[raised_date]],"YYYY-MM")</f>
        <v>2021-03</v>
      </c>
      <c r="P4548" s="3" t="str">
        <f>IF(Ticket_Table[[#This Row],[resolution_hrs]]&lt;=4,"Fast",IF(Ticket_Table[[#This Row],[resolution_hrs]]&lt;=24,"Normal",IF(Ticket_Table[[#This Row],[resolution_hrs]]&lt;=48,"Slow","Very Slow")))</f>
        <v>Fast</v>
      </c>
      <c r="Q4548" s="3">
        <f>YEAR(Ticket_Table[[#This Row],[raised_date]])</f>
        <v>2021</v>
      </c>
    </row>
    <row r="4549" spans="1:17">
      <c r="A4549" t="s">
        <v>5110</v>
      </c>
      <c r="B4549" t="s">
        <v>603</v>
      </c>
      <c r="C4549" t="s">
        <v>42</v>
      </c>
      <c r="D4549" t="s">
        <v>29</v>
      </c>
      <c r="E4549" t="s">
        <v>21</v>
      </c>
      <c r="F4549" t="s">
        <v>45</v>
      </c>
      <c r="G4549" t="s">
        <v>31</v>
      </c>
      <c r="H4549" s="1">
        <v>44475</v>
      </c>
      <c r="I4549" s="2">
        <v>44475.05</v>
      </c>
      <c r="J4549">
        <v>1.2</v>
      </c>
      <c r="K4549" t="s">
        <v>24</v>
      </c>
      <c r="L4549">
        <v>0</v>
      </c>
      <c r="M4549">
        <v>4</v>
      </c>
      <c r="N4549" t="s">
        <v>1265</v>
      </c>
      <c r="O4549" s="3" t="str">
        <f>TEXT(Ticket_Table[[#This Row],[raised_date]],"YYYY-MM")</f>
        <v>2021-10</v>
      </c>
      <c r="P4549" s="3" t="str">
        <f>IF(Ticket_Table[[#This Row],[resolution_hrs]]&lt;=4,"Fast",IF(Ticket_Table[[#This Row],[resolution_hrs]]&lt;=24,"Normal",IF(Ticket_Table[[#This Row],[resolution_hrs]]&lt;=48,"Slow","Very Slow")))</f>
        <v>Fast</v>
      </c>
      <c r="Q4549" s="3">
        <f>YEAR(Ticket_Table[[#This Row],[raised_date]])</f>
        <v>2021</v>
      </c>
    </row>
    <row r="4550" spans="1:17">
      <c r="A4550" t="s">
        <v>5111</v>
      </c>
      <c r="B4550" t="s">
        <v>429</v>
      </c>
      <c r="C4550" t="s">
        <v>213</v>
      </c>
      <c r="D4550" t="s">
        <v>36</v>
      </c>
      <c r="E4550" t="s">
        <v>30</v>
      </c>
      <c r="F4550" t="s">
        <v>70</v>
      </c>
      <c r="G4550" t="s">
        <v>23</v>
      </c>
      <c r="H4550" s="1">
        <v>45183</v>
      </c>
      <c r="I4550" s="2">
        <v>45184.5416666667</v>
      </c>
      <c r="J4550">
        <v>37</v>
      </c>
      <c r="K4550" t="s">
        <v>24</v>
      </c>
      <c r="L4550">
        <v>0</v>
      </c>
      <c r="M4550">
        <v>4</v>
      </c>
      <c r="N4550" t="s">
        <v>160</v>
      </c>
      <c r="O4550" s="3" t="str">
        <f>TEXT(Ticket_Table[[#This Row],[raised_date]],"YYYY-MM")</f>
        <v>2023-09</v>
      </c>
      <c r="P4550" s="3" t="str">
        <f>IF(Ticket_Table[[#This Row],[resolution_hrs]]&lt;=4,"Fast",IF(Ticket_Table[[#This Row],[resolution_hrs]]&lt;=24,"Normal",IF(Ticket_Table[[#This Row],[resolution_hrs]]&lt;=48,"Slow","Very Slow")))</f>
        <v>Slow</v>
      </c>
      <c r="Q4550" s="3">
        <f>YEAR(Ticket_Table[[#This Row],[raised_date]])</f>
        <v>2023</v>
      </c>
    </row>
    <row r="4551" spans="1:17">
      <c r="A4551" t="s">
        <v>5112</v>
      </c>
      <c r="B4551" t="s">
        <v>138</v>
      </c>
      <c r="C4551" t="s">
        <v>213</v>
      </c>
      <c r="D4551" t="s">
        <v>36</v>
      </c>
      <c r="E4551" t="s">
        <v>166</v>
      </c>
      <c r="F4551" t="s">
        <v>22</v>
      </c>
      <c r="G4551" t="s">
        <v>23</v>
      </c>
      <c r="H4551" s="1">
        <v>44515</v>
      </c>
      <c r="I4551" s="2">
        <v>44517.9416666667</v>
      </c>
      <c r="J4551">
        <v>70.6</v>
      </c>
      <c r="K4551" t="s">
        <v>24</v>
      </c>
      <c r="L4551">
        <v>2</v>
      </c>
      <c r="M4551">
        <v>4</v>
      </c>
      <c r="N4551" t="s">
        <v>114</v>
      </c>
      <c r="O4551" s="3" t="str">
        <f>TEXT(Ticket_Table[[#This Row],[raised_date]],"YYYY-MM")</f>
        <v>2021-11</v>
      </c>
      <c r="P4551" s="3" t="str">
        <f>IF(Ticket_Table[[#This Row],[resolution_hrs]]&lt;=4,"Fast",IF(Ticket_Table[[#This Row],[resolution_hrs]]&lt;=24,"Normal",IF(Ticket_Table[[#This Row],[resolution_hrs]]&lt;=48,"Slow","Very Slow")))</f>
        <v>Very Slow</v>
      </c>
      <c r="Q4551" s="3">
        <f>YEAR(Ticket_Table[[#This Row],[raised_date]])</f>
        <v>2021</v>
      </c>
    </row>
    <row r="4552" spans="1:17">
      <c r="A4552" t="s">
        <v>5113</v>
      </c>
      <c r="B4552" t="s">
        <v>1039</v>
      </c>
      <c r="C4552" t="s">
        <v>68</v>
      </c>
      <c r="D4552" t="s">
        <v>29</v>
      </c>
      <c r="E4552" t="s">
        <v>37</v>
      </c>
      <c r="F4552" t="s">
        <v>70</v>
      </c>
      <c r="G4552" t="s">
        <v>23</v>
      </c>
      <c r="H4552" s="1">
        <v>45140</v>
      </c>
      <c r="I4552" s="2">
        <v>45141.3166666667</v>
      </c>
      <c r="J4552">
        <v>31.6</v>
      </c>
      <c r="K4552" t="s">
        <v>24</v>
      </c>
      <c r="L4552">
        <v>0</v>
      </c>
      <c r="M4552">
        <v>4</v>
      </c>
      <c r="N4552" t="s">
        <v>546</v>
      </c>
      <c r="O4552" s="3" t="str">
        <f>TEXT(Ticket_Table[[#This Row],[raised_date]],"YYYY-MM")</f>
        <v>2023-08</v>
      </c>
      <c r="P4552" s="3" t="str">
        <f>IF(Ticket_Table[[#This Row],[resolution_hrs]]&lt;=4,"Fast",IF(Ticket_Table[[#This Row],[resolution_hrs]]&lt;=24,"Normal",IF(Ticket_Table[[#This Row],[resolution_hrs]]&lt;=48,"Slow","Very Slow")))</f>
        <v>Slow</v>
      </c>
      <c r="Q4552" s="3">
        <f>YEAR(Ticket_Table[[#This Row],[raised_date]])</f>
        <v>2023</v>
      </c>
    </row>
    <row r="4553" spans="1:17">
      <c r="A4553" t="s">
        <v>5114</v>
      </c>
      <c r="B4553" t="s">
        <v>73</v>
      </c>
      <c r="C4553" t="s">
        <v>50</v>
      </c>
      <c r="D4553" t="s">
        <v>29</v>
      </c>
      <c r="E4553" t="s">
        <v>21</v>
      </c>
      <c r="F4553" t="s">
        <v>70</v>
      </c>
      <c r="G4553" t="s">
        <v>31</v>
      </c>
      <c r="H4553" s="1">
        <v>44883</v>
      </c>
      <c r="I4553" s="2">
        <v>44883.9375</v>
      </c>
      <c r="J4553">
        <v>22.5</v>
      </c>
      <c r="K4553" t="s">
        <v>24</v>
      </c>
      <c r="L4553">
        <v>0</v>
      </c>
      <c r="M4553">
        <v>5</v>
      </c>
      <c r="N4553" t="s">
        <v>1474</v>
      </c>
      <c r="O4553" s="3" t="str">
        <f>TEXT(Ticket_Table[[#This Row],[raised_date]],"YYYY-MM")</f>
        <v>2022-11</v>
      </c>
      <c r="P4553" s="3" t="str">
        <f>IF(Ticket_Table[[#This Row],[resolution_hrs]]&lt;=4,"Fast",IF(Ticket_Table[[#This Row],[resolution_hrs]]&lt;=24,"Normal",IF(Ticket_Table[[#This Row],[resolution_hrs]]&lt;=48,"Slow","Very Slow")))</f>
        <v>Normal</v>
      </c>
      <c r="Q4553" s="3">
        <f>YEAR(Ticket_Table[[#This Row],[raised_date]])</f>
        <v>2022</v>
      </c>
    </row>
    <row r="4554" spans="1:17">
      <c r="A4554" t="s">
        <v>5115</v>
      </c>
      <c r="B4554" t="s">
        <v>307</v>
      </c>
      <c r="C4554" t="s">
        <v>133</v>
      </c>
      <c r="D4554" t="s">
        <v>43</v>
      </c>
      <c r="E4554" t="s">
        <v>37</v>
      </c>
      <c r="F4554" t="s">
        <v>70</v>
      </c>
      <c r="G4554" t="s">
        <v>23</v>
      </c>
      <c r="H4554" s="1">
        <v>45144</v>
      </c>
      <c r="I4554" s="2">
        <v>45146.5541666667</v>
      </c>
      <c r="J4554">
        <v>61.3</v>
      </c>
      <c r="K4554" t="s">
        <v>32</v>
      </c>
      <c r="L4554">
        <v>2</v>
      </c>
      <c r="M4554">
        <v>5</v>
      </c>
      <c r="N4554" t="s">
        <v>398</v>
      </c>
      <c r="O4554" s="3" t="str">
        <f>TEXT(Ticket_Table[[#This Row],[raised_date]],"YYYY-MM")</f>
        <v>2023-08</v>
      </c>
      <c r="P4554" s="3" t="str">
        <f>IF(Ticket_Table[[#This Row],[resolution_hrs]]&lt;=4,"Fast",IF(Ticket_Table[[#This Row],[resolution_hrs]]&lt;=24,"Normal",IF(Ticket_Table[[#This Row],[resolution_hrs]]&lt;=48,"Slow","Very Slow")))</f>
        <v>Very Slow</v>
      </c>
      <c r="Q4554" s="3">
        <f>YEAR(Ticket_Table[[#This Row],[raised_date]])</f>
        <v>2023</v>
      </c>
    </row>
    <row r="4555" spans="1:17">
      <c r="A4555" t="s">
        <v>5116</v>
      </c>
      <c r="B4555" t="s">
        <v>434</v>
      </c>
      <c r="C4555" t="s">
        <v>60</v>
      </c>
      <c r="D4555" t="s">
        <v>43</v>
      </c>
      <c r="E4555" t="s">
        <v>69</v>
      </c>
      <c r="F4555" t="s">
        <v>22</v>
      </c>
      <c r="G4555" t="s">
        <v>23</v>
      </c>
      <c r="H4555" s="1">
        <v>45044</v>
      </c>
      <c r="I4555" s="2">
        <v>45048.3708333333</v>
      </c>
      <c r="J4555">
        <v>104.9</v>
      </c>
      <c r="K4555" t="s">
        <v>32</v>
      </c>
      <c r="L4555">
        <v>0</v>
      </c>
      <c r="M4555">
        <v>4</v>
      </c>
      <c r="N4555" t="s">
        <v>158</v>
      </c>
      <c r="O4555" s="3" t="str">
        <f>TEXT(Ticket_Table[[#This Row],[raised_date]],"YYYY-MM")</f>
        <v>2023-04</v>
      </c>
      <c r="P4555" s="3" t="str">
        <f>IF(Ticket_Table[[#This Row],[resolution_hrs]]&lt;=4,"Fast",IF(Ticket_Table[[#This Row],[resolution_hrs]]&lt;=24,"Normal",IF(Ticket_Table[[#This Row],[resolution_hrs]]&lt;=48,"Slow","Very Slow")))</f>
        <v>Very Slow</v>
      </c>
      <c r="Q4555" s="3">
        <f>YEAR(Ticket_Table[[#This Row],[raised_date]])</f>
        <v>2023</v>
      </c>
    </row>
    <row r="4556" spans="1:17">
      <c r="A4556" t="s">
        <v>5117</v>
      </c>
      <c r="B4556" t="s">
        <v>794</v>
      </c>
      <c r="C4556" t="s">
        <v>213</v>
      </c>
      <c r="D4556" t="s">
        <v>43</v>
      </c>
      <c r="E4556" t="s">
        <v>83</v>
      </c>
      <c r="F4556" t="s">
        <v>45</v>
      </c>
      <c r="G4556" t="s">
        <v>23</v>
      </c>
      <c r="H4556" s="1">
        <v>44311</v>
      </c>
      <c r="I4556" s="2">
        <v>44311.0458333333</v>
      </c>
      <c r="J4556">
        <v>1.1</v>
      </c>
      <c r="K4556" t="s">
        <v>24</v>
      </c>
      <c r="L4556">
        <v>0</v>
      </c>
      <c r="M4556">
        <v>4</v>
      </c>
      <c r="N4556" t="s">
        <v>614</v>
      </c>
      <c r="O4556" s="3" t="str">
        <f>TEXT(Ticket_Table[[#This Row],[raised_date]],"YYYY-MM")</f>
        <v>2021-04</v>
      </c>
      <c r="P4556" s="3" t="str">
        <f>IF(Ticket_Table[[#This Row],[resolution_hrs]]&lt;=4,"Fast",IF(Ticket_Table[[#This Row],[resolution_hrs]]&lt;=24,"Normal",IF(Ticket_Table[[#This Row],[resolution_hrs]]&lt;=48,"Slow","Very Slow")))</f>
        <v>Fast</v>
      </c>
      <c r="Q4556" s="3">
        <f>YEAR(Ticket_Table[[#This Row],[raised_date]])</f>
        <v>2021</v>
      </c>
    </row>
    <row r="4557" spans="1:17">
      <c r="A4557" t="s">
        <v>5118</v>
      </c>
      <c r="B4557" t="s">
        <v>790</v>
      </c>
      <c r="C4557" t="s">
        <v>213</v>
      </c>
      <c r="D4557" t="s">
        <v>20</v>
      </c>
      <c r="E4557" t="s">
        <v>69</v>
      </c>
      <c r="F4557" t="s">
        <v>22</v>
      </c>
      <c r="G4557" t="s">
        <v>91</v>
      </c>
      <c r="H4557" s="1">
        <v>45264</v>
      </c>
      <c r="I4557" s="2">
        <v>45264.2875</v>
      </c>
      <c r="J4557">
        <v>6.9</v>
      </c>
      <c r="K4557" t="s">
        <v>24</v>
      </c>
      <c r="L4557">
        <v>0</v>
      </c>
      <c r="M4557">
        <v>3</v>
      </c>
      <c r="N4557" t="s">
        <v>420</v>
      </c>
      <c r="O4557" s="3" t="str">
        <f>TEXT(Ticket_Table[[#This Row],[raised_date]],"YYYY-MM")</f>
        <v>2023-12</v>
      </c>
      <c r="P4557" s="3" t="str">
        <f>IF(Ticket_Table[[#This Row],[resolution_hrs]]&lt;=4,"Fast",IF(Ticket_Table[[#This Row],[resolution_hrs]]&lt;=24,"Normal",IF(Ticket_Table[[#This Row],[resolution_hrs]]&lt;=48,"Slow","Very Slow")))</f>
        <v>Normal</v>
      </c>
      <c r="Q4557" s="3">
        <f>YEAR(Ticket_Table[[#This Row],[raised_date]])</f>
        <v>2023</v>
      </c>
    </row>
    <row r="4558" spans="1:17">
      <c r="A4558" t="s">
        <v>5119</v>
      </c>
      <c r="B4558" t="s">
        <v>432</v>
      </c>
      <c r="C4558" t="s">
        <v>140</v>
      </c>
      <c r="D4558" t="s">
        <v>36</v>
      </c>
      <c r="E4558" t="s">
        <v>166</v>
      </c>
      <c r="F4558" t="s">
        <v>38</v>
      </c>
      <c r="G4558" t="s">
        <v>23</v>
      </c>
      <c r="H4558" s="1">
        <v>44810</v>
      </c>
      <c r="I4558" s="2">
        <v>44811.1708333333</v>
      </c>
      <c r="J4558">
        <v>28.1</v>
      </c>
      <c r="K4558" t="s">
        <v>32</v>
      </c>
      <c r="L4558">
        <v>1</v>
      </c>
      <c r="M4558">
        <v>1</v>
      </c>
      <c r="N4558" t="s">
        <v>340</v>
      </c>
      <c r="O4558" s="3" t="str">
        <f>TEXT(Ticket_Table[[#This Row],[raised_date]],"YYYY-MM")</f>
        <v>2022-09</v>
      </c>
      <c r="P4558" s="3" t="str">
        <f>IF(Ticket_Table[[#This Row],[resolution_hrs]]&lt;=4,"Fast",IF(Ticket_Table[[#This Row],[resolution_hrs]]&lt;=24,"Normal",IF(Ticket_Table[[#This Row],[resolution_hrs]]&lt;=48,"Slow","Very Slow")))</f>
        <v>Slow</v>
      </c>
      <c r="Q4558" s="3">
        <f>YEAR(Ticket_Table[[#This Row],[raised_date]])</f>
        <v>2022</v>
      </c>
    </row>
    <row r="4559" spans="1:17">
      <c r="A4559" t="s">
        <v>5120</v>
      </c>
      <c r="B4559" t="s">
        <v>212</v>
      </c>
      <c r="C4559" t="s">
        <v>60</v>
      </c>
      <c r="D4559" t="s">
        <v>29</v>
      </c>
      <c r="E4559" t="s">
        <v>166</v>
      </c>
      <c r="F4559" t="s">
        <v>22</v>
      </c>
      <c r="G4559" t="s">
        <v>46</v>
      </c>
      <c r="H4559" s="1">
        <v>44843</v>
      </c>
      <c r="I4559" s="2">
        <v>44846.6583333333</v>
      </c>
      <c r="J4559">
        <v>87.8</v>
      </c>
      <c r="K4559" t="s">
        <v>32</v>
      </c>
      <c r="L4559">
        <v>0</v>
      </c>
      <c r="M4559">
        <v>1</v>
      </c>
      <c r="N4559" t="s">
        <v>652</v>
      </c>
      <c r="O4559" s="3" t="str">
        <f>TEXT(Ticket_Table[[#This Row],[raised_date]],"YYYY-MM")</f>
        <v>2022-10</v>
      </c>
      <c r="P4559" s="3" t="str">
        <f>IF(Ticket_Table[[#This Row],[resolution_hrs]]&lt;=4,"Fast",IF(Ticket_Table[[#This Row],[resolution_hrs]]&lt;=24,"Normal",IF(Ticket_Table[[#This Row],[resolution_hrs]]&lt;=48,"Slow","Very Slow")))</f>
        <v>Very Slow</v>
      </c>
      <c r="Q4559" s="3">
        <f>YEAR(Ticket_Table[[#This Row],[raised_date]])</f>
        <v>2022</v>
      </c>
    </row>
    <row r="4560" spans="1:17">
      <c r="A4560" t="s">
        <v>5121</v>
      </c>
      <c r="B4560" t="s">
        <v>594</v>
      </c>
      <c r="C4560" t="s">
        <v>68</v>
      </c>
      <c r="D4560" t="s">
        <v>36</v>
      </c>
      <c r="E4560" t="s">
        <v>30</v>
      </c>
      <c r="F4560" t="s">
        <v>70</v>
      </c>
      <c r="G4560" t="s">
        <v>23</v>
      </c>
      <c r="H4560" s="1">
        <v>44235</v>
      </c>
      <c r="I4560" s="2">
        <v>44236.6208333333</v>
      </c>
      <c r="J4560">
        <v>38.9</v>
      </c>
      <c r="K4560" t="s">
        <v>24</v>
      </c>
      <c r="L4560">
        <v>1</v>
      </c>
      <c r="M4560">
        <v>1</v>
      </c>
      <c r="N4560" t="s">
        <v>866</v>
      </c>
      <c r="O4560" s="3" t="str">
        <f>TEXT(Ticket_Table[[#This Row],[raised_date]],"YYYY-MM")</f>
        <v>2021-02</v>
      </c>
      <c r="P4560" s="3" t="str">
        <f>IF(Ticket_Table[[#This Row],[resolution_hrs]]&lt;=4,"Fast",IF(Ticket_Table[[#This Row],[resolution_hrs]]&lt;=24,"Normal",IF(Ticket_Table[[#This Row],[resolution_hrs]]&lt;=48,"Slow","Very Slow")))</f>
        <v>Slow</v>
      </c>
      <c r="Q4560" s="3">
        <f>YEAR(Ticket_Table[[#This Row],[raised_date]])</f>
        <v>2021</v>
      </c>
    </row>
    <row r="4561" spans="1:17">
      <c r="A4561" t="s">
        <v>5122</v>
      </c>
      <c r="B4561" t="s">
        <v>772</v>
      </c>
      <c r="C4561" t="s">
        <v>64</v>
      </c>
      <c r="D4561" t="s">
        <v>36</v>
      </c>
      <c r="E4561" t="s">
        <v>56</v>
      </c>
      <c r="F4561" t="s">
        <v>45</v>
      </c>
      <c r="G4561" t="s">
        <v>31</v>
      </c>
      <c r="H4561" s="1">
        <v>44623</v>
      </c>
      <c r="I4561" s="2">
        <v>44623.2208333333</v>
      </c>
      <c r="J4561">
        <v>5.3</v>
      </c>
      <c r="K4561" t="s">
        <v>32</v>
      </c>
      <c r="L4561">
        <v>0</v>
      </c>
      <c r="M4561">
        <v>5</v>
      </c>
      <c r="N4561" t="s">
        <v>272</v>
      </c>
      <c r="O4561" s="3" t="str">
        <f>TEXT(Ticket_Table[[#This Row],[raised_date]],"YYYY-MM")</f>
        <v>2022-03</v>
      </c>
      <c r="P4561" s="3" t="str">
        <f>IF(Ticket_Table[[#This Row],[resolution_hrs]]&lt;=4,"Fast",IF(Ticket_Table[[#This Row],[resolution_hrs]]&lt;=24,"Normal",IF(Ticket_Table[[#This Row],[resolution_hrs]]&lt;=48,"Slow","Very Slow")))</f>
        <v>Normal</v>
      </c>
      <c r="Q4561" s="3">
        <f>YEAR(Ticket_Table[[#This Row],[raised_date]])</f>
        <v>2022</v>
      </c>
    </row>
    <row r="4562" spans="1:17">
      <c r="A4562" t="s">
        <v>5123</v>
      </c>
      <c r="B4562" t="s">
        <v>438</v>
      </c>
      <c r="C4562" t="s">
        <v>201</v>
      </c>
      <c r="D4562" t="s">
        <v>43</v>
      </c>
      <c r="E4562" t="s">
        <v>51</v>
      </c>
      <c r="F4562" t="s">
        <v>22</v>
      </c>
      <c r="G4562" t="s">
        <v>31</v>
      </c>
      <c r="H4562" s="1">
        <v>44876</v>
      </c>
      <c r="I4562" s="2">
        <v>44879.0833333333</v>
      </c>
      <c r="J4562">
        <v>74</v>
      </c>
      <c r="K4562" t="s">
        <v>32</v>
      </c>
      <c r="L4562">
        <v>1</v>
      </c>
      <c r="M4562">
        <v>2</v>
      </c>
      <c r="N4562" t="s">
        <v>886</v>
      </c>
      <c r="O4562" s="3" t="str">
        <f>TEXT(Ticket_Table[[#This Row],[raised_date]],"YYYY-MM")</f>
        <v>2022-11</v>
      </c>
      <c r="P4562" s="3" t="str">
        <f>IF(Ticket_Table[[#This Row],[resolution_hrs]]&lt;=4,"Fast",IF(Ticket_Table[[#This Row],[resolution_hrs]]&lt;=24,"Normal",IF(Ticket_Table[[#This Row],[resolution_hrs]]&lt;=48,"Slow","Very Slow")))</f>
        <v>Very Slow</v>
      </c>
      <c r="Q4562" s="3">
        <f>YEAR(Ticket_Table[[#This Row],[raised_date]])</f>
        <v>2022</v>
      </c>
    </row>
    <row r="4563" spans="1:17">
      <c r="A4563" t="s">
        <v>5124</v>
      </c>
      <c r="B4563" t="s">
        <v>409</v>
      </c>
      <c r="C4563" t="s">
        <v>19</v>
      </c>
      <c r="D4563" t="s">
        <v>43</v>
      </c>
      <c r="E4563" t="s">
        <v>83</v>
      </c>
      <c r="F4563" t="s">
        <v>22</v>
      </c>
      <c r="G4563" t="s">
        <v>31</v>
      </c>
      <c r="H4563" s="1">
        <v>44921</v>
      </c>
      <c r="I4563" s="2">
        <v>44924.3333333333</v>
      </c>
      <c r="J4563">
        <v>80</v>
      </c>
      <c r="K4563" t="s">
        <v>32</v>
      </c>
      <c r="L4563">
        <v>0</v>
      </c>
      <c r="M4563">
        <v>2</v>
      </c>
      <c r="N4563" t="s">
        <v>501</v>
      </c>
      <c r="O4563" s="3" t="str">
        <f>TEXT(Ticket_Table[[#This Row],[raised_date]],"YYYY-MM")</f>
        <v>2022-12</v>
      </c>
      <c r="P4563" s="3" t="str">
        <f>IF(Ticket_Table[[#This Row],[resolution_hrs]]&lt;=4,"Fast",IF(Ticket_Table[[#This Row],[resolution_hrs]]&lt;=24,"Normal",IF(Ticket_Table[[#This Row],[resolution_hrs]]&lt;=48,"Slow","Very Slow")))</f>
        <v>Very Slow</v>
      </c>
      <c r="Q4563" s="3">
        <f>YEAR(Ticket_Table[[#This Row],[raised_date]])</f>
        <v>2022</v>
      </c>
    </row>
    <row r="4564" spans="1:17">
      <c r="A4564" t="s">
        <v>5125</v>
      </c>
      <c r="B4564" t="s">
        <v>227</v>
      </c>
      <c r="C4564" t="s">
        <v>55</v>
      </c>
      <c r="D4564" t="s">
        <v>36</v>
      </c>
      <c r="E4564" t="s">
        <v>21</v>
      </c>
      <c r="F4564" t="s">
        <v>38</v>
      </c>
      <c r="G4564" t="s">
        <v>31</v>
      </c>
      <c r="H4564" s="1">
        <v>44332</v>
      </c>
      <c r="I4564" s="2">
        <v>44332.8458333333</v>
      </c>
      <c r="J4564">
        <v>20.3</v>
      </c>
      <c r="K4564" t="s">
        <v>24</v>
      </c>
      <c r="L4564">
        <v>0</v>
      </c>
      <c r="M4564">
        <v>4</v>
      </c>
      <c r="N4564" t="s">
        <v>240</v>
      </c>
      <c r="O4564" s="3" t="str">
        <f>TEXT(Ticket_Table[[#This Row],[raised_date]],"YYYY-MM")</f>
        <v>2021-05</v>
      </c>
      <c r="P4564" s="3" t="str">
        <f>IF(Ticket_Table[[#This Row],[resolution_hrs]]&lt;=4,"Fast",IF(Ticket_Table[[#This Row],[resolution_hrs]]&lt;=24,"Normal",IF(Ticket_Table[[#This Row],[resolution_hrs]]&lt;=48,"Slow","Very Slow")))</f>
        <v>Normal</v>
      </c>
      <c r="Q4564" s="3">
        <f>YEAR(Ticket_Table[[#This Row],[raised_date]])</f>
        <v>2021</v>
      </c>
    </row>
    <row r="4565" spans="1:17">
      <c r="A4565" t="s">
        <v>5126</v>
      </c>
      <c r="B4565" t="s">
        <v>696</v>
      </c>
      <c r="C4565" t="s">
        <v>50</v>
      </c>
      <c r="D4565" t="s">
        <v>43</v>
      </c>
      <c r="E4565" t="s">
        <v>30</v>
      </c>
      <c r="F4565" t="s">
        <v>38</v>
      </c>
      <c r="G4565" t="s">
        <v>23</v>
      </c>
      <c r="H4565" s="1">
        <v>44502</v>
      </c>
      <c r="I4565" s="2">
        <v>44502.1166666667</v>
      </c>
      <c r="J4565">
        <v>2.8</v>
      </c>
      <c r="K4565" t="s">
        <v>24</v>
      </c>
      <c r="L4565">
        <v>0</v>
      </c>
      <c r="M4565">
        <v>4</v>
      </c>
      <c r="N4565" t="s">
        <v>318</v>
      </c>
      <c r="O4565" s="3" t="str">
        <f>TEXT(Ticket_Table[[#This Row],[raised_date]],"YYYY-MM")</f>
        <v>2021-11</v>
      </c>
      <c r="P4565" s="3" t="str">
        <f>IF(Ticket_Table[[#This Row],[resolution_hrs]]&lt;=4,"Fast",IF(Ticket_Table[[#This Row],[resolution_hrs]]&lt;=24,"Normal",IF(Ticket_Table[[#This Row],[resolution_hrs]]&lt;=48,"Slow","Very Slow")))</f>
        <v>Fast</v>
      </c>
      <c r="Q4565" s="3">
        <f>YEAR(Ticket_Table[[#This Row],[raised_date]])</f>
        <v>2021</v>
      </c>
    </row>
    <row r="4566" spans="1:17">
      <c r="A4566" t="s">
        <v>5127</v>
      </c>
      <c r="B4566" t="s">
        <v>426</v>
      </c>
      <c r="C4566" t="s">
        <v>78</v>
      </c>
      <c r="D4566" t="s">
        <v>20</v>
      </c>
      <c r="E4566" t="s">
        <v>21</v>
      </c>
      <c r="F4566" t="s">
        <v>38</v>
      </c>
      <c r="G4566" t="s">
        <v>23</v>
      </c>
      <c r="H4566" s="1">
        <v>44771</v>
      </c>
      <c r="I4566" s="2">
        <v>44772.1583333333</v>
      </c>
      <c r="J4566">
        <v>27.8</v>
      </c>
      <c r="K4566" t="s">
        <v>32</v>
      </c>
      <c r="L4566">
        <v>1</v>
      </c>
      <c r="M4566">
        <v>5</v>
      </c>
      <c r="N4566" t="s">
        <v>149</v>
      </c>
      <c r="O4566" s="3" t="str">
        <f>TEXT(Ticket_Table[[#This Row],[raised_date]],"YYYY-MM")</f>
        <v>2022-07</v>
      </c>
      <c r="P4566" s="3" t="str">
        <f>IF(Ticket_Table[[#This Row],[resolution_hrs]]&lt;=4,"Fast",IF(Ticket_Table[[#This Row],[resolution_hrs]]&lt;=24,"Normal",IF(Ticket_Table[[#This Row],[resolution_hrs]]&lt;=48,"Slow","Very Slow")))</f>
        <v>Slow</v>
      </c>
      <c r="Q4566" s="3">
        <f>YEAR(Ticket_Table[[#This Row],[raised_date]])</f>
        <v>2022</v>
      </c>
    </row>
    <row r="4567" spans="1:17">
      <c r="A4567" t="s">
        <v>5128</v>
      </c>
      <c r="B4567" t="s">
        <v>701</v>
      </c>
      <c r="C4567" t="s">
        <v>117</v>
      </c>
      <c r="D4567" t="s">
        <v>29</v>
      </c>
      <c r="E4567" t="s">
        <v>56</v>
      </c>
      <c r="F4567" t="s">
        <v>70</v>
      </c>
      <c r="G4567" t="s">
        <v>31</v>
      </c>
      <c r="H4567" s="1">
        <v>44260</v>
      </c>
      <c r="I4567" s="2">
        <v>44262.1</v>
      </c>
      <c r="J4567">
        <v>50.4</v>
      </c>
      <c r="K4567" t="s">
        <v>32</v>
      </c>
      <c r="L4567">
        <v>0</v>
      </c>
      <c r="M4567">
        <v>2</v>
      </c>
      <c r="N4567" t="s">
        <v>1051</v>
      </c>
      <c r="O4567" s="3" t="str">
        <f>TEXT(Ticket_Table[[#This Row],[raised_date]],"YYYY-MM")</f>
        <v>2021-03</v>
      </c>
      <c r="P4567" s="3" t="str">
        <f>IF(Ticket_Table[[#This Row],[resolution_hrs]]&lt;=4,"Fast",IF(Ticket_Table[[#This Row],[resolution_hrs]]&lt;=24,"Normal",IF(Ticket_Table[[#This Row],[resolution_hrs]]&lt;=48,"Slow","Very Slow")))</f>
        <v>Very Slow</v>
      </c>
      <c r="Q4567" s="3">
        <f>YEAR(Ticket_Table[[#This Row],[raised_date]])</f>
        <v>2021</v>
      </c>
    </row>
    <row r="4568" spans="1:17">
      <c r="A4568" t="s">
        <v>5129</v>
      </c>
      <c r="B4568" t="s">
        <v>419</v>
      </c>
      <c r="C4568" t="s">
        <v>42</v>
      </c>
      <c r="D4568" t="s">
        <v>36</v>
      </c>
      <c r="E4568" t="s">
        <v>30</v>
      </c>
      <c r="F4568" t="s">
        <v>22</v>
      </c>
      <c r="G4568" t="s">
        <v>23</v>
      </c>
      <c r="H4568" s="1">
        <v>44891</v>
      </c>
      <c r="I4568" s="2">
        <v>44892.9583333333</v>
      </c>
      <c r="J4568">
        <v>47</v>
      </c>
      <c r="K4568" t="s">
        <v>24</v>
      </c>
      <c r="L4568">
        <v>0</v>
      </c>
      <c r="M4568">
        <v>5</v>
      </c>
      <c r="N4568" t="s">
        <v>501</v>
      </c>
      <c r="O4568" s="3" t="str">
        <f>TEXT(Ticket_Table[[#This Row],[raised_date]],"YYYY-MM")</f>
        <v>2022-11</v>
      </c>
      <c r="P4568" s="3" t="str">
        <f>IF(Ticket_Table[[#This Row],[resolution_hrs]]&lt;=4,"Fast",IF(Ticket_Table[[#This Row],[resolution_hrs]]&lt;=24,"Normal",IF(Ticket_Table[[#This Row],[resolution_hrs]]&lt;=48,"Slow","Very Slow")))</f>
        <v>Slow</v>
      </c>
      <c r="Q4568" s="3">
        <f>YEAR(Ticket_Table[[#This Row],[raised_date]])</f>
        <v>2022</v>
      </c>
    </row>
    <row r="4569" spans="1:17">
      <c r="A4569" t="s">
        <v>5130</v>
      </c>
      <c r="B4569" t="s">
        <v>468</v>
      </c>
      <c r="C4569" t="s">
        <v>78</v>
      </c>
      <c r="D4569" t="s">
        <v>29</v>
      </c>
      <c r="E4569" t="s">
        <v>106</v>
      </c>
      <c r="F4569" t="s">
        <v>45</v>
      </c>
      <c r="G4569" t="s">
        <v>23</v>
      </c>
      <c r="H4569" s="1">
        <v>44965</v>
      </c>
      <c r="I4569" s="2">
        <v>44965.1291666667</v>
      </c>
      <c r="J4569">
        <v>3.1</v>
      </c>
      <c r="K4569" t="s">
        <v>24</v>
      </c>
      <c r="L4569">
        <v>0</v>
      </c>
      <c r="M4569">
        <v>3</v>
      </c>
      <c r="N4569" t="s">
        <v>158</v>
      </c>
      <c r="O4569" s="3" t="str">
        <f>TEXT(Ticket_Table[[#This Row],[raised_date]],"YYYY-MM")</f>
        <v>2023-02</v>
      </c>
      <c r="P4569" s="3" t="str">
        <f>IF(Ticket_Table[[#This Row],[resolution_hrs]]&lt;=4,"Fast",IF(Ticket_Table[[#This Row],[resolution_hrs]]&lt;=24,"Normal",IF(Ticket_Table[[#This Row],[resolution_hrs]]&lt;=48,"Slow","Very Slow")))</f>
        <v>Fast</v>
      </c>
      <c r="Q4569" s="3">
        <f>YEAR(Ticket_Table[[#This Row],[raised_date]])</f>
        <v>2023</v>
      </c>
    </row>
    <row r="4570" spans="1:17">
      <c r="A4570" t="s">
        <v>5131</v>
      </c>
      <c r="B4570" t="s">
        <v>116</v>
      </c>
      <c r="C4570" t="s">
        <v>175</v>
      </c>
      <c r="D4570" t="s">
        <v>20</v>
      </c>
      <c r="E4570" t="s">
        <v>37</v>
      </c>
      <c r="F4570" t="s">
        <v>45</v>
      </c>
      <c r="G4570" t="s">
        <v>31</v>
      </c>
      <c r="H4570" s="1">
        <v>45291</v>
      </c>
      <c r="I4570" s="2">
        <v>45291.0708333333</v>
      </c>
      <c r="J4570">
        <v>1.7</v>
      </c>
      <c r="K4570" t="s">
        <v>24</v>
      </c>
      <c r="L4570">
        <v>0</v>
      </c>
      <c r="M4570">
        <v>5</v>
      </c>
      <c r="N4570" t="s">
        <v>800</v>
      </c>
      <c r="O4570" s="3" t="str">
        <f>TEXT(Ticket_Table[[#This Row],[raised_date]],"YYYY-MM")</f>
        <v>2023-12</v>
      </c>
      <c r="P4570" s="3" t="str">
        <f>IF(Ticket_Table[[#This Row],[resolution_hrs]]&lt;=4,"Fast",IF(Ticket_Table[[#This Row],[resolution_hrs]]&lt;=24,"Normal",IF(Ticket_Table[[#This Row],[resolution_hrs]]&lt;=48,"Slow","Very Slow")))</f>
        <v>Fast</v>
      </c>
      <c r="Q4570" s="3">
        <f>YEAR(Ticket_Table[[#This Row],[raised_date]])</f>
        <v>2023</v>
      </c>
    </row>
    <row r="4571" spans="1:17">
      <c r="A4571" t="s">
        <v>5132</v>
      </c>
      <c r="B4571" t="s">
        <v>1226</v>
      </c>
      <c r="C4571" t="s">
        <v>102</v>
      </c>
      <c r="D4571" t="s">
        <v>43</v>
      </c>
      <c r="E4571" t="s">
        <v>51</v>
      </c>
      <c r="F4571" t="s">
        <v>70</v>
      </c>
      <c r="G4571" t="s">
        <v>31</v>
      </c>
      <c r="H4571" s="1">
        <v>44536</v>
      </c>
      <c r="I4571" s="2">
        <v>44537.3375</v>
      </c>
      <c r="J4571">
        <v>32.1</v>
      </c>
      <c r="K4571" t="s">
        <v>24</v>
      </c>
      <c r="L4571">
        <v>3</v>
      </c>
      <c r="M4571">
        <v>4</v>
      </c>
      <c r="N4571" t="s">
        <v>426</v>
      </c>
      <c r="O4571" s="3" t="str">
        <f>TEXT(Ticket_Table[[#This Row],[raised_date]],"YYYY-MM")</f>
        <v>2021-12</v>
      </c>
      <c r="P4571" s="3" t="str">
        <f>IF(Ticket_Table[[#This Row],[resolution_hrs]]&lt;=4,"Fast",IF(Ticket_Table[[#This Row],[resolution_hrs]]&lt;=24,"Normal",IF(Ticket_Table[[#This Row],[resolution_hrs]]&lt;=48,"Slow","Very Slow")))</f>
        <v>Slow</v>
      </c>
      <c r="Q4571" s="3">
        <f>YEAR(Ticket_Table[[#This Row],[raised_date]])</f>
        <v>2021</v>
      </c>
    </row>
    <row r="4572" spans="1:17">
      <c r="A4572" t="s">
        <v>5133</v>
      </c>
      <c r="B4572" t="s">
        <v>787</v>
      </c>
      <c r="C4572" t="s">
        <v>82</v>
      </c>
      <c r="D4572" t="s">
        <v>90</v>
      </c>
      <c r="E4572" t="s">
        <v>51</v>
      </c>
      <c r="F4572" t="s">
        <v>38</v>
      </c>
      <c r="G4572" t="s">
        <v>91</v>
      </c>
      <c r="H4572" s="1">
        <v>44994</v>
      </c>
      <c r="I4572" s="2">
        <v>44995.35</v>
      </c>
      <c r="J4572">
        <v>32.4</v>
      </c>
      <c r="K4572" t="s">
        <v>32</v>
      </c>
      <c r="L4572">
        <v>0</v>
      </c>
      <c r="M4572">
        <v>4</v>
      </c>
      <c r="N4572" t="s">
        <v>130</v>
      </c>
      <c r="O4572" s="3" t="str">
        <f>TEXT(Ticket_Table[[#This Row],[raised_date]],"YYYY-MM")</f>
        <v>2023-03</v>
      </c>
      <c r="P4572" s="3" t="str">
        <f>IF(Ticket_Table[[#This Row],[resolution_hrs]]&lt;=4,"Fast",IF(Ticket_Table[[#This Row],[resolution_hrs]]&lt;=24,"Normal",IF(Ticket_Table[[#This Row],[resolution_hrs]]&lt;=48,"Slow","Very Slow")))</f>
        <v>Slow</v>
      </c>
      <c r="Q4572" s="3">
        <f>YEAR(Ticket_Table[[#This Row],[raised_date]])</f>
        <v>2023</v>
      </c>
    </row>
    <row r="4573" spans="1:17">
      <c r="A4573" t="s">
        <v>5134</v>
      </c>
      <c r="B4573" t="s">
        <v>485</v>
      </c>
      <c r="C4573" t="s">
        <v>78</v>
      </c>
      <c r="D4573" t="s">
        <v>20</v>
      </c>
      <c r="E4573" t="s">
        <v>51</v>
      </c>
      <c r="F4573" t="s">
        <v>70</v>
      </c>
      <c r="G4573" t="s">
        <v>91</v>
      </c>
      <c r="H4573" s="1">
        <v>44580</v>
      </c>
      <c r="I4573" s="2">
        <v>44582.95</v>
      </c>
      <c r="J4573">
        <v>70.8</v>
      </c>
      <c r="K4573" t="s">
        <v>32</v>
      </c>
      <c r="L4573">
        <v>0</v>
      </c>
      <c r="M4573">
        <v>3</v>
      </c>
      <c r="N4573" t="s">
        <v>489</v>
      </c>
      <c r="O4573" s="3" t="str">
        <f>TEXT(Ticket_Table[[#This Row],[raised_date]],"YYYY-MM")</f>
        <v>2022-01</v>
      </c>
      <c r="P45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573" s="3">
        <f>YEAR(Ticket_Table[[#This Row],[raised_date]])</f>
        <v>2022</v>
      </c>
    </row>
    <row r="4574" spans="1:17">
      <c r="A4574" t="s">
        <v>5135</v>
      </c>
      <c r="B4574" t="s">
        <v>560</v>
      </c>
      <c r="C4574" t="s">
        <v>68</v>
      </c>
      <c r="D4574" t="s">
        <v>90</v>
      </c>
      <c r="E4574" t="s">
        <v>69</v>
      </c>
      <c r="F4574" t="s">
        <v>70</v>
      </c>
      <c r="G4574" t="s">
        <v>46</v>
      </c>
      <c r="H4574" s="1">
        <v>44436</v>
      </c>
      <c r="I4574" s="2">
        <v>44437.1291666667</v>
      </c>
      <c r="J4574">
        <v>27.1</v>
      </c>
      <c r="K4574" t="s">
        <v>24</v>
      </c>
      <c r="L4574">
        <v>0</v>
      </c>
      <c r="M4574">
        <v>4</v>
      </c>
      <c r="N4574" t="s">
        <v>295</v>
      </c>
      <c r="O4574" s="3" t="str">
        <f>TEXT(Ticket_Table[[#This Row],[raised_date]],"YYYY-MM")</f>
        <v>2021-08</v>
      </c>
      <c r="P4574" s="3" t="str">
        <f>IF(Ticket_Table[[#This Row],[resolution_hrs]]&lt;=4,"Fast",IF(Ticket_Table[[#This Row],[resolution_hrs]]&lt;=24,"Normal",IF(Ticket_Table[[#This Row],[resolution_hrs]]&lt;=48,"Slow","Very Slow")))</f>
        <v>Slow</v>
      </c>
      <c r="Q4574" s="3">
        <f>YEAR(Ticket_Table[[#This Row],[raised_date]])</f>
        <v>2021</v>
      </c>
    </row>
    <row r="4575" spans="1:17">
      <c r="A4575" t="s">
        <v>5136</v>
      </c>
      <c r="B4575" t="s">
        <v>401</v>
      </c>
      <c r="C4575" t="s">
        <v>133</v>
      </c>
      <c r="D4575" t="s">
        <v>29</v>
      </c>
      <c r="E4575" t="s">
        <v>83</v>
      </c>
      <c r="F4575" t="s">
        <v>22</v>
      </c>
      <c r="G4575" t="s">
        <v>31</v>
      </c>
      <c r="H4575" s="1">
        <v>44828</v>
      </c>
      <c r="I4575" s="2">
        <v>44828.9041666667</v>
      </c>
      <c r="J4575">
        <v>21.7</v>
      </c>
      <c r="K4575" t="s">
        <v>24</v>
      </c>
      <c r="L4575">
        <v>1</v>
      </c>
      <c r="M4575">
        <v>4</v>
      </c>
      <c r="N4575" t="s">
        <v>630</v>
      </c>
      <c r="O4575" s="3" t="str">
        <f>TEXT(Ticket_Table[[#This Row],[raised_date]],"YYYY-MM")</f>
        <v>2022-09</v>
      </c>
      <c r="P4575" s="3" t="str">
        <f>IF(Ticket_Table[[#This Row],[resolution_hrs]]&lt;=4,"Fast",IF(Ticket_Table[[#This Row],[resolution_hrs]]&lt;=24,"Normal",IF(Ticket_Table[[#This Row],[resolution_hrs]]&lt;=48,"Slow","Very Slow")))</f>
        <v>Normal</v>
      </c>
      <c r="Q4575" s="3">
        <f>YEAR(Ticket_Table[[#This Row],[raised_date]])</f>
        <v>2022</v>
      </c>
    </row>
    <row r="4576" spans="1:17">
      <c r="A4576" t="s">
        <v>5137</v>
      </c>
      <c r="B4576" t="s">
        <v>376</v>
      </c>
      <c r="C4576" t="s">
        <v>201</v>
      </c>
      <c r="D4576" t="s">
        <v>36</v>
      </c>
      <c r="E4576" t="s">
        <v>30</v>
      </c>
      <c r="F4576" t="s">
        <v>70</v>
      </c>
      <c r="G4576" t="s">
        <v>74</v>
      </c>
      <c r="H4576" s="1">
        <v>44841</v>
      </c>
      <c r="I4576" s="2">
        <v>44842.3333333333</v>
      </c>
      <c r="J4576">
        <v>32</v>
      </c>
      <c r="K4576" t="s">
        <v>24</v>
      </c>
      <c r="L4576">
        <v>1</v>
      </c>
      <c r="M4576">
        <v>1</v>
      </c>
      <c r="N4576" t="s">
        <v>1080</v>
      </c>
      <c r="O4576" s="3" t="str">
        <f>TEXT(Ticket_Table[[#This Row],[raised_date]],"YYYY-MM")</f>
        <v>2022-10</v>
      </c>
      <c r="P4576" s="3" t="str">
        <f>IF(Ticket_Table[[#This Row],[resolution_hrs]]&lt;=4,"Fast",IF(Ticket_Table[[#This Row],[resolution_hrs]]&lt;=24,"Normal",IF(Ticket_Table[[#This Row],[resolution_hrs]]&lt;=48,"Slow","Very Slow")))</f>
        <v>Slow</v>
      </c>
      <c r="Q4576" s="3">
        <f>YEAR(Ticket_Table[[#This Row],[raised_date]])</f>
        <v>2022</v>
      </c>
    </row>
    <row r="4577" spans="1:17">
      <c r="A4577" t="s">
        <v>5138</v>
      </c>
      <c r="B4577" t="s">
        <v>280</v>
      </c>
      <c r="C4577" t="s">
        <v>28</v>
      </c>
      <c r="D4577" t="s">
        <v>43</v>
      </c>
      <c r="E4577" t="s">
        <v>30</v>
      </c>
      <c r="F4577" t="s">
        <v>70</v>
      </c>
      <c r="G4577" t="s">
        <v>31</v>
      </c>
      <c r="H4577" s="1">
        <v>44261</v>
      </c>
      <c r="I4577" s="2">
        <v>44261.2125</v>
      </c>
      <c r="J4577">
        <v>5.1</v>
      </c>
      <c r="K4577" t="s">
        <v>24</v>
      </c>
      <c r="L4577">
        <v>2</v>
      </c>
      <c r="M4577">
        <v>1</v>
      </c>
      <c r="N4577" t="s">
        <v>655</v>
      </c>
      <c r="O4577" s="3" t="str">
        <f>TEXT(Ticket_Table[[#This Row],[raised_date]],"YYYY-MM")</f>
        <v>2021-03</v>
      </c>
      <c r="P4577" s="3" t="str">
        <f>IF(Ticket_Table[[#This Row],[resolution_hrs]]&lt;=4,"Fast",IF(Ticket_Table[[#This Row],[resolution_hrs]]&lt;=24,"Normal",IF(Ticket_Table[[#This Row],[resolution_hrs]]&lt;=48,"Slow","Very Slow")))</f>
        <v>Normal</v>
      </c>
      <c r="Q4577" s="3">
        <f>YEAR(Ticket_Table[[#This Row],[raised_date]])</f>
        <v>2021</v>
      </c>
    </row>
    <row r="4578" spans="1:17">
      <c r="A4578" t="s">
        <v>5139</v>
      </c>
      <c r="B4578" t="s">
        <v>92</v>
      </c>
      <c r="C4578" t="s">
        <v>261</v>
      </c>
      <c r="D4578" t="s">
        <v>20</v>
      </c>
      <c r="E4578" t="s">
        <v>69</v>
      </c>
      <c r="F4578" t="s">
        <v>22</v>
      </c>
      <c r="G4578" t="s">
        <v>46</v>
      </c>
      <c r="H4578" s="1">
        <v>44753</v>
      </c>
      <c r="I4578" s="2">
        <v>44754.075</v>
      </c>
      <c r="J4578">
        <v>25.8</v>
      </c>
      <c r="K4578" t="s">
        <v>24</v>
      </c>
      <c r="L4578">
        <v>0</v>
      </c>
      <c r="M4578">
        <v>5</v>
      </c>
      <c r="N4578" t="s">
        <v>52</v>
      </c>
      <c r="O4578" s="3" t="str">
        <f>TEXT(Ticket_Table[[#This Row],[raised_date]],"YYYY-MM")</f>
        <v>2022-07</v>
      </c>
      <c r="P4578" s="3" t="str">
        <f>IF(Ticket_Table[[#This Row],[resolution_hrs]]&lt;=4,"Fast",IF(Ticket_Table[[#This Row],[resolution_hrs]]&lt;=24,"Normal",IF(Ticket_Table[[#This Row],[resolution_hrs]]&lt;=48,"Slow","Very Slow")))</f>
        <v>Slow</v>
      </c>
      <c r="Q4578" s="3">
        <f>YEAR(Ticket_Table[[#This Row],[raised_date]])</f>
        <v>2022</v>
      </c>
    </row>
    <row r="4579" spans="1:17">
      <c r="A4579" t="s">
        <v>5140</v>
      </c>
      <c r="B4579" t="s">
        <v>597</v>
      </c>
      <c r="C4579" t="s">
        <v>261</v>
      </c>
      <c r="D4579" t="s">
        <v>43</v>
      </c>
      <c r="E4579" t="s">
        <v>166</v>
      </c>
      <c r="F4579" t="s">
        <v>70</v>
      </c>
      <c r="G4579" t="s">
        <v>23</v>
      </c>
      <c r="H4579" s="1">
        <v>45044</v>
      </c>
      <c r="I4579" s="2">
        <v>45045.7833333333</v>
      </c>
      <c r="J4579">
        <v>42.8</v>
      </c>
      <c r="K4579" t="s">
        <v>24</v>
      </c>
      <c r="L4579">
        <v>1</v>
      </c>
      <c r="M4579">
        <v>4</v>
      </c>
      <c r="N4579" t="s">
        <v>280</v>
      </c>
      <c r="O4579" s="3" t="str">
        <f>TEXT(Ticket_Table[[#This Row],[raised_date]],"YYYY-MM")</f>
        <v>2023-04</v>
      </c>
      <c r="P4579" s="3" t="str">
        <f>IF(Ticket_Table[[#This Row],[resolution_hrs]]&lt;=4,"Fast",IF(Ticket_Table[[#This Row],[resolution_hrs]]&lt;=24,"Normal",IF(Ticket_Table[[#This Row],[resolution_hrs]]&lt;=48,"Slow","Very Slow")))</f>
        <v>Slow</v>
      </c>
      <c r="Q4579" s="3">
        <f>YEAR(Ticket_Table[[#This Row],[raised_date]])</f>
        <v>2023</v>
      </c>
    </row>
    <row r="4580" spans="1:17">
      <c r="A4580" t="s">
        <v>5141</v>
      </c>
      <c r="B4580" t="s">
        <v>218</v>
      </c>
      <c r="C4580" t="s">
        <v>201</v>
      </c>
      <c r="D4580" t="s">
        <v>90</v>
      </c>
      <c r="E4580" t="s">
        <v>83</v>
      </c>
      <c r="F4580" t="s">
        <v>38</v>
      </c>
      <c r="G4580" t="s">
        <v>31</v>
      </c>
      <c r="H4580" s="1">
        <v>44374</v>
      </c>
      <c r="I4580" s="2">
        <v>44374.3708333333</v>
      </c>
      <c r="J4580">
        <v>8.9</v>
      </c>
      <c r="K4580" t="s">
        <v>24</v>
      </c>
      <c r="L4580">
        <v>0</v>
      </c>
      <c r="M4580">
        <v>5</v>
      </c>
      <c r="N4580" t="s">
        <v>312</v>
      </c>
      <c r="O4580" s="3" t="str">
        <f>TEXT(Ticket_Table[[#This Row],[raised_date]],"YYYY-MM")</f>
        <v>2021-06</v>
      </c>
      <c r="P4580" s="3" t="str">
        <f>IF(Ticket_Table[[#This Row],[resolution_hrs]]&lt;=4,"Fast",IF(Ticket_Table[[#This Row],[resolution_hrs]]&lt;=24,"Normal",IF(Ticket_Table[[#This Row],[resolution_hrs]]&lt;=48,"Slow","Very Slow")))</f>
        <v>Normal</v>
      </c>
      <c r="Q4580" s="3">
        <f>YEAR(Ticket_Table[[#This Row],[raised_date]])</f>
        <v>2021</v>
      </c>
    </row>
    <row r="4581" spans="1:17">
      <c r="A4581" t="s">
        <v>5142</v>
      </c>
      <c r="B4581" t="s">
        <v>562</v>
      </c>
      <c r="C4581" t="s">
        <v>28</v>
      </c>
      <c r="D4581" t="s">
        <v>90</v>
      </c>
      <c r="E4581" t="s">
        <v>56</v>
      </c>
      <c r="F4581" t="s">
        <v>38</v>
      </c>
      <c r="G4581" t="s">
        <v>23</v>
      </c>
      <c r="H4581" s="1">
        <v>45214</v>
      </c>
      <c r="I4581" s="2">
        <v>45215.1333333333</v>
      </c>
      <c r="J4581">
        <v>27.2</v>
      </c>
      <c r="K4581" t="s">
        <v>32</v>
      </c>
      <c r="L4581">
        <v>0</v>
      </c>
      <c r="M4581">
        <v>4</v>
      </c>
      <c r="N4581" t="s">
        <v>194</v>
      </c>
      <c r="O4581" s="3" t="str">
        <f>TEXT(Ticket_Table[[#This Row],[raised_date]],"YYYY-MM")</f>
        <v>2023-10</v>
      </c>
      <c r="P4581" s="3" t="str">
        <f>IF(Ticket_Table[[#This Row],[resolution_hrs]]&lt;=4,"Fast",IF(Ticket_Table[[#This Row],[resolution_hrs]]&lt;=24,"Normal",IF(Ticket_Table[[#This Row],[resolution_hrs]]&lt;=48,"Slow","Very Slow")))</f>
        <v>Slow</v>
      </c>
      <c r="Q4581" s="3">
        <f>YEAR(Ticket_Table[[#This Row],[raised_date]])</f>
        <v>2023</v>
      </c>
    </row>
    <row r="4582" spans="1:17">
      <c r="A4582" t="s">
        <v>5143</v>
      </c>
      <c r="B4582" t="s">
        <v>409</v>
      </c>
      <c r="C4582" t="s">
        <v>60</v>
      </c>
      <c r="D4582" t="s">
        <v>36</v>
      </c>
      <c r="E4582" t="s">
        <v>56</v>
      </c>
      <c r="F4582" t="s">
        <v>70</v>
      </c>
      <c r="G4582" t="s">
        <v>31</v>
      </c>
      <c r="H4582" s="1">
        <v>44683</v>
      </c>
      <c r="I4582" s="2">
        <v>44685.6708333333</v>
      </c>
      <c r="J4582">
        <v>64.1</v>
      </c>
      <c r="K4582" t="s">
        <v>32</v>
      </c>
      <c r="L4582">
        <v>1</v>
      </c>
      <c r="M4582">
        <v>3</v>
      </c>
      <c r="N4582" t="s">
        <v>304</v>
      </c>
      <c r="O4582" s="3" t="str">
        <f>TEXT(Ticket_Table[[#This Row],[raised_date]],"YYYY-MM")</f>
        <v>2022-05</v>
      </c>
      <c r="P4582" s="3" t="str">
        <f>IF(Ticket_Table[[#This Row],[resolution_hrs]]&lt;=4,"Fast",IF(Ticket_Table[[#This Row],[resolution_hrs]]&lt;=24,"Normal",IF(Ticket_Table[[#This Row],[resolution_hrs]]&lt;=48,"Slow","Very Slow")))</f>
        <v>Very Slow</v>
      </c>
      <c r="Q4582" s="3">
        <f>YEAR(Ticket_Table[[#This Row],[raised_date]])</f>
        <v>2022</v>
      </c>
    </row>
    <row r="4583" spans="1:17">
      <c r="A4583" t="s">
        <v>5144</v>
      </c>
      <c r="B4583" t="s">
        <v>474</v>
      </c>
      <c r="C4583" t="s">
        <v>201</v>
      </c>
      <c r="D4583" t="s">
        <v>90</v>
      </c>
      <c r="E4583" t="s">
        <v>51</v>
      </c>
      <c r="F4583" t="s">
        <v>45</v>
      </c>
      <c r="G4583" t="s">
        <v>46</v>
      </c>
      <c r="H4583" s="1">
        <v>44958</v>
      </c>
      <c r="I4583" s="2">
        <v>44958.2083333333</v>
      </c>
      <c r="J4583">
        <v>5</v>
      </c>
      <c r="K4583" t="s">
        <v>32</v>
      </c>
      <c r="L4583">
        <v>0</v>
      </c>
      <c r="M4583">
        <v>3</v>
      </c>
      <c r="N4583" t="s">
        <v>202</v>
      </c>
      <c r="O4583" s="3" t="str">
        <f>TEXT(Ticket_Table[[#This Row],[raised_date]],"YYYY-MM")</f>
        <v>2023-02</v>
      </c>
      <c r="P4583" s="3" t="str">
        <f>IF(Ticket_Table[[#This Row],[resolution_hrs]]&lt;=4,"Fast",IF(Ticket_Table[[#This Row],[resolution_hrs]]&lt;=24,"Normal",IF(Ticket_Table[[#This Row],[resolution_hrs]]&lt;=48,"Slow","Very Slow")))</f>
        <v>Normal</v>
      </c>
      <c r="Q4583" s="3">
        <f>YEAR(Ticket_Table[[#This Row],[raised_date]])</f>
        <v>2023</v>
      </c>
    </row>
    <row r="4584" spans="1:17">
      <c r="A4584" t="s">
        <v>5145</v>
      </c>
      <c r="B4584" t="s">
        <v>107</v>
      </c>
      <c r="C4584" t="s">
        <v>287</v>
      </c>
      <c r="D4584" t="s">
        <v>36</v>
      </c>
      <c r="E4584" t="s">
        <v>30</v>
      </c>
      <c r="F4584" t="s">
        <v>22</v>
      </c>
      <c r="G4584" t="s">
        <v>74</v>
      </c>
      <c r="H4584" s="1">
        <v>45122</v>
      </c>
      <c r="I4584" s="2">
        <v>45124.575</v>
      </c>
      <c r="J4584">
        <v>61.8</v>
      </c>
      <c r="K4584" t="s">
        <v>24</v>
      </c>
      <c r="L4584">
        <v>1</v>
      </c>
      <c r="M4584">
        <v>5</v>
      </c>
      <c r="N4584" t="s">
        <v>224</v>
      </c>
      <c r="O4584" s="3" t="str">
        <f>TEXT(Ticket_Table[[#This Row],[raised_date]],"YYYY-MM")</f>
        <v>2023-07</v>
      </c>
      <c r="P4584" s="3" t="str">
        <f>IF(Ticket_Table[[#This Row],[resolution_hrs]]&lt;=4,"Fast",IF(Ticket_Table[[#This Row],[resolution_hrs]]&lt;=24,"Normal",IF(Ticket_Table[[#This Row],[resolution_hrs]]&lt;=48,"Slow","Very Slow")))</f>
        <v>Very Slow</v>
      </c>
      <c r="Q4584" s="3">
        <f>YEAR(Ticket_Table[[#This Row],[raised_date]])</f>
        <v>2023</v>
      </c>
    </row>
    <row r="4585" spans="1:17">
      <c r="A4585" t="s">
        <v>5146</v>
      </c>
      <c r="B4585" t="s">
        <v>358</v>
      </c>
      <c r="C4585" t="s">
        <v>50</v>
      </c>
      <c r="D4585" t="s">
        <v>20</v>
      </c>
      <c r="E4585" t="s">
        <v>44</v>
      </c>
      <c r="F4585" t="s">
        <v>70</v>
      </c>
      <c r="G4585" t="s">
        <v>23</v>
      </c>
      <c r="H4585" s="1">
        <v>44816</v>
      </c>
      <c r="I4585" s="2">
        <v>44818.975</v>
      </c>
      <c r="J4585">
        <v>71.4</v>
      </c>
      <c r="K4585" t="s">
        <v>32</v>
      </c>
      <c r="L4585">
        <v>0</v>
      </c>
      <c r="M4585">
        <v>4</v>
      </c>
      <c r="N4585" t="s">
        <v>349</v>
      </c>
      <c r="O4585" s="3" t="str">
        <f>TEXT(Ticket_Table[[#This Row],[raised_date]],"YYYY-MM")</f>
        <v>2022-09</v>
      </c>
      <c r="P4585" s="3" t="str">
        <f>IF(Ticket_Table[[#This Row],[resolution_hrs]]&lt;=4,"Fast",IF(Ticket_Table[[#This Row],[resolution_hrs]]&lt;=24,"Normal",IF(Ticket_Table[[#This Row],[resolution_hrs]]&lt;=48,"Slow","Very Slow")))</f>
        <v>Very Slow</v>
      </c>
      <c r="Q4585" s="3">
        <f>YEAR(Ticket_Table[[#This Row],[raised_date]])</f>
        <v>2022</v>
      </c>
    </row>
    <row r="4586" spans="1:17">
      <c r="A4586" t="s">
        <v>5147</v>
      </c>
      <c r="B4586" t="s">
        <v>541</v>
      </c>
      <c r="C4586" t="s">
        <v>201</v>
      </c>
      <c r="D4586" t="s">
        <v>36</v>
      </c>
      <c r="E4586" t="s">
        <v>166</v>
      </c>
      <c r="F4586" t="s">
        <v>38</v>
      </c>
      <c r="G4586" t="s">
        <v>23</v>
      </c>
      <c r="H4586" s="1">
        <v>44639</v>
      </c>
      <c r="I4586" s="2">
        <v>44639.0625</v>
      </c>
      <c r="J4586">
        <v>1.5</v>
      </c>
      <c r="K4586" t="s">
        <v>24</v>
      </c>
      <c r="L4586">
        <v>0</v>
      </c>
      <c r="M4586">
        <v>3</v>
      </c>
      <c r="N4586" t="s">
        <v>564</v>
      </c>
      <c r="O4586" s="3" t="str">
        <f>TEXT(Ticket_Table[[#This Row],[raised_date]],"YYYY-MM")</f>
        <v>2022-03</v>
      </c>
      <c r="P4586" s="3" t="str">
        <f>IF(Ticket_Table[[#This Row],[resolution_hrs]]&lt;=4,"Fast",IF(Ticket_Table[[#This Row],[resolution_hrs]]&lt;=24,"Normal",IF(Ticket_Table[[#This Row],[resolution_hrs]]&lt;=48,"Slow","Very Slow")))</f>
        <v>Fast</v>
      </c>
      <c r="Q4586" s="3">
        <f>YEAR(Ticket_Table[[#This Row],[raised_date]])</f>
        <v>2022</v>
      </c>
    </row>
    <row r="4587" spans="1:17">
      <c r="A4587" t="s">
        <v>5148</v>
      </c>
      <c r="B4587" t="s">
        <v>599</v>
      </c>
      <c r="C4587" t="s">
        <v>117</v>
      </c>
      <c r="D4587" t="s">
        <v>90</v>
      </c>
      <c r="E4587" t="s">
        <v>21</v>
      </c>
      <c r="F4587" t="s">
        <v>70</v>
      </c>
      <c r="G4587" t="s">
        <v>46</v>
      </c>
      <c r="H4587" s="1">
        <v>45272</v>
      </c>
      <c r="I4587" s="2">
        <v>45274.1708333333</v>
      </c>
      <c r="J4587">
        <v>52.1</v>
      </c>
      <c r="K4587" t="s">
        <v>32</v>
      </c>
      <c r="L4587">
        <v>0</v>
      </c>
      <c r="M4587">
        <v>4</v>
      </c>
      <c r="N4587" t="s">
        <v>397</v>
      </c>
      <c r="O4587" s="3" t="str">
        <f>TEXT(Ticket_Table[[#This Row],[raised_date]],"YYYY-MM")</f>
        <v>2023-12</v>
      </c>
      <c r="P4587" s="3" t="str">
        <f>IF(Ticket_Table[[#This Row],[resolution_hrs]]&lt;=4,"Fast",IF(Ticket_Table[[#This Row],[resolution_hrs]]&lt;=24,"Normal",IF(Ticket_Table[[#This Row],[resolution_hrs]]&lt;=48,"Slow","Very Slow")))</f>
        <v>Very Slow</v>
      </c>
      <c r="Q4587" s="3">
        <f>YEAR(Ticket_Table[[#This Row],[raised_date]])</f>
        <v>2023</v>
      </c>
    </row>
    <row r="4588" spans="1:17">
      <c r="A4588" t="s">
        <v>5149</v>
      </c>
      <c r="B4588" t="s">
        <v>218</v>
      </c>
      <c r="C4588" t="s">
        <v>117</v>
      </c>
      <c r="D4588" t="s">
        <v>29</v>
      </c>
      <c r="E4588" t="s">
        <v>51</v>
      </c>
      <c r="F4588" t="s">
        <v>70</v>
      </c>
      <c r="G4588" t="s">
        <v>23</v>
      </c>
      <c r="H4588" s="1">
        <v>44816</v>
      </c>
      <c r="I4588" s="2">
        <v>44818.4458333333</v>
      </c>
      <c r="J4588">
        <v>58.7</v>
      </c>
      <c r="K4588" t="s">
        <v>32</v>
      </c>
      <c r="L4588">
        <v>0</v>
      </c>
      <c r="M4588">
        <v>2</v>
      </c>
      <c r="N4588" t="s">
        <v>504</v>
      </c>
      <c r="O4588" s="3" t="str">
        <f>TEXT(Ticket_Table[[#This Row],[raised_date]],"YYYY-MM")</f>
        <v>2022-09</v>
      </c>
      <c r="P4588" s="3" t="str">
        <f>IF(Ticket_Table[[#This Row],[resolution_hrs]]&lt;=4,"Fast",IF(Ticket_Table[[#This Row],[resolution_hrs]]&lt;=24,"Normal",IF(Ticket_Table[[#This Row],[resolution_hrs]]&lt;=48,"Slow","Very Slow")))</f>
        <v>Very Slow</v>
      </c>
      <c r="Q4588" s="3">
        <f>YEAR(Ticket_Table[[#This Row],[raised_date]])</f>
        <v>2022</v>
      </c>
    </row>
    <row r="4589" spans="1:17">
      <c r="A4589" t="s">
        <v>5150</v>
      </c>
      <c r="B4589" t="s">
        <v>1013</v>
      </c>
      <c r="C4589" t="s">
        <v>78</v>
      </c>
      <c r="D4589" t="s">
        <v>36</v>
      </c>
      <c r="E4589" t="s">
        <v>56</v>
      </c>
      <c r="F4589" t="s">
        <v>22</v>
      </c>
      <c r="G4589" t="s">
        <v>31</v>
      </c>
      <c r="H4589" s="1">
        <v>44555</v>
      </c>
      <c r="I4589" s="2">
        <v>44555.3833333333</v>
      </c>
      <c r="J4589">
        <v>9.2</v>
      </c>
      <c r="K4589" t="s">
        <v>24</v>
      </c>
      <c r="L4589">
        <v>0</v>
      </c>
      <c r="M4589">
        <v>5</v>
      </c>
      <c r="N4589" t="s">
        <v>566</v>
      </c>
      <c r="O4589" s="3" t="str">
        <f>TEXT(Ticket_Table[[#This Row],[raised_date]],"YYYY-MM")</f>
        <v>2021-12</v>
      </c>
      <c r="P4589" s="3" t="str">
        <f>IF(Ticket_Table[[#This Row],[resolution_hrs]]&lt;=4,"Fast",IF(Ticket_Table[[#This Row],[resolution_hrs]]&lt;=24,"Normal",IF(Ticket_Table[[#This Row],[resolution_hrs]]&lt;=48,"Slow","Very Slow")))</f>
        <v>Normal</v>
      </c>
      <c r="Q4589" s="3">
        <f>YEAR(Ticket_Table[[#This Row],[raised_date]])</f>
        <v>2021</v>
      </c>
    </row>
    <row r="4590" spans="1:17">
      <c r="A4590" t="s">
        <v>5151</v>
      </c>
      <c r="B4590" t="s">
        <v>1100</v>
      </c>
      <c r="C4590" t="s">
        <v>50</v>
      </c>
      <c r="D4590" t="s">
        <v>43</v>
      </c>
      <c r="E4590" t="s">
        <v>56</v>
      </c>
      <c r="F4590" t="s">
        <v>38</v>
      </c>
      <c r="G4590" t="s">
        <v>46</v>
      </c>
      <c r="H4590" s="1">
        <v>44426</v>
      </c>
      <c r="I4590" s="2">
        <v>44426.225</v>
      </c>
      <c r="J4590">
        <v>5.4</v>
      </c>
      <c r="K4590" t="s">
        <v>24</v>
      </c>
      <c r="L4590">
        <v>0</v>
      </c>
      <c r="M4590">
        <v>2</v>
      </c>
      <c r="N4590" t="s">
        <v>501</v>
      </c>
      <c r="O4590" s="3" t="str">
        <f>TEXT(Ticket_Table[[#This Row],[raised_date]],"YYYY-MM")</f>
        <v>2021-08</v>
      </c>
      <c r="P4590" s="3" t="str">
        <f>IF(Ticket_Table[[#This Row],[resolution_hrs]]&lt;=4,"Fast",IF(Ticket_Table[[#This Row],[resolution_hrs]]&lt;=24,"Normal",IF(Ticket_Table[[#This Row],[resolution_hrs]]&lt;=48,"Slow","Very Slow")))</f>
        <v>Normal</v>
      </c>
      <c r="Q4590" s="3">
        <f>YEAR(Ticket_Table[[#This Row],[raised_date]])</f>
        <v>2021</v>
      </c>
    </row>
    <row r="4591" spans="1:17">
      <c r="A4591" t="s">
        <v>5152</v>
      </c>
      <c r="B4591" t="s">
        <v>353</v>
      </c>
      <c r="C4591" t="s">
        <v>95</v>
      </c>
      <c r="D4591" t="s">
        <v>29</v>
      </c>
      <c r="E4591" t="s">
        <v>83</v>
      </c>
      <c r="F4591" t="s">
        <v>70</v>
      </c>
      <c r="G4591" t="s">
        <v>23</v>
      </c>
      <c r="H4591" s="1">
        <v>44963</v>
      </c>
      <c r="I4591" s="2">
        <v>44963.575</v>
      </c>
      <c r="J4591">
        <v>13.8</v>
      </c>
      <c r="K4591" t="s">
        <v>24</v>
      </c>
      <c r="L4591">
        <v>1</v>
      </c>
      <c r="M4591">
        <v>3</v>
      </c>
      <c r="N4591" t="s">
        <v>614</v>
      </c>
      <c r="O4591" s="3" t="str">
        <f>TEXT(Ticket_Table[[#This Row],[raised_date]],"YYYY-MM")</f>
        <v>2023-02</v>
      </c>
      <c r="P4591" s="3" t="str">
        <f>IF(Ticket_Table[[#This Row],[resolution_hrs]]&lt;=4,"Fast",IF(Ticket_Table[[#This Row],[resolution_hrs]]&lt;=24,"Normal",IF(Ticket_Table[[#This Row],[resolution_hrs]]&lt;=48,"Slow","Very Slow")))</f>
        <v>Normal</v>
      </c>
      <c r="Q4591" s="3">
        <f>YEAR(Ticket_Table[[#This Row],[raised_date]])</f>
        <v>2023</v>
      </c>
    </row>
    <row r="4592" spans="1:17">
      <c r="A4592" t="s">
        <v>5153</v>
      </c>
      <c r="B4592" t="s">
        <v>96</v>
      </c>
      <c r="C4592" t="s">
        <v>50</v>
      </c>
      <c r="D4592" t="s">
        <v>36</v>
      </c>
      <c r="E4592" t="s">
        <v>166</v>
      </c>
      <c r="F4592" t="s">
        <v>38</v>
      </c>
      <c r="G4592" t="s">
        <v>31</v>
      </c>
      <c r="H4592" s="1">
        <v>44273</v>
      </c>
      <c r="I4592" s="2">
        <v>44273.1041666667</v>
      </c>
      <c r="J4592">
        <v>2.5</v>
      </c>
      <c r="K4592" t="s">
        <v>24</v>
      </c>
      <c r="L4592">
        <v>2</v>
      </c>
      <c r="M4592">
        <v>2</v>
      </c>
      <c r="N4592" t="s">
        <v>670</v>
      </c>
      <c r="O4592" s="3" t="str">
        <f>TEXT(Ticket_Table[[#This Row],[raised_date]],"YYYY-MM")</f>
        <v>2021-03</v>
      </c>
      <c r="P4592" s="3" t="str">
        <f>IF(Ticket_Table[[#This Row],[resolution_hrs]]&lt;=4,"Fast",IF(Ticket_Table[[#This Row],[resolution_hrs]]&lt;=24,"Normal",IF(Ticket_Table[[#This Row],[resolution_hrs]]&lt;=48,"Slow","Very Slow")))</f>
        <v>Fast</v>
      </c>
      <c r="Q4592" s="3">
        <f>YEAR(Ticket_Table[[#This Row],[raised_date]])</f>
        <v>2021</v>
      </c>
    </row>
    <row r="4593" spans="1:17">
      <c r="A4593" t="s">
        <v>5154</v>
      </c>
      <c r="B4593" t="s">
        <v>1091</v>
      </c>
      <c r="C4593" t="s">
        <v>78</v>
      </c>
      <c r="D4593" t="s">
        <v>43</v>
      </c>
      <c r="E4593" t="s">
        <v>166</v>
      </c>
      <c r="F4593" t="s">
        <v>70</v>
      </c>
      <c r="G4593" t="s">
        <v>23</v>
      </c>
      <c r="H4593" s="1">
        <v>44610</v>
      </c>
      <c r="I4593" s="2">
        <v>44611.075</v>
      </c>
      <c r="J4593">
        <v>25.8</v>
      </c>
      <c r="K4593" t="s">
        <v>24</v>
      </c>
      <c r="L4593">
        <v>0</v>
      </c>
      <c r="M4593">
        <v>2</v>
      </c>
      <c r="N4593" t="s">
        <v>1136</v>
      </c>
      <c r="O4593" s="3" t="str">
        <f>TEXT(Ticket_Table[[#This Row],[raised_date]],"YYYY-MM")</f>
        <v>2022-02</v>
      </c>
      <c r="P4593" s="3" t="str">
        <f>IF(Ticket_Table[[#This Row],[resolution_hrs]]&lt;=4,"Fast",IF(Ticket_Table[[#This Row],[resolution_hrs]]&lt;=24,"Normal",IF(Ticket_Table[[#This Row],[resolution_hrs]]&lt;=48,"Slow","Very Slow")))</f>
        <v>Slow</v>
      </c>
      <c r="Q4593" s="3">
        <f>YEAR(Ticket_Table[[#This Row],[raised_date]])</f>
        <v>2022</v>
      </c>
    </row>
    <row r="4594" spans="1:17">
      <c r="A4594" t="s">
        <v>5155</v>
      </c>
      <c r="B4594" t="s">
        <v>647</v>
      </c>
      <c r="C4594" t="s">
        <v>64</v>
      </c>
      <c r="D4594" t="s">
        <v>29</v>
      </c>
      <c r="E4594" t="s">
        <v>44</v>
      </c>
      <c r="F4594" t="s">
        <v>38</v>
      </c>
      <c r="G4594" t="s">
        <v>23</v>
      </c>
      <c r="H4594" s="1">
        <v>44386</v>
      </c>
      <c r="I4594" s="2">
        <v>44386.9958333333</v>
      </c>
      <c r="J4594">
        <v>23.9</v>
      </c>
      <c r="K4594" t="s">
        <v>24</v>
      </c>
      <c r="L4594">
        <v>0</v>
      </c>
      <c r="M4594">
        <v>4</v>
      </c>
      <c r="N4594" t="s">
        <v>1202</v>
      </c>
      <c r="O4594" s="3" t="str">
        <f>TEXT(Ticket_Table[[#This Row],[raised_date]],"YYYY-MM")</f>
        <v>2021-07</v>
      </c>
      <c r="P4594" s="3" t="str">
        <f>IF(Ticket_Table[[#This Row],[resolution_hrs]]&lt;=4,"Fast",IF(Ticket_Table[[#This Row],[resolution_hrs]]&lt;=24,"Normal",IF(Ticket_Table[[#This Row],[resolution_hrs]]&lt;=48,"Slow","Very Slow")))</f>
        <v>Normal</v>
      </c>
      <c r="Q4594" s="3">
        <f>YEAR(Ticket_Table[[#This Row],[raised_date]])</f>
        <v>2021</v>
      </c>
    </row>
    <row r="4595" spans="1:17">
      <c r="A4595" t="s">
        <v>5156</v>
      </c>
      <c r="B4595" t="s">
        <v>578</v>
      </c>
      <c r="C4595" t="s">
        <v>68</v>
      </c>
      <c r="D4595" t="s">
        <v>36</v>
      </c>
      <c r="E4595" t="s">
        <v>56</v>
      </c>
      <c r="F4595" t="s">
        <v>38</v>
      </c>
      <c r="G4595" t="s">
        <v>31</v>
      </c>
      <c r="H4595" s="1">
        <v>45105</v>
      </c>
      <c r="I4595" s="2">
        <v>45105.3958333333</v>
      </c>
      <c r="J4595">
        <v>9.5</v>
      </c>
      <c r="K4595" t="s">
        <v>24</v>
      </c>
      <c r="L4595">
        <v>0</v>
      </c>
      <c r="M4595">
        <v>4</v>
      </c>
      <c r="N4595" t="s">
        <v>560</v>
      </c>
      <c r="O4595" s="3" t="str">
        <f>TEXT(Ticket_Table[[#This Row],[raised_date]],"YYYY-MM")</f>
        <v>2023-06</v>
      </c>
      <c r="P4595" s="3" t="str">
        <f>IF(Ticket_Table[[#This Row],[resolution_hrs]]&lt;=4,"Fast",IF(Ticket_Table[[#This Row],[resolution_hrs]]&lt;=24,"Normal",IF(Ticket_Table[[#This Row],[resolution_hrs]]&lt;=48,"Slow","Very Slow")))</f>
        <v>Normal</v>
      </c>
      <c r="Q4595" s="3">
        <f>YEAR(Ticket_Table[[#This Row],[raised_date]])</f>
        <v>2023</v>
      </c>
    </row>
    <row r="4596" spans="1:17">
      <c r="A4596" t="s">
        <v>5157</v>
      </c>
      <c r="B4596" t="s">
        <v>1582</v>
      </c>
      <c r="C4596" t="s">
        <v>82</v>
      </c>
      <c r="D4596" t="s">
        <v>20</v>
      </c>
      <c r="E4596" t="s">
        <v>37</v>
      </c>
      <c r="F4596" t="s">
        <v>38</v>
      </c>
      <c r="G4596" t="s">
        <v>31</v>
      </c>
      <c r="H4596" s="1">
        <v>45233</v>
      </c>
      <c r="I4596" s="2">
        <v>45233.4666666667</v>
      </c>
      <c r="J4596">
        <v>11.2</v>
      </c>
      <c r="K4596" t="s">
        <v>24</v>
      </c>
      <c r="L4596">
        <v>0</v>
      </c>
      <c r="M4596">
        <v>4</v>
      </c>
      <c r="N4596" t="s">
        <v>283</v>
      </c>
      <c r="O4596" s="3" t="str">
        <f>TEXT(Ticket_Table[[#This Row],[raised_date]],"YYYY-MM")</f>
        <v>2023-11</v>
      </c>
      <c r="P4596" s="3" t="str">
        <f>IF(Ticket_Table[[#This Row],[resolution_hrs]]&lt;=4,"Fast",IF(Ticket_Table[[#This Row],[resolution_hrs]]&lt;=24,"Normal",IF(Ticket_Table[[#This Row],[resolution_hrs]]&lt;=48,"Slow","Very Slow")))</f>
        <v>Normal</v>
      </c>
      <c r="Q4596" s="3">
        <f>YEAR(Ticket_Table[[#This Row],[raised_date]])</f>
        <v>2023</v>
      </c>
    </row>
    <row r="4597" spans="1:17">
      <c r="A4597" t="s">
        <v>5158</v>
      </c>
      <c r="B4597" t="s">
        <v>1107</v>
      </c>
      <c r="C4597" t="s">
        <v>140</v>
      </c>
      <c r="D4597" t="s">
        <v>43</v>
      </c>
      <c r="E4597" t="s">
        <v>83</v>
      </c>
      <c r="F4597" t="s">
        <v>70</v>
      </c>
      <c r="G4597" t="s">
        <v>31</v>
      </c>
      <c r="H4597" s="1">
        <v>44248</v>
      </c>
      <c r="I4597" s="2">
        <v>44249.8333333333</v>
      </c>
      <c r="J4597">
        <v>44</v>
      </c>
      <c r="K4597" t="s">
        <v>24</v>
      </c>
      <c r="L4597">
        <v>0</v>
      </c>
      <c r="M4597">
        <v>4</v>
      </c>
      <c r="N4597" t="s">
        <v>33</v>
      </c>
      <c r="O4597" s="3" t="str">
        <f>TEXT(Ticket_Table[[#This Row],[raised_date]],"YYYY-MM")</f>
        <v>2021-02</v>
      </c>
      <c r="P4597" s="3" t="str">
        <f>IF(Ticket_Table[[#This Row],[resolution_hrs]]&lt;=4,"Fast",IF(Ticket_Table[[#This Row],[resolution_hrs]]&lt;=24,"Normal",IF(Ticket_Table[[#This Row],[resolution_hrs]]&lt;=48,"Slow","Very Slow")))</f>
        <v>Slow</v>
      </c>
      <c r="Q4597" s="3">
        <f>YEAR(Ticket_Table[[#This Row],[raised_date]])</f>
        <v>2021</v>
      </c>
    </row>
    <row r="4598" spans="1:17">
      <c r="A4598" t="s">
        <v>5159</v>
      </c>
      <c r="B4598" t="s">
        <v>183</v>
      </c>
      <c r="C4598" t="s">
        <v>201</v>
      </c>
      <c r="D4598" t="s">
        <v>20</v>
      </c>
      <c r="E4598" t="s">
        <v>30</v>
      </c>
      <c r="F4598" t="s">
        <v>70</v>
      </c>
      <c r="G4598" t="s">
        <v>91</v>
      </c>
      <c r="H4598" s="1">
        <v>45185</v>
      </c>
      <c r="I4598" s="2">
        <v>45186.4583333333</v>
      </c>
      <c r="J4598">
        <v>35</v>
      </c>
      <c r="K4598" t="s">
        <v>24</v>
      </c>
      <c r="L4598">
        <v>0</v>
      </c>
      <c r="M4598">
        <v>3</v>
      </c>
      <c r="N4598" t="s">
        <v>460</v>
      </c>
      <c r="O4598" s="3" t="str">
        <f>TEXT(Ticket_Table[[#This Row],[raised_date]],"YYYY-MM")</f>
        <v>2023-09</v>
      </c>
      <c r="P4598" s="3" t="str">
        <f>IF(Ticket_Table[[#This Row],[resolution_hrs]]&lt;=4,"Fast",IF(Ticket_Table[[#This Row],[resolution_hrs]]&lt;=24,"Normal",IF(Ticket_Table[[#This Row],[resolution_hrs]]&lt;=48,"Slow","Very Slow")))</f>
        <v>Slow</v>
      </c>
      <c r="Q4598" s="3">
        <f>YEAR(Ticket_Table[[#This Row],[raised_date]])</f>
        <v>2023</v>
      </c>
    </row>
    <row r="4599" spans="1:17">
      <c r="A4599" t="s">
        <v>5160</v>
      </c>
      <c r="B4599" t="s">
        <v>527</v>
      </c>
      <c r="C4599" t="s">
        <v>261</v>
      </c>
      <c r="D4599" t="s">
        <v>90</v>
      </c>
      <c r="E4599" t="s">
        <v>37</v>
      </c>
      <c r="F4599" t="s">
        <v>38</v>
      </c>
      <c r="G4599" t="s">
        <v>74</v>
      </c>
      <c r="H4599" s="1">
        <v>45221</v>
      </c>
      <c r="I4599" s="2">
        <v>45221.2208333333</v>
      </c>
      <c r="J4599">
        <v>5.3</v>
      </c>
      <c r="K4599" t="s">
        <v>24</v>
      </c>
      <c r="L4599">
        <v>0</v>
      </c>
      <c r="M4599">
        <v>4</v>
      </c>
      <c r="N4599" t="s">
        <v>312</v>
      </c>
      <c r="O4599" s="3" t="str">
        <f>TEXT(Ticket_Table[[#This Row],[raised_date]],"YYYY-MM")</f>
        <v>2023-10</v>
      </c>
      <c r="P4599" s="3" t="str">
        <f>IF(Ticket_Table[[#This Row],[resolution_hrs]]&lt;=4,"Fast",IF(Ticket_Table[[#This Row],[resolution_hrs]]&lt;=24,"Normal",IF(Ticket_Table[[#This Row],[resolution_hrs]]&lt;=48,"Slow","Very Slow")))</f>
        <v>Normal</v>
      </c>
      <c r="Q4599" s="3">
        <f>YEAR(Ticket_Table[[#This Row],[raised_date]])</f>
        <v>2023</v>
      </c>
    </row>
    <row r="4600" spans="1:17">
      <c r="A4600" t="s">
        <v>5161</v>
      </c>
      <c r="B4600" t="s">
        <v>680</v>
      </c>
      <c r="C4600" t="s">
        <v>201</v>
      </c>
      <c r="D4600" t="s">
        <v>36</v>
      </c>
      <c r="E4600" t="s">
        <v>106</v>
      </c>
      <c r="F4600" t="s">
        <v>70</v>
      </c>
      <c r="G4600" t="s">
        <v>91</v>
      </c>
      <c r="H4600" s="1">
        <v>44512</v>
      </c>
      <c r="I4600" s="2">
        <v>44512.2708333333</v>
      </c>
      <c r="J4600">
        <v>6.5</v>
      </c>
      <c r="K4600" t="s">
        <v>24</v>
      </c>
      <c r="L4600">
        <v>1</v>
      </c>
      <c r="M4600">
        <v>5</v>
      </c>
      <c r="N4600" t="s">
        <v>746</v>
      </c>
      <c r="O4600" s="3" t="str">
        <f>TEXT(Ticket_Table[[#This Row],[raised_date]],"YYYY-MM")</f>
        <v>2021-11</v>
      </c>
      <c r="P4600" s="3" t="str">
        <f>IF(Ticket_Table[[#This Row],[resolution_hrs]]&lt;=4,"Fast",IF(Ticket_Table[[#This Row],[resolution_hrs]]&lt;=24,"Normal",IF(Ticket_Table[[#This Row],[resolution_hrs]]&lt;=48,"Slow","Very Slow")))</f>
        <v>Normal</v>
      </c>
      <c r="Q4600" s="3">
        <f>YEAR(Ticket_Table[[#This Row],[raised_date]])</f>
        <v>2021</v>
      </c>
    </row>
    <row r="4601" spans="1:17">
      <c r="A4601" t="s">
        <v>5162</v>
      </c>
      <c r="B4601" t="s">
        <v>726</v>
      </c>
      <c r="C4601" t="s">
        <v>201</v>
      </c>
      <c r="D4601" t="s">
        <v>36</v>
      </c>
      <c r="E4601" t="s">
        <v>83</v>
      </c>
      <c r="F4601" t="s">
        <v>70</v>
      </c>
      <c r="G4601" t="s">
        <v>91</v>
      </c>
      <c r="H4601" s="1">
        <v>44586</v>
      </c>
      <c r="I4601" s="2">
        <v>44586.7833333333</v>
      </c>
      <c r="J4601">
        <v>18.8</v>
      </c>
      <c r="K4601" t="s">
        <v>24</v>
      </c>
      <c r="L4601">
        <v>0</v>
      </c>
      <c r="M4601">
        <v>3</v>
      </c>
      <c r="N4601" t="s">
        <v>612</v>
      </c>
      <c r="O4601" s="3" t="str">
        <f>TEXT(Ticket_Table[[#This Row],[raised_date]],"YYYY-MM")</f>
        <v>2022-01</v>
      </c>
      <c r="P4601" s="3" t="str">
        <f>IF(Ticket_Table[[#This Row],[resolution_hrs]]&lt;=4,"Fast",IF(Ticket_Table[[#This Row],[resolution_hrs]]&lt;=24,"Normal",IF(Ticket_Table[[#This Row],[resolution_hrs]]&lt;=48,"Slow","Very Slow")))</f>
        <v>Normal</v>
      </c>
      <c r="Q4601" s="3">
        <f>YEAR(Ticket_Table[[#This Row],[raised_date]])</f>
        <v>2022</v>
      </c>
    </row>
    <row r="4602" spans="1:17">
      <c r="A4602" t="s">
        <v>5163</v>
      </c>
      <c r="B4602" t="s">
        <v>1474</v>
      </c>
      <c r="C4602" t="s">
        <v>82</v>
      </c>
      <c r="D4602" t="s">
        <v>43</v>
      </c>
      <c r="E4602" t="s">
        <v>21</v>
      </c>
      <c r="F4602" t="s">
        <v>22</v>
      </c>
      <c r="G4602" t="s">
        <v>31</v>
      </c>
      <c r="H4602" s="1">
        <v>44893</v>
      </c>
      <c r="I4602" s="2">
        <v>44895.4666666667</v>
      </c>
      <c r="J4602">
        <v>59.2</v>
      </c>
      <c r="K4602" t="s">
        <v>24</v>
      </c>
      <c r="L4602">
        <v>0</v>
      </c>
      <c r="M4602">
        <v>3</v>
      </c>
      <c r="N4602" t="s">
        <v>207</v>
      </c>
      <c r="O4602" s="3" t="str">
        <f>TEXT(Ticket_Table[[#This Row],[raised_date]],"YYYY-MM")</f>
        <v>2022-11</v>
      </c>
      <c r="P4602" s="3" t="str">
        <f>IF(Ticket_Table[[#This Row],[resolution_hrs]]&lt;=4,"Fast",IF(Ticket_Table[[#This Row],[resolution_hrs]]&lt;=24,"Normal",IF(Ticket_Table[[#This Row],[resolution_hrs]]&lt;=48,"Slow","Very Slow")))</f>
        <v>Very Slow</v>
      </c>
      <c r="Q4602" s="3">
        <f>YEAR(Ticket_Table[[#This Row],[raised_date]])</f>
        <v>2022</v>
      </c>
    </row>
    <row r="4603" spans="1:17">
      <c r="A4603" t="s">
        <v>5164</v>
      </c>
      <c r="B4603" t="s">
        <v>701</v>
      </c>
      <c r="C4603" t="s">
        <v>117</v>
      </c>
      <c r="D4603" t="s">
        <v>36</v>
      </c>
      <c r="E4603" t="s">
        <v>30</v>
      </c>
      <c r="F4603" t="s">
        <v>45</v>
      </c>
      <c r="G4603" t="s">
        <v>23</v>
      </c>
      <c r="H4603" s="1">
        <v>45187</v>
      </c>
      <c r="I4603" s="2">
        <v>45187.1458333333</v>
      </c>
      <c r="J4603">
        <v>3.5</v>
      </c>
      <c r="K4603" t="s">
        <v>24</v>
      </c>
      <c r="L4603">
        <v>0</v>
      </c>
      <c r="M4603">
        <v>4</v>
      </c>
      <c r="N4603" t="s">
        <v>985</v>
      </c>
      <c r="O4603" s="3" t="str">
        <f>TEXT(Ticket_Table[[#This Row],[raised_date]],"YYYY-MM")</f>
        <v>2023-09</v>
      </c>
      <c r="P4603" s="3" t="str">
        <f>IF(Ticket_Table[[#This Row],[resolution_hrs]]&lt;=4,"Fast",IF(Ticket_Table[[#This Row],[resolution_hrs]]&lt;=24,"Normal",IF(Ticket_Table[[#This Row],[resolution_hrs]]&lt;=48,"Slow","Very Slow")))</f>
        <v>Fast</v>
      </c>
      <c r="Q4603" s="3">
        <f>YEAR(Ticket_Table[[#This Row],[raised_date]])</f>
        <v>2023</v>
      </c>
    </row>
    <row r="4604" spans="1:17">
      <c r="A4604" t="s">
        <v>5165</v>
      </c>
      <c r="B4604" t="s">
        <v>286</v>
      </c>
      <c r="C4604" t="s">
        <v>55</v>
      </c>
      <c r="D4604" t="s">
        <v>90</v>
      </c>
      <c r="E4604" t="s">
        <v>166</v>
      </c>
      <c r="F4604" t="s">
        <v>22</v>
      </c>
      <c r="G4604" t="s">
        <v>31</v>
      </c>
      <c r="H4604" s="1">
        <v>45269</v>
      </c>
      <c r="I4604" s="2">
        <v>45272.3208333333</v>
      </c>
      <c r="J4604">
        <v>79.7</v>
      </c>
      <c r="K4604" t="s">
        <v>32</v>
      </c>
      <c r="L4604">
        <v>0</v>
      </c>
      <c r="M4604">
        <v>3</v>
      </c>
      <c r="N4604" t="s">
        <v>246</v>
      </c>
      <c r="O4604" s="3" t="str">
        <f>TEXT(Ticket_Table[[#This Row],[raised_date]],"YYYY-MM")</f>
        <v>2023-12</v>
      </c>
      <c r="P4604" s="3" t="str">
        <f>IF(Ticket_Table[[#This Row],[resolution_hrs]]&lt;=4,"Fast",IF(Ticket_Table[[#This Row],[resolution_hrs]]&lt;=24,"Normal",IF(Ticket_Table[[#This Row],[resolution_hrs]]&lt;=48,"Slow","Very Slow")))</f>
        <v>Very Slow</v>
      </c>
      <c r="Q4604" s="3">
        <f>YEAR(Ticket_Table[[#This Row],[raised_date]])</f>
        <v>2023</v>
      </c>
    </row>
    <row r="4605" spans="1:17">
      <c r="A4605" t="s">
        <v>5166</v>
      </c>
      <c r="B4605" t="s">
        <v>857</v>
      </c>
      <c r="C4605" t="s">
        <v>175</v>
      </c>
      <c r="D4605" t="s">
        <v>36</v>
      </c>
      <c r="E4605" t="s">
        <v>30</v>
      </c>
      <c r="F4605" t="s">
        <v>70</v>
      </c>
      <c r="G4605" t="s">
        <v>46</v>
      </c>
      <c r="H4605" s="1">
        <v>44832</v>
      </c>
      <c r="I4605" s="2">
        <v>44833.0958333333</v>
      </c>
      <c r="J4605">
        <v>26.3</v>
      </c>
      <c r="K4605" t="s">
        <v>24</v>
      </c>
      <c r="L4605">
        <v>0</v>
      </c>
      <c r="M4605">
        <v>3</v>
      </c>
      <c r="N4605" t="s">
        <v>152</v>
      </c>
      <c r="O4605" s="3" t="str">
        <f>TEXT(Ticket_Table[[#This Row],[raised_date]],"YYYY-MM")</f>
        <v>2022-09</v>
      </c>
      <c r="P4605" s="3" t="str">
        <f>IF(Ticket_Table[[#This Row],[resolution_hrs]]&lt;=4,"Fast",IF(Ticket_Table[[#This Row],[resolution_hrs]]&lt;=24,"Normal",IF(Ticket_Table[[#This Row],[resolution_hrs]]&lt;=48,"Slow","Very Slow")))</f>
        <v>Slow</v>
      </c>
      <c r="Q4605" s="3">
        <f>YEAR(Ticket_Table[[#This Row],[raised_date]])</f>
        <v>2022</v>
      </c>
    </row>
    <row r="4606" spans="1:17">
      <c r="A4606" t="s">
        <v>5167</v>
      </c>
      <c r="B4606" t="s">
        <v>1013</v>
      </c>
      <c r="C4606" t="s">
        <v>82</v>
      </c>
      <c r="D4606" t="s">
        <v>29</v>
      </c>
      <c r="E4606" t="s">
        <v>83</v>
      </c>
      <c r="F4606" t="s">
        <v>70</v>
      </c>
      <c r="G4606" t="s">
        <v>31</v>
      </c>
      <c r="H4606" s="1">
        <v>44867</v>
      </c>
      <c r="I4606" s="2">
        <v>44869.75</v>
      </c>
      <c r="J4606">
        <v>66</v>
      </c>
      <c r="K4606" t="s">
        <v>32</v>
      </c>
      <c r="L4606">
        <v>0</v>
      </c>
      <c r="M4606">
        <v>4</v>
      </c>
      <c r="N4606" t="s">
        <v>320</v>
      </c>
      <c r="O4606" s="3" t="str">
        <f>TEXT(Ticket_Table[[#This Row],[raised_date]],"YYYY-MM")</f>
        <v>2022-11</v>
      </c>
      <c r="P4606" s="3" t="str">
        <f>IF(Ticket_Table[[#This Row],[resolution_hrs]]&lt;=4,"Fast",IF(Ticket_Table[[#This Row],[resolution_hrs]]&lt;=24,"Normal",IF(Ticket_Table[[#This Row],[resolution_hrs]]&lt;=48,"Slow","Very Slow")))</f>
        <v>Very Slow</v>
      </c>
      <c r="Q4606" s="3">
        <f>YEAR(Ticket_Table[[#This Row],[raised_date]])</f>
        <v>2022</v>
      </c>
    </row>
    <row r="4607" spans="1:17">
      <c r="A4607" t="s">
        <v>5168</v>
      </c>
      <c r="B4607" t="s">
        <v>183</v>
      </c>
      <c r="C4607" t="s">
        <v>175</v>
      </c>
      <c r="D4607" t="s">
        <v>20</v>
      </c>
      <c r="E4607" t="s">
        <v>56</v>
      </c>
      <c r="F4607" t="s">
        <v>70</v>
      </c>
      <c r="G4607" t="s">
        <v>46</v>
      </c>
      <c r="H4607" s="1">
        <v>44490</v>
      </c>
      <c r="I4607" s="2">
        <v>44490.6916666667</v>
      </c>
      <c r="J4607">
        <v>16.6</v>
      </c>
      <c r="K4607" t="s">
        <v>24</v>
      </c>
      <c r="L4607">
        <v>0</v>
      </c>
      <c r="M4607">
        <v>5</v>
      </c>
      <c r="N4607" t="s">
        <v>767</v>
      </c>
      <c r="O4607" s="3" t="str">
        <f>TEXT(Ticket_Table[[#This Row],[raised_date]],"YYYY-MM")</f>
        <v>2021-10</v>
      </c>
      <c r="P4607" s="3" t="str">
        <f>IF(Ticket_Table[[#This Row],[resolution_hrs]]&lt;=4,"Fast",IF(Ticket_Table[[#This Row],[resolution_hrs]]&lt;=24,"Normal",IF(Ticket_Table[[#This Row],[resolution_hrs]]&lt;=48,"Slow","Very Slow")))</f>
        <v>Normal</v>
      </c>
      <c r="Q4607" s="3">
        <f>YEAR(Ticket_Table[[#This Row],[raised_date]])</f>
        <v>2021</v>
      </c>
    </row>
    <row r="4608" spans="1:17">
      <c r="A4608" t="s">
        <v>5169</v>
      </c>
      <c r="B4608" t="s">
        <v>77</v>
      </c>
      <c r="C4608" t="s">
        <v>78</v>
      </c>
      <c r="D4608" t="s">
        <v>90</v>
      </c>
      <c r="E4608" t="s">
        <v>106</v>
      </c>
      <c r="F4608" t="s">
        <v>38</v>
      </c>
      <c r="G4608" t="s">
        <v>31</v>
      </c>
      <c r="H4608" s="1">
        <v>44398</v>
      </c>
      <c r="I4608" s="2">
        <v>44399.0833333333</v>
      </c>
      <c r="J4608">
        <v>26</v>
      </c>
      <c r="K4608" t="s">
        <v>32</v>
      </c>
      <c r="L4608">
        <v>0</v>
      </c>
      <c r="M4608">
        <v>4</v>
      </c>
      <c r="N4608" t="s">
        <v>479</v>
      </c>
      <c r="O4608" s="3" t="str">
        <f>TEXT(Ticket_Table[[#This Row],[raised_date]],"YYYY-MM")</f>
        <v>2021-07</v>
      </c>
      <c r="P4608" s="3" t="str">
        <f>IF(Ticket_Table[[#This Row],[resolution_hrs]]&lt;=4,"Fast",IF(Ticket_Table[[#This Row],[resolution_hrs]]&lt;=24,"Normal",IF(Ticket_Table[[#This Row],[resolution_hrs]]&lt;=48,"Slow","Very Slow")))</f>
        <v>Slow</v>
      </c>
      <c r="Q4608" s="3">
        <f>YEAR(Ticket_Table[[#This Row],[raised_date]])</f>
        <v>2021</v>
      </c>
    </row>
    <row r="4609" spans="1:17">
      <c r="A4609" t="s">
        <v>5170</v>
      </c>
      <c r="B4609" t="s">
        <v>1025</v>
      </c>
      <c r="C4609" t="s">
        <v>213</v>
      </c>
      <c r="D4609" t="s">
        <v>90</v>
      </c>
      <c r="E4609" t="s">
        <v>166</v>
      </c>
      <c r="F4609" t="s">
        <v>22</v>
      </c>
      <c r="G4609" t="s">
        <v>23</v>
      </c>
      <c r="H4609" s="1">
        <v>45254</v>
      </c>
      <c r="I4609" s="2">
        <v>45258.2375</v>
      </c>
      <c r="J4609">
        <v>101.7</v>
      </c>
      <c r="K4609" t="s">
        <v>32</v>
      </c>
      <c r="L4609">
        <v>0</v>
      </c>
      <c r="M4609">
        <v>4</v>
      </c>
      <c r="N4609" t="s">
        <v>804</v>
      </c>
      <c r="O4609" s="3" t="str">
        <f>TEXT(Ticket_Table[[#This Row],[raised_date]],"YYYY-MM")</f>
        <v>2023-11</v>
      </c>
      <c r="P4609" s="3" t="str">
        <f>IF(Ticket_Table[[#This Row],[resolution_hrs]]&lt;=4,"Fast",IF(Ticket_Table[[#This Row],[resolution_hrs]]&lt;=24,"Normal",IF(Ticket_Table[[#This Row],[resolution_hrs]]&lt;=48,"Slow","Very Slow")))</f>
        <v>Very Slow</v>
      </c>
      <c r="Q4609" s="3">
        <f>YEAR(Ticket_Table[[#This Row],[raised_date]])</f>
        <v>2023</v>
      </c>
    </row>
    <row r="4610" spans="1:17">
      <c r="A4610" t="s">
        <v>5171</v>
      </c>
      <c r="B4610" t="s">
        <v>176</v>
      </c>
      <c r="C4610" t="s">
        <v>133</v>
      </c>
      <c r="D4610" t="s">
        <v>20</v>
      </c>
      <c r="E4610" t="s">
        <v>37</v>
      </c>
      <c r="F4610" t="s">
        <v>70</v>
      </c>
      <c r="G4610" t="s">
        <v>74</v>
      </c>
      <c r="H4610" s="1">
        <v>44468</v>
      </c>
      <c r="I4610" s="2">
        <v>44470.35</v>
      </c>
      <c r="J4610">
        <v>56.4</v>
      </c>
      <c r="K4610" t="s">
        <v>32</v>
      </c>
      <c r="L4610">
        <v>0</v>
      </c>
      <c r="M4610">
        <v>3</v>
      </c>
      <c r="N4610" t="s">
        <v>1061</v>
      </c>
      <c r="O4610" s="3" t="str">
        <f>TEXT(Ticket_Table[[#This Row],[raised_date]],"YYYY-MM")</f>
        <v>2021-09</v>
      </c>
      <c r="P4610" s="3" t="str">
        <f>IF(Ticket_Table[[#This Row],[resolution_hrs]]&lt;=4,"Fast",IF(Ticket_Table[[#This Row],[resolution_hrs]]&lt;=24,"Normal",IF(Ticket_Table[[#This Row],[resolution_hrs]]&lt;=48,"Slow","Very Slow")))</f>
        <v>Very Slow</v>
      </c>
      <c r="Q4610" s="3">
        <f>YEAR(Ticket_Table[[#This Row],[raised_date]])</f>
        <v>2021</v>
      </c>
    </row>
    <row r="4611" spans="1:17">
      <c r="A4611" t="s">
        <v>5172</v>
      </c>
      <c r="B4611" t="s">
        <v>331</v>
      </c>
      <c r="C4611" t="s">
        <v>68</v>
      </c>
      <c r="D4611" t="s">
        <v>20</v>
      </c>
      <c r="E4611" t="s">
        <v>69</v>
      </c>
      <c r="F4611" t="s">
        <v>38</v>
      </c>
      <c r="G4611" t="s">
        <v>31</v>
      </c>
      <c r="H4611" s="1">
        <v>44617</v>
      </c>
      <c r="I4611" s="2">
        <v>44617.4666666667</v>
      </c>
      <c r="J4611">
        <v>11.2</v>
      </c>
      <c r="K4611" t="s">
        <v>24</v>
      </c>
      <c r="L4611">
        <v>1</v>
      </c>
      <c r="M4611">
        <v>4</v>
      </c>
      <c r="N4611" t="s">
        <v>595</v>
      </c>
      <c r="O4611" s="3" t="str">
        <f>TEXT(Ticket_Table[[#This Row],[raised_date]],"YYYY-MM")</f>
        <v>2022-02</v>
      </c>
      <c r="P4611" s="3" t="str">
        <f>IF(Ticket_Table[[#This Row],[resolution_hrs]]&lt;=4,"Fast",IF(Ticket_Table[[#This Row],[resolution_hrs]]&lt;=24,"Normal",IF(Ticket_Table[[#This Row],[resolution_hrs]]&lt;=48,"Slow","Very Slow")))</f>
        <v>Normal</v>
      </c>
      <c r="Q4611" s="3">
        <f>YEAR(Ticket_Table[[#This Row],[raised_date]])</f>
        <v>2022</v>
      </c>
    </row>
    <row r="4612" spans="1:17">
      <c r="A4612" t="s">
        <v>5173</v>
      </c>
      <c r="B4612" t="s">
        <v>796</v>
      </c>
      <c r="C4612" t="s">
        <v>133</v>
      </c>
      <c r="D4612" t="s">
        <v>90</v>
      </c>
      <c r="E4612" t="s">
        <v>106</v>
      </c>
      <c r="F4612" t="s">
        <v>38</v>
      </c>
      <c r="G4612" t="s">
        <v>23</v>
      </c>
      <c r="H4612" s="1">
        <v>44271</v>
      </c>
      <c r="I4612" s="2">
        <v>44271.9958333333</v>
      </c>
      <c r="J4612">
        <v>23.9</v>
      </c>
      <c r="K4612" t="s">
        <v>24</v>
      </c>
      <c r="L4612">
        <v>0</v>
      </c>
      <c r="M4612">
        <v>4</v>
      </c>
      <c r="N4612" t="s">
        <v>312</v>
      </c>
      <c r="O4612" s="3" t="str">
        <f>TEXT(Ticket_Table[[#This Row],[raised_date]],"YYYY-MM")</f>
        <v>2021-03</v>
      </c>
      <c r="P4612" s="3" t="str">
        <f>IF(Ticket_Table[[#This Row],[resolution_hrs]]&lt;=4,"Fast",IF(Ticket_Table[[#This Row],[resolution_hrs]]&lt;=24,"Normal",IF(Ticket_Table[[#This Row],[resolution_hrs]]&lt;=48,"Slow","Very Slow")))</f>
        <v>Normal</v>
      </c>
      <c r="Q4612" s="3">
        <f>YEAR(Ticket_Table[[#This Row],[raised_date]])</f>
        <v>2021</v>
      </c>
    </row>
    <row r="4613" spans="1:17">
      <c r="A4613" t="s">
        <v>5174</v>
      </c>
      <c r="B4613" t="s">
        <v>380</v>
      </c>
      <c r="C4613" t="s">
        <v>117</v>
      </c>
      <c r="D4613" t="s">
        <v>20</v>
      </c>
      <c r="E4613" t="s">
        <v>44</v>
      </c>
      <c r="F4613" t="s">
        <v>22</v>
      </c>
      <c r="G4613" t="s">
        <v>31</v>
      </c>
      <c r="H4613" s="1">
        <v>45137</v>
      </c>
      <c r="I4613" s="2">
        <v>45139.3916666667</v>
      </c>
      <c r="J4613">
        <v>57.4</v>
      </c>
      <c r="K4613" t="s">
        <v>24</v>
      </c>
      <c r="L4613">
        <v>0</v>
      </c>
      <c r="M4613">
        <v>4</v>
      </c>
      <c r="N4613" t="s">
        <v>541</v>
      </c>
      <c r="O4613" s="3" t="str">
        <f>TEXT(Ticket_Table[[#This Row],[raised_date]],"YYYY-MM")</f>
        <v>2023-07</v>
      </c>
      <c r="P4613" s="3" t="str">
        <f>IF(Ticket_Table[[#This Row],[resolution_hrs]]&lt;=4,"Fast",IF(Ticket_Table[[#This Row],[resolution_hrs]]&lt;=24,"Normal",IF(Ticket_Table[[#This Row],[resolution_hrs]]&lt;=48,"Slow","Very Slow")))</f>
        <v>Very Slow</v>
      </c>
      <c r="Q4613" s="3">
        <f>YEAR(Ticket_Table[[#This Row],[raised_date]])</f>
        <v>2023</v>
      </c>
    </row>
    <row r="4614" spans="1:17">
      <c r="A4614" t="s">
        <v>5175</v>
      </c>
      <c r="B4614" t="s">
        <v>676</v>
      </c>
      <c r="C4614" t="s">
        <v>261</v>
      </c>
      <c r="D4614" t="s">
        <v>43</v>
      </c>
      <c r="E4614" t="s">
        <v>69</v>
      </c>
      <c r="F4614" t="s">
        <v>38</v>
      </c>
      <c r="G4614" t="s">
        <v>23</v>
      </c>
      <c r="H4614" s="1">
        <v>44990</v>
      </c>
      <c r="I4614" s="2">
        <v>44990.4333333333</v>
      </c>
      <c r="J4614">
        <v>10.4</v>
      </c>
      <c r="K4614" t="s">
        <v>24</v>
      </c>
      <c r="L4614">
        <v>1</v>
      </c>
      <c r="M4614">
        <v>2</v>
      </c>
      <c r="N4614" t="s">
        <v>1356</v>
      </c>
      <c r="O4614" s="3" t="str">
        <f>TEXT(Ticket_Table[[#This Row],[raised_date]],"YYYY-MM")</f>
        <v>2023-03</v>
      </c>
      <c r="P4614" s="3" t="str">
        <f>IF(Ticket_Table[[#This Row],[resolution_hrs]]&lt;=4,"Fast",IF(Ticket_Table[[#This Row],[resolution_hrs]]&lt;=24,"Normal",IF(Ticket_Table[[#This Row],[resolution_hrs]]&lt;=48,"Slow","Very Slow")))</f>
        <v>Normal</v>
      </c>
      <c r="Q4614" s="3">
        <f>YEAR(Ticket_Table[[#This Row],[raised_date]])</f>
        <v>2023</v>
      </c>
    </row>
    <row r="4615" spans="1:17">
      <c r="A4615" t="s">
        <v>5176</v>
      </c>
      <c r="B4615" t="s">
        <v>605</v>
      </c>
      <c r="C4615" t="s">
        <v>95</v>
      </c>
      <c r="D4615" t="s">
        <v>20</v>
      </c>
      <c r="E4615" t="s">
        <v>21</v>
      </c>
      <c r="F4615" t="s">
        <v>38</v>
      </c>
      <c r="G4615" t="s">
        <v>31</v>
      </c>
      <c r="H4615" s="1">
        <v>45266</v>
      </c>
      <c r="I4615" s="2">
        <v>45267.0583333333</v>
      </c>
      <c r="J4615">
        <v>25.4</v>
      </c>
      <c r="K4615" t="s">
        <v>32</v>
      </c>
      <c r="L4615">
        <v>0</v>
      </c>
      <c r="M4615">
        <v>4</v>
      </c>
      <c r="N4615" t="s">
        <v>579</v>
      </c>
      <c r="O4615" s="3" t="str">
        <f>TEXT(Ticket_Table[[#This Row],[raised_date]],"YYYY-MM")</f>
        <v>2023-12</v>
      </c>
      <c r="P4615" s="3" t="str">
        <f>IF(Ticket_Table[[#This Row],[resolution_hrs]]&lt;=4,"Fast",IF(Ticket_Table[[#This Row],[resolution_hrs]]&lt;=24,"Normal",IF(Ticket_Table[[#This Row],[resolution_hrs]]&lt;=48,"Slow","Very Slow")))</f>
        <v>Slow</v>
      </c>
      <c r="Q4615" s="3">
        <f>YEAR(Ticket_Table[[#This Row],[raised_date]])</f>
        <v>2023</v>
      </c>
    </row>
    <row r="4616" spans="1:17">
      <c r="A4616" t="s">
        <v>5177</v>
      </c>
      <c r="B4616" t="s">
        <v>204</v>
      </c>
      <c r="C4616" t="s">
        <v>133</v>
      </c>
      <c r="D4616" t="s">
        <v>29</v>
      </c>
      <c r="E4616" t="s">
        <v>37</v>
      </c>
      <c r="F4616" t="s">
        <v>38</v>
      </c>
      <c r="G4616" t="s">
        <v>23</v>
      </c>
      <c r="H4616" s="1">
        <v>44434</v>
      </c>
      <c r="I4616" s="2">
        <v>44434.775</v>
      </c>
      <c r="J4616">
        <v>18.6</v>
      </c>
      <c r="K4616" t="s">
        <v>24</v>
      </c>
      <c r="L4616">
        <v>0</v>
      </c>
      <c r="M4616">
        <v>5</v>
      </c>
      <c r="N4616" t="s">
        <v>420</v>
      </c>
      <c r="O4616" s="3" t="str">
        <f>TEXT(Ticket_Table[[#This Row],[raised_date]],"YYYY-MM")</f>
        <v>2021-08</v>
      </c>
      <c r="P4616" s="3" t="str">
        <f>IF(Ticket_Table[[#This Row],[resolution_hrs]]&lt;=4,"Fast",IF(Ticket_Table[[#This Row],[resolution_hrs]]&lt;=24,"Normal",IF(Ticket_Table[[#This Row],[resolution_hrs]]&lt;=48,"Slow","Very Slow")))</f>
        <v>Normal</v>
      </c>
      <c r="Q4616" s="3">
        <f>YEAR(Ticket_Table[[#This Row],[raised_date]])</f>
        <v>2021</v>
      </c>
    </row>
    <row r="4617" spans="1:17">
      <c r="A4617" t="s">
        <v>5178</v>
      </c>
      <c r="B4617" t="s">
        <v>1041</v>
      </c>
      <c r="C4617" t="s">
        <v>64</v>
      </c>
      <c r="D4617" t="s">
        <v>29</v>
      </c>
      <c r="E4617" t="s">
        <v>21</v>
      </c>
      <c r="F4617" t="s">
        <v>70</v>
      </c>
      <c r="G4617" t="s">
        <v>23</v>
      </c>
      <c r="H4617" s="1">
        <v>44205</v>
      </c>
      <c r="I4617" s="2">
        <v>44205.2</v>
      </c>
      <c r="J4617">
        <v>4.8</v>
      </c>
      <c r="K4617" t="s">
        <v>24</v>
      </c>
      <c r="L4617">
        <v>0</v>
      </c>
      <c r="M4617">
        <v>4</v>
      </c>
      <c r="N4617" t="s">
        <v>185</v>
      </c>
      <c r="O4617" s="3" t="str">
        <f>TEXT(Ticket_Table[[#This Row],[raised_date]],"YYYY-MM")</f>
        <v>2021-01</v>
      </c>
      <c r="P4617" s="3" t="str">
        <f>IF(Ticket_Table[[#This Row],[resolution_hrs]]&lt;=4,"Fast",IF(Ticket_Table[[#This Row],[resolution_hrs]]&lt;=24,"Normal",IF(Ticket_Table[[#This Row],[resolution_hrs]]&lt;=48,"Slow","Very Slow")))</f>
        <v>Normal</v>
      </c>
      <c r="Q4617" s="3">
        <f>YEAR(Ticket_Table[[#This Row],[raised_date]])</f>
        <v>2021</v>
      </c>
    </row>
    <row r="4618" spans="1:17">
      <c r="A4618" t="s">
        <v>5179</v>
      </c>
      <c r="B4618" t="s">
        <v>238</v>
      </c>
      <c r="C4618" t="s">
        <v>213</v>
      </c>
      <c r="D4618" t="s">
        <v>43</v>
      </c>
      <c r="E4618" t="s">
        <v>30</v>
      </c>
      <c r="F4618" t="s">
        <v>70</v>
      </c>
      <c r="G4618" t="s">
        <v>23</v>
      </c>
      <c r="H4618" s="1">
        <v>44833</v>
      </c>
      <c r="I4618" s="2">
        <v>44835.7041666667</v>
      </c>
      <c r="J4618">
        <v>64.9</v>
      </c>
      <c r="K4618" t="s">
        <v>32</v>
      </c>
      <c r="L4618">
        <v>0</v>
      </c>
      <c r="M4618">
        <v>3</v>
      </c>
      <c r="N4618" t="s">
        <v>571</v>
      </c>
      <c r="O4618" s="3" t="str">
        <f>TEXT(Ticket_Table[[#This Row],[raised_date]],"YYYY-MM")</f>
        <v>2022-09</v>
      </c>
      <c r="P4618" s="3" t="str">
        <f>IF(Ticket_Table[[#This Row],[resolution_hrs]]&lt;=4,"Fast",IF(Ticket_Table[[#This Row],[resolution_hrs]]&lt;=24,"Normal",IF(Ticket_Table[[#This Row],[resolution_hrs]]&lt;=48,"Slow","Very Slow")))</f>
        <v>Very Slow</v>
      </c>
      <c r="Q4618" s="3">
        <f>YEAR(Ticket_Table[[#This Row],[raised_date]])</f>
        <v>2022</v>
      </c>
    </row>
    <row r="4619" spans="1:17">
      <c r="A4619" t="s">
        <v>5180</v>
      </c>
      <c r="B4619" t="s">
        <v>668</v>
      </c>
      <c r="C4619" t="s">
        <v>117</v>
      </c>
      <c r="D4619" t="s">
        <v>20</v>
      </c>
      <c r="E4619" t="s">
        <v>56</v>
      </c>
      <c r="F4619" t="s">
        <v>45</v>
      </c>
      <c r="G4619" t="s">
        <v>31</v>
      </c>
      <c r="H4619" s="1">
        <v>44287</v>
      </c>
      <c r="I4619" s="2">
        <v>44287.1875</v>
      </c>
      <c r="J4619">
        <v>4.5</v>
      </c>
      <c r="K4619" t="s">
        <v>32</v>
      </c>
      <c r="L4619">
        <v>0</v>
      </c>
      <c r="M4619">
        <v>2</v>
      </c>
      <c r="N4619" t="s">
        <v>496</v>
      </c>
      <c r="O4619" s="3" t="str">
        <f>TEXT(Ticket_Table[[#This Row],[raised_date]],"YYYY-MM")</f>
        <v>2021-04</v>
      </c>
      <c r="P4619" s="3" t="str">
        <f>IF(Ticket_Table[[#This Row],[resolution_hrs]]&lt;=4,"Fast",IF(Ticket_Table[[#This Row],[resolution_hrs]]&lt;=24,"Normal",IF(Ticket_Table[[#This Row],[resolution_hrs]]&lt;=48,"Slow","Very Slow")))</f>
        <v>Normal</v>
      </c>
      <c r="Q4619" s="3">
        <f>YEAR(Ticket_Table[[#This Row],[raised_date]])</f>
        <v>2021</v>
      </c>
    </row>
    <row r="4620" spans="1:17">
      <c r="A4620" t="s">
        <v>5181</v>
      </c>
      <c r="B4620" t="s">
        <v>171</v>
      </c>
      <c r="C4620" t="s">
        <v>64</v>
      </c>
      <c r="D4620" t="s">
        <v>29</v>
      </c>
      <c r="E4620" t="s">
        <v>30</v>
      </c>
      <c r="F4620" t="s">
        <v>38</v>
      </c>
      <c r="G4620" t="s">
        <v>31</v>
      </c>
      <c r="H4620" s="1">
        <v>44375</v>
      </c>
      <c r="I4620" s="2">
        <v>44375.95</v>
      </c>
      <c r="J4620">
        <v>22.8</v>
      </c>
      <c r="K4620" t="s">
        <v>24</v>
      </c>
      <c r="L4620">
        <v>0</v>
      </c>
      <c r="M4620">
        <v>3</v>
      </c>
      <c r="N4620" t="s">
        <v>152</v>
      </c>
      <c r="O4620" s="3" t="str">
        <f>TEXT(Ticket_Table[[#This Row],[raised_date]],"YYYY-MM")</f>
        <v>2021-06</v>
      </c>
      <c r="P4620" s="3" t="str">
        <f>IF(Ticket_Table[[#This Row],[resolution_hrs]]&lt;=4,"Fast",IF(Ticket_Table[[#This Row],[resolution_hrs]]&lt;=24,"Normal",IF(Ticket_Table[[#This Row],[resolution_hrs]]&lt;=48,"Slow","Very Slow")))</f>
        <v>Normal</v>
      </c>
      <c r="Q4620" s="3">
        <f>YEAR(Ticket_Table[[#This Row],[raised_date]])</f>
        <v>2021</v>
      </c>
    </row>
    <row r="4621" spans="1:17">
      <c r="A4621" t="s">
        <v>5182</v>
      </c>
      <c r="B4621" t="s">
        <v>603</v>
      </c>
      <c r="C4621" t="s">
        <v>50</v>
      </c>
      <c r="D4621" t="s">
        <v>36</v>
      </c>
      <c r="E4621" t="s">
        <v>56</v>
      </c>
      <c r="F4621" t="s">
        <v>70</v>
      </c>
      <c r="G4621" t="s">
        <v>23</v>
      </c>
      <c r="H4621" s="1">
        <v>44879</v>
      </c>
      <c r="I4621" s="2">
        <v>44879.8708333333</v>
      </c>
      <c r="J4621">
        <v>20.9</v>
      </c>
      <c r="K4621" t="s">
        <v>24</v>
      </c>
      <c r="L4621">
        <v>1</v>
      </c>
      <c r="M4621">
        <v>1</v>
      </c>
      <c r="N4621" t="s">
        <v>1078</v>
      </c>
      <c r="O4621" s="3" t="str">
        <f>TEXT(Ticket_Table[[#This Row],[raised_date]],"YYYY-MM")</f>
        <v>2022-11</v>
      </c>
      <c r="P4621" s="3" t="str">
        <f>IF(Ticket_Table[[#This Row],[resolution_hrs]]&lt;=4,"Fast",IF(Ticket_Table[[#This Row],[resolution_hrs]]&lt;=24,"Normal",IF(Ticket_Table[[#This Row],[resolution_hrs]]&lt;=48,"Slow","Very Slow")))</f>
        <v>Normal</v>
      </c>
      <c r="Q4621" s="3">
        <f>YEAR(Ticket_Table[[#This Row],[raised_date]])</f>
        <v>2022</v>
      </c>
    </row>
    <row r="4622" spans="1:17">
      <c r="A4622" t="s">
        <v>5183</v>
      </c>
      <c r="B4622" t="s">
        <v>165</v>
      </c>
      <c r="C4622" t="s">
        <v>68</v>
      </c>
      <c r="D4622" t="s">
        <v>20</v>
      </c>
      <c r="E4622" t="s">
        <v>51</v>
      </c>
      <c r="F4622" t="s">
        <v>22</v>
      </c>
      <c r="G4622" t="s">
        <v>23</v>
      </c>
      <c r="H4622" s="1">
        <v>45153</v>
      </c>
      <c r="I4622" s="2">
        <v>45153.95</v>
      </c>
      <c r="J4622">
        <v>22.8</v>
      </c>
      <c r="K4622" t="s">
        <v>24</v>
      </c>
      <c r="L4622">
        <v>0</v>
      </c>
      <c r="M4622">
        <v>5</v>
      </c>
      <c r="N4622" t="s">
        <v>470</v>
      </c>
      <c r="O4622" s="3" t="str">
        <f>TEXT(Ticket_Table[[#This Row],[raised_date]],"YYYY-MM")</f>
        <v>2023-08</v>
      </c>
      <c r="P4622" s="3" t="str">
        <f>IF(Ticket_Table[[#This Row],[resolution_hrs]]&lt;=4,"Fast",IF(Ticket_Table[[#This Row],[resolution_hrs]]&lt;=24,"Normal",IF(Ticket_Table[[#This Row],[resolution_hrs]]&lt;=48,"Slow","Very Slow")))</f>
        <v>Normal</v>
      </c>
      <c r="Q4622" s="3">
        <f>YEAR(Ticket_Table[[#This Row],[raised_date]])</f>
        <v>2023</v>
      </c>
    </row>
    <row r="4623" spans="1:17">
      <c r="A4623" t="s">
        <v>5184</v>
      </c>
      <c r="B4623" t="s">
        <v>349</v>
      </c>
      <c r="C4623" t="s">
        <v>78</v>
      </c>
      <c r="D4623" t="s">
        <v>43</v>
      </c>
      <c r="E4623" t="s">
        <v>51</v>
      </c>
      <c r="F4623" t="s">
        <v>70</v>
      </c>
      <c r="G4623" t="s">
        <v>23</v>
      </c>
      <c r="H4623" s="1">
        <v>44291</v>
      </c>
      <c r="I4623" s="2">
        <v>44291.4458333333</v>
      </c>
      <c r="J4623">
        <v>10.7</v>
      </c>
      <c r="K4623" t="s">
        <v>24</v>
      </c>
      <c r="L4623">
        <v>0</v>
      </c>
      <c r="M4623">
        <v>4</v>
      </c>
      <c r="N4623" t="s">
        <v>395</v>
      </c>
      <c r="O4623" s="3" t="str">
        <f>TEXT(Ticket_Table[[#This Row],[raised_date]],"YYYY-MM")</f>
        <v>2021-04</v>
      </c>
      <c r="P4623" s="3" t="str">
        <f>IF(Ticket_Table[[#This Row],[resolution_hrs]]&lt;=4,"Fast",IF(Ticket_Table[[#This Row],[resolution_hrs]]&lt;=24,"Normal",IF(Ticket_Table[[#This Row],[resolution_hrs]]&lt;=48,"Slow","Very Slow")))</f>
        <v>Normal</v>
      </c>
      <c r="Q4623" s="3">
        <f>YEAR(Ticket_Table[[#This Row],[raised_date]])</f>
        <v>2021</v>
      </c>
    </row>
    <row r="4624" spans="1:17">
      <c r="A4624" t="s">
        <v>5185</v>
      </c>
      <c r="B4624" t="s">
        <v>214</v>
      </c>
      <c r="C4624" t="s">
        <v>140</v>
      </c>
      <c r="D4624" t="s">
        <v>20</v>
      </c>
      <c r="E4624" t="s">
        <v>21</v>
      </c>
      <c r="F4624" t="s">
        <v>70</v>
      </c>
      <c r="G4624" t="s">
        <v>31</v>
      </c>
      <c r="H4624" s="1">
        <v>44408</v>
      </c>
      <c r="I4624" s="2">
        <v>44410.9291666667</v>
      </c>
      <c r="J4624">
        <v>70.3</v>
      </c>
      <c r="K4624" t="s">
        <v>32</v>
      </c>
      <c r="L4624">
        <v>0</v>
      </c>
      <c r="M4624">
        <v>4</v>
      </c>
      <c r="N4624" t="s">
        <v>485</v>
      </c>
      <c r="O4624" s="3" t="str">
        <f>TEXT(Ticket_Table[[#This Row],[raised_date]],"YYYY-MM")</f>
        <v>2021-07</v>
      </c>
      <c r="P4624" s="3" t="str">
        <f>IF(Ticket_Table[[#This Row],[resolution_hrs]]&lt;=4,"Fast",IF(Ticket_Table[[#This Row],[resolution_hrs]]&lt;=24,"Normal",IF(Ticket_Table[[#This Row],[resolution_hrs]]&lt;=48,"Slow","Very Slow")))</f>
        <v>Very Slow</v>
      </c>
      <c r="Q4624" s="3">
        <f>YEAR(Ticket_Table[[#This Row],[raised_date]])</f>
        <v>2021</v>
      </c>
    </row>
    <row r="4625" spans="1:17">
      <c r="A4625" t="s">
        <v>5186</v>
      </c>
      <c r="B4625" t="s">
        <v>782</v>
      </c>
      <c r="C4625" t="s">
        <v>287</v>
      </c>
      <c r="D4625" t="s">
        <v>90</v>
      </c>
      <c r="E4625" t="s">
        <v>44</v>
      </c>
      <c r="F4625" t="s">
        <v>22</v>
      </c>
      <c r="G4625" t="s">
        <v>31</v>
      </c>
      <c r="H4625" s="1">
        <v>45263</v>
      </c>
      <c r="I4625" s="2">
        <v>45264.0708333333</v>
      </c>
      <c r="J4625">
        <v>25.7</v>
      </c>
      <c r="K4625" t="s">
        <v>24</v>
      </c>
      <c r="L4625">
        <v>0</v>
      </c>
      <c r="M4625">
        <v>5</v>
      </c>
      <c r="N4625" t="s">
        <v>919</v>
      </c>
      <c r="O4625" s="3" t="str">
        <f>TEXT(Ticket_Table[[#This Row],[raised_date]],"YYYY-MM")</f>
        <v>2023-12</v>
      </c>
      <c r="P4625" s="3" t="str">
        <f>IF(Ticket_Table[[#This Row],[resolution_hrs]]&lt;=4,"Fast",IF(Ticket_Table[[#This Row],[resolution_hrs]]&lt;=24,"Normal",IF(Ticket_Table[[#This Row],[resolution_hrs]]&lt;=48,"Slow","Very Slow")))</f>
        <v>Slow</v>
      </c>
      <c r="Q4625" s="3">
        <f>YEAR(Ticket_Table[[#This Row],[raised_date]])</f>
        <v>2023</v>
      </c>
    </row>
    <row r="4626" spans="1:17">
      <c r="A4626" t="s">
        <v>5187</v>
      </c>
      <c r="B4626" t="s">
        <v>589</v>
      </c>
      <c r="C4626" t="s">
        <v>68</v>
      </c>
      <c r="D4626" t="s">
        <v>90</v>
      </c>
      <c r="E4626" t="s">
        <v>21</v>
      </c>
      <c r="F4626" t="s">
        <v>22</v>
      </c>
      <c r="G4626" t="s">
        <v>23</v>
      </c>
      <c r="H4626" s="1">
        <v>44836</v>
      </c>
      <c r="I4626" s="2">
        <v>44839.35</v>
      </c>
      <c r="J4626">
        <v>80.4</v>
      </c>
      <c r="K4626" t="s">
        <v>32</v>
      </c>
      <c r="L4626">
        <v>0</v>
      </c>
      <c r="M4626">
        <v>2</v>
      </c>
      <c r="N4626" t="s">
        <v>165</v>
      </c>
      <c r="O4626" s="3" t="str">
        <f>TEXT(Ticket_Table[[#This Row],[raised_date]],"YYYY-MM")</f>
        <v>2022-10</v>
      </c>
      <c r="P4626" s="3" t="str">
        <f>IF(Ticket_Table[[#This Row],[resolution_hrs]]&lt;=4,"Fast",IF(Ticket_Table[[#This Row],[resolution_hrs]]&lt;=24,"Normal",IF(Ticket_Table[[#This Row],[resolution_hrs]]&lt;=48,"Slow","Very Slow")))</f>
        <v>Very Slow</v>
      </c>
      <c r="Q4626" s="3">
        <f>YEAR(Ticket_Table[[#This Row],[raised_date]])</f>
        <v>2022</v>
      </c>
    </row>
    <row r="4627" spans="1:17">
      <c r="A4627" t="s">
        <v>5188</v>
      </c>
      <c r="B4627" t="s">
        <v>180</v>
      </c>
      <c r="C4627" t="s">
        <v>213</v>
      </c>
      <c r="D4627" t="s">
        <v>29</v>
      </c>
      <c r="E4627" t="s">
        <v>51</v>
      </c>
      <c r="F4627" t="s">
        <v>38</v>
      </c>
      <c r="G4627" t="s">
        <v>23</v>
      </c>
      <c r="H4627" s="1">
        <v>44243</v>
      </c>
      <c r="I4627" s="2">
        <v>44243.35</v>
      </c>
      <c r="J4627">
        <v>8.4</v>
      </c>
      <c r="K4627" t="s">
        <v>24</v>
      </c>
      <c r="L4627">
        <v>1</v>
      </c>
      <c r="M4627">
        <v>4</v>
      </c>
      <c r="N4627" t="s">
        <v>790</v>
      </c>
      <c r="O4627" s="3" t="str">
        <f>TEXT(Ticket_Table[[#This Row],[raised_date]],"YYYY-MM")</f>
        <v>2021-02</v>
      </c>
      <c r="P4627" s="3" t="str">
        <f>IF(Ticket_Table[[#This Row],[resolution_hrs]]&lt;=4,"Fast",IF(Ticket_Table[[#This Row],[resolution_hrs]]&lt;=24,"Normal",IF(Ticket_Table[[#This Row],[resolution_hrs]]&lt;=48,"Slow","Very Slow")))</f>
        <v>Normal</v>
      </c>
      <c r="Q4627" s="3">
        <f>YEAR(Ticket_Table[[#This Row],[raised_date]])</f>
        <v>2021</v>
      </c>
    </row>
    <row r="4628" spans="1:17">
      <c r="A4628" t="s">
        <v>5189</v>
      </c>
      <c r="B4628" t="s">
        <v>871</v>
      </c>
      <c r="C4628" t="s">
        <v>287</v>
      </c>
      <c r="D4628" t="s">
        <v>90</v>
      </c>
      <c r="E4628" t="s">
        <v>69</v>
      </c>
      <c r="F4628" t="s">
        <v>22</v>
      </c>
      <c r="G4628" t="s">
        <v>23</v>
      </c>
      <c r="H4628" s="1">
        <v>44836</v>
      </c>
      <c r="I4628" s="2">
        <v>44837.7</v>
      </c>
      <c r="J4628">
        <v>40.8</v>
      </c>
      <c r="K4628" t="s">
        <v>24</v>
      </c>
      <c r="L4628">
        <v>0</v>
      </c>
      <c r="M4628">
        <v>2</v>
      </c>
      <c r="N4628" t="s">
        <v>833</v>
      </c>
      <c r="O4628" s="3" t="str">
        <f>TEXT(Ticket_Table[[#This Row],[raised_date]],"YYYY-MM")</f>
        <v>2022-10</v>
      </c>
      <c r="P4628" s="3" t="str">
        <f>IF(Ticket_Table[[#This Row],[resolution_hrs]]&lt;=4,"Fast",IF(Ticket_Table[[#This Row],[resolution_hrs]]&lt;=24,"Normal",IF(Ticket_Table[[#This Row],[resolution_hrs]]&lt;=48,"Slow","Very Slow")))</f>
        <v>Slow</v>
      </c>
      <c r="Q4628" s="3">
        <f>YEAR(Ticket_Table[[#This Row],[raised_date]])</f>
        <v>2022</v>
      </c>
    </row>
    <row r="4629" spans="1:17">
      <c r="A4629" t="s">
        <v>5190</v>
      </c>
      <c r="B4629" t="s">
        <v>318</v>
      </c>
      <c r="C4629" t="s">
        <v>261</v>
      </c>
      <c r="D4629" t="s">
        <v>43</v>
      </c>
      <c r="E4629" t="s">
        <v>69</v>
      </c>
      <c r="F4629" t="s">
        <v>38</v>
      </c>
      <c r="G4629" t="s">
        <v>31</v>
      </c>
      <c r="H4629" s="1">
        <v>44626</v>
      </c>
      <c r="I4629" s="2">
        <v>44627.2333333333</v>
      </c>
      <c r="J4629">
        <v>29.6</v>
      </c>
      <c r="K4629" t="s">
        <v>32</v>
      </c>
      <c r="L4629">
        <v>0</v>
      </c>
      <c r="M4629">
        <v>2</v>
      </c>
      <c r="N4629" t="s">
        <v>782</v>
      </c>
      <c r="O4629" s="3" t="str">
        <f>TEXT(Ticket_Table[[#This Row],[raised_date]],"YYYY-MM")</f>
        <v>2022-03</v>
      </c>
      <c r="P4629" s="3" t="str">
        <f>IF(Ticket_Table[[#This Row],[resolution_hrs]]&lt;=4,"Fast",IF(Ticket_Table[[#This Row],[resolution_hrs]]&lt;=24,"Normal",IF(Ticket_Table[[#This Row],[resolution_hrs]]&lt;=48,"Slow","Very Slow")))</f>
        <v>Slow</v>
      </c>
      <c r="Q4629" s="3">
        <f>YEAR(Ticket_Table[[#This Row],[raised_date]])</f>
        <v>2022</v>
      </c>
    </row>
    <row r="4630" spans="1:17">
      <c r="A4630" t="s">
        <v>5191</v>
      </c>
      <c r="B4630" t="s">
        <v>195</v>
      </c>
      <c r="C4630" t="s">
        <v>133</v>
      </c>
      <c r="D4630" t="s">
        <v>29</v>
      </c>
      <c r="E4630" t="s">
        <v>44</v>
      </c>
      <c r="F4630" t="s">
        <v>22</v>
      </c>
      <c r="G4630" t="s">
        <v>74</v>
      </c>
      <c r="H4630" s="1">
        <v>44854</v>
      </c>
      <c r="I4630" s="2">
        <v>44854.675</v>
      </c>
      <c r="J4630">
        <v>16.2</v>
      </c>
      <c r="K4630" t="s">
        <v>24</v>
      </c>
      <c r="L4630">
        <v>0</v>
      </c>
      <c r="M4630">
        <v>2</v>
      </c>
      <c r="N4630" t="s">
        <v>549</v>
      </c>
      <c r="O4630" s="3" t="str">
        <f>TEXT(Ticket_Table[[#This Row],[raised_date]],"YYYY-MM")</f>
        <v>2022-10</v>
      </c>
      <c r="P4630" s="3" t="str">
        <f>IF(Ticket_Table[[#This Row],[resolution_hrs]]&lt;=4,"Fast",IF(Ticket_Table[[#This Row],[resolution_hrs]]&lt;=24,"Normal",IF(Ticket_Table[[#This Row],[resolution_hrs]]&lt;=48,"Slow","Very Slow")))</f>
        <v>Normal</v>
      </c>
      <c r="Q4630" s="3">
        <f>YEAR(Ticket_Table[[#This Row],[raised_date]])</f>
        <v>2022</v>
      </c>
    </row>
    <row r="4631" spans="1:17">
      <c r="A4631" t="s">
        <v>5192</v>
      </c>
      <c r="B4631" t="s">
        <v>96</v>
      </c>
      <c r="C4631" t="s">
        <v>64</v>
      </c>
      <c r="D4631" t="s">
        <v>43</v>
      </c>
      <c r="E4631" t="s">
        <v>44</v>
      </c>
      <c r="F4631" t="s">
        <v>70</v>
      </c>
      <c r="G4631" t="s">
        <v>31</v>
      </c>
      <c r="H4631" s="1">
        <v>44607</v>
      </c>
      <c r="I4631" s="2">
        <v>44609.9333333333</v>
      </c>
      <c r="J4631">
        <v>70.4</v>
      </c>
      <c r="K4631" t="s">
        <v>32</v>
      </c>
      <c r="L4631">
        <v>0</v>
      </c>
      <c r="M4631">
        <v>5</v>
      </c>
      <c r="N4631" t="s">
        <v>937</v>
      </c>
      <c r="O4631" s="3" t="str">
        <f>TEXT(Ticket_Table[[#This Row],[raised_date]],"YYYY-MM")</f>
        <v>2022-02</v>
      </c>
      <c r="P4631" s="3" t="str">
        <f>IF(Ticket_Table[[#This Row],[resolution_hrs]]&lt;=4,"Fast",IF(Ticket_Table[[#This Row],[resolution_hrs]]&lt;=24,"Normal",IF(Ticket_Table[[#This Row],[resolution_hrs]]&lt;=48,"Slow","Very Slow")))</f>
        <v>Very Slow</v>
      </c>
      <c r="Q4631" s="3">
        <f>YEAR(Ticket_Table[[#This Row],[raised_date]])</f>
        <v>2022</v>
      </c>
    </row>
    <row r="4632" spans="1:17">
      <c r="A4632" t="s">
        <v>5193</v>
      </c>
      <c r="B4632" t="s">
        <v>255</v>
      </c>
      <c r="C4632" t="s">
        <v>82</v>
      </c>
      <c r="D4632" t="s">
        <v>43</v>
      </c>
      <c r="E4632" t="s">
        <v>44</v>
      </c>
      <c r="F4632" t="s">
        <v>22</v>
      </c>
      <c r="G4632" t="s">
        <v>23</v>
      </c>
      <c r="H4632" s="1">
        <v>44591</v>
      </c>
      <c r="I4632" s="2">
        <v>44594.1541666667</v>
      </c>
      <c r="J4632">
        <v>75.7</v>
      </c>
      <c r="K4632" t="s">
        <v>32</v>
      </c>
      <c r="L4632">
        <v>1</v>
      </c>
      <c r="M4632">
        <v>4</v>
      </c>
      <c r="N4632" t="s">
        <v>530</v>
      </c>
      <c r="O4632" s="3" t="str">
        <f>TEXT(Ticket_Table[[#This Row],[raised_date]],"YYYY-MM")</f>
        <v>2022-01</v>
      </c>
      <c r="P4632" s="3" t="str">
        <f>IF(Ticket_Table[[#This Row],[resolution_hrs]]&lt;=4,"Fast",IF(Ticket_Table[[#This Row],[resolution_hrs]]&lt;=24,"Normal",IF(Ticket_Table[[#This Row],[resolution_hrs]]&lt;=48,"Slow","Very Slow")))</f>
        <v>Very Slow</v>
      </c>
      <c r="Q4632" s="3">
        <f>YEAR(Ticket_Table[[#This Row],[raised_date]])</f>
        <v>2022</v>
      </c>
    </row>
    <row r="4633" spans="1:17">
      <c r="A4633" t="s">
        <v>5194</v>
      </c>
      <c r="B4633" t="s">
        <v>438</v>
      </c>
      <c r="C4633" t="s">
        <v>117</v>
      </c>
      <c r="D4633" t="s">
        <v>90</v>
      </c>
      <c r="E4633" t="s">
        <v>21</v>
      </c>
      <c r="F4633" t="s">
        <v>22</v>
      </c>
      <c r="G4633" t="s">
        <v>46</v>
      </c>
      <c r="H4633" s="1">
        <v>44783</v>
      </c>
      <c r="I4633" s="2">
        <v>44785.9375</v>
      </c>
      <c r="J4633">
        <v>70.5</v>
      </c>
      <c r="K4633" t="s">
        <v>24</v>
      </c>
      <c r="L4633">
        <v>0</v>
      </c>
      <c r="M4633">
        <v>1</v>
      </c>
      <c r="N4633" t="s">
        <v>470</v>
      </c>
      <c r="O4633" s="3" t="str">
        <f>TEXT(Ticket_Table[[#This Row],[raised_date]],"YYYY-MM")</f>
        <v>2022-08</v>
      </c>
      <c r="P4633" s="3" t="str">
        <f>IF(Ticket_Table[[#This Row],[resolution_hrs]]&lt;=4,"Fast",IF(Ticket_Table[[#This Row],[resolution_hrs]]&lt;=24,"Normal",IF(Ticket_Table[[#This Row],[resolution_hrs]]&lt;=48,"Slow","Very Slow")))</f>
        <v>Very Slow</v>
      </c>
      <c r="Q4633" s="3">
        <f>YEAR(Ticket_Table[[#This Row],[raised_date]])</f>
        <v>2022</v>
      </c>
    </row>
    <row r="4634" spans="1:17">
      <c r="A4634" t="s">
        <v>5195</v>
      </c>
      <c r="B4634" t="s">
        <v>1013</v>
      </c>
      <c r="C4634" t="s">
        <v>201</v>
      </c>
      <c r="D4634" t="s">
        <v>90</v>
      </c>
      <c r="E4634" t="s">
        <v>37</v>
      </c>
      <c r="F4634" t="s">
        <v>38</v>
      </c>
      <c r="G4634" t="s">
        <v>74</v>
      </c>
      <c r="H4634" s="1">
        <v>44763</v>
      </c>
      <c r="I4634" s="2">
        <v>44763.7041666667</v>
      </c>
      <c r="J4634">
        <v>16.9</v>
      </c>
      <c r="K4634" t="s">
        <v>24</v>
      </c>
      <c r="L4634">
        <v>0</v>
      </c>
      <c r="M4634">
        <v>4</v>
      </c>
      <c r="N4634" t="s">
        <v>503</v>
      </c>
      <c r="O4634" s="3" t="str">
        <f>TEXT(Ticket_Table[[#This Row],[raised_date]],"YYYY-MM")</f>
        <v>2022-07</v>
      </c>
      <c r="P4634" s="3" t="str">
        <f>IF(Ticket_Table[[#This Row],[resolution_hrs]]&lt;=4,"Fast",IF(Ticket_Table[[#This Row],[resolution_hrs]]&lt;=24,"Normal",IF(Ticket_Table[[#This Row],[resolution_hrs]]&lt;=48,"Slow","Very Slow")))</f>
        <v>Normal</v>
      </c>
      <c r="Q4634" s="3">
        <f>YEAR(Ticket_Table[[#This Row],[raised_date]])</f>
        <v>2022</v>
      </c>
    </row>
    <row r="4635" spans="1:17">
      <c r="A4635" t="s">
        <v>5196</v>
      </c>
      <c r="B4635" t="s">
        <v>245</v>
      </c>
      <c r="C4635" t="s">
        <v>95</v>
      </c>
      <c r="D4635" t="s">
        <v>43</v>
      </c>
      <c r="E4635" t="s">
        <v>83</v>
      </c>
      <c r="F4635" t="s">
        <v>38</v>
      </c>
      <c r="G4635" t="s">
        <v>31</v>
      </c>
      <c r="H4635" s="1">
        <v>45287</v>
      </c>
      <c r="I4635" s="2">
        <v>45287.2083333333</v>
      </c>
      <c r="J4635">
        <v>5</v>
      </c>
      <c r="K4635" t="s">
        <v>24</v>
      </c>
      <c r="L4635">
        <v>3</v>
      </c>
      <c r="M4635">
        <v>3</v>
      </c>
      <c r="N4635" t="s">
        <v>296</v>
      </c>
      <c r="O4635" s="3" t="str">
        <f>TEXT(Ticket_Table[[#This Row],[raised_date]],"YYYY-MM")</f>
        <v>2023-12</v>
      </c>
      <c r="P4635" s="3" t="str">
        <f>IF(Ticket_Table[[#This Row],[resolution_hrs]]&lt;=4,"Fast",IF(Ticket_Table[[#This Row],[resolution_hrs]]&lt;=24,"Normal",IF(Ticket_Table[[#This Row],[resolution_hrs]]&lt;=48,"Slow","Very Slow")))</f>
        <v>Normal</v>
      </c>
      <c r="Q4635" s="3">
        <f>YEAR(Ticket_Table[[#This Row],[raised_date]])</f>
        <v>2023</v>
      </c>
    </row>
    <row r="4636" spans="1:17">
      <c r="A4636" t="s">
        <v>5197</v>
      </c>
      <c r="B4636" t="s">
        <v>643</v>
      </c>
      <c r="C4636" t="s">
        <v>50</v>
      </c>
      <c r="D4636" t="s">
        <v>90</v>
      </c>
      <c r="E4636" t="s">
        <v>166</v>
      </c>
      <c r="F4636" t="s">
        <v>22</v>
      </c>
      <c r="G4636" t="s">
        <v>31</v>
      </c>
      <c r="H4636" s="1">
        <v>44850</v>
      </c>
      <c r="I4636" s="2">
        <v>44852.2666666667</v>
      </c>
      <c r="J4636">
        <v>54.4</v>
      </c>
      <c r="K4636" t="s">
        <v>24</v>
      </c>
      <c r="L4636">
        <v>0</v>
      </c>
      <c r="M4636">
        <v>1</v>
      </c>
      <c r="N4636" t="s">
        <v>884</v>
      </c>
      <c r="O4636" s="3" t="str">
        <f>TEXT(Ticket_Table[[#This Row],[raised_date]],"YYYY-MM")</f>
        <v>2022-10</v>
      </c>
      <c r="P4636" s="3" t="str">
        <f>IF(Ticket_Table[[#This Row],[resolution_hrs]]&lt;=4,"Fast",IF(Ticket_Table[[#This Row],[resolution_hrs]]&lt;=24,"Normal",IF(Ticket_Table[[#This Row],[resolution_hrs]]&lt;=48,"Slow","Very Slow")))</f>
        <v>Very Slow</v>
      </c>
      <c r="Q4636" s="3">
        <f>YEAR(Ticket_Table[[#This Row],[raised_date]])</f>
        <v>2022</v>
      </c>
    </row>
    <row r="4637" spans="1:17">
      <c r="A4637" t="s">
        <v>5198</v>
      </c>
      <c r="B4637" t="s">
        <v>532</v>
      </c>
      <c r="C4637" t="s">
        <v>68</v>
      </c>
      <c r="D4637" t="s">
        <v>90</v>
      </c>
      <c r="E4637" t="s">
        <v>44</v>
      </c>
      <c r="F4637" t="s">
        <v>70</v>
      </c>
      <c r="G4637" t="s">
        <v>74</v>
      </c>
      <c r="H4637" s="1">
        <v>45100</v>
      </c>
      <c r="I4637" s="2">
        <v>45100.1416666667</v>
      </c>
      <c r="J4637">
        <v>3.4</v>
      </c>
      <c r="K4637" t="s">
        <v>24</v>
      </c>
      <c r="L4637">
        <v>0</v>
      </c>
      <c r="M4637">
        <v>4</v>
      </c>
      <c r="N4637" t="s">
        <v>1243</v>
      </c>
      <c r="O4637" s="3" t="str">
        <f>TEXT(Ticket_Table[[#This Row],[raised_date]],"YYYY-MM")</f>
        <v>2023-06</v>
      </c>
      <c r="P4637" s="3" t="str">
        <f>IF(Ticket_Table[[#This Row],[resolution_hrs]]&lt;=4,"Fast",IF(Ticket_Table[[#This Row],[resolution_hrs]]&lt;=24,"Normal",IF(Ticket_Table[[#This Row],[resolution_hrs]]&lt;=48,"Slow","Very Slow")))</f>
        <v>Fast</v>
      </c>
      <c r="Q4637" s="3">
        <f>YEAR(Ticket_Table[[#This Row],[raised_date]])</f>
        <v>2023</v>
      </c>
    </row>
    <row r="4638" spans="1:17">
      <c r="A4638" t="s">
        <v>5199</v>
      </c>
      <c r="B4638" t="s">
        <v>833</v>
      </c>
      <c r="C4638" t="s">
        <v>60</v>
      </c>
      <c r="D4638" t="s">
        <v>90</v>
      </c>
      <c r="E4638" t="s">
        <v>166</v>
      </c>
      <c r="F4638" t="s">
        <v>70</v>
      </c>
      <c r="G4638" t="s">
        <v>23</v>
      </c>
      <c r="H4638" s="1">
        <v>44437</v>
      </c>
      <c r="I4638" s="2">
        <v>44437.8625</v>
      </c>
      <c r="J4638">
        <v>20.7</v>
      </c>
      <c r="K4638" t="s">
        <v>24</v>
      </c>
      <c r="L4638">
        <v>1</v>
      </c>
      <c r="M4638">
        <v>3</v>
      </c>
      <c r="N4638" t="s">
        <v>1011</v>
      </c>
      <c r="O4638" s="3" t="str">
        <f>TEXT(Ticket_Table[[#This Row],[raised_date]],"YYYY-MM")</f>
        <v>2021-08</v>
      </c>
      <c r="P4638" s="3" t="str">
        <f>IF(Ticket_Table[[#This Row],[resolution_hrs]]&lt;=4,"Fast",IF(Ticket_Table[[#This Row],[resolution_hrs]]&lt;=24,"Normal",IF(Ticket_Table[[#This Row],[resolution_hrs]]&lt;=48,"Slow","Very Slow")))</f>
        <v>Normal</v>
      </c>
      <c r="Q4638" s="3">
        <f>YEAR(Ticket_Table[[#This Row],[raised_date]])</f>
        <v>2021</v>
      </c>
    </row>
    <row r="4639" spans="1:17">
      <c r="A4639" t="s">
        <v>5200</v>
      </c>
      <c r="B4639" t="s">
        <v>1191</v>
      </c>
      <c r="C4639" t="s">
        <v>213</v>
      </c>
      <c r="D4639" t="s">
        <v>20</v>
      </c>
      <c r="E4639" t="s">
        <v>37</v>
      </c>
      <c r="F4639" t="s">
        <v>38</v>
      </c>
      <c r="G4639" t="s">
        <v>46</v>
      </c>
      <c r="H4639" s="1">
        <v>44755</v>
      </c>
      <c r="I4639" s="2">
        <v>44755.6</v>
      </c>
      <c r="J4639">
        <v>14.4</v>
      </c>
      <c r="K4639" t="s">
        <v>24</v>
      </c>
      <c r="L4639">
        <v>1</v>
      </c>
      <c r="M4639">
        <v>5</v>
      </c>
      <c r="N4639" t="s">
        <v>200</v>
      </c>
      <c r="O4639" s="3" t="str">
        <f>TEXT(Ticket_Table[[#This Row],[raised_date]],"YYYY-MM")</f>
        <v>2022-07</v>
      </c>
      <c r="P4639" s="3" t="str">
        <f>IF(Ticket_Table[[#This Row],[resolution_hrs]]&lt;=4,"Fast",IF(Ticket_Table[[#This Row],[resolution_hrs]]&lt;=24,"Normal",IF(Ticket_Table[[#This Row],[resolution_hrs]]&lt;=48,"Slow","Very Slow")))</f>
        <v>Normal</v>
      </c>
      <c r="Q4639" s="3">
        <f>YEAR(Ticket_Table[[#This Row],[raised_date]])</f>
        <v>2022</v>
      </c>
    </row>
    <row r="4640" spans="1:17">
      <c r="A4640" t="s">
        <v>5201</v>
      </c>
      <c r="B4640" t="s">
        <v>210</v>
      </c>
      <c r="C4640" t="s">
        <v>201</v>
      </c>
      <c r="D4640" t="s">
        <v>43</v>
      </c>
      <c r="E4640" t="s">
        <v>83</v>
      </c>
      <c r="F4640" t="s">
        <v>38</v>
      </c>
      <c r="G4640" t="s">
        <v>31</v>
      </c>
      <c r="H4640" s="1">
        <v>44502</v>
      </c>
      <c r="I4640" s="2">
        <v>44503.25</v>
      </c>
      <c r="J4640">
        <v>30</v>
      </c>
      <c r="K4640" t="s">
        <v>32</v>
      </c>
      <c r="L4640">
        <v>0</v>
      </c>
      <c r="M4640">
        <v>4</v>
      </c>
      <c r="N4640" t="s">
        <v>192</v>
      </c>
      <c r="O4640" s="3" t="str">
        <f>TEXT(Ticket_Table[[#This Row],[raised_date]],"YYYY-MM")</f>
        <v>2021-11</v>
      </c>
      <c r="P4640" s="3" t="str">
        <f>IF(Ticket_Table[[#This Row],[resolution_hrs]]&lt;=4,"Fast",IF(Ticket_Table[[#This Row],[resolution_hrs]]&lt;=24,"Normal",IF(Ticket_Table[[#This Row],[resolution_hrs]]&lt;=48,"Slow","Very Slow")))</f>
        <v>Slow</v>
      </c>
      <c r="Q4640" s="3">
        <f>YEAR(Ticket_Table[[#This Row],[raised_date]])</f>
        <v>2021</v>
      </c>
    </row>
    <row r="4641" spans="1:17">
      <c r="A4641" t="s">
        <v>5202</v>
      </c>
      <c r="B4641" t="s">
        <v>33</v>
      </c>
      <c r="C4641" t="s">
        <v>68</v>
      </c>
      <c r="D4641" t="s">
        <v>36</v>
      </c>
      <c r="E4641" t="s">
        <v>44</v>
      </c>
      <c r="F4641" t="s">
        <v>70</v>
      </c>
      <c r="G4641" t="s">
        <v>31</v>
      </c>
      <c r="H4641" s="1">
        <v>44519</v>
      </c>
      <c r="I4641" s="2">
        <v>44519.2916666667</v>
      </c>
      <c r="J4641">
        <v>7</v>
      </c>
      <c r="K4641" t="s">
        <v>24</v>
      </c>
      <c r="L4641">
        <v>0</v>
      </c>
      <c r="M4641">
        <v>2</v>
      </c>
      <c r="N4641" t="s">
        <v>240</v>
      </c>
      <c r="O4641" s="3" t="str">
        <f>TEXT(Ticket_Table[[#This Row],[raised_date]],"YYYY-MM")</f>
        <v>2021-11</v>
      </c>
      <c r="P4641" s="3" t="str">
        <f>IF(Ticket_Table[[#This Row],[resolution_hrs]]&lt;=4,"Fast",IF(Ticket_Table[[#This Row],[resolution_hrs]]&lt;=24,"Normal",IF(Ticket_Table[[#This Row],[resolution_hrs]]&lt;=48,"Slow","Very Slow")))</f>
        <v>Normal</v>
      </c>
      <c r="Q4641" s="3">
        <f>YEAR(Ticket_Table[[#This Row],[raised_date]])</f>
        <v>2021</v>
      </c>
    </row>
    <row r="4642" spans="1:17">
      <c r="A4642" t="s">
        <v>5203</v>
      </c>
      <c r="B4642" t="s">
        <v>767</v>
      </c>
      <c r="C4642" t="s">
        <v>117</v>
      </c>
      <c r="D4642" t="s">
        <v>43</v>
      </c>
      <c r="E4642" t="s">
        <v>44</v>
      </c>
      <c r="F4642" t="s">
        <v>38</v>
      </c>
      <c r="G4642" t="s">
        <v>23</v>
      </c>
      <c r="H4642" s="1">
        <v>44757</v>
      </c>
      <c r="I4642" s="2">
        <v>44757.45</v>
      </c>
      <c r="J4642">
        <v>10.8</v>
      </c>
      <c r="K4642" t="s">
        <v>24</v>
      </c>
      <c r="L4642">
        <v>0</v>
      </c>
      <c r="M4642">
        <v>3</v>
      </c>
      <c r="N4642" t="s">
        <v>383</v>
      </c>
      <c r="O4642" s="3" t="str">
        <f>TEXT(Ticket_Table[[#This Row],[raised_date]],"YYYY-MM")</f>
        <v>2022-07</v>
      </c>
      <c r="P4642" s="3" t="str">
        <f>IF(Ticket_Table[[#This Row],[resolution_hrs]]&lt;=4,"Fast",IF(Ticket_Table[[#This Row],[resolution_hrs]]&lt;=24,"Normal",IF(Ticket_Table[[#This Row],[resolution_hrs]]&lt;=48,"Slow","Very Slow")))</f>
        <v>Normal</v>
      </c>
      <c r="Q4642" s="3">
        <f>YEAR(Ticket_Table[[#This Row],[raised_date]])</f>
        <v>2022</v>
      </c>
    </row>
    <row r="4643" spans="1:17">
      <c r="A4643" t="s">
        <v>5204</v>
      </c>
      <c r="B4643" t="s">
        <v>707</v>
      </c>
      <c r="C4643" t="s">
        <v>133</v>
      </c>
      <c r="D4643" t="s">
        <v>29</v>
      </c>
      <c r="E4643" t="s">
        <v>44</v>
      </c>
      <c r="F4643" t="s">
        <v>38</v>
      </c>
      <c r="G4643" t="s">
        <v>46</v>
      </c>
      <c r="H4643" s="1">
        <v>44431</v>
      </c>
      <c r="I4643" s="2">
        <v>44431.9291666667</v>
      </c>
      <c r="J4643">
        <v>22.3</v>
      </c>
      <c r="K4643" t="s">
        <v>24</v>
      </c>
      <c r="L4643">
        <v>0</v>
      </c>
      <c r="M4643">
        <v>4</v>
      </c>
      <c r="N4643" t="s">
        <v>744</v>
      </c>
      <c r="O4643" s="3" t="str">
        <f>TEXT(Ticket_Table[[#This Row],[raised_date]],"YYYY-MM")</f>
        <v>2021-08</v>
      </c>
      <c r="P4643" s="3" t="str">
        <f>IF(Ticket_Table[[#This Row],[resolution_hrs]]&lt;=4,"Fast",IF(Ticket_Table[[#This Row],[resolution_hrs]]&lt;=24,"Normal",IF(Ticket_Table[[#This Row],[resolution_hrs]]&lt;=48,"Slow","Very Slow")))</f>
        <v>Normal</v>
      </c>
      <c r="Q4643" s="3">
        <f>YEAR(Ticket_Table[[#This Row],[raised_date]])</f>
        <v>2021</v>
      </c>
    </row>
    <row r="4644" spans="1:17">
      <c r="A4644" t="s">
        <v>5205</v>
      </c>
      <c r="B4644" t="s">
        <v>298</v>
      </c>
      <c r="C4644" t="s">
        <v>287</v>
      </c>
      <c r="D4644" t="s">
        <v>90</v>
      </c>
      <c r="E4644" t="s">
        <v>69</v>
      </c>
      <c r="F4644" t="s">
        <v>22</v>
      </c>
      <c r="G4644" t="s">
        <v>31</v>
      </c>
      <c r="H4644" s="1">
        <v>44228</v>
      </c>
      <c r="I4644" s="2">
        <v>44230.25</v>
      </c>
      <c r="J4644">
        <v>54</v>
      </c>
      <c r="K4644" t="s">
        <v>24</v>
      </c>
      <c r="L4644">
        <v>0</v>
      </c>
      <c r="M4644">
        <v>3</v>
      </c>
      <c r="N4644" t="s">
        <v>273</v>
      </c>
      <c r="O4644" s="3" t="str">
        <f>TEXT(Ticket_Table[[#This Row],[raised_date]],"YYYY-MM")</f>
        <v>2021-02</v>
      </c>
      <c r="P4644" s="3" t="str">
        <f>IF(Ticket_Table[[#This Row],[resolution_hrs]]&lt;=4,"Fast",IF(Ticket_Table[[#This Row],[resolution_hrs]]&lt;=24,"Normal",IF(Ticket_Table[[#This Row],[resolution_hrs]]&lt;=48,"Slow","Very Slow")))</f>
        <v>Very Slow</v>
      </c>
      <c r="Q4644" s="3">
        <f>YEAR(Ticket_Table[[#This Row],[raised_date]])</f>
        <v>2021</v>
      </c>
    </row>
    <row r="4645" spans="1:17">
      <c r="A4645" t="s">
        <v>5206</v>
      </c>
      <c r="B4645" t="s">
        <v>1019</v>
      </c>
      <c r="C4645" t="s">
        <v>213</v>
      </c>
      <c r="D4645" t="s">
        <v>90</v>
      </c>
      <c r="E4645" t="s">
        <v>37</v>
      </c>
      <c r="F4645" t="s">
        <v>70</v>
      </c>
      <c r="G4645" t="s">
        <v>31</v>
      </c>
      <c r="H4645" s="1">
        <v>45249</v>
      </c>
      <c r="I4645" s="2">
        <v>45251.5958333333</v>
      </c>
      <c r="J4645">
        <v>62.3</v>
      </c>
      <c r="K4645" t="s">
        <v>32</v>
      </c>
      <c r="L4645">
        <v>1</v>
      </c>
      <c r="M4645">
        <v>4</v>
      </c>
      <c r="N4645" t="s">
        <v>1191</v>
      </c>
      <c r="O4645" s="3" t="str">
        <f>TEXT(Ticket_Table[[#This Row],[raised_date]],"YYYY-MM")</f>
        <v>2023-11</v>
      </c>
      <c r="P4645" s="3" t="str">
        <f>IF(Ticket_Table[[#This Row],[resolution_hrs]]&lt;=4,"Fast",IF(Ticket_Table[[#This Row],[resolution_hrs]]&lt;=24,"Normal",IF(Ticket_Table[[#This Row],[resolution_hrs]]&lt;=48,"Slow","Very Slow")))</f>
        <v>Very Slow</v>
      </c>
      <c r="Q4645" s="3">
        <f>YEAR(Ticket_Table[[#This Row],[raised_date]])</f>
        <v>2023</v>
      </c>
    </row>
    <row r="4646" spans="1:17">
      <c r="A4646" t="s">
        <v>5207</v>
      </c>
      <c r="B4646" t="s">
        <v>428</v>
      </c>
      <c r="C4646" t="s">
        <v>64</v>
      </c>
      <c r="D4646" t="s">
        <v>36</v>
      </c>
      <c r="E4646" t="s">
        <v>166</v>
      </c>
      <c r="F4646" t="s">
        <v>45</v>
      </c>
      <c r="G4646" t="s">
        <v>74</v>
      </c>
      <c r="H4646" s="1">
        <v>44406</v>
      </c>
      <c r="I4646" s="2">
        <v>44406.1208333333</v>
      </c>
      <c r="J4646">
        <v>2.9</v>
      </c>
      <c r="K4646" t="s">
        <v>24</v>
      </c>
      <c r="L4646">
        <v>0</v>
      </c>
      <c r="M4646">
        <v>4</v>
      </c>
      <c r="N4646" t="s">
        <v>243</v>
      </c>
      <c r="O4646" s="3" t="str">
        <f>TEXT(Ticket_Table[[#This Row],[raised_date]],"YYYY-MM")</f>
        <v>2021-07</v>
      </c>
      <c r="P4646" s="3" t="str">
        <f>IF(Ticket_Table[[#This Row],[resolution_hrs]]&lt;=4,"Fast",IF(Ticket_Table[[#This Row],[resolution_hrs]]&lt;=24,"Normal",IF(Ticket_Table[[#This Row],[resolution_hrs]]&lt;=48,"Slow","Very Slow")))</f>
        <v>Fast</v>
      </c>
      <c r="Q4646" s="3">
        <f>YEAR(Ticket_Table[[#This Row],[raised_date]])</f>
        <v>2021</v>
      </c>
    </row>
    <row r="4647" spans="1:17">
      <c r="A4647" t="s">
        <v>5208</v>
      </c>
      <c r="B4647" t="s">
        <v>155</v>
      </c>
      <c r="C4647" t="s">
        <v>133</v>
      </c>
      <c r="D4647" t="s">
        <v>29</v>
      </c>
      <c r="E4647" t="s">
        <v>56</v>
      </c>
      <c r="F4647" t="s">
        <v>38</v>
      </c>
      <c r="G4647" t="s">
        <v>23</v>
      </c>
      <c r="H4647" s="1">
        <v>44620</v>
      </c>
      <c r="I4647" s="2">
        <v>44620.1083333333</v>
      </c>
      <c r="J4647">
        <v>2.6</v>
      </c>
      <c r="K4647" t="s">
        <v>24</v>
      </c>
      <c r="L4647">
        <v>0</v>
      </c>
      <c r="M4647">
        <v>4</v>
      </c>
      <c r="N4647" t="s">
        <v>167</v>
      </c>
      <c r="O4647" s="3" t="str">
        <f>TEXT(Ticket_Table[[#This Row],[raised_date]],"YYYY-MM")</f>
        <v>2022-02</v>
      </c>
      <c r="P4647" s="3" t="str">
        <f>IF(Ticket_Table[[#This Row],[resolution_hrs]]&lt;=4,"Fast",IF(Ticket_Table[[#This Row],[resolution_hrs]]&lt;=24,"Normal",IF(Ticket_Table[[#This Row],[resolution_hrs]]&lt;=48,"Slow","Very Slow")))</f>
        <v>Fast</v>
      </c>
      <c r="Q4647" s="3">
        <f>YEAR(Ticket_Table[[#This Row],[raised_date]])</f>
        <v>2022</v>
      </c>
    </row>
    <row r="4648" spans="1:17">
      <c r="A4648" t="s">
        <v>5209</v>
      </c>
      <c r="B4648" t="s">
        <v>671</v>
      </c>
      <c r="C4648" t="s">
        <v>19</v>
      </c>
      <c r="D4648" t="s">
        <v>20</v>
      </c>
      <c r="E4648" t="s">
        <v>56</v>
      </c>
      <c r="F4648" t="s">
        <v>70</v>
      </c>
      <c r="G4648" t="s">
        <v>31</v>
      </c>
      <c r="H4648" s="1">
        <v>44914</v>
      </c>
      <c r="I4648" s="2">
        <v>44914.65</v>
      </c>
      <c r="J4648">
        <v>15.6</v>
      </c>
      <c r="K4648" t="s">
        <v>24</v>
      </c>
      <c r="L4648">
        <v>0</v>
      </c>
      <c r="M4648">
        <v>4</v>
      </c>
      <c r="N4648" t="s">
        <v>340</v>
      </c>
      <c r="O4648" s="3" t="str">
        <f>TEXT(Ticket_Table[[#This Row],[raised_date]],"YYYY-MM")</f>
        <v>2022-12</v>
      </c>
      <c r="P4648" s="3" t="str">
        <f>IF(Ticket_Table[[#This Row],[resolution_hrs]]&lt;=4,"Fast",IF(Ticket_Table[[#This Row],[resolution_hrs]]&lt;=24,"Normal",IF(Ticket_Table[[#This Row],[resolution_hrs]]&lt;=48,"Slow","Very Slow")))</f>
        <v>Normal</v>
      </c>
      <c r="Q4648" s="3">
        <f>YEAR(Ticket_Table[[#This Row],[raised_date]])</f>
        <v>2022</v>
      </c>
    </row>
    <row r="4649" spans="1:17">
      <c r="A4649" t="s">
        <v>5210</v>
      </c>
      <c r="B4649" t="s">
        <v>146</v>
      </c>
      <c r="C4649" t="s">
        <v>82</v>
      </c>
      <c r="D4649" t="s">
        <v>43</v>
      </c>
      <c r="E4649" t="s">
        <v>37</v>
      </c>
      <c r="F4649" t="s">
        <v>70</v>
      </c>
      <c r="G4649" t="s">
        <v>23</v>
      </c>
      <c r="H4649" s="1">
        <v>44849</v>
      </c>
      <c r="I4649" s="2">
        <v>44849.5875</v>
      </c>
      <c r="J4649">
        <v>14.1</v>
      </c>
      <c r="K4649" t="s">
        <v>24</v>
      </c>
      <c r="L4649">
        <v>0</v>
      </c>
      <c r="M4649">
        <v>5</v>
      </c>
      <c r="N4649" t="s">
        <v>71</v>
      </c>
      <c r="O4649" s="3" t="str">
        <f>TEXT(Ticket_Table[[#This Row],[raised_date]],"YYYY-MM")</f>
        <v>2022-10</v>
      </c>
      <c r="P4649" s="3" t="str">
        <f>IF(Ticket_Table[[#This Row],[resolution_hrs]]&lt;=4,"Fast",IF(Ticket_Table[[#This Row],[resolution_hrs]]&lt;=24,"Normal",IF(Ticket_Table[[#This Row],[resolution_hrs]]&lt;=48,"Slow","Very Slow")))</f>
        <v>Normal</v>
      </c>
      <c r="Q4649" s="3">
        <f>YEAR(Ticket_Table[[#This Row],[raised_date]])</f>
        <v>2022</v>
      </c>
    </row>
    <row r="4650" spans="1:17">
      <c r="A4650" t="s">
        <v>5211</v>
      </c>
      <c r="B4650" t="s">
        <v>764</v>
      </c>
      <c r="C4650" t="s">
        <v>19</v>
      </c>
      <c r="D4650" t="s">
        <v>20</v>
      </c>
      <c r="E4650" t="s">
        <v>44</v>
      </c>
      <c r="F4650" t="s">
        <v>70</v>
      </c>
      <c r="G4650" t="s">
        <v>23</v>
      </c>
      <c r="H4650" s="1">
        <v>44752</v>
      </c>
      <c r="I4650" s="2">
        <v>44753.3166666667</v>
      </c>
      <c r="J4650">
        <v>31.6</v>
      </c>
      <c r="K4650" t="s">
        <v>24</v>
      </c>
      <c r="L4650">
        <v>0</v>
      </c>
      <c r="M4650">
        <v>3</v>
      </c>
      <c r="N4650" t="s">
        <v>666</v>
      </c>
      <c r="O4650" s="3" t="str">
        <f>TEXT(Ticket_Table[[#This Row],[raised_date]],"YYYY-MM")</f>
        <v>2022-07</v>
      </c>
      <c r="P4650" s="3" t="str">
        <f>IF(Ticket_Table[[#This Row],[resolution_hrs]]&lt;=4,"Fast",IF(Ticket_Table[[#This Row],[resolution_hrs]]&lt;=24,"Normal",IF(Ticket_Table[[#This Row],[resolution_hrs]]&lt;=48,"Slow","Very Slow")))</f>
        <v>Slow</v>
      </c>
      <c r="Q4650" s="3">
        <f>YEAR(Ticket_Table[[#This Row],[raised_date]])</f>
        <v>2022</v>
      </c>
    </row>
    <row r="4651" spans="1:17">
      <c r="A4651" t="s">
        <v>5212</v>
      </c>
      <c r="B4651" t="s">
        <v>442</v>
      </c>
      <c r="C4651" t="s">
        <v>55</v>
      </c>
      <c r="D4651" t="s">
        <v>29</v>
      </c>
      <c r="E4651" t="s">
        <v>56</v>
      </c>
      <c r="F4651" t="s">
        <v>70</v>
      </c>
      <c r="G4651" t="s">
        <v>23</v>
      </c>
      <c r="H4651" s="1">
        <v>44486</v>
      </c>
      <c r="I4651" s="2">
        <v>44486.1958333333</v>
      </c>
      <c r="J4651">
        <v>4.7</v>
      </c>
      <c r="K4651" t="s">
        <v>24</v>
      </c>
      <c r="L4651">
        <v>2</v>
      </c>
      <c r="M4651">
        <v>3</v>
      </c>
      <c r="N4651" t="s">
        <v>394</v>
      </c>
      <c r="O4651" s="3" t="str">
        <f>TEXT(Ticket_Table[[#This Row],[raised_date]],"YYYY-MM")</f>
        <v>2021-10</v>
      </c>
      <c r="P4651" s="3" t="str">
        <f>IF(Ticket_Table[[#This Row],[resolution_hrs]]&lt;=4,"Fast",IF(Ticket_Table[[#This Row],[resolution_hrs]]&lt;=24,"Normal",IF(Ticket_Table[[#This Row],[resolution_hrs]]&lt;=48,"Slow","Very Slow")))</f>
        <v>Normal</v>
      </c>
      <c r="Q4651" s="3">
        <f>YEAR(Ticket_Table[[#This Row],[raised_date]])</f>
        <v>2021</v>
      </c>
    </row>
    <row r="4652" spans="1:17">
      <c r="A4652" t="s">
        <v>5213</v>
      </c>
      <c r="B4652" t="s">
        <v>151</v>
      </c>
      <c r="C4652" t="s">
        <v>64</v>
      </c>
      <c r="D4652" t="s">
        <v>36</v>
      </c>
      <c r="E4652" t="s">
        <v>166</v>
      </c>
      <c r="F4652" t="s">
        <v>38</v>
      </c>
      <c r="G4652" t="s">
        <v>23</v>
      </c>
      <c r="H4652" s="1">
        <v>44777</v>
      </c>
      <c r="I4652" s="2">
        <v>44777.4875</v>
      </c>
      <c r="J4652">
        <v>11.7</v>
      </c>
      <c r="K4652" t="s">
        <v>24</v>
      </c>
      <c r="L4652">
        <v>0</v>
      </c>
      <c r="M4652">
        <v>4</v>
      </c>
      <c r="N4652" t="s">
        <v>107</v>
      </c>
      <c r="O4652" s="3" t="str">
        <f>TEXT(Ticket_Table[[#This Row],[raised_date]],"YYYY-MM")</f>
        <v>2022-08</v>
      </c>
      <c r="P4652" s="3" t="str">
        <f>IF(Ticket_Table[[#This Row],[resolution_hrs]]&lt;=4,"Fast",IF(Ticket_Table[[#This Row],[resolution_hrs]]&lt;=24,"Normal",IF(Ticket_Table[[#This Row],[resolution_hrs]]&lt;=48,"Slow","Very Slow")))</f>
        <v>Normal</v>
      </c>
      <c r="Q4652" s="3">
        <f>YEAR(Ticket_Table[[#This Row],[raised_date]])</f>
        <v>2022</v>
      </c>
    </row>
    <row r="4653" spans="1:17">
      <c r="A4653" t="s">
        <v>5214</v>
      </c>
      <c r="B4653" t="s">
        <v>135</v>
      </c>
      <c r="C4653" t="s">
        <v>175</v>
      </c>
      <c r="D4653" t="s">
        <v>29</v>
      </c>
      <c r="E4653" t="s">
        <v>56</v>
      </c>
      <c r="F4653" t="s">
        <v>70</v>
      </c>
      <c r="G4653" t="s">
        <v>23</v>
      </c>
      <c r="H4653" s="1">
        <v>44698</v>
      </c>
      <c r="I4653" s="2">
        <v>44699.6416666667</v>
      </c>
      <c r="J4653">
        <v>39.4</v>
      </c>
      <c r="K4653" t="s">
        <v>24</v>
      </c>
      <c r="L4653">
        <v>0</v>
      </c>
      <c r="M4653">
        <v>3</v>
      </c>
      <c r="N4653" t="s">
        <v>75</v>
      </c>
      <c r="O4653" s="3" t="str">
        <f>TEXT(Ticket_Table[[#This Row],[raised_date]],"YYYY-MM")</f>
        <v>2022-05</v>
      </c>
      <c r="P4653" s="3" t="str">
        <f>IF(Ticket_Table[[#This Row],[resolution_hrs]]&lt;=4,"Fast",IF(Ticket_Table[[#This Row],[resolution_hrs]]&lt;=24,"Normal",IF(Ticket_Table[[#This Row],[resolution_hrs]]&lt;=48,"Slow","Very Slow")))</f>
        <v>Slow</v>
      </c>
      <c r="Q4653" s="3">
        <f>YEAR(Ticket_Table[[#This Row],[raised_date]])</f>
        <v>2022</v>
      </c>
    </row>
    <row r="4654" spans="1:17">
      <c r="A4654" t="s">
        <v>5215</v>
      </c>
      <c r="B4654" t="s">
        <v>608</v>
      </c>
      <c r="C4654" t="s">
        <v>64</v>
      </c>
      <c r="D4654" t="s">
        <v>36</v>
      </c>
      <c r="E4654" t="s">
        <v>166</v>
      </c>
      <c r="F4654" t="s">
        <v>38</v>
      </c>
      <c r="G4654" t="s">
        <v>91</v>
      </c>
      <c r="H4654" s="1">
        <v>44547</v>
      </c>
      <c r="I4654" s="2">
        <v>44547.55</v>
      </c>
      <c r="J4654">
        <v>13.2</v>
      </c>
      <c r="K4654" t="s">
        <v>24</v>
      </c>
      <c r="L4654">
        <v>0</v>
      </c>
      <c r="M4654">
        <v>4</v>
      </c>
      <c r="N4654" t="s">
        <v>542</v>
      </c>
      <c r="O4654" s="3" t="str">
        <f>TEXT(Ticket_Table[[#This Row],[raised_date]],"YYYY-MM")</f>
        <v>2021-12</v>
      </c>
      <c r="P4654" s="3" t="str">
        <f>IF(Ticket_Table[[#This Row],[resolution_hrs]]&lt;=4,"Fast",IF(Ticket_Table[[#This Row],[resolution_hrs]]&lt;=24,"Normal",IF(Ticket_Table[[#This Row],[resolution_hrs]]&lt;=48,"Slow","Very Slow")))</f>
        <v>Normal</v>
      </c>
      <c r="Q4654" s="3">
        <f>YEAR(Ticket_Table[[#This Row],[raised_date]])</f>
        <v>2021</v>
      </c>
    </row>
    <row r="4655" spans="1:17">
      <c r="A4655" t="s">
        <v>5216</v>
      </c>
      <c r="B4655" t="s">
        <v>550</v>
      </c>
      <c r="C4655" t="s">
        <v>60</v>
      </c>
      <c r="D4655" t="s">
        <v>20</v>
      </c>
      <c r="E4655" t="s">
        <v>44</v>
      </c>
      <c r="F4655" t="s">
        <v>38</v>
      </c>
      <c r="G4655" t="s">
        <v>46</v>
      </c>
      <c r="H4655" s="1">
        <v>44342</v>
      </c>
      <c r="I4655" s="2">
        <v>44342.0791666667</v>
      </c>
      <c r="J4655">
        <v>1.9</v>
      </c>
      <c r="K4655" t="s">
        <v>24</v>
      </c>
      <c r="L4655">
        <v>1</v>
      </c>
      <c r="M4655">
        <v>4</v>
      </c>
      <c r="N4655" t="s">
        <v>581</v>
      </c>
      <c r="O4655" s="3" t="str">
        <f>TEXT(Ticket_Table[[#This Row],[raised_date]],"YYYY-MM")</f>
        <v>2021-05</v>
      </c>
      <c r="P4655" s="3" t="str">
        <f>IF(Ticket_Table[[#This Row],[resolution_hrs]]&lt;=4,"Fast",IF(Ticket_Table[[#This Row],[resolution_hrs]]&lt;=24,"Normal",IF(Ticket_Table[[#This Row],[resolution_hrs]]&lt;=48,"Slow","Very Slow")))</f>
        <v>Fast</v>
      </c>
      <c r="Q4655" s="3">
        <f>YEAR(Ticket_Table[[#This Row],[raised_date]])</f>
        <v>2021</v>
      </c>
    </row>
    <row r="4656" spans="1:17">
      <c r="A4656" t="s">
        <v>5217</v>
      </c>
      <c r="B4656" t="s">
        <v>77</v>
      </c>
      <c r="C4656" t="s">
        <v>213</v>
      </c>
      <c r="D4656" t="s">
        <v>20</v>
      </c>
      <c r="E4656" t="s">
        <v>44</v>
      </c>
      <c r="F4656" t="s">
        <v>22</v>
      </c>
      <c r="G4656" t="s">
        <v>23</v>
      </c>
      <c r="H4656" s="1">
        <v>44834</v>
      </c>
      <c r="I4656" s="2">
        <v>44836.7541666667</v>
      </c>
      <c r="J4656">
        <v>66.1</v>
      </c>
      <c r="K4656" t="s">
        <v>24</v>
      </c>
      <c r="L4656">
        <v>1</v>
      </c>
      <c r="M4656">
        <v>3</v>
      </c>
      <c r="N4656" t="s">
        <v>307</v>
      </c>
      <c r="O4656" s="3" t="str">
        <f>TEXT(Ticket_Table[[#This Row],[raised_date]],"YYYY-MM")</f>
        <v>2022-09</v>
      </c>
      <c r="P4656" s="3" t="str">
        <f>IF(Ticket_Table[[#This Row],[resolution_hrs]]&lt;=4,"Fast",IF(Ticket_Table[[#This Row],[resolution_hrs]]&lt;=24,"Normal",IF(Ticket_Table[[#This Row],[resolution_hrs]]&lt;=48,"Slow","Very Slow")))</f>
        <v>Very Slow</v>
      </c>
      <c r="Q4656" s="3">
        <f>YEAR(Ticket_Table[[#This Row],[raised_date]])</f>
        <v>2022</v>
      </c>
    </row>
    <row r="4657" spans="1:17">
      <c r="A4657" t="s">
        <v>5218</v>
      </c>
      <c r="B4657" t="s">
        <v>675</v>
      </c>
      <c r="C4657" t="s">
        <v>287</v>
      </c>
      <c r="D4657" t="s">
        <v>29</v>
      </c>
      <c r="E4657" t="s">
        <v>21</v>
      </c>
      <c r="F4657" t="s">
        <v>70</v>
      </c>
      <c r="G4657" t="s">
        <v>46</v>
      </c>
      <c r="H4657" s="1">
        <v>44890</v>
      </c>
      <c r="I4657" s="2">
        <v>44892.6833333333</v>
      </c>
      <c r="J4657">
        <v>64.4</v>
      </c>
      <c r="K4657" t="s">
        <v>32</v>
      </c>
      <c r="L4657">
        <v>1</v>
      </c>
      <c r="M4657">
        <v>2</v>
      </c>
      <c r="N4657" t="s">
        <v>646</v>
      </c>
      <c r="O4657" s="3" t="str">
        <f>TEXT(Ticket_Table[[#This Row],[raised_date]],"YYYY-MM")</f>
        <v>2022-11</v>
      </c>
      <c r="P4657" s="3" t="str">
        <f>IF(Ticket_Table[[#This Row],[resolution_hrs]]&lt;=4,"Fast",IF(Ticket_Table[[#This Row],[resolution_hrs]]&lt;=24,"Normal",IF(Ticket_Table[[#This Row],[resolution_hrs]]&lt;=48,"Slow","Very Slow")))</f>
        <v>Very Slow</v>
      </c>
      <c r="Q4657" s="3">
        <f>YEAR(Ticket_Table[[#This Row],[raised_date]])</f>
        <v>2022</v>
      </c>
    </row>
    <row r="4658" spans="1:17">
      <c r="A4658" t="s">
        <v>5219</v>
      </c>
      <c r="B4658" t="s">
        <v>61</v>
      </c>
      <c r="C4658" t="s">
        <v>175</v>
      </c>
      <c r="D4658" t="s">
        <v>29</v>
      </c>
      <c r="E4658" t="s">
        <v>51</v>
      </c>
      <c r="F4658" t="s">
        <v>70</v>
      </c>
      <c r="G4658" t="s">
        <v>46</v>
      </c>
      <c r="H4658" s="1">
        <v>45105</v>
      </c>
      <c r="I4658" s="2">
        <v>45107.7708333333</v>
      </c>
      <c r="J4658">
        <v>66.5</v>
      </c>
      <c r="K4658" t="s">
        <v>32</v>
      </c>
      <c r="L4658">
        <v>0</v>
      </c>
      <c r="M4658">
        <v>4</v>
      </c>
      <c r="N4658" t="s">
        <v>214</v>
      </c>
      <c r="O4658" s="3" t="str">
        <f>TEXT(Ticket_Table[[#This Row],[raised_date]],"YYYY-MM")</f>
        <v>2023-06</v>
      </c>
      <c r="P4658" s="3" t="str">
        <f>IF(Ticket_Table[[#This Row],[resolution_hrs]]&lt;=4,"Fast",IF(Ticket_Table[[#This Row],[resolution_hrs]]&lt;=24,"Normal",IF(Ticket_Table[[#This Row],[resolution_hrs]]&lt;=48,"Slow","Very Slow")))</f>
        <v>Very Slow</v>
      </c>
      <c r="Q4658" s="3">
        <f>YEAR(Ticket_Table[[#This Row],[raised_date]])</f>
        <v>2023</v>
      </c>
    </row>
    <row r="4659" spans="1:17">
      <c r="A4659" t="s">
        <v>5220</v>
      </c>
      <c r="B4659" t="s">
        <v>202</v>
      </c>
      <c r="C4659" t="s">
        <v>60</v>
      </c>
      <c r="D4659" t="s">
        <v>90</v>
      </c>
      <c r="E4659" t="s">
        <v>69</v>
      </c>
      <c r="F4659" t="s">
        <v>38</v>
      </c>
      <c r="G4659" t="s">
        <v>31</v>
      </c>
      <c r="H4659" s="1">
        <v>44300</v>
      </c>
      <c r="I4659" s="2">
        <v>44301.3666666667</v>
      </c>
      <c r="J4659">
        <v>32.8</v>
      </c>
      <c r="K4659" t="s">
        <v>32</v>
      </c>
      <c r="L4659">
        <v>1</v>
      </c>
      <c r="M4659">
        <v>5</v>
      </c>
      <c r="N4659" t="s">
        <v>1091</v>
      </c>
      <c r="O4659" s="3" t="str">
        <f>TEXT(Ticket_Table[[#This Row],[raised_date]],"YYYY-MM")</f>
        <v>2021-04</v>
      </c>
      <c r="P4659" s="3" t="str">
        <f>IF(Ticket_Table[[#This Row],[resolution_hrs]]&lt;=4,"Fast",IF(Ticket_Table[[#This Row],[resolution_hrs]]&lt;=24,"Normal",IF(Ticket_Table[[#This Row],[resolution_hrs]]&lt;=48,"Slow","Very Slow")))</f>
        <v>Slow</v>
      </c>
      <c r="Q4659" s="3">
        <f>YEAR(Ticket_Table[[#This Row],[raised_date]])</f>
        <v>2021</v>
      </c>
    </row>
    <row r="4660" spans="1:17">
      <c r="A4660" t="s">
        <v>5221</v>
      </c>
      <c r="B4660" t="s">
        <v>81</v>
      </c>
      <c r="C4660" t="s">
        <v>50</v>
      </c>
      <c r="D4660" t="s">
        <v>36</v>
      </c>
      <c r="E4660" t="s">
        <v>83</v>
      </c>
      <c r="F4660" t="s">
        <v>22</v>
      </c>
      <c r="G4660" t="s">
        <v>31</v>
      </c>
      <c r="H4660" s="1">
        <v>44463</v>
      </c>
      <c r="I4660" s="2">
        <v>44466.6541666667</v>
      </c>
      <c r="J4660">
        <v>87.7</v>
      </c>
      <c r="K4660" t="s">
        <v>32</v>
      </c>
      <c r="L4660">
        <v>0</v>
      </c>
      <c r="M4660">
        <v>1</v>
      </c>
      <c r="N4660" t="s">
        <v>800</v>
      </c>
      <c r="O4660" s="3" t="str">
        <f>TEXT(Ticket_Table[[#This Row],[raised_date]],"YYYY-MM")</f>
        <v>2021-09</v>
      </c>
      <c r="P4660" s="3" t="str">
        <f>IF(Ticket_Table[[#This Row],[resolution_hrs]]&lt;=4,"Fast",IF(Ticket_Table[[#This Row],[resolution_hrs]]&lt;=24,"Normal",IF(Ticket_Table[[#This Row],[resolution_hrs]]&lt;=48,"Slow","Very Slow")))</f>
        <v>Very Slow</v>
      </c>
      <c r="Q4660" s="3">
        <f>YEAR(Ticket_Table[[#This Row],[raised_date]])</f>
        <v>2021</v>
      </c>
    </row>
    <row r="4661" spans="1:17">
      <c r="A4661" t="s">
        <v>5222</v>
      </c>
      <c r="B4661" t="s">
        <v>608</v>
      </c>
      <c r="C4661" t="s">
        <v>78</v>
      </c>
      <c r="D4661" t="s">
        <v>90</v>
      </c>
      <c r="E4661" t="s">
        <v>83</v>
      </c>
      <c r="F4661" t="s">
        <v>70</v>
      </c>
      <c r="G4661" t="s">
        <v>46</v>
      </c>
      <c r="H4661" s="1">
        <v>44256</v>
      </c>
      <c r="I4661" s="2">
        <v>44257.7916666667</v>
      </c>
      <c r="J4661">
        <v>43</v>
      </c>
      <c r="K4661" t="s">
        <v>24</v>
      </c>
      <c r="L4661">
        <v>0</v>
      </c>
      <c r="M4661">
        <v>4</v>
      </c>
      <c r="N4661" t="s">
        <v>87</v>
      </c>
      <c r="O4661" s="3" t="str">
        <f>TEXT(Ticket_Table[[#This Row],[raised_date]],"YYYY-MM")</f>
        <v>2021-03</v>
      </c>
      <c r="P4661" s="3" t="str">
        <f>IF(Ticket_Table[[#This Row],[resolution_hrs]]&lt;=4,"Fast",IF(Ticket_Table[[#This Row],[resolution_hrs]]&lt;=24,"Normal",IF(Ticket_Table[[#This Row],[resolution_hrs]]&lt;=48,"Slow","Very Slow")))</f>
        <v>Slow</v>
      </c>
      <c r="Q4661" s="3">
        <f>YEAR(Ticket_Table[[#This Row],[raised_date]])</f>
        <v>2021</v>
      </c>
    </row>
    <row r="4662" spans="1:17">
      <c r="A4662" t="s">
        <v>5223</v>
      </c>
      <c r="B4662" t="s">
        <v>871</v>
      </c>
      <c r="C4662" t="s">
        <v>95</v>
      </c>
      <c r="D4662" t="s">
        <v>43</v>
      </c>
      <c r="E4662" t="s">
        <v>30</v>
      </c>
      <c r="F4662" t="s">
        <v>38</v>
      </c>
      <c r="G4662" t="s">
        <v>91</v>
      </c>
      <c r="H4662" s="1">
        <v>45161</v>
      </c>
      <c r="I4662" s="2">
        <v>45162.1458333333</v>
      </c>
      <c r="J4662">
        <v>27.5</v>
      </c>
      <c r="K4662" t="s">
        <v>32</v>
      </c>
      <c r="L4662">
        <v>2</v>
      </c>
      <c r="M4662">
        <v>4</v>
      </c>
      <c r="N4662" t="s">
        <v>224</v>
      </c>
      <c r="O4662" s="3" t="str">
        <f>TEXT(Ticket_Table[[#This Row],[raised_date]],"YYYY-MM")</f>
        <v>2023-08</v>
      </c>
      <c r="P4662" s="3" t="str">
        <f>IF(Ticket_Table[[#This Row],[resolution_hrs]]&lt;=4,"Fast",IF(Ticket_Table[[#This Row],[resolution_hrs]]&lt;=24,"Normal",IF(Ticket_Table[[#This Row],[resolution_hrs]]&lt;=48,"Slow","Very Slow")))</f>
        <v>Slow</v>
      </c>
      <c r="Q4662" s="3">
        <f>YEAR(Ticket_Table[[#This Row],[raised_date]])</f>
        <v>2023</v>
      </c>
    </row>
    <row r="4663" spans="1:17">
      <c r="A4663" t="s">
        <v>5224</v>
      </c>
      <c r="B4663" t="s">
        <v>89</v>
      </c>
      <c r="C4663" t="s">
        <v>213</v>
      </c>
      <c r="D4663" t="s">
        <v>43</v>
      </c>
      <c r="E4663" t="s">
        <v>69</v>
      </c>
      <c r="F4663" t="s">
        <v>70</v>
      </c>
      <c r="G4663" t="s">
        <v>23</v>
      </c>
      <c r="H4663" s="1">
        <v>44300</v>
      </c>
      <c r="I4663" s="2">
        <v>44301.05</v>
      </c>
      <c r="J4663">
        <v>25.2</v>
      </c>
      <c r="K4663" t="s">
        <v>24</v>
      </c>
      <c r="L4663">
        <v>1</v>
      </c>
      <c r="M4663">
        <v>3</v>
      </c>
      <c r="N4663" t="s">
        <v>98</v>
      </c>
      <c r="O4663" s="3" t="str">
        <f>TEXT(Ticket_Table[[#This Row],[raised_date]],"YYYY-MM")</f>
        <v>2021-04</v>
      </c>
      <c r="P4663" s="3" t="str">
        <f>IF(Ticket_Table[[#This Row],[resolution_hrs]]&lt;=4,"Fast",IF(Ticket_Table[[#This Row],[resolution_hrs]]&lt;=24,"Normal",IF(Ticket_Table[[#This Row],[resolution_hrs]]&lt;=48,"Slow","Very Slow")))</f>
        <v>Slow</v>
      </c>
      <c r="Q4663" s="3">
        <f>YEAR(Ticket_Table[[#This Row],[raised_date]])</f>
        <v>2021</v>
      </c>
    </row>
    <row r="4664" spans="1:17">
      <c r="A4664" t="s">
        <v>5225</v>
      </c>
      <c r="B4664" t="s">
        <v>352</v>
      </c>
      <c r="C4664" t="s">
        <v>55</v>
      </c>
      <c r="D4664" t="s">
        <v>29</v>
      </c>
      <c r="E4664" t="s">
        <v>44</v>
      </c>
      <c r="F4664" t="s">
        <v>45</v>
      </c>
      <c r="G4664" t="s">
        <v>23</v>
      </c>
      <c r="H4664" s="1">
        <v>44413</v>
      </c>
      <c r="I4664" s="2">
        <v>44413.2125</v>
      </c>
      <c r="J4664">
        <v>5.1</v>
      </c>
      <c r="K4664" t="s">
        <v>32</v>
      </c>
      <c r="L4664">
        <v>1</v>
      </c>
      <c r="M4664">
        <v>3</v>
      </c>
      <c r="N4664" t="s">
        <v>256</v>
      </c>
      <c r="O4664" s="3" t="str">
        <f>TEXT(Ticket_Table[[#This Row],[raised_date]],"YYYY-MM")</f>
        <v>2021-08</v>
      </c>
      <c r="P4664" s="3" t="str">
        <f>IF(Ticket_Table[[#This Row],[resolution_hrs]]&lt;=4,"Fast",IF(Ticket_Table[[#This Row],[resolution_hrs]]&lt;=24,"Normal",IF(Ticket_Table[[#This Row],[resolution_hrs]]&lt;=48,"Slow","Very Slow")))</f>
        <v>Normal</v>
      </c>
      <c r="Q4664" s="3">
        <f>YEAR(Ticket_Table[[#This Row],[raised_date]])</f>
        <v>2021</v>
      </c>
    </row>
    <row r="4665" spans="1:17">
      <c r="A4665" t="s">
        <v>5226</v>
      </c>
      <c r="B4665" t="s">
        <v>1011</v>
      </c>
      <c r="C4665" t="s">
        <v>201</v>
      </c>
      <c r="D4665" t="s">
        <v>20</v>
      </c>
      <c r="E4665" t="s">
        <v>83</v>
      </c>
      <c r="F4665" t="s">
        <v>45</v>
      </c>
      <c r="G4665" t="s">
        <v>46</v>
      </c>
      <c r="H4665" s="1">
        <v>44982</v>
      </c>
      <c r="I4665" s="2">
        <v>44982.1333333333</v>
      </c>
      <c r="J4665">
        <v>3.2</v>
      </c>
      <c r="K4665" t="s">
        <v>24</v>
      </c>
      <c r="L4665">
        <v>0</v>
      </c>
      <c r="M4665">
        <v>3</v>
      </c>
      <c r="N4665" t="s">
        <v>1348</v>
      </c>
      <c r="O4665" s="3" t="str">
        <f>TEXT(Ticket_Table[[#This Row],[raised_date]],"YYYY-MM")</f>
        <v>2023-02</v>
      </c>
      <c r="P4665" s="3" t="str">
        <f>IF(Ticket_Table[[#This Row],[resolution_hrs]]&lt;=4,"Fast",IF(Ticket_Table[[#This Row],[resolution_hrs]]&lt;=24,"Normal",IF(Ticket_Table[[#This Row],[resolution_hrs]]&lt;=48,"Slow","Very Slow")))</f>
        <v>Fast</v>
      </c>
      <c r="Q4665" s="3">
        <f>YEAR(Ticket_Table[[#This Row],[raised_date]])</f>
        <v>2023</v>
      </c>
    </row>
    <row r="4666" spans="1:17">
      <c r="A4666" t="s">
        <v>5227</v>
      </c>
      <c r="B4666" t="s">
        <v>337</v>
      </c>
      <c r="C4666" t="s">
        <v>201</v>
      </c>
      <c r="D4666" t="s">
        <v>43</v>
      </c>
      <c r="E4666" t="s">
        <v>166</v>
      </c>
      <c r="F4666" t="s">
        <v>22</v>
      </c>
      <c r="G4666" t="s">
        <v>23</v>
      </c>
      <c r="H4666" s="1">
        <v>44307</v>
      </c>
      <c r="I4666" s="2">
        <v>44308.9458333333</v>
      </c>
      <c r="J4666">
        <v>46.7</v>
      </c>
      <c r="K4666" t="s">
        <v>24</v>
      </c>
      <c r="L4666">
        <v>0</v>
      </c>
      <c r="M4666">
        <v>4</v>
      </c>
      <c r="N4666" t="s">
        <v>167</v>
      </c>
      <c r="O4666" s="3" t="str">
        <f>TEXT(Ticket_Table[[#This Row],[raised_date]],"YYYY-MM")</f>
        <v>2021-04</v>
      </c>
      <c r="P4666" s="3" t="str">
        <f>IF(Ticket_Table[[#This Row],[resolution_hrs]]&lt;=4,"Fast",IF(Ticket_Table[[#This Row],[resolution_hrs]]&lt;=24,"Normal",IF(Ticket_Table[[#This Row],[resolution_hrs]]&lt;=48,"Slow","Very Slow")))</f>
        <v>Slow</v>
      </c>
      <c r="Q4666" s="3">
        <f>YEAR(Ticket_Table[[#This Row],[raised_date]])</f>
        <v>2021</v>
      </c>
    </row>
    <row r="4667" spans="1:17">
      <c r="A4667" t="s">
        <v>5228</v>
      </c>
      <c r="B4667" t="s">
        <v>442</v>
      </c>
      <c r="C4667" t="s">
        <v>287</v>
      </c>
      <c r="D4667" t="s">
        <v>43</v>
      </c>
      <c r="E4667" t="s">
        <v>30</v>
      </c>
      <c r="F4667" t="s">
        <v>22</v>
      </c>
      <c r="G4667" t="s">
        <v>23</v>
      </c>
      <c r="H4667" s="1">
        <v>44373</v>
      </c>
      <c r="I4667" s="2">
        <v>44376.2916666667</v>
      </c>
      <c r="J4667">
        <v>79</v>
      </c>
      <c r="K4667" t="s">
        <v>32</v>
      </c>
      <c r="L4667">
        <v>2</v>
      </c>
      <c r="M4667">
        <v>4</v>
      </c>
      <c r="N4667" t="s">
        <v>458</v>
      </c>
      <c r="O4667" s="3" t="str">
        <f>TEXT(Ticket_Table[[#This Row],[raised_date]],"YYYY-MM")</f>
        <v>2021-06</v>
      </c>
      <c r="P4667" s="3" t="str">
        <f>IF(Ticket_Table[[#This Row],[resolution_hrs]]&lt;=4,"Fast",IF(Ticket_Table[[#This Row],[resolution_hrs]]&lt;=24,"Normal",IF(Ticket_Table[[#This Row],[resolution_hrs]]&lt;=48,"Slow","Very Slow")))</f>
        <v>Very Slow</v>
      </c>
      <c r="Q4667" s="3">
        <f>YEAR(Ticket_Table[[#This Row],[raised_date]])</f>
        <v>2021</v>
      </c>
    </row>
    <row r="4668" spans="1:17">
      <c r="A4668" t="s">
        <v>5229</v>
      </c>
      <c r="B4668" t="s">
        <v>687</v>
      </c>
      <c r="C4668" t="s">
        <v>42</v>
      </c>
      <c r="D4668" t="s">
        <v>90</v>
      </c>
      <c r="E4668" t="s">
        <v>56</v>
      </c>
      <c r="F4668" t="s">
        <v>45</v>
      </c>
      <c r="G4668" t="s">
        <v>23</v>
      </c>
      <c r="H4668" s="1">
        <v>45070</v>
      </c>
      <c r="I4668" s="2">
        <v>45070.1958333333</v>
      </c>
      <c r="J4668">
        <v>4.7</v>
      </c>
      <c r="K4668" t="s">
        <v>32</v>
      </c>
      <c r="L4668">
        <v>0</v>
      </c>
      <c r="M4668">
        <v>5</v>
      </c>
      <c r="N4668" t="s">
        <v>439</v>
      </c>
      <c r="O4668" s="3" t="str">
        <f>TEXT(Ticket_Table[[#This Row],[raised_date]],"YYYY-MM")</f>
        <v>2023-05</v>
      </c>
      <c r="P4668" s="3" t="str">
        <f>IF(Ticket_Table[[#This Row],[resolution_hrs]]&lt;=4,"Fast",IF(Ticket_Table[[#This Row],[resolution_hrs]]&lt;=24,"Normal",IF(Ticket_Table[[#This Row],[resolution_hrs]]&lt;=48,"Slow","Very Slow")))</f>
        <v>Normal</v>
      </c>
      <c r="Q4668" s="3">
        <f>YEAR(Ticket_Table[[#This Row],[raised_date]])</f>
        <v>2023</v>
      </c>
    </row>
    <row r="4669" spans="1:17">
      <c r="A4669" t="s">
        <v>5230</v>
      </c>
      <c r="B4669" t="s">
        <v>87</v>
      </c>
      <c r="C4669" t="s">
        <v>213</v>
      </c>
      <c r="D4669" t="s">
        <v>90</v>
      </c>
      <c r="E4669" t="s">
        <v>56</v>
      </c>
      <c r="F4669" t="s">
        <v>45</v>
      </c>
      <c r="G4669" t="s">
        <v>23</v>
      </c>
      <c r="H4669" s="1">
        <v>44999</v>
      </c>
      <c r="I4669" s="2">
        <v>44999.0541666667</v>
      </c>
      <c r="J4669">
        <v>1.3</v>
      </c>
      <c r="K4669" t="s">
        <v>24</v>
      </c>
      <c r="L4669">
        <v>0</v>
      </c>
      <c r="M4669">
        <v>3</v>
      </c>
      <c r="N4669" t="s">
        <v>346</v>
      </c>
      <c r="O4669" s="3" t="str">
        <f>TEXT(Ticket_Table[[#This Row],[raised_date]],"YYYY-MM")</f>
        <v>2023-03</v>
      </c>
      <c r="P4669" s="3" t="str">
        <f>IF(Ticket_Table[[#This Row],[resolution_hrs]]&lt;=4,"Fast",IF(Ticket_Table[[#This Row],[resolution_hrs]]&lt;=24,"Normal",IF(Ticket_Table[[#This Row],[resolution_hrs]]&lt;=48,"Slow","Very Slow")))</f>
        <v>Fast</v>
      </c>
      <c r="Q4669" s="3">
        <f>YEAR(Ticket_Table[[#This Row],[raised_date]])</f>
        <v>2023</v>
      </c>
    </row>
    <row r="4670" spans="1:17">
      <c r="A4670" t="s">
        <v>5231</v>
      </c>
      <c r="B4670" t="s">
        <v>712</v>
      </c>
      <c r="C4670" t="s">
        <v>78</v>
      </c>
      <c r="D4670" t="s">
        <v>43</v>
      </c>
      <c r="E4670" t="s">
        <v>30</v>
      </c>
      <c r="F4670" t="s">
        <v>22</v>
      </c>
      <c r="G4670" t="s">
        <v>23</v>
      </c>
      <c r="H4670" s="1">
        <v>44563</v>
      </c>
      <c r="I4670" s="2">
        <v>44563.5291666667</v>
      </c>
      <c r="J4670">
        <v>12.7</v>
      </c>
      <c r="K4670" t="s">
        <v>24</v>
      </c>
      <c r="L4670">
        <v>1</v>
      </c>
      <c r="M4670">
        <v>5</v>
      </c>
      <c r="N4670" t="s">
        <v>541</v>
      </c>
      <c r="O4670" s="3" t="str">
        <f>TEXT(Ticket_Table[[#This Row],[raised_date]],"YYYY-MM")</f>
        <v>2022-01</v>
      </c>
      <c r="P4670" s="3" t="str">
        <f>IF(Ticket_Table[[#This Row],[resolution_hrs]]&lt;=4,"Fast",IF(Ticket_Table[[#This Row],[resolution_hrs]]&lt;=24,"Normal",IF(Ticket_Table[[#This Row],[resolution_hrs]]&lt;=48,"Slow","Very Slow")))</f>
        <v>Normal</v>
      </c>
      <c r="Q4670" s="3">
        <f>YEAR(Ticket_Table[[#This Row],[raised_date]])</f>
        <v>2022</v>
      </c>
    </row>
    <row r="4671" spans="1:17">
      <c r="A4671" t="s">
        <v>5232</v>
      </c>
      <c r="B4671" t="s">
        <v>489</v>
      </c>
      <c r="C4671" t="s">
        <v>117</v>
      </c>
      <c r="D4671" t="s">
        <v>29</v>
      </c>
      <c r="E4671" t="s">
        <v>51</v>
      </c>
      <c r="F4671" t="s">
        <v>22</v>
      </c>
      <c r="G4671" t="s">
        <v>23</v>
      </c>
      <c r="H4671" s="1">
        <v>45110</v>
      </c>
      <c r="I4671" s="2">
        <v>45111.7708333333</v>
      </c>
      <c r="J4671">
        <v>42.5</v>
      </c>
      <c r="K4671" t="s">
        <v>24</v>
      </c>
      <c r="L4671">
        <v>0</v>
      </c>
      <c r="M4671">
        <v>4</v>
      </c>
      <c r="N4671" t="s">
        <v>749</v>
      </c>
      <c r="O4671" s="3" t="str">
        <f>TEXT(Ticket_Table[[#This Row],[raised_date]],"YYYY-MM")</f>
        <v>2023-07</v>
      </c>
      <c r="P4671" s="3" t="str">
        <f>IF(Ticket_Table[[#This Row],[resolution_hrs]]&lt;=4,"Fast",IF(Ticket_Table[[#This Row],[resolution_hrs]]&lt;=24,"Normal",IF(Ticket_Table[[#This Row],[resolution_hrs]]&lt;=48,"Slow","Very Slow")))</f>
        <v>Slow</v>
      </c>
      <c r="Q4671" s="3">
        <f>YEAR(Ticket_Table[[#This Row],[raised_date]])</f>
        <v>2023</v>
      </c>
    </row>
    <row r="4672" spans="1:17">
      <c r="A4672" t="s">
        <v>5233</v>
      </c>
      <c r="B4672" t="s">
        <v>365</v>
      </c>
      <c r="C4672" t="s">
        <v>50</v>
      </c>
      <c r="D4672" t="s">
        <v>90</v>
      </c>
      <c r="E4672" t="s">
        <v>106</v>
      </c>
      <c r="F4672" t="s">
        <v>22</v>
      </c>
      <c r="G4672" t="s">
        <v>23</v>
      </c>
      <c r="H4672" s="1">
        <v>44925</v>
      </c>
      <c r="I4672" s="2">
        <v>44928.2583333333</v>
      </c>
      <c r="J4672">
        <v>78.2</v>
      </c>
      <c r="K4672" t="s">
        <v>32</v>
      </c>
      <c r="L4672">
        <v>1</v>
      </c>
      <c r="M4672">
        <v>2</v>
      </c>
      <c r="N4672" t="s">
        <v>627</v>
      </c>
      <c r="O4672" s="3" t="str">
        <f>TEXT(Ticket_Table[[#This Row],[raised_date]],"YYYY-MM")</f>
        <v>2022-12</v>
      </c>
      <c r="P4672" s="3" t="str">
        <f>IF(Ticket_Table[[#This Row],[resolution_hrs]]&lt;=4,"Fast",IF(Ticket_Table[[#This Row],[resolution_hrs]]&lt;=24,"Normal",IF(Ticket_Table[[#This Row],[resolution_hrs]]&lt;=48,"Slow","Very Slow")))</f>
        <v>Very Slow</v>
      </c>
      <c r="Q4672" s="3">
        <f>YEAR(Ticket_Table[[#This Row],[raised_date]])</f>
        <v>2022</v>
      </c>
    </row>
    <row r="4673" spans="1:17">
      <c r="A4673" t="s">
        <v>5234</v>
      </c>
      <c r="B4673" t="s">
        <v>347</v>
      </c>
      <c r="C4673" t="s">
        <v>287</v>
      </c>
      <c r="D4673" t="s">
        <v>43</v>
      </c>
      <c r="E4673" t="s">
        <v>166</v>
      </c>
      <c r="F4673" t="s">
        <v>45</v>
      </c>
      <c r="G4673" t="s">
        <v>31</v>
      </c>
      <c r="H4673" s="1">
        <v>44836</v>
      </c>
      <c r="I4673" s="2">
        <v>44836.1833333333</v>
      </c>
      <c r="J4673">
        <v>4.4</v>
      </c>
      <c r="K4673" t="s">
        <v>32</v>
      </c>
      <c r="L4673">
        <v>1</v>
      </c>
      <c r="M4673">
        <v>2</v>
      </c>
      <c r="N4673" t="s">
        <v>1252</v>
      </c>
      <c r="O4673" s="3" t="str">
        <f>TEXT(Ticket_Table[[#This Row],[raised_date]],"YYYY-MM")</f>
        <v>2022-10</v>
      </c>
      <c r="P4673" s="3" t="str">
        <f>IF(Ticket_Table[[#This Row],[resolution_hrs]]&lt;=4,"Fast",IF(Ticket_Table[[#This Row],[resolution_hrs]]&lt;=24,"Normal",IF(Ticket_Table[[#This Row],[resolution_hrs]]&lt;=48,"Slow","Very Slow")))</f>
        <v>Normal</v>
      </c>
      <c r="Q4673" s="3">
        <f>YEAR(Ticket_Table[[#This Row],[raised_date]])</f>
        <v>2022</v>
      </c>
    </row>
    <row r="4674" spans="1:17">
      <c r="A4674" t="s">
        <v>5235</v>
      </c>
      <c r="B4674" t="s">
        <v>1129</v>
      </c>
      <c r="C4674" t="s">
        <v>261</v>
      </c>
      <c r="D4674" t="s">
        <v>20</v>
      </c>
      <c r="E4674" t="s">
        <v>83</v>
      </c>
      <c r="F4674" t="s">
        <v>22</v>
      </c>
      <c r="G4674" t="s">
        <v>31</v>
      </c>
      <c r="H4674" s="1">
        <v>44877</v>
      </c>
      <c r="I4674" s="2">
        <v>44880.8708333333</v>
      </c>
      <c r="J4674">
        <v>92.9</v>
      </c>
      <c r="K4674" t="s">
        <v>32</v>
      </c>
      <c r="L4674">
        <v>0</v>
      </c>
      <c r="M4674">
        <v>4</v>
      </c>
      <c r="N4674" t="s">
        <v>145</v>
      </c>
      <c r="O4674" s="3" t="str">
        <f>TEXT(Ticket_Table[[#This Row],[raised_date]],"YYYY-MM")</f>
        <v>2022-11</v>
      </c>
      <c r="P4674" s="3" t="str">
        <f>IF(Ticket_Table[[#This Row],[resolution_hrs]]&lt;=4,"Fast",IF(Ticket_Table[[#This Row],[resolution_hrs]]&lt;=24,"Normal",IF(Ticket_Table[[#This Row],[resolution_hrs]]&lt;=48,"Slow","Very Slow")))</f>
        <v>Very Slow</v>
      </c>
      <c r="Q4674" s="3">
        <f>YEAR(Ticket_Table[[#This Row],[raised_date]])</f>
        <v>2022</v>
      </c>
    </row>
    <row r="4675" spans="1:17">
      <c r="A4675" t="s">
        <v>5236</v>
      </c>
      <c r="B4675" t="s">
        <v>1301</v>
      </c>
      <c r="C4675" t="s">
        <v>42</v>
      </c>
      <c r="D4675" t="s">
        <v>90</v>
      </c>
      <c r="E4675" t="s">
        <v>51</v>
      </c>
      <c r="F4675" t="s">
        <v>70</v>
      </c>
      <c r="G4675" t="s">
        <v>46</v>
      </c>
      <c r="H4675" s="1">
        <v>44602</v>
      </c>
      <c r="I4675" s="2">
        <v>44604.8166666667</v>
      </c>
      <c r="J4675">
        <v>67.6</v>
      </c>
      <c r="K4675" t="s">
        <v>32</v>
      </c>
      <c r="L4675">
        <v>0</v>
      </c>
      <c r="M4675">
        <v>5</v>
      </c>
      <c r="N4675" t="s">
        <v>47</v>
      </c>
      <c r="O4675" s="3" t="str">
        <f>TEXT(Ticket_Table[[#This Row],[raised_date]],"YYYY-MM")</f>
        <v>2022-02</v>
      </c>
      <c r="P4675" s="3" t="str">
        <f>IF(Ticket_Table[[#This Row],[resolution_hrs]]&lt;=4,"Fast",IF(Ticket_Table[[#This Row],[resolution_hrs]]&lt;=24,"Normal",IF(Ticket_Table[[#This Row],[resolution_hrs]]&lt;=48,"Slow","Very Slow")))</f>
        <v>Very Slow</v>
      </c>
      <c r="Q4675" s="3">
        <f>YEAR(Ticket_Table[[#This Row],[raised_date]])</f>
        <v>2022</v>
      </c>
    </row>
    <row r="4676" spans="1:17">
      <c r="A4676" t="s">
        <v>5237</v>
      </c>
      <c r="B4676" t="s">
        <v>47</v>
      </c>
      <c r="C4676" t="s">
        <v>95</v>
      </c>
      <c r="D4676" t="s">
        <v>43</v>
      </c>
      <c r="E4676" t="s">
        <v>166</v>
      </c>
      <c r="F4676" t="s">
        <v>38</v>
      </c>
      <c r="G4676" t="s">
        <v>23</v>
      </c>
      <c r="H4676" s="1">
        <v>45289</v>
      </c>
      <c r="I4676" s="2">
        <v>45289.7166666667</v>
      </c>
      <c r="J4676">
        <v>17.2</v>
      </c>
      <c r="K4676" t="s">
        <v>24</v>
      </c>
      <c r="L4676">
        <v>0</v>
      </c>
      <c r="M4676">
        <v>4</v>
      </c>
      <c r="N4676" t="s">
        <v>517</v>
      </c>
      <c r="O4676" s="3" t="str">
        <f>TEXT(Ticket_Table[[#This Row],[raised_date]],"YYYY-MM")</f>
        <v>2023-12</v>
      </c>
      <c r="P4676" s="3" t="str">
        <f>IF(Ticket_Table[[#This Row],[resolution_hrs]]&lt;=4,"Fast",IF(Ticket_Table[[#This Row],[resolution_hrs]]&lt;=24,"Normal",IF(Ticket_Table[[#This Row],[resolution_hrs]]&lt;=48,"Slow","Very Slow")))</f>
        <v>Normal</v>
      </c>
      <c r="Q4676" s="3">
        <f>YEAR(Ticket_Table[[#This Row],[raised_date]])</f>
        <v>2023</v>
      </c>
    </row>
    <row r="4677" spans="1:17">
      <c r="A4677" t="s">
        <v>5238</v>
      </c>
      <c r="B4677" t="s">
        <v>1006</v>
      </c>
      <c r="C4677" t="s">
        <v>95</v>
      </c>
      <c r="D4677" t="s">
        <v>36</v>
      </c>
      <c r="E4677" t="s">
        <v>21</v>
      </c>
      <c r="F4677" t="s">
        <v>22</v>
      </c>
      <c r="G4677" t="s">
        <v>31</v>
      </c>
      <c r="H4677" s="1">
        <v>44357</v>
      </c>
      <c r="I4677" s="2">
        <v>44359.5958333333</v>
      </c>
      <c r="J4677">
        <v>62.3</v>
      </c>
      <c r="K4677" t="s">
        <v>24</v>
      </c>
      <c r="L4677">
        <v>1</v>
      </c>
      <c r="M4677">
        <v>4</v>
      </c>
      <c r="N4677" t="s">
        <v>740</v>
      </c>
      <c r="O4677" s="3" t="str">
        <f>TEXT(Ticket_Table[[#This Row],[raised_date]],"YYYY-MM")</f>
        <v>2021-06</v>
      </c>
      <c r="P4677" s="3" t="str">
        <f>IF(Ticket_Table[[#This Row],[resolution_hrs]]&lt;=4,"Fast",IF(Ticket_Table[[#This Row],[resolution_hrs]]&lt;=24,"Normal",IF(Ticket_Table[[#This Row],[resolution_hrs]]&lt;=48,"Slow","Very Slow")))</f>
        <v>Very Slow</v>
      </c>
      <c r="Q4677" s="3">
        <f>YEAR(Ticket_Table[[#This Row],[raised_date]])</f>
        <v>2021</v>
      </c>
    </row>
    <row r="4678" spans="1:17">
      <c r="A4678" t="s">
        <v>5239</v>
      </c>
      <c r="B4678" t="s">
        <v>685</v>
      </c>
      <c r="C4678" t="s">
        <v>287</v>
      </c>
      <c r="D4678" t="s">
        <v>90</v>
      </c>
      <c r="E4678" t="s">
        <v>83</v>
      </c>
      <c r="F4678" t="s">
        <v>70</v>
      </c>
      <c r="G4678" t="s">
        <v>46</v>
      </c>
      <c r="H4678" s="1">
        <v>45150</v>
      </c>
      <c r="I4678" s="2">
        <v>45151.7208333333</v>
      </c>
      <c r="J4678">
        <v>41.3</v>
      </c>
      <c r="K4678" t="s">
        <v>24</v>
      </c>
      <c r="L4678">
        <v>0</v>
      </c>
      <c r="M4678">
        <v>3</v>
      </c>
      <c r="N4678" t="s">
        <v>792</v>
      </c>
      <c r="O4678" s="3" t="str">
        <f>TEXT(Ticket_Table[[#This Row],[raised_date]],"YYYY-MM")</f>
        <v>2023-08</v>
      </c>
      <c r="P4678" s="3" t="str">
        <f>IF(Ticket_Table[[#This Row],[resolution_hrs]]&lt;=4,"Fast",IF(Ticket_Table[[#This Row],[resolution_hrs]]&lt;=24,"Normal",IF(Ticket_Table[[#This Row],[resolution_hrs]]&lt;=48,"Slow","Very Slow")))</f>
        <v>Slow</v>
      </c>
      <c r="Q4678" s="3">
        <f>YEAR(Ticket_Table[[#This Row],[raised_date]])</f>
        <v>2023</v>
      </c>
    </row>
    <row r="4679" spans="1:17">
      <c r="A4679" t="s">
        <v>5240</v>
      </c>
      <c r="B4679" t="s">
        <v>955</v>
      </c>
      <c r="C4679" t="s">
        <v>78</v>
      </c>
      <c r="D4679" t="s">
        <v>36</v>
      </c>
      <c r="E4679" t="s">
        <v>21</v>
      </c>
      <c r="F4679" t="s">
        <v>22</v>
      </c>
      <c r="G4679" t="s">
        <v>31</v>
      </c>
      <c r="H4679" s="1">
        <v>44466</v>
      </c>
      <c r="I4679" s="2">
        <v>44468.3541666667</v>
      </c>
      <c r="J4679">
        <v>56.5</v>
      </c>
      <c r="K4679" t="s">
        <v>24</v>
      </c>
      <c r="L4679">
        <v>0</v>
      </c>
      <c r="M4679">
        <v>2</v>
      </c>
      <c r="N4679" t="s">
        <v>833</v>
      </c>
      <c r="O4679" s="3" t="str">
        <f>TEXT(Ticket_Table[[#This Row],[raised_date]],"YYYY-MM")</f>
        <v>2021-09</v>
      </c>
      <c r="P4679" s="3" t="str">
        <f>IF(Ticket_Table[[#This Row],[resolution_hrs]]&lt;=4,"Fast",IF(Ticket_Table[[#This Row],[resolution_hrs]]&lt;=24,"Normal",IF(Ticket_Table[[#This Row],[resolution_hrs]]&lt;=48,"Slow","Very Slow")))</f>
        <v>Very Slow</v>
      </c>
      <c r="Q4679" s="3">
        <f>YEAR(Ticket_Table[[#This Row],[raised_date]])</f>
        <v>2021</v>
      </c>
    </row>
    <row r="4680" spans="1:17">
      <c r="A4680" t="s">
        <v>5241</v>
      </c>
      <c r="B4680" t="s">
        <v>471</v>
      </c>
      <c r="C4680" t="s">
        <v>175</v>
      </c>
      <c r="D4680" t="s">
        <v>90</v>
      </c>
      <c r="E4680" t="s">
        <v>44</v>
      </c>
      <c r="F4680" t="s">
        <v>38</v>
      </c>
      <c r="G4680" t="s">
        <v>23</v>
      </c>
      <c r="H4680" s="1">
        <v>44387</v>
      </c>
      <c r="I4680" s="2">
        <v>44387.2791666667</v>
      </c>
      <c r="J4680">
        <v>6.7</v>
      </c>
      <c r="K4680" t="s">
        <v>24</v>
      </c>
      <c r="L4680">
        <v>0</v>
      </c>
      <c r="M4680">
        <v>1</v>
      </c>
      <c r="N4680" t="s">
        <v>27</v>
      </c>
      <c r="O4680" s="3" t="str">
        <f>TEXT(Ticket_Table[[#This Row],[raised_date]],"YYYY-MM")</f>
        <v>2021-07</v>
      </c>
      <c r="P4680" s="3" t="str">
        <f>IF(Ticket_Table[[#This Row],[resolution_hrs]]&lt;=4,"Fast",IF(Ticket_Table[[#This Row],[resolution_hrs]]&lt;=24,"Normal",IF(Ticket_Table[[#This Row],[resolution_hrs]]&lt;=48,"Slow","Very Slow")))</f>
        <v>Normal</v>
      </c>
      <c r="Q4680" s="3">
        <f>YEAR(Ticket_Table[[#This Row],[raised_date]])</f>
        <v>2021</v>
      </c>
    </row>
    <row r="4681" spans="1:17">
      <c r="A4681" t="s">
        <v>5242</v>
      </c>
      <c r="B4681" t="s">
        <v>155</v>
      </c>
      <c r="C4681" t="s">
        <v>19</v>
      </c>
      <c r="D4681" t="s">
        <v>90</v>
      </c>
      <c r="E4681" t="s">
        <v>69</v>
      </c>
      <c r="F4681" t="s">
        <v>22</v>
      </c>
      <c r="G4681" t="s">
        <v>23</v>
      </c>
      <c r="H4681" s="1">
        <v>45156</v>
      </c>
      <c r="I4681" s="2">
        <v>45157.7416666667</v>
      </c>
      <c r="J4681">
        <v>41.8</v>
      </c>
      <c r="K4681" t="s">
        <v>24</v>
      </c>
      <c r="L4681">
        <v>0</v>
      </c>
      <c r="M4681">
        <v>2</v>
      </c>
      <c r="N4681" t="s">
        <v>397</v>
      </c>
      <c r="O4681" s="3" t="str">
        <f>TEXT(Ticket_Table[[#This Row],[raised_date]],"YYYY-MM")</f>
        <v>2023-08</v>
      </c>
      <c r="P4681" s="3" t="str">
        <f>IF(Ticket_Table[[#This Row],[resolution_hrs]]&lt;=4,"Fast",IF(Ticket_Table[[#This Row],[resolution_hrs]]&lt;=24,"Normal",IF(Ticket_Table[[#This Row],[resolution_hrs]]&lt;=48,"Slow","Very Slow")))</f>
        <v>Slow</v>
      </c>
      <c r="Q4681" s="3">
        <f>YEAR(Ticket_Table[[#This Row],[raised_date]])</f>
        <v>2023</v>
      </c>
    </row>
    <row r="4682" spans="1:17">
      <c r="A4682" t="s">
        <v>5243</v>
      </c>
      <c r="B4682" t="s">
        <v>192</v>
      </c>
      <c r="C4682" t="s">
        <v>82</v>
      </c>
      <c r="D4682" t="s">
        <v>36</v>
      </c>
      <c r="E4682" t="s">
        <v>44</v>
      </c>
      <c r="F4682" t="s">
        <v>38</v>
      </c>
      <c r="G4682" t="s">
        <v>23</v>
      </c>
      <c r="H4682" s="1">
        <v>44396</v>
      </c>
      <c r="I4682" s="2">
        <v>44397.1291666667</v>
      </c>
      <c r="J4682">
        <v>27.1</v>
      </c>
      <c r="K4682" t="s">
        <v>32</v>
      </c>
      <c r="L4682">
        <v>0</v>
      </c>
      <c r="M4682">
        <v>4</v>
      </c>
      <c r="N4682" t="s">
        <v>701</v>
      </c>
      <c r="O4682" s="3" t="str">
        <f>TEXT(Ticket_Table[[#This Row],[raised_date]],"YYYY-MM")</f>
        <v>2021-07</v>
      </c>
      <c r="P4682" s="3" t="str">
        <f>IF(Ticket_Table[[#This Row],[resolution_hrs]]&lt;=4,"Fast",IF(Ticket_Table[[#This Row],[resolution_hrs]]&lt;=24,"Normal",IF(Ticket_Table[[#This Row],[resolution_hrs]]&lt;=48,"Slow","Very Slow")))</f>
        <v>Slow</v>
      </c>
      <c r="Q4682" s="3">
        <f>YEAR(Ticket_Table[[#This Row],[raised_date]])</f>
        <v>2021</v>
      </c>
    </row>
    <row r="4683" spans="1:17">
      <c r="A4683" t="s">
        <v>5244</v>
      </c>
      <c r="B4683" t="s">
        <v>504</v>
      </c>
      <c r="C4683" t="s">
        <v>117</v>
      </c>
      <c r="D4683" t="s">
        <v>29</v>
      </c>
      <c r="E4683" t="s">
        <v>56</v>
      </c>
      <c r="F4683" t="s">
        <v>38</v>
      </c>
      <c r="G4683" t="s">
        <v>91</v>
      </c>
      <c r="H4683" s="1">
        <v>45130</v>
      </c>
      <c r="I4683" s="2">
        <v>45131.3916666667</v>
      </c>
      <c r="J4683">
        <v>33.4</v>
      </c>
      <c r="K4683" t="s">
        <v>32</v>
      </c>
      <c r="L4683">
        <v>1</v>
      </c>
      <c r="M4683">
        <v>5</v>
      </c>
      <c r="N4683" t="s">
        <v>804</v>
      </c>
      <c r="O4683" s="3" t="str">
        <f>TEXT(Ticket_Table[[#This Row],[raised_date]],"YYYY-MM")</f>
        <v>2023-07</v>
      </c>
      <c r="P4683" s="3" t="str">
        <f>IF(Ticket_Table[[#This Row],[resolution_hrs]]&lt;=4,"Fast",IF(Ticket_Table[[#This Row],[resolution_hrs]]&lt;=24,"Normal",IF(Ticket_Table[[#This Row],[resolution_hrs]]&lt;=48,"Slow","Very Slow")))</f>
        <v>Slow</v>
      </c>
      <c r="Q4683" s="3">
        <f>YEAR(Ticket_Table[[#This Row],[raised_date]])</f>
        <v>2023</v>
      </c>
    </row>
    <row r="4684" spans="1:17">
      <c r="A4684" t="s">
        <v>5245</v>
      </c>
      <c r="B4684" t="s">
        <v>387</v>
      </c>
      <c r="C4684" t="s">
        <v>213</v>
      </c>
      <c r="D4684" t="s">
        <v>43</v>
      </c>
      <c r="E4684" t="s">
        <v>51</v>
      </c>
      <c r="F4684" t="s">
        <v>22</v>
      </c>
      <c r="G4684" t="s">
        <v>31</v>
      </c>
      <c r="H4684" s="1">
        <v>44832</v>
      </c>
      <c r="I4684" s="2">
        <v>44832.6291666667</v>
      </c>
      <c r="J4684">
        <v>15.1</v>
      </c>
      <c r="K4684" t="s">
        <v>24</v>
      </c>
      <c r="L4684">
        <v>3</v>
      </c>
      <c r="M4684">
        <v>3</v>
      </c>
      <c r="N4684" t="s">
        <v>182</v>
      </c>
      <c r="O4684" s="3" t="str">
        <f>TEXT(Ticket_Table[[#This Row],[raised_date]],"YYYY-MM")</f>
        <v>2022-09</v>
      </c>
      <c r="P4684" s="3" t="str">
        <f>IF(Ticket_Table[[#This Row],[resolution_hrs]]&lt;=4,"Fast",IF(Ticket_Table[[#This Row],[resolution_hrs]]&lt;=24,"Normal",IF(Ticket_Table[[#This Row],[resolution_hrs]]&lt;=48,"Slow","Very Slow")))</f>
        <v>Normal</v>
      </c>
      <c r="Q4684" s="3">
        <f>YEAR(Ticket_Table[[#This Row],[raised_date]])</f>
        <v>2022</v>
      </c>
    </row>
    <row r="4685" spans="1:17">
      <c r="A4685" t="s">
        <v>5246</v>
      </c>
      <c r="B4685" t="s">
        <v>39</v>
      </c>
      <c r="C4685" t="s">
        <v>64</v>
      </c>
      <c r="D4685" t="s">
        <v>29</v>
      </c>
      <c r="E4685" t="s">
        <v>30</v>
      </c>
      <c r="F4685" t="s">
        <v>22</v>
      </c>
      <c r="G4685" t="s">
        <v>31</v>
      </c>
      <c r="H4685" s="1">
        <v>45150</v>
      </c>
      <c r="I4685" s="2">
        <v>45150.1083333333</v>
      </c>
      <c r="J4685">
        <v>2.6</v>
      </c>
      <c r="K4685" t="s">
        <v>24</v>
      </c>
      <c r="L4685">
        <v>0</v>
      </c>
      <c r="M4685">
        <v>4</v>
      </c>
      <c r="N4685" t="s">
        <v>18</v>
      </c>
      <c r="O4685" s="3" t="str">
        <f>TEXT(Ticket_Table[[#This Row],[raised_date]],"YYYY-MM")</f>
        <v>2023-08</v>
      </c>
      <c r="P4685" s="3" t="str">
        <f>IF(Ticket_Table[[#This Row],[resolution_hrs]]&lt;=4,"Fast",IF(Ticket_Table[[#This Row],[resolution_hrs]]&lt;=24,"Normal",IF(Ticket_Table[[#This Row],[resolution_hrs]]&lt;=48,"Slow","Very Slow")))</f>
        <v>Fast</v>
      </c>
      <c r="Q4685" s="3">
        <f>YEAR(Ticket_Table[[#This Row],[raised_date]])</f>
        <v>2023</v>
      </c>
    </row>
    <row r="4686" spans="1:17">
      <c r="A4686" t="s">
        <v>5247</v>
      </c>
      <c r="B4686" t="s">
        <v>284</v>
      </c>
      <c r="C4686" t="s">
        <v>102</v>
      </c>
      <c r="D4686" t="s">
        <v>29</v>
      </c>
      <c r="E4686" t="s">
        <v>44</v>
      </c>
      <c r="F4686" t="s">
        <v>70</v>
      </c>
      <c r="G4686" t="s">
        <v>46</v>
      </c>
      <c r="H4686" s="1">
        <v>45160</v>
      </c>
      <c r="I4686" s="2">
        <v>45162.4083333333</v>
      </c>
      <c r="J4686">
        <v>57.8</v>
      </c>
      <c r="K4686" t="s">
        <v>32</v>
      </c>
      <c r="L4686">
        <v>0</v>
      </c>
      <c r="M4686">
        <v>3</v>
      </c>
      <c r="N4686" t="s">
        <v>680</v>
      </c>
      <c r="O4686" s="3" t="str">
        <f>TEXT(Ticket_Table[[#This Row],[raised_date]],"YYYY-MM")</f>
        <v>2023-08</v>
      </c>
      <c r="P4686" s="3" t="str">
        <f>IF(Ticket_Table[[#This Row],[resolution_hrs]]&lt;=4,"Fast",IF(Ticket_Table[[#This Row],[resolution_hrs]]&lt;=24,"Normal",IF(Ticket_Table[[#This Row],[resolution_hrs]]&lt;=48,"Slow","Very Slow")))</f>
        <v>Very Slow</v>
      </c>
      <c r="Q4686" s="3">
        <f>YEAR(Ticket_Table[[#This Row],[raised_date]])</f>
        <v>2023</v>
      </c>
    </row>
    <row r="4687" spans="1:17">
      <c r="A4687" t="s">
        <v>5248</v>
      </c>
      <c r="B4687" t="s">
        <v>1301</v>
      </c>
      <c r="C4687" t="s">
        <v>42</v>
      </c>
      <c r="D4687" t="s">
        <v>43</v>
      </c>
      <c r="E4687" t="s">
        <v>51</v>
      </c>
      <c r="F4687" t="s">
        <v>22</v>
      </c>
      <c r="G4687" t="s">
        <v>31</v>
      </c>
      <c r="H4687" s="1">
        <v>44671</v>
      </c>
      <c r="I4687" s="2">
        <v>44675.2833333333</v>
      </c>
      <c r="J4687">
        <v>102.8</v>
      </c>
      <c r="K4687" t="s">
        <v>32</v>
      </c>
      <c r="L4687">
        <v>0</v>
      </c>
      <c r="M4687">
        <v>3</v>
      </c>
      <c r="N4687" t="s">
        <v>698</v>
      </c>
      <c r="O4687" s="3" t="str">
        <f>TEXT(Ticket_Table[[#This Row],[raised_date]],"YYYY-MM")</f>
        <v>2022-04</v>
      </c>
      <c r="P4687" s="3" t="str">
        <f>IF(Ticket_Table[[#This Row],[resolution_hrs]]&lt;=4,"Fast",IF(Ticket_Table[[#This Row],[resolution_hrs]]&lt;=24,"Normal",IF(Ticket_Table[[#This Row],[resolution_hrs]]&lt;=48,"Slow","Very Slow")))</f>
        <v>Very Slow</v>
      </c>
      <c r="Q4687" s="3">
        <f>YEAR(Ticket_Table[[#This Row],[raised_date]])</f>
        <v>2022</v>
      </c>
    </row>
    <row r="4688" spans="1:17">
      <c r="A4688" t="s">
        <v>5249</v>
      </c>
      <c r="B4688" t="s">
        <v>135</v>
      </c>
      <c r="C4688" t="s">
        <v>133</v>
      </c>
      <c r="D4688" t="s">
        <v>20</v>
      </c>
      <c r="E4688" t="s">
        <v>37</v>
      </c>
      <c r="F4688" t="s">
        <v>38</v>
      </c>
      <c r="G4688" t="s">
        <v>23</v>
      </c>
      <c r="H4688" s="1">
        <v>44655</v>
      </c>
      <c r="I4688" s="2">
        <v>44655.1666666667</v>
      </c>
      <c r="J4688">
        <v>4</v>
      </c>
      <c r="K4688" t="s">
        <v>24</v>
      </c>
      <c r="L4688">
        <v>0</v>
      </c>
      <c r="M4688">
        <v>3</v>
      </c>
      <c r="N4688" t="s">
        <v>458</v>
      </c>
      <c r="O4688" s="3" t="str">
        <f>TEXT(Ticket_Table[[#This Row],[raised_date]],"YYYY-MM")</f>
        <v>2022-04</v>
      </c>
      <c r="P4688" s="3" t="str">
        <f>IF(Ticket_Table[[#This Row],[resolution_hrs]]&lt;=4,"Fast",IF(Ticket_Table[[#This Row],[resolution_hrs]]&lt;=24,"Normal",IF(Ticket_Table[[#This Row],[resolution_hrs]]&lt;=48,"Slow","Very Slow")))</f>
        <v>Fast</v>
      </c>
      <c r="Q4688" s="3">
        <f>YEAR(Ticket_Table[[#This Row],[raised_date]])</f>
        <v>2022</v>
      </c>
    </row>
    <row r="4689" spans="1:17">
      <c r="A4689" t="s">
        <v>5250</v>
      </c>
      <c r="B4689" t="s">
        <v>981</v>
      </c>
      <c r="C4689" t="s">
        <v>42</v>
      </c>
      <c r="D4689" t="s">
        <v>29</v>
      </c>
      <c r="E4689" t="s">
        <v>56</v>
      </c>
      <c r="F4689" t="s">
        <v>38</v>
      </c>
      <c r="G4689" t="s">
        <v>31</v>
      </c>
      <c r="H4689" s="1">
        <v>44491</v>
      </c>
      <c r="I4689" s="2">
        <v>44491.4041666667</v>
      </c>
      <c r="J4689">
        <v>9.7</v>
      </c>
      <c r="K4689" t="s">
        <v>24</v>
      </c>
      <c r="L4689">
        <v>0</v>
      </c>
      <c r="M4689">
        <v>2</v>
      </c>
      <c r="N4689" t="s">
        <v>605</v>
      </c>
      <c r="O4689" s="3" t="str">
        <f>TEXT(Ticket_Table[[#This Row],[raised_date]],"YYYY-MM")</f>
        <v>2021-10</v>
      </c>
      <c r="P4689" s="3" t="str">
        <f>IF(Ticket_Table[[#This Row],[resolution_hrs]]&lt;=4,"Fast",IF(Ticket_Table[[#This Row],[resolution_hrs]]&lt;=24,"Normal",IF(Ticket_Table[[#This Row],[resolution_hrs]]&lt;=48,"Slow","Very Slow")))</f>
        <v>Normal</v>
      </c>
      <c r="Q4689" s="3">
        <f>YEAR(Ticket_Table[[#This Row],[raised_date]])</f>
        <v>2021</v>
      </c>
    </row>
    <row r="4690" spans="1:17">
      <c r="A4690" t="s">
        <v>5251</v>
      </c>
      <c r="B4690" t="s">
        <v>703</v>
      </c>
      <c r="C4690" t="s">
        <v>287</v>
      </c>
      <c r="D4690" t="s">
        <v>29</v>
      </c>
      <c r="E4690" t="s">
        <v>83</v>
      </c>
      <c r="F4690" t="s">
        <v>70</v>
      </c>
      <c r="G4690" t="s">
        <v>46</v>
      </c>
      <c r="H4690" s="1">
        <v>44725</v>
      </c>
      <c r="I4690" s="2">
        <v>44726.6458333333</v>
      </c>
      <c r="J4690">
        <v>39.5</v>
      </c>
      <c r="K4690" t="s">
        <v>24</v>
      </c>
      <c r="L4690">
        <v>3</v>
      </c>
      <c r="M4690">
        <v>3</v>
      </c>
      <c r="N4690" t="s">
        <v>81</v>
      </c>
      <c r="O4690" s="3" t="str">
        <f>TEXT(Ticket_Table[[#This Row],[raised_date]],"YYYY-MM")</f>
        <v>2022-06</v>
      </c>
      <c r="P4690" s="3" t="str">
        <f>IF(Ticket_Table[[#This Row],[resolution_hrs]]&lt;=4,"Fast",IF(Ticket_Table[[#This Row],[resolution_hrs]]&lt;=24,"Normal",IF(Ticket_Table[[#This Row],[resolution_hrs]]&lt;=48,"Slow","Very Slow")))</f>
        <v>Slow</v>
      </c>
      <c r="Q4690" s="3">
        <f>YEAR(Ticket_Table[[#This Row],[raised_date]])</f>
        <v>2022</v>
      </c>
    </row>
    <row r="4691" spans="1:17">
      <c r="A4691" t="s">
        <v>5252</v>
      </c>
      <c r="B4691" t="s">
        <v>188</v>
      </c>
      <c r="C4691" t="s">
        <v>55</v>
      </c>
      <c r="D4691" t="s">
        <v>29</v>
      </c>
      <c r="E4691" t="s">
        <v>51</v>
      </c>
      <c r="F4691" t="s">
        <v>70</v>
      </c>
      <c r="G4691" t="s">
        <v>31</v>
      </c>
      <c r="H4691" s="1">
        <v>44941</v>
      </c>
      <c r="I4691" s="2">
        <v>44942.0416666667</v>
      </c>
      <c r="J4691">
        <v>25</v>
      </c>
      <c r="K4691" t="s">
        <v>24</v>
      </c>
      <c r="L4691">
        <v>0</v>
      </c>
      <c r="M4691">
        <v>3</v>
      </c>
      <c r="N4691" t="s">
        <v>646</v>
      </c>
      <c r="O4691" s="3" t="str">
        <f>TEXT(Ticket_Table[[#This Row],[raised_date]],"YYYY-MM")</f>
        <v>2023-01</v>
      </c>
      <c r="P4691" s="3" t="str">
        <f>IF(Ticket_Table[[#This Row],[resolution_hrs]]&lt;=4,"Fast",IF(Ticket_Table[[#This Row],[resolution_hrs]]&lt;=24,"Normal",IF(Ticket_Table[[#This Row],[resolution_hrs]]&lt;=48,"Slow","Very Slow")))</f>
        <v>Slow</v>
      </c>
      <c r="Q4691" s="3">
        <f>YEAR(Ticket_Table[[#This Row],[raised_date]])</f>
        <v>2023</v>
      </c>
    </row>
    <row r="4692" spans="1:17">
      <c r="A4692" t="s">
        <v>5253</v>
      </c>
      <c r="B4692" t="s">
        <v>438</v>
      </c>
      <c r="C4692" t="s">
        <v>201</v>
      </c>
      <c r="D4692" t="s">
        <v>20</v>
      </c>
      <c r="E4692" t="s">
        <v>166</v>
      </c>
      <c r="F4692" t="s">
        <v>70</v>
      </c>
      <c r="G4692" t="s">
        <v>31</v>
      </c>
      <c r="H4692" s="1">
        <v>44999</v>
      </c>
      <c r="I4692" s="2">
        <v>45000.2083333333</v>
      </c>
      <c r="J4692">
        <v>29</v>
      </c>
      <c r="K4692" t="s">
        <v>24</v>
      </c>
      <c r="L4692">
        <v>0</v>
      </c>
      <c r="M4692">
        <v>4</v>
      </c>
      <c r="N4692" t="s">
        <v>860</v>
      </c>
      <c r="O4692" s="3" t="str">
        <f>TEXT(Ticket_Table[[#This Row],[raised_date]],"YYYY-MM")</f>
        <v>2023-03</v>
      </c>
      <c r="P4692" s="3" t="str">
        <f>IF(Ticket_Table[[#This Row],[resolution_hrs]]&lt;=4,"Fast",IF(Ticket_Table[[#This Row],[resolution_hrs]]&lt;=24,"Normal",IF(Ticket_Table[[#This Row],[resolution_hrs]]&lt;=48,"Slow","Very Slow")))</f>
        <v>Slow</v>
      </c>
      <c r="Q4692" s="3">
        <f>YEAR(Ticket_Table[[#This Row],[raised_date]])</f>
        <v>2023</v>
      </c>
    </row>
    <row r="4693" spans="1:17">
      <c r="A4693" t="s">
        <v>5254</v>
      </c>
      <c r="B4693" t="s">
        <v>266</v>
      </c>
      <c r="C4693" t="s">
        <v>133</v>
      </c>
      <c r="D4693" t="s">
        <v>90</v>
      </c>
      <c r="E4693" t="s">
        <v>83</v>
      </c>
      <c r="F4693" t="s">
        <v>38</v>
      </c>
      <c r="G4693" t="s">
        <v>23</v>
      </c>
      <c r="H4693" s="1">
        <v>44572</v>
      </c>
      <c r="I4693" s="2">
        <v>44572.9375</v>
      </c>
      <c r="J4693">
        <v>22.5</v>
      </c>
      <c r="K4693" t="s">
        <v>24</v>
      </c>
      <c r="L4693">
        <v>0</v>
      </c>
      <c r="M4693">
        <v>3</v>
      </c>
      <c r="N4693" t="s">
        <v>18</v>
      </c>
      <c r="O4693" s="3" t="str">
        <f>TEXT(Ticket_Table[[#This Row],[raised_date]],"YYYY-MM")</f>
        <v>2022-01</v>
      </c>
      <c r="P4693" s="3" t="str">
        <f>IF(Ticket_Table[[#This Row],[resolution_hrs]]&lt;=4,"Fast",IF(Ticket_Table[[#This Row],[resolution_hrs]]&lt;=24,"Normal",IF(Ticket_Table[[#This Row],[resolution_hrs]]&lt;=48,"Slow","Very Slow")))</f>
        <v>Normal</v>
      </c>
      <c r="Q4693" s="3">
        <f>YEAR(Ticket_Table[[#This Row],[raised_date]])</f>
        <v>2022</v>
      </c>
    </row>
    <row r="4694" spans="1:17">
      <c r="A4694" t="s">
        <v>5255</v>
      </c>
      <c r="B4694" t="s">
        <v>47</v>
      </c>
      <c r="C4694" t="s">
        <v>60</v>
      </c>
      <c r="D4694" t="s">
        <v>36</v>
      </c>
      <c r="E4694" t="s">
        <v>56</v>
      </c>
      <c r="F4694" t="s">
        <v>70</v>
      </c>
      <c r="G4694" t="s">
        <v>46</v>
      </c>
      <c r="H4694" s="1">
        <v>44873</v>
      </c>
      <c r="I4694" s="2">
        <v>44874.1125</v>
      </c>
      <c r="J4694">
        <v>26.7</v>
      </c>
      <c r="K4694" t="s">
        <v>24</v>
      </c>
      <c r="L4694">
        <v>1</v>
      </c>
      <c r="M4694">
        <v>4</v>
      </c>
      <c r="N4694" t="s">
        <v>678</v>
      </c>
      <c r="O4694" s="3" t="str">
        <f>TEXT(Ticket_Table[[#This Row],[raised_date]],"YYYY-MM")</f>
        <v>2022-11</v>
      </c>
      <c r="P4694" s="3" t="str">
        <f>IF(Ticket_Table[[#This Row],[resolution_hrs]]&lt;=4,"Fast",IF(Ticket_Table[[#This Row],[resolution_hrs]]&lt;=24,"Normal",IF(Ticket_Table[[#This Row],[resolution_hrs]]&lt;=48,"Slow","Very Slow")))</f>
        <v>Slow</v>
      </c>
      <c r="Q4694" s="3">
        <f>YEAR(Ticket_Table[[#This Row],[raised_date]])</f>
        <v>2022</v>
      </c>
    </row>
    <row r="4695" spans="1:17">
      <c r="A4695" t="s">
        <v>5256</v>
      </c>
      <c r="B4695" t="s">
        <v>382</v>
      </c>
      <c r="C4695" t="s">
        <v>133</v>
      </c>
      <c r="D4695" t="s">
        <v>36</v>
      </c>
      <c r="E4695" t="s">
        <v>44</v>
      </c>
      <c r="F4695" t="s">
        <v>22</v>
      </c>
      <c r="G4695" t="s">
        <v>46</v>
      </c>
      <c r="H4695" s="1">
        <v>44862</v>
      </c>
      <c r="I4695" s="2">
        <v>44864.9791666667</v>
      </c>
      <c r="J4695">
        <v>71.5</v>
      </c>
      <c r="K4695" t="s">
        <v>24</v>
      </c>
      <c r="L4695">
        <v>0</v>
      </c>
      <c r="M4695">
        <v>3</v>
      </c>
      <c r="N4695" t="s">
        <v>49</v>
      </c>
      <c r="O4695" s="3" t="str">
        <f>TEXT(Ticket_Table[[#This Row],[raised_date]],"YYYY-MM")</f>
        <v>2022-10</v>
      </c>
      <c r="P4695" s="3" t="str">
        <f>IF(Ticket_Table[[#This Row],[resolution_hrs]]&lt;=4,"Fast",IF(Ticket_Table[[#This Row],[resolution_hrs]]&lt;=24,"Normal",IF(Ticket_Table[[#This Row],[resolution_hrs]]&lt;=48,"Slow","Very Slow")))</f>
        <v>Very Slow</v>
      </c>
      <c r="Q4695" s="3">
        <f>YEAR(Ticket_Table[[#This Row],[raised_date]])</f>
        <v>2022</v>
      </c>
    </row>
    <row r="4696" spans="1:17">
      <c r="A4696" t="s">
        <v>5257</v>
      </c>
      <c r="B4696" t="s">
        <v>374</v>
      </c>
      <c r="C4696" t="s">
        <v>175</v>
      </c>
      <c r="D4696" t="s">
        <v>20</v>
      </c>
      <c r="E4696" t="s">
        <v>37</v>
      </c>
      <c r="F4696" t="s">
        <v>22</v>
      </c>
      <c r="G4696" t="s">
        <v>23</v>
      </c>
      <c r="H4696" s="1">
        <v>45125</v>
      </c>
      <c r="I4696" s="2">
        <v>45128.5291666667</v>
      </c>
      <c r="J4696">
        <v>84.7</v>
      </c>
      <c r="K4696" t="s">
        <v>32</v>
      </c>
      <c r="L4696">
        <v>0</v>
      </c>
      <c r="M4696">
        <v>5</v>
      </c>
      <c r="N4696" t="s">
        <v>478</v>
      </c>
      <c r="O4696" s="3" t="str">
        <f>TEXT(Ticket_Table[[#This Row],[raised_date]],"YYYY-MM")</f>
        <v>2023-07</v>
      </c>
      <c r="P4696" s="3" t="str">
        <f>IF(Ticket_Table[[#This Row],[resolution_hrs]]&lt;=4,"Fast",IF(Ticket_Table[[#This Row],[resolution_hrs]]&lt;=24,"Normal",IF(Ticket_Table[[#This Row],[resolution_hrs]]&lt;=48,"Slow","Very Slow")))</f>
        <v>Very Slow</v>
      </c>
      <c r="Q4696" s="3">
        <f>YEAR(Ticket_Table[[#This Row],[raised_date]])</f>
        <v>2023</v>
      </c>
    </row>
    <row r="4697" spans="1:17">
      <c r="A4697" t="s">
        <v>5258</v>
      </c>
      <c r="B4697" t="s">
        <v>737</v>
      </c>
      <c r="C4697" t="s">
        <v>102</v>
      </c>
      <c r="D4697" t="s">
        <v>29</v>
      </c>
      <c r="E4697" t="s">
        <v>21</v>
      </c>
      <c r="F4697" t="s">
        <v>70</v>
      </c>
      <c r="G4697" t="s">
        <v>23</v>
      </c>
      <c r="H4697" s="1">
        <v>45195</v>
      </c>
      <c r="I4697" s="2">
        <v>45197.4375</v>
      </c>
      <c r="J4697">
        <v>58.5</v>
      </c>
      <c r="K4697" t="s">
        <v>32</v>
      </c>
      <c r="L4697">
        <v>0</v>
      </c>
      <c r="M4697">
        <v>5</v>
      </c>
      <c r="N4697" t="s">
        <v>212</v>
      </c>
      <c r="O4697" s="3" t="str">
        <f>TEXT(Ticket_Table[[#This Row],[raised_date]],"YYYY-MM")</f>
        <v>2023-09</v>
      </c>
      <c r="P4697" s="3" t="str">
        <f>IF(Ticket_Table[[#This Row],[resolution_hrs]]&lt;=4,"Fast",IF(Ticket_Table[[#This Row],[resolution_hrs]]&lt;=24,"Normal",IF(Ticket_Table[[#This Row],[resolution_hrs]]&lt;=48,"Slow","Very Slow")))</f>
        <v>Very Slow</v>
      </c>
      <c r="Q4697" s="3">
        <f>YEAR(Ticket_Table[[#This Row],[raised_date]])</f>
        <v>2023</v>
      </c>
    </row>
    <row r="4698" spans="1:17">
      <c r="A4698" t="s">
        <v>5259</v>
      </c>
      <c r="B4698" t="s">
        <v>560</v>
      </c>
      <c r="C4698" t="s">
        <v>19</v>
      </c>
      <c r="D4698" t="s">
        <v>36</v>
      </c>
      <c r="E4698" t="s">
        <v>106</v>
      </c>
      <c r="F4698" t="s">
        <v>70</v>
      </c>
      <c r="G4698" t="s">
        <v>31</v>
      </c>
      <c r="H4698" s="1">
        <v>44258</v>
      </c>
      <c r="I4698" s="2">
        <v>44259.8416666667</v>
      </c>
      <c r="J4698">
        <v>44.2</v>
      </c>
      <c r="K4698" t="s">
        <v>24</v>
      </c>
      <c r="L4698">
        <v>0</v>
      </c>
      <c r="M4698">
        <v>5</v>
      </c>
      <c r="N4698" t="s">
        <v>571</v>
      </c>
      <c r="O4698" s="3" t="str">
        <f>TEXT(Ticket_Table[[#This Row],[raised_date]],"YYYY-MM")</f>
        <v>2021-03</v>
      </c>
      <c r="P4698" s="3" t="str">
        <f>IF(Ticket_Table[[#This Row],[resolution_hrs]]&lt;=4,"Fast",IF(Ticket_Table[[#This Row],[resolution_hrs]]&lt;=24,"Normal",IF(Ticket_Table[[#This Row],[resolution_hrs]]&lt;=48,"Slow","Very Slow")))</f>
        <v>Slow</v>
      </c>
      <c r="Q4698" s="3">
        <f>YEAR(Ticket_Table[[#This Row],[raised_date]])</f>
        <v>2021</v>
      </c>
    </row>
    <row r="4699" spans="1:17">
      <c r="A4699" t="s">
        <v>5260</v>
      </c>
      <c r="B4699" t="s">
        <v>293</v>
      </c>
      <c r="C4699" t="s">
        <v>261</v>
      </c>
      <c r="D4699" t="s">
        <v>20</v>
      </c>
      <c r="E4699" t="s">
        <v>83</v>
      </c>
      <c r="F4699" t="s">
        <v>70</v>
      </c>
      <c r="G4699" t="s">
        <v>23</v>
      </c>
      <c r="H4699" s="1">
        <v>44330</v>
      </c>
      <c r="I4699" s="2">
        <v>44330.4083333333</v>
      </c>
      <c r="J4699">
        <v>9.8</v>
      </c>
      <c r="K4699" t="s">
        <v>24</v>
      </c>
      <c r="L4699">
        <v>0</v>
      </c>
      <c r="M4699">
        <v>4</v>
      </c>
      <c r="N4699" t="s">
        <v>94</v>
      </c>
      <c r="O4699" s="3" t="str">
        <f>TEXT(Ticket_Table[[#This Row],[raised_date]],"YYYY-MM")</f>
        <v>2021-05</v>
      </c>
      <c r="P4699" s="3" t="str">
        <f>IF(Ticket_Table[[#This Row],[resolution_hrs]]&lt;=4,"Fast",IF(Ticket_Table[[#This Row],[resolution_hrs]]&lt;=24,"Normal",IF(Ticket_Table[[#This Row],[resolution_hrs]]&lt;=48,"Slow","Very Slow")))</f>
        <v>Normal</v>
      </c>
      <c r="Q4699" s="3">
        <f>YEAR(Ticket_Table[[#This Row],[raised_date]])</f>
        <v>2021</v>
      </c>
    </row>
    <row r="4700" spans="1:17">
      <c r="A4700" t="s">
        <v>5261</v>
      </c>
      <c r="B4700" t="s">
        <v>758</v>
      </c>
      <c r="C4700" t="s">
        <v>82</v>
      </c>
      <c r="D4700" t="s">
        <v>43</v>
      </c>
      <c r="E4700" t="s">
        <v>83</v>
      </c>
      <c r="F4700" t="s">
        <v>22</v>
      </c>
      <c r="G4700" t="s">
        <v>23</v>
      </c>
      <c r="H4700" s="1">
        <v>45170</v>
      </c>
      <c r="I4700" s="2">
        <v>45172.575</v>
      </c>
      <c r="J4700">
        <v>61.8</v>
      </c>
      <c r="K4700" t="s">
        <v>24</v>
      </c>
      <c r="L4700">
        <v>0</v>
      </c>
      <c r="M4700">
        <v>4</v>
      </c>
      <c r="N4700" t="s">
        <v>300</v>
      </c>
      <c r="O4700" s="3" t="str">
        <f>TEXT(Ticket_Table[[#This Row],[raised_date]],"YYYY-MM")</f>
        <v>2023-09</v>
      </c>
      <c r="P4700" s="3" t="str">
        <f>IF(Ticket_Table[[#This Row],[resolution_hrs]]&lt;=4,"Fast",IF(Ticket_Table[[#This Row],[resolution_hrs]]&lt;=24,"Normal",IF(Ticket_Table[[#This Row],[resolution_hrs]]&lt;=48,"Slow","Very Slow")))</f>
        <v>Very Slow</v>
      </c>
      <c r="Q4700" s="3">
        <f>YEAR(Ticket_Table[[#This Row],[raised_date]])</f>
        <v>2023</v>
      </c>
    </row>
    <row r="4701" spans="1:17">
      <c r="A4701" t="s">
        <v>5262</v>
      </c>
      <c r="B4701" t="s">
        <v>454</v>
      </c>
      <c r="C4701" t="s">
        <v>287</v>
      </c>
      <c r="D4701" t="s">
        <v>36</v>
      </c>
      <c r="E4701" t="s">
        <v>30</v>
      </c>
      <c r="F4701" t="s">
        <v>38</v>
      </c>
      <c r="G4701" t="s">
        <v>23</v>
      </c>
      <c r="H4701" s="1">
        <v>44428</v>
      </c>
      <c r="I4701" s="2">
        <v>44428.5083333333</v>
      </c>
      <c r="J4701">
        <v>12.2</v>
      </c>
      <c r="K4701" t="s">
        <v>24</v>
      </c>
      <c r="L4701">
        <v>0</v>
      </c>
      <c r="M4701">
        <v>3</v>
      </c>
      <c r="N4701" t="s">
        <v>471</v>
      </c>
      <c r="O4701" s="3" t="str">
        <f>TEXT(Ticket_Table[[#This Row],[raised_date]],"YYYY-MM")</f>
        <v>2021-08</v>
      </c>
      <c r="P4701" s="3" t="str">
        <f>IF(Ticket_Table[[#This Row],[resolution_hrs]]&lt;=4,"Fast",IF(Ticket_Table[[#This Row],[resolution_hrs]]&lt;=24,"Normal",IF(Ticket_Table[[#This Row],[resolution_hrs]]&lt;=48,"Slow","Very Slow")))</f>
        <v>Normal</v>
      </c>
      <c r="Q4701" s="3">
        <f>YEAR(Ticket_Table[[#This Row],[raised_date]])</f>
        <v>2021</v>
      </c>
    </row>
    <row r="4702" spans="1:17">
      <c r="A4702" t="s">
        <v>5263</v>
      </c>
      <c r="B4702" t="s">
        <v>250</v>
      </c>
      <c r="C4702" t="s">
        <v>68</v>
      </c>
      <c r="D4702" t="s">
        <v>43</v>
      </c>
      <c r="E4702" t="s">
        <v>44</v>
      </c>
      <c r="F4702" t="s">
        <v>22</v>
      </c>
      <c r="G4702" t="s">
        <v>23</v>
      </c>
      <c r="H4702" s="1">
        <v>44916</v>
      </c>
      <c r="I4702" s="2">
        <v>44917.2208333333</v>
      </c>
      <c r="J4702">
        <v>29.3</v>
      </c>
      <c r="K4702" t="s">
        <v>24</v>
      </c>
      <c r="L4702">
        <v>2</v>
      </c>
      <c r="M4702">
        <v>4</v>
      </c>
      <c r="N4702" t="s">
        <v>968</v>
      </c>
      <c r="O4702" s="3" t="str">
        <f>TEXT(Ticket_Table[[#This Row],[raised_date]],"YYYY-MM")</f>
        <v>2022-12</v>
      </c>
      <c r="P4702" s="3" t="str">
        <f>IF(Ticket_Table[[#This Row],[resolution_hrs]]&lt;=4,"Fast",IF(Ticket_Table[[#This Row],[resolution_hrs]]&lt;=24,"Normal",IF(Ticket_Table[[#This Row],[resolution_hrs]]&lt;=48,"Slow","Very Slow")))</f>
        <v>Slow</v>
      </c>
      <c r="Q4702" s="3">
        <f>YEAR(Ticket_Table[[#This Row],[raised_date]])</f>
        <v>2022</v>
      </c>
    </row>
    <row r="4703" spans="1:17">
      <c r="A4703" t="s">
        <v>5264</v>
      </c>
      <c r="B4703" t="s">
        <v>397</v>
      </c>
      <c r="C4703" t="s">
        <v>117</v>
      </c>
      <c r="D4703" t="s">
        <v>29</v>
      </c>
      <c r="E4703" t="s">
        <v>83</v>
      </c>
      <c r="F4703" t="s">
        <v>22</v>
      </c>
      <c r="G4703" t="s">
        <v>23</v>
      </c>
      <c r="H4703" s="1">
        <v>45177</v>
      </c>
      <c r="I4703" s="2">
        <v>45177.8375</v>
      </c>
      <c r="J4703">
        <v>20.1</v>
      </c>
      <c r="K4703" t="s">
        <v>24</v>
      </c>
      <c r="L4703">
        <v>1</v>
      </c>
      <c r="M4703">
        <v>3</v>
      </c>
      <c r="N4703" t="s">
        <v>608</v>
      </c>
      <c r="O4703" s="3" t="str">
        <f>TEXT(Ticket_Table[[#This Row],[raised_date]],"YYYY-MM")</f>
        <v>2023-09</v>
      </c>
      <c r="P4703" s="3" t="str">
        <f>IF(Ticket_Table[[#This Row],[resolution_hrs]]&lt;=4,"Fast",IF(Ticket_Table[[#This Row],[resolution_hrs]]&lt;=24,"Normal",IF(Ticket_Table[[#This Row],[resolution_hrs]]&lt;=48,"Slow","Very Slow")))</f>
        <v>Normal</v>
      </c>
      <c r="Q4703" s="3">
        <f>YEAR(Ticket_Table[[#This Row],[raised_date]])</f>
        <v>2023</v>
      </c>
    </row>
    <row r="4704" spans="1:17">
      <c r="A4704" t="s">
        <v>5265</v>
      </c>
      <c r="B4704" t="s">
        <v>154</v>
      </c>
      <c r="C4704" t="s">
        <v>287</v>
      </c>
      <c r="D4704" t="s">
        <v>36</v>
      </c>
      <c r="E4704" t="s">
        <v>30</v>
      </c>
      <c r="F4704" t="s">
        <v>70</v>
      </c>
      <c r="G4704" t="s">
        <v>46</v>
      </c>
      <c r="H4704" s="1">
        <v>45141</v>
      </c>
      <c r="I4704" s="2">
        <v>45142.4125</v>
      </c>
      <c r="J4704">
        <v>33.9</v>
      </c>
      <c r="K4704" t="s">
        <v>24</v>
      </c>
      <c r="L4704">
        <v>0</v>
      </c>
      <c r="M4704">
        <v>2</v>
      </c>
      <c r="N4704" t="s">
        <v>264</v>
      </c>
      <c r="O4704" s="3" t="str">
        <f>TEXT(Ticket_Table[[#This Row],[raised_date]],"YYYY-MM")</f>
        <v>2023-08</v>
      </c>
      <c r="P4704" s="3" t="str">
        <f>IF(Ticket_Table[[#This Row],[resolution_hrs]]&lt;=4,"Fast",IF(Ticket_Table[[#This Row],[resolution_hrs]]&lt;=24,"Normal",IF(Ticket_Table[[#This Row],[resolution_hrs]]&lt;=48,"Slow","Very Slow")))</f>
        <v>Slow</v>
      </c>
      <c r="Q4704" s="3">
        <f>YEAR(Ticket_Table[[#This Row],[raised_date]])</f>
        <v>2023</v>
      </c>
    </row>
    <row r="4705" spans="1:17">
      <c r="A4705" t="s">
        <v>5266</v>
      </c>
      <c r="B4705" t="s">
        <v>536</v>
      </c>
      <c r="C4705" t="s">
        <v>287</v>
      </c>
      <c r="D4705" t="s">
        <v>20</v>
      </c>
      <c r="E4705" t="s">
        <v>56</v>
      </c>
      <c r="F4705" t="s">
        <v>22</v>
      </c>
      <c r="G4705" t="s">
        <v>23</v>
      </c>
      <c r="H4705" s="1">
        <v>44546</v>
      </c>
      <c r="I4705" s="2">
        <v>44548.0041666667</v>
      </c>
      <c r="J4705">
        <v>48.1</v>
      </c>
      <c r="K4705" t="s">
        <v>24</v>
      </c>
      <c r="L4705">
        <v>3</v>
      </c>
      <c r="M4705">
        <v>1</v>
      </c>
      <c r="N4705" t="s">
        <v>1348</v>
      </c>
      <c r="O4705" s="3" t="str">
        <f>TEXT(Ticket_Table[[#This Row],[raised_date]],"YYYY-MM")</f>
        <v>2021-12</v>
      </c>
      <c r="P4705" s="3" t="str">
        <f>IF(Ticket_Table[[#This Row],[resolution_hrs]]&lt;=4,"Fast",IF(Ticket_Table[[#This Row],[resolution_hrs]]&lt;=24,"Normal",IF(Ticket_Table[[#This Row],[resolution_hrs]]&lt;=48,"Slow","Very Slow")))</f>
        <v>Very Slow</v>
      </c>
      <c r="Q4705" s="3">
        <f>YEAR(Ticket_Table[[#This Row],[raised_date]])</f>
        <v>2021</v>
      </c>
    </row>
    <row r="4706" spans="1:17">
      <c r="A4706" t="s">
        <v>5267</v>
      </c>
      <c r="B4706" t="s">
        <v>735</v>
      </c>
      <c r="C4706" t="s">
        <v>133</v>
      </c>
      <c r="D4706" t="s">
        <v>90</v>
      </c>
      <c r="E4706" t="s">
        <v>83</v>
      </c>
      <c r="F4706" t="s">
        <v>70</v>
      </c>
      <c r="G4706" t="s">
        <v>46</v>
      </c>
      <c r="H4706" s="1">
        <v>44775</v>
      </c>
      <c r="I4706" s="2">
        <v>44776.4208333333</v>
      </c>
      <c r="J4706">
        <v>34.1</v>
      </c>
      <c r="K4706" t="s">
        <v>24</v>
      </c>
      <c r="L4706">
        <v>0</v>
      </c>
      <c r="M4706">
        <v>4</v>
      </c>
      <c r="N4706" t="s">
        <v>295</v>
      </c>
      <c r="O4706" s="3" t="str">
        <f>TEXT(Ticket_Table[[#This Row],[raised_date]],"YYYY-MM")</f>
        <v>2022-08</v>
      </c>
      <c r="P4706" s="3" t="str">
        <f>IF(Ticket_Table[[#This Row],[resolution_hrs]]&lt;=4,"Fast",IF(Ticket_Table[[#This Row],[resolution_hrs]]&lt;=24,"Normal",IF(Ticket_Table[[#This Row],[resolution_hrs]]&lt;=48,"Slow","Very Slow")))</f>
        <v>Slow</v>
      </c>
      <c r="Q4706" s="3">
        <f>YEAR(Ticket_Table[[#This Row],[raised_date]])</f>
        <v>2022</v>
      </c>
    </row>
    <row r="4707" spans="1:17">
      <c r="A4707" t="s">
        <v>5268</v>
      </c>
      <c r="B4707" t="s">
        <v>182</v>
      </c>
      <c r="C4707" t="s">
        <v>175</v>
      </c>
      <c r="D4707" t="s">
        <v>36</v>
      </c>
      <c r="E4707" t="s">
        <v>37</v>
      </c>
      <c r="F4707" t="s">
        <v>70</v>
      </c>
      <c r="G4707" t="s">
        <v>31</v>
      </c>
      <c r="H4707" s="1">
        <v>44910</v>
      </c>
      <c r="I4707" s="2">
        <v>44912.9</v>
      </c>
      <c r="J4707">
        <v>69.6</v>
      </c>
      <c r="K4707" t="s">
        <v>32</v>
      </c>
      <c r="L4707">
        <v>1</v>
      </c>
      <c r="M4707">
        <v>3</v>
      </c>
      <c r="N4707" t="s">
        <v>259</v>
      </c>
      <c r="O4707" s="3" t="str">
        <f>TEXT(Ticket_Table[[#This Row],[raised_date]],"YYYY-MM")</f>
        <v>2022-12</v>
      </c>
      <c r="P4707" s="3" t="str">
        <f>IF(Ticket_Table[[#This Row],[resolution_hrs]]&lt;=4,"Fast",IF(Ticket_Table[[#This Row],[resolution_hrs]]&lt;=24,"Normal",IF(Ticket_Table[[#This Row],[resolution_hrs]]&lt;=48,"Slow","Very Slow")))</f>
        <v>Very Slow</v>
      </c>
      <c r="Q4707" s="3">
        <f>YEAR(Ticket_Table[[#This Row],[raised_date]])</f>
        <v>2022</v>
      </c>
    </row>
    <row r="4708" spans="1:17">
      <c r="A4708" t="s">
        <v>5269</v>
      </c>
      <c r="B4708" t="s">
        <v>202</v>
      </c>
      <c r="C4708" t="s">
        <v>68</v>
      </c>
      <c r="D4708" t="s">
        <v>36</v>
      </c>
      <c r="E4708" t="s">
        <v>166</v>
      </c>
      <c r="F4708" t="s">
        <v>70</v>
      </c>
      <c r="G4708" t="s">
        <v>46</v>
      </c>
      <c r="H4708" s="1">
        <v>44457</v>
      </c>
      <c r="I4708" s="2">
        <v>44458.4625</v>
      </c>
      <c r="J4708">
        <v>35.1</v>
      </c>
      <c r="K4708" t="s">
        <v>24</v>
      </c>
      <c r="L4708">
        <v>0</v>
      </c>
      <c r="M4708">
        <v>5</v>
      </c>
      <c r="N4708" t="s">
        <v>603</v>
      </c>
      <c r="O4708" s="3" t="str">
        <f>TEXT(Ticket_Table[[#This Row],[raised_date]],"YYYY-MM")</f>
        <v>2021-09</v>
      </c>
      <c r="P4708" s="3" t="str">
        <f>IF(Ticket_Table[[#This Row],[resolution_hrs]]&lt;=4,"Fast",IF(Ticket_Table[[#This Row],[resolution_hrs]]&lt;=24,"Normal",IF(Ticket_Table[[#This Row],[resolution_hrs]]&lt;=48,"Slow","Very Slow")))</f>
        <v>Slow</v>
      </c>
      <c r="Q4708" s="3">
        <f>YEAR(Ticket_Table[[#This Row],[raised_date]])</f>
        <v>2021</v>
      </c>
    </row>
    <row r="4709" spans="1:17">
      <c r="A4709" t="s">
        <v>5270</v>
      </c>
      <c r="B4709" t="s">
        <v>365</v>
      </c>
      <c r="C4709" t="s">
        <v>117</v>
      </c>
      <c r="D4709" t="s">
        <v>36</v>
      </c>
      <c r="E4709" t="s">
        <v>106</v>
      </c>
      <c r="F4709" t="s">
        <v>70</v>
      </c>
      <c r="G4709" t="s">
        <v>91</v>
      </c>
      <c r="H4709" s="1">
        <v>45237</v>
      </c>
      <c r="I4709" s="2">
        <v>45239.5375</v>
      </c>
      <c r="J4709">
        <v>60.9</v>
      </c>
      <c r="K4709" t="s">
        <v>32</v>
      </c>
      <c r="L4709">
        <v>0</v>
      </c>
      <c r="M4709">
        <v>3</v>
      </c>
      <c r="N4709" t="s">
        <v>325</v>
      </c>
      <c r="O4709" s="3" t="str">
        <f>TEXT(Ticket_Table[[#This Row],[raised_date]],"YYYY-MM")</f>
        <v>2023-11</v>
      </c>
      <c r="P4709" s="3" t="str">
        <f>IF(Ticket_Table[[#This Row],[resolution_hrs]]&lt;=4,"Fast",IF(Ticket_Table[[#This Row],[resolution_hrs]]&lt;=24,"Normal",IF(Ticket_Table[[#This Row],[resolution_hrs]]&lt;=48,"Slow","Very Slow")))</f>
        <v>Very Slow</v>
      </c>
      <c r="Q4709" s="3">
        <f>YEAR(Ticket_Table[[#This Row],[raised_date]])</f>
        <v>2023</v>
      </c>
    </row>
    <row r="4710" spans="1:17">
      <c r="A4710" t="s">
        <v>5271</v>
      </c>
      <c r="B4710" t="s">
        <v>476</v>
      </c>
      <c r="C4710" t="s">
        <v>68</v>
      </c>
      <c r="D4710" t="s">
        <v>36</v>
      </c>
      <c r="E4710" t="s">
        <v>56</v>
      </c>
      <c r="F4710" t="s">
        <v>22</v>
      </c>
      <c r="G4710" t="s">
        <v>31</v>
      </c>
      <c r="H4710" s="1">
        <v>44407</v>
      </c>
      <c r="I4710" s="2">
        <v>44408.0125</v>
      </c>
      <c r="J4710">
        <v>24.3</v>
      </c>
      <c r="K4710" t="s">
        <v>24</v>
      </c>
      <c r="L4710">
        <v>0</v>
      </c>
      <c r="M4710">
        <v>5</v>
      </c>
      <c r="N4710" t="s">
        <v>266</v>
      </c>
      <c r="O4710" s="3" t="str">
        <f>TEXT(Ticket_Table[[#This Row],[raised_date]],"YYYY-MM")</f>
        <v>2021-07</v>
      </c>
      <c r="P4710" s="3" t="str">
        <f>IF(Ticket_Table[[#This Row],[resolution_hrs]]&lt;=4,"Fast",IF(Ticket_Table[[#This Row],[resolution_hrs]]&lt;=24,"Normal",IF(Ticket_Table[[#This Row],[resolution_hrs]]&lt;=48,"Slow","Very Slow")))</f>
        <v>Slow</v>
      </c>
      <c r="Q4710" s="3">
        <f>YEAR(Ticket_Table[[#This Row],[raised_date]])</f>
        <v>2021</v>
      </c>
    </row>
    <row r="4711" spans="1:17">
      <c r="A4711" t="s">
        <v>5272</v>
      </c>
      <c r="B4711" t="s">
        <v>110</v>
      </c>
      <c r="C4711" t="s">
        <v>102</v>
      </c>
      <c r="D4711" t="s">
        <v>20</v>
      </c>
      <c r="E4711" t="s">
        <v>21</v>
      </c>
      <c r="F4711" t="s">
        <v>22</v>
      </c>
      <c r="G4711" t="s">
        <v>23</v>
      </c>
      <c r="H4711" s="1">
        <v>45027</v>
      </c>
      <c r="I4711" s="2">
        <v>45027.3041666667</v>
      </c>
      <c r="J4711">
        <v>7.3</v>
      </c>
      <c r="K4711" t="s">
        <v>24</v>
      </c>
      <c r="L4711">
        <v>0</v>
      </c>
      <c r="M4711">
        <v>3</v>
      </c>
      <c r="N4711" t="s">
        <v>796</v>
      </c>
      <c r="O4711" s="3" t="str">
        <f>TEXT(Ticket_Table[[#This Row],[raised_date]],"YYYY-MM")</f>
        <v>2023-04</v>
      </c>
      <c r="P4711" s="3" t="str">
        <f>IF(Ticket_Table[[#This Row],[resolution_hrs]]&lt;=4,"Fast",IF(Ticket_Table[[#This Row],[resolution_hrs]]&lt;=24,"Normal",IF(Ticket_Table[[#This Row],[resolution_hrs]]&lt;=48,"Slow","Very Slow")))</f>
        <v>Normal</v>
      </c>
      <c r="Q4711" s="3">
        <f>YEAR(Ticket_Table[[#This Row],[raised_date]])</f>
        <v>2023</v>
      </c>
    </row>
    <row r="4712" spans="1:17">
      <c r="A4712" t="s">
        <v>5273</v>
      </c>
      <c r="B4712" t="s">
        <v>92</v>
      </c>
      <c r="C4712" t="s">
        <v>213</v>
      </c>
      <c r="D4712" t="s">
        <v>20</v>
      </c>
      <c r="E4712" t="s">
        <v>44</v>
      </c>
      <c r="F4712" t="s">
        <v>38</v>
      </c>
      <c r="G4712" t="s">
        <v>23</v>
      </c>
      <c r="H4712" s="1">
        <v>44416</v>
      </c>
      <c r="I4712" s="2">
        <v>44417.4125</v>
      </c>
      <c r="J4712">
        <v>33.9</v>
      </c>
      <c r="K4712" t="s">
        <v>32</v>
      </c>
      <c r="L4712">
        <v>0</v>
      </c>
      <c r="M4712">
        <v>4</v>
      </c>
      <c r="N4712" t="s">
        <v>148</v>
      </c>
      <c r="O4712" s="3" t="str">
        <f>TEXT(Ticket_Table[[#This Row],[raised_date]],"YYYY-MM")</f>
        <v>2021-08</v>
      </c>
      <c r="P4712" s="3" t="str">
        <f>IF(Ticket_Table[[#This Row],[resolution_hrs]]&lt;=4,"Fast",IF(Ticket_Table[[#This Row],[resolution_hrs]]&lt;=24,"Normal",IF(Ticket_Table[[#This Row],[resolution_hrs]]&lt;=48,"Slow","Very Slow")))</f>
        <v>Slow</v>
      </c>
      <c r="Q4712" s="3">
        <f>YEAR(Ticket_Table[[#This Row],[raised_date]])</f>
        <v>2021</v>
      </c>
    </row>
    <row r="4713" spans="1:17">
      <c r="A4713" t="s">
        <v>5274</v>
      </c>
      <c r="B4713" t="s">
        <v>496</v>
      </c>
      <c r="C4713" t="s">
        <v>50</v>
      </c>
      <c r="D4713" t="s">
        <v>90</v>
      </c>
      <c r="E4713" t="s">
        <v>44</v>
      </c>
      <c r="F4713" t="s">
        <v>70</v>
      </c>
      <c r="G4713" t="s">
        <v>23</v>
      </c>
      <c r="H4713" s="1">
        <v>44864</v>
      </c>
      <c r="I4713" s="2">
        <v>44864.8583333333</v>
      </c>
      <c r="J4713">
        <v>20.6</v>
      </c>
      <c r="K4713" t="s">
        <v>24</v>
      </c>
      <c r="L4713">
        <v>0</v>
      </c>
      <c r="M4713">
        <v>4</v>
      </c>
      <c r="N4713" t="s">
        <v>1123</v>
      </c>
      <c r="O4713" s="3" t="str">
        <f>TEXT(Ticket_Table[[#This Row],[raised_date]],"YYYY-MM")</f>
        <v>2022-10</v>
      </c>
      <c r="P4713" s="3" t="str">
        <f>IF(Ticket_Table[[#This Row],[resolution_hrs]]&lt;=4,"Fast",IF(Ticket_Table[[#This Row],[resolution_hrs]]&lt;=24,"Normal",IF(Ticket_Table[[#This Row],[resolution_hrs]]&lt;=48,"Slow","Very Slow")))</f>
        <v>Normal</v>
      </c>
      <c r="Q4713" s="3">
        <f>YEAR(Ticket_Table[[#This Row],[raised_date]])</f>
        <v>2022</v>
      </c>
    </row>
    <row r="4714" spans="1:17">
      <c r="A4714" t="s">
        <v>5275</v>
      </c>
      <c r="B4714" t="s">
        <v>138</v>
      </c>
      <c r="C4714" t="s">
        <v>140</v>
      </c>
      <c r="D4714" t="s">
        <v>20</v>
      </c>
      <c r="E4714" t="s">
        <v>44</v>
      </c>
      <c r="F4714" t="s">
        <v>70</v>
      </c>
      <c r="G4714" t="s">
        <v>31</v>
      </c>
      <c r="H4714" s="1">
        <v>44342</v>
      </c>
      <c r="I4714" s="2">
        <v>44343.8458333333</v>
      </c>
      <c r="J4714">
        <v>44.3</v>
      </c>
      <c r="K4714" t="s">
        <v>24</v>
      </c>
      <c r="L4714">
        <v>0</v>
      </c>
      <c r="M4714">
        <v>4</v>
      </c>
      <c r="N4714" t="s">
        <v>409</v>
      </c>
      <c r="O4714" s="3" t="str">
        <f>TEXT(Ticket_Table[[#This Row],[raised_date]],"YYYY-MM")</f>
        <v>2021-05</v>
      </c>
      <c r="P4714" s="3" t="str">
        <f>IF(Ticket_Table[[#This Row],[resolution_hrs]]&lt;=4,"Fast",IF(Ticket_Table[[#This Row],[resolution_hrs]]&lt;=24,"Normal",IF(Ticket_Table[[#This Row],[resolution_hrs]]&lt;=48,"Slow","Very Slow")))</f>
        <v>Slow</v>
      </c>
      <c r="Q4714" s="3">
        <f>YEAR(Ticket_Table[[#This Row],[raised_date]])</f>
        <v>2021</v>
      </c>
    </row>
    <row r="4715" spans="1:17">
      <c r="A4715" t="s">
        <v>5276</v>
      </c>
      <c r="B4715" t="s">
        <v>158</v>
      </c>
      <c r="C4715" t="s">
        <v>19</v>
      </c>
      <c r="D4715" t="s">
        <v>20</v>
      </c>
      <c r="E4715" t="s">
        <v>37</v>
      </c>
      <c r="F4715" t="s">
        <v>22</v>
      </c>
      <c r="G4715" t="s">
        <v>23</v>
      </c>
      <c r="H4715" s="1">
        <v>44815</v>
      </c>
      <c r="I4715" s="2">
        <v>44816.4416666667</v>
      </c>
      <c r="J4715">
        <v>34.6</v>
      </c>
      <c r="K4715" t="s">
        <v>24</v>
      </c>
      <c r="L4715">
        <v>1</v>
      </c>
      <c r="M4715">
        <v>4</v>
      </c>
      <c r="N4715" t="s">
        <v>733</v>
      </c>
      <c r="O4715" s="3" t="str">
        <f>TEXT(Ticket_Table[[#This Row],[raised_date]],"YYYY-MM")</f>
        <v>2022-09</v>
      </c>
      <c r="P4715" s="3" t="str">
        <f>IF(Ticket_Table[[#This Row],[resolution_hrs]]&lt;=4,"Fast",IF(Ticket_Table[[#This Row],[resolution_hrs]]&lt;=24,"Normal",IF(Ticket_Table[[#This Row],[resolution_hrs]]&lt;=48,"Slow","Very Slow")))</f>
        <v>Slow</v>
      </c>
      <c r="Q4715" s="3">
        <f>YEAR(Ticket_Table[[#This Row],[raised_date]])</f>
        <v>2022</v>
      </c>
    </row>
    <row r="4716" spans="1:17">
      <c r="A4716" t="s">
        <v>5277</v>
      </c>
      <c r="B4716" t="s">
        <v>895</v>
      </c>
      <c r="C4716" t="s">
        <v>261</v>
      </c>
      <c r="D4716" t="s">
        <v>29</v>
      </c>
      <c r="E4716" t="s">
        <v>56</v>
      </c>
      <c r="F4716" t="s">
        <v>70</v>
      </c>
      <c r="G4716" t="s">
        <v>31</v>
      </c>
      <c r="H4716" s="1">
        <v>45288</v>
      </c>
      <c r="I4716" s="2">
        <v>45288.2291666667</v>
      </c>
      <c r="J4716">
        <v>5.5</v>
      </c>
      <c r="K4716" t="s">
        <v>24</v>
      </c>
      <c r="L4716">
        <v>0</v>
      </c>
      <c r="M4716">
        <v>4</v>
      </c>
      <c r="N4716" t="s">
        <v>202</v>
      </c>
      <c r="O4716" s="3" t="str">
        <f>TEXT(Ticket_Table[[#This Row],[raised_date]],"YYYY-MM")</f>
        <v>2023-12</v>
      </c>
      <c r="P4716" s="3" t="str">
        <f>IF(Ticket_Table[[#This Row],[resolution_hrs]]&lt;=4,"Fast",IF(Ticket_Table[[#This Row],[resolution_hrs]]&lt;=24,"Normal",IF(Ticket_Table[[#This Row],[resolution_hrs]]&lt;=48,"Slow","Very Slow")))</f>
        <v>Normal</v>
      </c>
      <c r="Q4716" s="3">
        <f>YEAR(Ticket_Table[[#This Row],[raised_date]])</f>
        <v>2023</v>
      </c>
    </row>
    <row r="4717" spans="1:17">
      <c r="A4717" t="s">
        <v>5278</v>
      </c>
      <c r="B4717" t="s">
        <v>703</v>
      </c>
      <c r="C4717" t="s">
        <v>42</v>
      </c>
      <c r="D4717" t="s">
        <v>29</v>
      </c>
      <c r="E4717" t="s">
        <v>83</v>
      </c>
      <c r="F4717" t="s">
        <v>70</v>
      </c>
      <c r="G4717" t="s">
        <v>74</v>
      </c>
      <c r="H4717" s="1">
        <v>45141</v>
      </c>
      <c r="I4717" s="2">
        <v>45141.575</v>
      </c>
      <c r="J4717">
        <v>13.8</v>
      </c>
      <c r="K4717" t="s">
        <v>24</v>
      </c>
      <c r="L4717">
        <v>1</v>
      </c>
      <c r="M4717">
        <v>4</v>
      </c>
      <c r="N4717" t="s">
        <v>653</v>
      </c>
      <c r="O4717" s="3" t="str">
        <f>TEXT(Ticket_Table[[#This Row],[raised_date]],"YYYY-MM")</f>
        <v>2023-08</v>
      </c>
      <c r="P4717" s="3" t="str">
        <f>IF(Ticket_Table[[#This Row],[resolution_hrs]]&lt;=4,"Fast",IF(Ticket_Table[[#This Row],[resolution_hrs]]&lt;=24,"Normal",IF(Ticket_Table[[#This Row],[resolution_hrs]]&lt;=48,"Slow","Very Slow")))</f>
        <v>Normal</v>
      </c>
      <c r="Q4717" s="3">
        <f>YEAR(Ticket_Table[[#This Row],[raised_date]])</f>
        <v>2023</v>
      </c>
    </row>
    <row r="4718" spans="1:17">
      <c r="A4718" t="s">
        <v>5279</v>
      </c>
      <c r="B4718" t="s">
        <v>720</v>
      </c>
      <c r="C4718" t="s">
        <v>102</v>
      </c>
      <c r="D4718" t="s">
        <v>43</v>
      </c>
      <c r="E4718" t="s">
        <v>37</v>
      </c>
      <c r="F4718" t="s">
        <v>70</v>
      </c>
      <c r="G4718" t="s">
        <v>46</v>
      </c>
      <c r="H4718" s="1">
        <v>45017</v>
      </c>
      <c r="I4718" s="2">
        <v>45019.3083333333</v>
      </c>
      <c r="J4718">
        <v>55.4</v>
      </c>
      <c r="K4718" t="s">
        <v>32</v>
      </c>
      <c r="L4718">
        <v>1</v>
      </c>
      <c r="M4718">
        <v>4</v>
      </c>
      <c r="N4718" t="s">
        <v>248</v>
      </c>
      <c r="O4718" s="3" t="str">
        <f>TEXT(Ticket_Table[[#This Row],[raised_date]],"YYYY-MM")</f>
        <v>2023-04</v>
      </c>
      <c r="P4718" s="3" t="str">
        <f>IF(Ticket_Table[[#This Row],[resolution_hrs]]&lt;=4,"Fast",IF(Ticket_Table[[#This Row],[resolution_hrs]]&lt;=24,"Normal",IF(Ticket_Table[[#This Row],[resolution_hrs]]&lt;=48,"Slow","Very Slow")))</f>
        <v>Very Slow</v>
      </c>
      <c r="Q4718" s="3">
        <f>YEAR(Ticket_Table[[#This Row],[raised_date]])</f>
        <v>2023</v>
      </c>
    </row>
    <row r="4719" spans="1:17">
      <c r="A4719" t="s">
        <v>5280</v>
      </c>
      <c r="B4719" t="s">
        <v>1265</v>
      </c>
      <c r="C4719" t="s">
        <v>64</v>
      </c>
      <c r="D4719" t="s">
        <v>90</v>
      </c>
      <c r="E4719" t="s">
        <v>30</v>
      </c>
      <c r="F4719" t="s">
        <v>38</v>
      </c>
      <c r="G4719" t="s">
        <v>23</v>
      </c>
      <c r="H4719" s="1">
        <v>45043</v>
      </c>
      <c r="I4719" s="2">
        <v>45043.4458333333</v>
      </c>
      <c r="J4719">
        <v>10.7</v>
      </c>
      <c r="K4719" t="s">
        <v>24</v>
      </c>
      <c r="L4719">
        <v>0</v>
      </c>
      <c r="M4719">
        <v>4</v>
      </c>
      <c r="N4719" t="s">
        <v>206</v>
      </c>
      <c r="O4719" s="3" t="str">
        <f>TEXT(Ticket_Table[[#This Row],[raised_date]],"YYYY-MM")</f>
        <v>2023-04</v>
      </c>
      <c r="P4719" s="3" t="str">
        <f>IF(Ticket_Table[[#This Row],[resolution_hrs]]&lt;=4,"Fast",IF(Ticket_Table[[#This Row],[resolution_hrs]]&lt;=24,"Normal",IF(Ticket_Table[[#This Row],[resolution_hrs]]&lt;=48,"Slow","Very Slow")))</f>
        <v>Normal</v>
      </c>
      <c r="Q4719" s="3">
        <f>YEAR(Ticket_Table[[#This Row],[raised_date]])</f>
        <v>2023</v>
      </c>
    </row>
    <row r="4720" spans="1:17">
      <c r="A4720" t="s">
        <v>5281</v>
      </c>
      <c r="B4720" t="s">
        <v>318</v>
      </c>
      <c r="C4720" t="s">
        <v>95</v>
      </c>
      <c r="D4720" t="s">
        <v>29</v>
      </c>
      <c r="E4720" t="s">
        <v>44</v>
      </c>
      <c r="F4720" t="s">
        <v>22</v>
      </c>
      <c r="G4720" t="s">
        <v>46</v>
      </c>
      <c r="H4720" s="1">
        <v>44685</v>
      </c>
      <c r="I4720" s="2">
        <v>44688.9166666667</v>
      </c>
      <c r="J4720">
        <v>94</v>
      </c>
      <c r="K4720" t="s">
        <v>32</v>
      </c>
      <c r="L4720">
        <v>0</v>
      </c>
      <c r="M4720">
        <v>3</v>
      </c>
      <c r="N4720" t="s">
        <v>148</v>
      </c>
      <c r="O4720" s="3" t="str">
        <f>TEXT(Ticket_Table[[#This Row],[raised_date]],"YYYY-MM")</f>
        <v>2022-05</v>
      </c>
      <c r="P4720" s="3" t="str">
        <f>IF(Ticket_Table[[#This Row],[resolution_hrs]]&lt;=4,"Fast",IF(Ticket_Table[[#This Row],[resolution_hrs]]&lt;=24,"Normal",IF(Ticket_Table[[#This Row],[resolution_hrs]]&lt;=48,"Slow","Very Slow")))</f>
        <v>Very Slow</v>
      </c>
      <c r="Q4720" s="3">
        <f>YEAR(Ticket_Table[[#This Row],[raised_date]])</f>
        <v>2022</v>
      </c>
    </row>
    <row r="4721" spans="1:17">
      <c r="A4721" t="s">
        <v>5282</v>
      </c>
      <c r="B4721" t="s">
        <v>621</v>
      </c>
      <c r="C4721" t="s">
        <v>28</v>
      </c>
      <c r="D4721" t="s">
        <v>90</v>
      </c>
      <c r="E4721" t="s">
        <v>21</v>
      </c>
      <c r="F4721" t="s">
        <v>22</v>
      </c>
      <c r="G4721" t="s">
        <v>23</v>
      </c>
      <c r="H4721" s="1">
        <v>44696</v>
      </c>
      <c r="I4721" s="2">
        <v>44696.6083333333</v>
      </c>
      <c r="J4721">
        <v>14.6</v>
      </c>
      <c r="K4721" t="s">
        <v>24</v>
      </c>
      <c r="L4721">
        <v>0</v>
      </c>
      <c r="M4721">
        <v>3</v>
      </c>
      <c r="N4721" t="s">
        <v>290</v>
      </c>
      <c r="O4721" s="3" t="str">
        <f>TEXT(Ticket_Table[[#This Row],[raised_date]],"YYYY-MM")</f>
        <v>2022-05</v>
      </c>
      <c r="P4721" s="3" t="str">
        <f>IF(Ticket_Table[[#This Row],[resolution_hrs]]&lt;=4,"Fast",IF(Ticket_Table[[#This Row],[resolution_hrs]]&lt;=24,"Normal",IF(Ticket_Table[[#This Row],[resolution_hrs]]&lt;=48,"Slow","Very Slow")))</f>
        <v>Normal</v>
      </c>
      <c r="Q4721" s="3">
        <f>YEAR(Ticket_Table[[#This Row],[raised_date]])</f>
        <v>2022</v>
      </c>
    </row>
    <row r="4722" spans="1:17">
      <c r="A4722" t="s">
        <v>5283</v>
      </c>
      <c r="B4722" t="s">
        <v>876</v>
      </c>
      <c r="C4722" t="s">
        <v>287</v>
      </c>
      <c r="D4722" t="s">
        <v>90</v>
      </c>
      <c r="E4722" t="s">
        <v>30</v>
      </c>
      <c r="F4722" t="s">
        <v>38</v>
      </c>
      <c r="G4722" t="s">
        <v>74</v>
      </c>
      <c r="H4722" s="1">
        <v>44522</v>
      </c>
      <c r="I4722" s="2">
        <v>44522.9625</v>
      </c>
      <c r="J4722">
        <v>23.1</v>
      </c>
      <c r="K4722" t="s">
        <v>24</v>
      </c>
      <c r="L4722">
        <v>2</v>
      </c>
      <c r="M4722">
        <v>1</v>
      </c>
      <c r="N4722" t="s">
        <v>1025</v>
      </c>
      <c r="O4722" s="3" t="str">
        <f>TEXT(Ticket_Table[[#This Row],[raised_date]],"YYYY-MM")</f>
        <v>2021-11</v>
      </c>
      <c r="P4722" s="3" t="str">
        <f>IF(Ticket_Table[[#This Row],[resolution_hrs]]&lt;=4,"Fast",IF(Ticket_Table[[#This Row],[resolution_hrs]]&lt;=24,"Normal",IF(Ticket_Table[[#This Row],[resolution_hrs]]&lt;=48,"Slow","Very Slow")))</f>
        <v>Normal</v>
      </c>
      <c r="Q4722" s="3">
        <f>YEAR(Ticket_Table[[#This Row],[raised_date]])</f>
        <v>2021</v>
      </c>
    </row>
    <row r="4723" spans="1:17">
      <c r="A4723" t="s">
        <v>5284</v>
      </c>
      <c r="B4723" t="s">
        <v>1301</v>
      </c>
      <c r="C4723" t="s">
        <v>42</v>
      </c>
      <c r="D4723" t="s">
        <v>36</v>
      </c>
      <c r="E4723" t="s">
        <v>106</v>
      </c>
      <c r="F4723" t="s">
        <v>45</v>
      </c>
      <c r="G4723" t="s">
        <v>31</v>
      </c>
      <c r="H4723" s="1">
        <v>45184</v>
      </c>
      <c r="I4723" s="2">
        <v>45184.0708333333</v>
      </c>
      <c r="J4723">
        <v>1.7</v>
      </c>
      <c r="K4723" t="s">
        <v>24</v>
      </c>
      <c r="L4723">
        <v>0</v>
      </c>
      <c r="M4723">
        <v>5</v>
      </c>
      <c r="N4723" t="s">
        <v>195</v>
      </c>
      <c r="O4723" s="3" t="str">
        <f>TEXT(Ticket_Table[[#This Row],[raised_date]],"YYYY-MM")</f>
        <v>2023-09</v>
      </c>
      <c r="P4723" s="3" t="str">
        <f>IF(Ticket_Table[[#This Row],[resolution_hrs]]&lt;=4,"Fast",IF(Ticket_Table[[#This Row],[resolution_hrs]]&lt;=24,"Normal",IF(Ticket_Table[[#This Row],[resolution_hrs]]&lt;=48,"Slow","Very Slow")))</f>
        <v>Fast</v>
      </c>
      <c r="Q4723" s="3">
        <f>YEAR(Ticket_Table[[#This Row],[raised_date]])</f>
        <v>2023</v>
      </c>
    </row>
    <row r="4724" spans="1:17">
      <c r="A4724" t="s">
        <v>5285</v>
      </c>
      <c r="B4724" t="s">
        <v>118</v>
      </c>
      <c r="C4724" t="s">
        <v>175</v>
      </c>
      <c r="D4724" t="s">
        <v>90</v>
      </c>
      <c r="E4724" t="s">
        <v>83</v>
      </c>
      <c r="F4724" t="s">
        <v>22</v>
      </c>
      <c r="G4724" t="s">
        <v>31</v>
      </c>
      <c r="H4724" s="1">
        <v>44983</v>
      </c>
      <c r="I4724" s="2">
        <v>44985.7958333333</v>
      </c>
      <c r="J4724">
        <v>67.1</v>
      </c>
      <c r="K4724" t="s">
        <v>24</v>
      </c>
      <c r="L4724">
        <v>1</v>
      </c>
      <c r="M4724">
        <v>4</v>
      </c>
      <c r="N4724" t="s">
        <v>424</v>
      </c>
      <c r="O4724" s="3" t="str">
        <f>TEXT(Ticket_Table[[#This Row],[raised_date]],"YYYY-MM")</f>
        <v>2023-02</v>
      </c>
      <c r="P4724" s="3" t="str">
        <f>IF(Ticket_Table[[#This Row],[resolution_hrs]]&lt;=4,"Fast",IF(Ticket_Table[[#This Row],[resolution_hrs]]&lt;=24,"Normal",IF(Ticket_Table[[#This Row],[resolution_hrs]]&lt;=48,"Slow","Very Slow")))</f>
        <v>Very Slow</v>
      </c>
      <c r="Q4724" s="3">
        <f>YEAR(Ticket_Table[[#This Row],[raised_date]])</f>
        <v>2023</v>
      </c>
    </row>
    <row r="4725" spans="1:17">
      <c r="A4725" t="s">
        <v>5286</v>
      </c>
      <c r="B4725" t="s">
        <v>401</v>
      </c>
      <c r="C4725" t="s">
        <v>95</v>
      </c>
      <c r="D4725" t="s">
        <v>36</v>
      </c>
      <c r="E4725" t="s">
        <v>83</v>
      </c>
      <c r="F4725" t="s">
        <v>70</v>
      </c>
      <c r="G4725" t="s">
        <v>46</v>
      </c>
      <c r="H4725" s="1">
        <v>44332</v>
      </c>
      <c r="I4725" s="2">
        <v>44332.1875</v>
      </c>
      <c r="J4725">
        <v>4.5</v>
      </c>
      <c r="K4725" t="s">
        <v>24</v>
      </c>
      <c r="L4725">
        <v>1</v>
      </c>
      <c r="M4725">
        <v>3</v>
      </c>
      <c r="N4725" t="s">
        <v>163</v>
      </c>
      <c r="O4725" s="3" t="str">
        <f>TEXT(Ticket_Table[[#This Row],[raised_date]],"YYYY-MM")</f>
        <v>2021-05</v>
      </c>
      <c r="P4725" s="3" t="str">
        <f>IF(Ticket_Table[[#This Row],[resolution_hrs]]&lt;=4,"Fast",IF(Ticket_Table[[#This Row],[resolution_hrs]]&lt;=24,"Normal",IF(Ticket_Table[[#This Row],[resolution_hrs]]&lt;=48,"Slow","Very Slow")))</f>
        <v>Normal</v>
      </c>
      <c r="Q4725" s="3">
        <f>YEAR(Ticket_Table[[#This Row],[raised_date]])</f>
        <v>2021</v>
      </c>
    </row>
    <row r="4726" spans="1:17">
      <c r="A4726" t="s">
        <v>5287</v>
      </c>
      <c r="B4726" t="s">
        <v>521</v>
      </c>
      <c r="C4726" t="s">
        <v>82</v>
      </c>
      <c r="D4726" t="s">
        <v>43</v>
      </c>
      <c r="E4726" t="s">
        <v>51</v>
      </c>
      <c r="F4726" t="s">
        <v>22</v>
      </c>
      <c r="G4726" t="s">
        <v>23</v>
      </c>
      <c r="H4726" s="1">
        <v>44894</v>
      </c>
      <c r="I4726" s="2">
        <v>44894.55</v>
      </c>
      <c r="J4726">
        <v>13.2</v>
      </c>
      <c r="K4726" t="s">
        <v>24</v>
      </c>
      <c r="L4726">
        <v>2</v>
      </c>
      <c r="M4726">
        <v>3</v>
      </c>
      <c r="N4726" t="s">
        <v>835</v>
      </c>
      <c r="O4726" s="3" t="str">
        <f>TEXT(Ticket_Table[[#This Row],[raised_date]],"YYYY-MM")</f>
        <v>2022-11</v>
      </c>
      <c r="P4726" s="3" t="str">
        <f>IF(Ticket_Table[[#This Row],[resolution_hrs]]&lt;=4,"Fast",IF(Ticket_Table[[#This Row],[resolution_hrs]]&lt;=24,"Normal",IF(Ticket_Table[[#This Row],[resolution_hrs]]&lt;=48,"Slow","Very Slow")))</f>
        <v>Normal</v>
      </c>
      <c r="Q4726" s="3">
        <f>YEAR(Ticket_Table[[#This Row],[raised_date]])</f>
        <v>2022</v>
      </c>
    </row>
    <row r="4727" spans="1:17">
      <c r="A4727" t="s">
        <v>5288</v>
      </c>
      <c r="B4727" t="s">
        <v>240</v>
      </c>
      <c r="C4727" t="s">
        <v>95</v>
      </c>
      <c r="D4727" t="s">
        <v>43</v>
      </c>
      <c r="E4727" t="s">
        <v>21</v>
      </c>
      <c r="F4727" t="s">
        <v>22</v>
      </c>
      <c r="G4727" t="s">
        <v>23</v>
      </c>
      <c r="H4727" s="1">
        <v>44623</v>
      </c>
      <c r="I4727" s="2">
        <v>44623.2125</v>
      </c>
      <c r="J4727">
        <v>5.1</v>
      </c>
      <c r="K4727" t="s">
        <v>24</v>
      </c>
      <c r="L4727">
        <v>0</v>
      </c>
      <c r="M4727">
        <v>4</v>
      </c>
      <c r="N4727" t="s">
        <v>204</v>
      </c>
      <c r="O4727" s="3" t="str">
        <f>TEXT(Ticket_Table[[#This Row],[raised_date]],"YYYY-MM")</f>
        <v>2022-03</v>
      </c>
      <c r="P4727" s="3" t="str">
        <f>IF(Ticket_Table[[#This Row],[resolution_hrs]]&lt;=4,"Fast",IF(Ticket_Table[[#This Row],[resolution_hrs]]&lt;=24,"Normal",IF(Ticket_Table[[#This Row],[resolution_hrs]]&lt;=48,"Slow","Very Slow")))</f>
        <v>Normal</v>
      </c>
      <c r="Q4727" s="3">
        <f>YEAR(Ticket_Table[[#This Row],[raised_date]])</f>
        <v>2022</v>
      </c>
    </row>
    <row r="4728" spans="1:17">
      <c r="A4728" t="s">
        <v>5289</v>
      </c>
      <c r="B4728" t="s">
        <v>262</v>
      </c>
      <c r="C4728" t="s">
        <v>201</v>
      </c>
      <c r="D4728" t="s">
        <v>43</v>
      </c>
      <c r="E4728" t="s">
        <v>37</v>
      </c>
      <c r="F4728" t="s">
        <v>70</v>
      </c>
      <c r="G4728" t="s">
        <v>31</v>
      </c>
      <c r="H4728" s="1">
        <v>45079</v>
      </c>
      <c r="I4728" s="2">
        <v>45081.0666666667</v>
      </c>
      <c r="J4728">
        <v>49.6</v>
      </c>
      <c r="K4728" t="s">
        <v>32</v>
      </c>
      <c r="L4728">
        <v>0</v>
      </c>
      <c r="M4728">
        <v>3</v>
      </c>
      <c r="N4728" t="s">
        <v>491</v>
      </c>
      <c r="O4728" s="3" t="str">
        <f>TEXT(Ticket_Table[[#This Row],[raised_date]],"YYYY-MM")</f>
        <v>2023-06</v>
      </c>
      <c r="P4728" s="3" t="str">
        <f>IF(Ticket_Table[[#This Row],[resolution_hrs]]&lt;=4,"Fast",IF(Ticket_Table[[#This Row],[resolution_hrs]]&lt;=24,"Normal",IF(Ticket_Table[[#This Row],[resolution_hrs]]&lt;=48,"Slow","Very Slow")))</f>
        <v>Very Slow</v>
      </c>
      <c r="Q4728" s="3">
        <f>YEAR(Ticket_Table[[#This Row],[raised_date]])</f>
        <v>2023</v>
      </c>
    </row>
    <row r="4729" spans="1:17">
      <c r="A4729" t="s">
        <v>5290</v>
      </c>
      <c r="B4729" t="s">
        <v>676</v>
      </c>
      <c r="C4729" t="s">
        <v>78</v>
      </c>
      <c r="D4729" t="s">
        <v>36</v>
      </c>
      <c r="E4729" t="s">
        <v>37</v>
      </c>
      <c r="F4729" t="s">
        <v>22</v>
      </c>
      <c r="G4729" t="s">
        <v>23</v>
      </c>
      <c r="H4729" s="1">
        <v>45088</v>
      </c>
      <c r="I4729" s="2">
        <v>45091.8791666667</v>
      </c>
      <c r="J4729">
        <v>93.1</v>
      </c>
      <c r="K4729" t="s">
        <v>32</v>
      </c>
      <c r="L4729">
        <v>1</v>
      </c>
      <c r="M4729">
        <v>4</v>
      </c>
      <c r="N4729" t="s">
        <v>1202</v>
      </c>
      <c r="O4729" s="3" t="str">
        <f>TEXT(Ticket_Table[[#This Row],[raised_date]],"YYYY-MM")</f>
        <v>2023-06</v>
      </c>
      <c r="P4729" s="3" t="str">
        <f>IF(Ticket_Table[[#This Row],[resolution_hrs]]&lt;=4,"Fast",IF(Ticket_Table[[#This Row],[resolution_hrs]]&lt;=24,"Normal",IF(Ticket_Table[[#This Row],[resolution_hrs]]&lt;=48,"Slow","Very Slow")))</f>
        <v>Very Slow</v>
      </c>
      <c r="Q4729" s="3">
        <f>YEAR(Ticket_Table[[#This Row],[raised_date]])</f>
        <v>2023</v>
      </c>
    </row>
    <row r="4730" spans="1:17">
      <c r="A4730" t="s">
        <v>5291</v>
      </c>
      <c r="B4730" t="s">
        <v>544</v>
      </c>
      <c r="C4730" t="s">
        <v>19</v>
      </c>
      <c r="D4730" t="s">
        <v>36</v>
      </c>
      <c r="E4730" t="s">
        <v>69</v>
      </c>
      <c r="F4730" t="s">
        <v>38</v>
      </c>
      <c r="G4730" t="s">
        <v>74</v>
      </c>
      <c r="H4730" s="1">
        <v>44897</v>
      </c>
      <c r="I4730" s="2">
        <v>44897.8875</v>
      </c>
      <c r="J4730">
        <v>21.3</v>
      </c>
      <c r="K4730" t="s">
        <v>24</v>
      </c>
      <c r="L4730">
        <v>1</v>
      </c>
      <c r="M4730">
        <v>4</v>
      </c>
      <c r="N4730" t="s">
        <v>578</v>
      </c>
      <c r="O4730" s="3" t="str">
        <f>TEXT(Ticket_Table[[#This Row],[raised_date]],"YYYY-MM")</f>
        <v>2022-12</v>
      </c>
      <c r="P4730" s="3" t="str">
        <f>IF(Ticket_Table[[#This Row],[resolution_hrs]]&lt;=4,"Fast",IF(Ticket_Table[[#This Row],[resolution_hrs]]&lt;=24,"Normal",IF(Ticket_Table[[#This Row],[resolution_hrs]]&lt;=48,"Slow","Very Slow")))</f>
        <v>Normal</v>
      </c>
      <c r="Q4730" s="3">
        <f>YEAR(Ticket_Table[[#This Row],[raised_date]])</f>
        <v>2022</v>
      </c>
    </row>
    <row r="4731" spans="1:17">
      <c r="A4731" t="s">
        <v>5292</v>
      </c>
      <c r="B4731" t="s">
        <v>1278</v>
      </c>
      <c r="C4731" t="s">
        <v>42</v>
      </c>
      <c r="D4731" t="s">
        <v>43</v>
      </c>
      <c r="E4731" t="s">
        <v>106</v>
      </c>
      <c r="F4731" t="s">
        <v>70</v>
      </c>
      <c r="G4731" t="s">
        <v>23</v>
      </c>
      <c r="H4731" s="1">
        <v>44680</v>
      </c>
      <c r="I4731" s="2">
        <v>44680.1666666667</v>
      </c>
      <c r="J4731">
        <v>4</v>
      </c>
      <c r="K4731" t="s">
        <v>24</v>
      </c>
      <c r="L4731">
        <v>0</v>
      </c>
      <c r="M4731">
        <v>4</v>
      </c>
      <c r="N4731" t="s">
        <v>389</v>
      </c>
      <c r="O4731" s="3" t="str">
        <f>TEXT(Ticket_Table[[#This Row],[raised_date]],"YYYY-MM")</f>
        <v>2022-04</v>
      </c>
      <c r="P4731" s="3" t="str">
        <f>IF(Ticket_Table[[#This Row],[resolution_hrs]]&lt;=4,"Fast",IF(Ticket_Table[[#This Row],[resolution_hrs]]&lt;=24,"Normal",IF(Ticket_Table[[#This Row],[resolution_hrs]]&lt;=48,"Slow","Very Slow")))</f>
        <v>Fast</v>
      </c>
      <c r="Q4731" s="3">
        <f>YEAR(Ticket_Table[[#This Row],[raised_date]])</f>
        <v>2022</v>
      </c>
    </row>
    <row r="4732" spans="1:17">
      <c r="A4732" t="s">
        <v>5293</v>
      </c>
      <c r="B4732" t="s">
        <v>246</v>
      </c>
      <c r="C4732" t="s">
        <v>68</v>
      </c>
      <c r="D4732" t="s">
        <v>36</v>
      </c>
      <c r="E4732" t="s">
        <v>44</v>
      </c>
      <c r="F4732" t="s">
        <v>22</v>
      </c>
      <c r="G4732" t="s">
        <v>23</v>
      </c>
      <c r="H4732" s="1">
        <v>44551</v>
      </c>
      <c r="I4732" s="2">
        <v>44554.2416666667</v>
      </c>
      <c r="J4732">
        <v>77.8</v>
      </c>
      <c r="K4732" t="s">
        <v>32</v>
      </c>
      <c r="L4732">
        <v>0</v>
      </c>
      <c r="M4732">
        <v>5</v>
      </c>
      <c r="N4732" t="s">
        <v>160</v>
      </c>
      <c r="O4732" s="3" t="str">
        <f>TEXT(Ticket_Table[[#This Row],[raised_date]],"YYYY-MM")</f>
        <v>2021-12</v>
      </c>
      <c r="P4732" s="3" t="str">
        <f>IF(Ticket_Table[[#This Row],[resolution_hrs]]&lt;=4,"Fast",IF(Ticket_Table[[#This Row],[resolution_hrs]]&lt;=24,"Normal",IF(Ticket_Table[[#This Row],[resolution_hrs]]&lt;=48,"Slow","Very Slow")))</f>
        <v>Very Slow</v>
      </c>
      <c r="Q4732" s="3">
        <f>YEAR(Ticket_Table[[#This Row],[raised_date]])</f>
        <v>2021</v>
      </c>
    </row>
    <row r="4733" spans="1:17">
      <c r="A4733" t="s">
        <v>5294</v>
      </c>
      <c r="B4733" t="s">
        <v>914</v>
      </c>
      <c r="C4733" t="s">
        <v>102</v>
      </c>
      <c r="D4733" t="s">
        <v>20</v>
      </c>
      <c r="E4733" t="s">
        <v>51</v>
      </c>
      <c r="F4733" t="s">
        <v>22</v>
      </c>
      <c r="G4733" t="s">
        <v>91</v>
      </c>
      <c r="H4733" s="1">
        <v>44356</v>
      </c>
      <c r="I4733" s="2">
        <v>44356.3125</v>
      </c>
      <c r="J4733">
        <v>7.5</v>
      </c>
      <c r="K4733" t="s">
        <v>24</v>
      </c>
      <c r="L4733">
        <v>0</v>
      </c>
      <c r="M4733">
        <v>4</v>
      </c>
      <c r="N4733" t="s">
        <v>1156</v>
      </c>
      <c r="O4733" s="3" t="str">
        <f>TEXT(Ticket_Table[[#This Row],[raised_date]],"YYYY-MM")</f>
        <v>2021-06</v>
      </c>
      <c r="P4733" s="3" t="str">
        <f>IF(Ticket_Table[[#This Row],[resolution_hrs]]&lt;=4,"Fast",IF(Ticket_Table[[#This Row],[resolution_hrs]]&lt;=24,"Normal",IF(Ticket_Table[[#This Row],[resolution_hrs]]&lt;=48,"Slow","Very Slow")))</f>
        <v>Normal</v>
      </c>
      <c r="Q4733" s="3">
        <f>YEAR(Ticket_Table[[#This Row],[raised_date]])</f>
        <v>2021</v>
      </c>
    </row>
    <row r="4734" spans="1:17">
      <c r="A4734" t="s">
        <v>5295</v>
      </c>
      <c r="B4734" t="s">
        <v>419</v>
      </c>
      <c r="C4734" t="s">
        <v>213</v>
      </c>
      <c r="D4734" t="s">
        <v>20</v>
      </c>
      <c r="E4734" t="s">
        <v>30</v>
      </c>
      <c r="F4734" t="s">
        <v>38</v>
      </c>
      <c r="G4734" t="s">
        <v>31</v>
      </c>
      <c r="H4734" s="1">
        <v>45193</v>
      </c>
      <c r="I4734" s="2">
        <v>45194.0833333333</v>
      </c>
      <c r="J4734">
        <v>26</v>
      </c>
      <c r="K4734" t="s">
        <v>32</v>
      </c>
      <c r="L4734">
        <v>0</v>
      </c>
      <c r="M4734">
        <v>4</v>
      </c>
      <c r="N4734" t="s">
        <v>81</v>
      </c>
      <c r="O4734" s="3" t="str">
        <f>TEXT(Ticket_Table[[#This Row],[raised_date]],"YYYY-MM")</f>
        <v>2023-09</v>
      </c>
      <c r="P4734" s="3" t="str">
        <f>IF(Ticket_Table[[#This Row],[resolution_hrs]]&lt;=4,"Fast",IF(Ticket_Table[[#This Row],[resolution_hrs]]&lt;=24,"Normal",IF(Ticket_Table[[#This Row],[resolution_hrs]]&lt;=48,"Slow","Very Slow")))</f>
        <v>Slow</v>
      </c>
      <c r="Q4734" s="3">
        <f>YEAR(Ticket_Table[[#This Row],[raised_date]])</f>
        <v>2023</v>
      </c>
    </row>
    <row r="4735" spans="1:17">
      <c r="A4735" t="s">
        <v>5296</v>
      </c>
      <c r="B4735" t="s">
        <v>567</v>
      </c>
      <c r="C4735" t="s">
        <v>175</v>
      </c>
      <c r="D4735" t="s">
        <v>36</v>
      </c>
      <c r="E4735" t="s">
        <v>83</v>
      </c>
      <c r="F4735" t="s">
        <v>22</v>
      </c>
      <c r="G4735" t="s">
        <v>46</v>
      </c>
      <c r="H4735" s="1">
        <v>44431</v>
      </c>
      <c r="I4735" s="2">
        <v>44432.1958333333</v>
      </c>
      <c r="J4735">
        <v>28.7</v>
      </c>
      <c r="K4735" t="s">
        <v>24</v>
      </c>
      <c r="L4735">
        <v>1</v>
      </c>
      <c r="M4735">
        <v>4</v>
      </c>
      <c r="N4735" t="s">
        <v>703</v>
      </c>
      <c r="O4735" s="3" t="str">
        <f>TEXT(Ticket_Table[[#This Row],[raised_date]],"YYYY-MM")</f>
        <v>2021-08</v>
      </c>
      <c r="P4735" s="3" t="str">
        <f>IF(Ticket_Table[[#This Row],[resolution_hrs]]&lt;=4,"Fast",IF(Ticket_Table[[#This Row],[resolution_hrs]]&lt;=24,"Normal",IF(Ticket_Table[[#This Row],[resolution_hrs]]&lt;=48,"Slow","Very Slow")))</f>
        <v>Slow</v>
      </c>
      <c r="Q4735" s="3">
        <f>YEAR(Ticket_Table[[#This Row],[raised_date]])</f>
        <v>2021</v>
      </c>
    </row>
    <row r="4736" spans="1:17">
      <c r="A4736" t="s">
        <v>5297</v>
      </c>
      <c r="B4736" t="s">
        <v>792</v>
      </c>
      <c r="C4736" t="s">
        <v>82</v>
      </c>
      <c r="D4736" t="s">
        <v>36</v>
      </c>
      <c r="E4736" t="s">
        <v>69</v>
      </c>
      <c r="F4736" t="s">
        <v>70</v>
      </c>
      <c r="G4736" t="s">
        <v>31</v>
      </c>
      <c r="H4736" s="1">
        <v>45145</v>
      </c>
      <c r="I4736" s="2">
        <v>45145.8041666667</v>
      </c>
      <c r="J4736">
        <v>19.3</v>
      </c>
      <c r="K4736" t="s">
        <v>24</v>
      </c>
      <c r="L4736">
        <v>0</v>
      </c>
      <c r="M4736">
        <v>4</v>
      </c>
      <c r="N4736" t="s">
        <v>564</v>
      </c>
      <c r="O4736" s="3" t="str">
        <f>TEXT(Ticket_Table[[#This Row],[raised_date]],"YYYY-MM")</f>
        <v>2023-08</v>
      </c>
      <c r="P4736" s="3" t="str">
        <f>IF(Ticket_Table[[#This Row],[resolution_hrs]]&lt;=4,"Fast",IF(Ticket_Table[[#This Row],[resolution_hrs]]&lt;=24,"Normal",IF(Ticket_Table[[#This Row],[resolution_hrs]]&lt;=48,"Slow","Very Slow")))</f>
        <v>Normal</v>
      </c>
      <c r="Q4736" s="3">
        <f>YEAR(Ticket_Table[[#This Row],[raised_date]])</f>
        <v>2023</v>
      </c>
    </row>
    <row r="4737" spans="1:17">
      <c r="A4737" t="s">
        <v>5298</v>
      </c>
      <c r="B4737" t="s">
        <v>1067</v>
      </c>
      <c r="C4737" t="s">
        <v>82</v>
      </c>
      <c r="D4737" t="s">
        <v>29</v>
      </c>
      <c r="E4737" t="s">
        <v>69</v>
      </c>
      <c r="F4737" t="s">
        <v>70</v>
      </c>
      <c r="G4737" t="s">
        <v>31</v>
      </c>
      <c r="H4737" s="1">
        <v>44863</v>
      </c>
      <c r="I4737" s="2">
        <v>44865.05</v>
      </c>
      <c r="J4737">
        <v>49.2</v>
      </c>
      <c r="K4737" t="s">
        <v>32</v>
      </c>
      <c r="L4737">
        <v>0</v>
      </c>
      <c r="M4737">
        <v>5</v>
      </c>
      <c r="N4737" t="s">
        <v>1011</v>
      </c>
      <c r="O4737" s="3" t="str">
        <f>TEXT(Ticket_Table[[#This Row],[raised_date]],"YYYY-MM")</f>
        <v>2022-10</v>
      </c>
      <c r="P4737" s="3" t="str">
        <f>IF(Ticket_Table[[#This Row],[resolution_hrs]]&lt;=4,"Fast",IF(Ticket_Table[[#This Row],[resolution_hrs]]&lt;=24,"Normal",IF(Ticket_Table[[#This Row],[resolution_hrs]]&lt;=48,"Slow","Very Slow")))</f>
        <v>Very Slow</v>
      </c>
      <c r="Q4737" s="3">
        <f>YEAR(Ticket_Table[[#This Row],[raised_date]])</f>
        <v>2022</v>
      </c>
    </row>
    <row r="4738" spans="1:17">
      <c r="A4738" t="s">
        <v>5299</v>
      </c>
      <c r="B4738" t="s">
        <v>640</v>
      </c>
      <c r="C4738" t="s">
        <v>95</v>
      </c>
      <c r="D4738" t="s">
        <v>29</v>
      </c>
      <c r="E4738" t="s">
        <v>106</v>
      </c>
      <c r="F4738" t="s">
        <v>70</v>
      </c>
      <c r="G4738" t="s">
        <v>74</v>
      </c>
      <c r="H4738" s="1">
        <v>44396</v>
      </c>
      <c r="I4738" s="2">
        <v>44398.5791666667</v>
      </c>
      <c r="J4738">
        <v>61.9</v>
      </c>
      <c r="K4738" t="s">
        <v>32</v>
      </c>
      <c r="L4738">
        <v>0</v>
      </c>
      <c r="M4738">
        <v>4</v>
      </c>
      <c r="N4738" t="s">
        <v>974</v>
      </c>
      <c r="O4738" s="3" t="str">
        <f>TEXT(Ticket_Table[[#This Row],[raised_date]],"YYYY-MM")</f>
        <v>2021-07</v>
      </c>
      <c r="P4738" s="3" t="str">
        <f>IF(Ticket_Table[[#This Row],[resolution_hrs]]&lt;=4,"Fast",IF(Ticket_Table[[#This Row],[resolution_hrs]]&lt;=24,"Normal",IF(Ticket_Table[[#This Row],[resolution_hrs]]&lt;=48,"Slow","Very Slow")))</f>
        <v>Very Slow</v>
      </c>
      <c r="Q4738" s="3">
        <f>YEAR(Ticket_Table[[#This Row],[raised_date]])</f>
        <v>2021</v>
      </c>
    </row>
    <row r="4739" spans="1:17">
      <c r="A4739" t="s">
        <v>5300</v>
      </c>
      <c r="B4739" t="s">
        <v>1241</v>
      </c>
      <c r="C4739" t="s">
        <v>95</v>
      </c>
      <c r="D4739" t="s">
        <v>90</v>
      </c>
      <c r="E4739" t="s">
        <v>166</v>
      </c>
      <c r="F4739" t="s">
        <v>70</v>
      </c>
      <c r="G4739" t="s">
        <v>31</v>
      </c>
      <c r="H4739" s="1">
        <v>45108</v>
      </c>
      <c r="I4739" s="2">
        <v>45109.0875</v>
      </c>
      <c r="J4739">
        <v>26.1</v>
      </c>
      <c r="K4739" t="s">
        <v>24</v>
      </c>
      <c r="L4739">
        <v>1</v>
      </c>
      <c r="M4739">
        <v>2</v>
      </c>
      <c r="N4739" t="s">
        <v>527</v>
      </c>
      <c r="O4739" s="3" t="str">
        <f>TEXT(Ticket_Table[[#This Row],[raised_date]],"YYYY-MM")</f>
        <v>2023-07</v>
      </c>
      <c r="P4739" s="3" t="str">
        <f>IF(Ticket_Table[[#This Row],[resolution_hrs]]&lt;=4,"Fast",IF(Ticket_Table[[#This Row],[resolution_hrs]]&lt;=24,"Normal",IF(Ticket_Table[[#This Row],[resolution_hrs]]&lt;=48,"Slow","Very Slow")))</f>
        <v>Slow</v>
      </c>
      <c r="Q4739" s="3">
        <f>YEAR(Ticket_Table[[#This Row],[raised_date]])</f>
        <v>2023</v>
      </c>
    </row>
    <row r="4740" spans="1:17">
      <c r="A4740" t="s">
        <v>5301</v>
      </c>
      <c r="B4740" t="s">
        <v>290</v>
      </c>
      <c r="C4740" t="s">
        <v>42</v>
      </c>
      <c r="D4740" t="s">
        <v>90</v>
      </c>
      <c r="E4740" t="s">
        <v>83</v>
      </c>
      <c r="F4740" t="s">
        <v>22</v>
      </c>
      <c r="G4740" t="s">
        <v>23</v>
      </c>
      <c r="H4740" s="1">
        <v>44557</v>
      </c>
      <c r="I4740" s="2">
        <v>44560.2458333333</v>
      </c>
      <c r="J4740">
        <v>77.9</v>
      </c>
      <c r="K4740" t="s">
        <v>32</v>
      </c>
      <c r="L4740">
        <v>0</v>
      </c>
      <c r="M4740">
        <v>5</v>
      </c>
      <c r="N4740" t="s">
        <v>627</v>
      </c>
      <c r="O4740" s="3" t="str">
        <f>TEXT(Ticket_Table[[#This Row],[raised_date]],"YYYY-MM")</f>
        <v>2021-12</v>
      </c>
      <c r="P4740" s="3" t="str">
        <f>IF(Ticket_Table[[#This Row],[resolution_hrs]]&lt;=4,"Fast",IF(Ticket_Table[[#This Row],[resolution_hrs]]&lt;=24,"Normal",IF(Ticket_Table[[#This Row],[resolution_hrs]]&lt;=48,"Slow","Very Slow")))</f>
        <v>Very Slow</v>
      </c>
      <c r="Q4740" s="3">
        <f>YEAR(Ticket_Table[[#This Row],[raised_date]])</f>
        <v>2021</v>
      </c>
    </row>
    <row r="4741" spans="1:17">
      <c r="A4741" t="s">
        <v>5302</v>
      </c>
      <c r="B4741" t="s">
        <v>246</v>
      </c>
      <c r="C4741" t="s">
        <v>64</v>
      </c>
      <c r="D4741" t="s">
        <v>90</v>
      </c>
      <c r="E4741" t="s">
        <v>37</v>
      </c>
      <c r="F4741" t="s">
        <v>22</v>
      </c>
      <c r="G4741" t="s">
        <v>31</v>
      </c>
      <c r="H4741" s="1">
        <v>44827</v>
      </c>
      <c r="I4741" s="2">
        <v>44829.7208333333</v>
      </c>
      <c r="J4741">
        <v>65.3</v>
      </c>
      <c r="K4741" t="s">
        <v>24</v>
      </c>
      <c r="L4741">
        <v>0</v>
      </c>
      <c r="M4741">
        <v>4</v>
      </c>
      <c r="N4741" t="s">
        <v>844</v>
      </c>
      <c r="O4741" s="3" t="str">
        <f>TEXT(Ticket_Table[[#This Row],[raised_date]],"YYYY-MM")</f>
        <v>2022-09</v>
      </c>
      <c r="P4741" s="3" t="str">
        <f>IF(Ticket_Table[[#This Row],[resolution_hrs]]&lt;=4,"Fast",IF(Ticket_Table[[#This Row],[resolution_hrs]]&lt;=24,"Normal",IF(Ticket_Table[[#This Row],[resolution_hrs]]&lt;=48,"Slow","Very Slow")))</f>
        <v>Very Slow</v>
      </c>
      <c r="Q4741" s="3">
        <f>YEAR(Ticket_Table[[#This Row],[raised_date]])</f>
        <v>2022</v>
      </c>
    </row>
    <row r="4742" spans="1:17">
      <c r="A4742" t="s">
        <v>5303</v>
      </c>
      <c r="B4742" t="s">
        <v>176</v>
      </c>
      <c r="C4742" t="s">
        <v>140</v>
      </c>
      <c r="D4742" t="s">
        <v>43</v>
      </c>
      <c r="E4742" t="s">
        <v>30</v>
      </c>
      <c r="F4742" t="s">
        <v>22</v>
      </c>
      <c r="G4742" t="s">
        <v>23</v>
      </c>
      <c r="H4742" s="1">
        <v>45028</v>
      </c>
      <c r="I4742" s="2">
        <v>45029.6</v>
      </c>
      <c r="J4742">
        <v>38.4</v>
      </c>
      <c r="K4742" t="s">
        <v>24</v>
      </c>
      <c r="L4742">
        <v>0</v>
      </c>
      <c r="M4742">
        <v>2</v>
      </c>
      <c r="N4742" t="s">
        <v>57</v>
      </c>
      <c r="O4742" s="3" t="str">
        <f>TEXT(Ticket_Table[[#This Row],[raised_date]],"YYYY-MM")</f>
        <v>2023-04</v>
      </c>
      <c r="P4742" s="3" t="str">
        <f>IF(Ticket_Table[[#This Row],[resolution_hrs]]&lt;=4,"Fast",IF(Ticket_Table[[#This Row],[resolution_hrs]]&lt;=24,"Normal",IF(Ticket_Table[[#This Row],[resolution_hrs]]&lt;=48,"Slow","Very Slow")))</f>
        <v>Slow</v>
      </c>
      <c r="Q4742" s="3">
        <f>YEAR(Ticket_Table[[#This Row],[raised_date]])</f>
        <v>2023</v>
      </c>
    </row>
    <row r="4743" spans="1:17">
      <c r="A4743" t="s">
        <v>5304</v>
      </c>
      <c r="B4743" t="s">
        <v>675</v>
      </c>
      <c r="C4743" t="s">
        <v>213</v>
      </c>
      <c r="D4743" t="s">
        <v>20</v>
      </c>
      <c r="E4743" t="s">
        <v>44</v>
      </c>
      <c r="F4743" t="s">
        <v>70</v>
      </c>
      <c r="G4743" t="s">
        <v>91</v>
      </c>
      <c r="H4743" s="1">
        <v>44339</v>
      </c>
      <c r="I4743" s="2">
        <v>44339.2708333333</v>
      </c>
      <c r="J4743">
        <v>6.5</v>
      </c>
      <c r="K4743" t="s">
        <v>24</v>
      </c>
      <c r="L4743">
        <v>0</v>
      </c>
      <c r="M4743">
        <v>4</v>
      </c>
      <c r="N4743" t="s">
        <v>296</v>
      </c>
      <c r="O4743" s="3" t="str">
        <f>TEXT(Ticket_Table[[#This Row],[raised_date]],"YYYY-MM")</f>
        <v>2021-05</v>
      </c>
      <c r="P4743" s="3" t="str">
        <f>IF(Ticket_Table[[#This Row],[resolution_hrs]]&lt;=4,"Fast",IF(Ticket_Table[[#This Row],[resolution_hrs]]&lt;=24,"Normal",IF(Ticket_Table[[#This Row],[resolution_hrs]]&lt;=48,"Slow","Very Slow")))</f>
        <v>Normal</v>
      </c>
      <c r="Q4743" s="3">
        <f>YEAR(Ticket_Table[[#This Row],[raised_date]])</f>
        <v>2021</v>
      </c>
    </row>
    <row r="4744" spans="1:17">
      <c r="A4744" t="s">
        <v>5305</v>
      </c>
      <c r="B4744" t="s">
        <v>89</v>
      </c>
      <c r="C4744" t="s">
        <v>287</v>
      </c>
      <c r="D4744" t="s">
        <v>43</v>
      </c>
      <c r="E4744" t="s">
        <v>44</v>
      </c>
      <c r="F4744" t="s">
        <v>38</v>
      </c>
      <c r="G4744" t="s">
        <v>23</v>
      </c>
      <c r="H4744" s="1">
        <v>44419</v>
      </c>
      <c r="I4744" s="2">
        <v>44419.6875</v>
      </c>
      <c r="J4744">
        <v>16.5</v>
      </c>
      <c r="K4744" t="s">
        <v>24</v>
      </c>
      <c r="L4744">
        <v>0</v>
      </c>
      <c r="M4744">
        <v>3</v>
      </c>
      <c r="N4744" t="s">
        <v>182</v>
      </c>
      <c r="O4744" s="3" t="str">
        <f>TEXT(Ticket_Table[[#This Row],[raised_date]],"YYYY-MM")</f>
        <v>2021-08</v>
      </c>
      <c r="P4744" s="3" t="str">
        <f>IF(Ticket_Table[[#This Row],[resolution_hrs]]&lt;=4,"Fast",IF(Ticket_Table[[#This Row],[resolution_hrs]]&lt;=24,"Normal",IF(Ticket_Table[[#This Row],[resolution_hrs]]&lt;=48,"Slow","Very Slow")))</f>
        <v>Normal</v>
      </c>
      <c r="Q4744" s="3">
        <f>YEAR(Ticket_Table[[#This Row],[raised_date]])</f>
        <v>2021</v>
      </c>
    </row>
    <row r="4745" spans="1:17">
      <c r="A4745" t="s">
        <v>5306</v>
      </c>
      <c r="B4745" t="s">
        <v>620</v>
      </c>
      <c r="C4745" t="s">
        <v>261</v>
      </c>
      <c r="D4745" t="s">
        <v>36</v>
      </c>
      <c r="E4745" t="s">
        <v>21</v>
      </c>
      <c r="F4745" t="s">
        <v>22</v>
      </c>
      <c r="G4745" t="s">
        <v>31</v>
      </c>
      <c r="H4745" s="1">
        <v>44973</v>
      </c>
      <c r="I4745" s="2">
        <v>44975.3208333333</v>
      </c>
      <c r="J4745">
        <v>55.7</v>
      </c>
      <c r="K4745" t="s">
        <v>24</v>
      </c>
      <c r="L4745">
        <v>0</v>
      </c>
      <c r="M4745">
        <v>5</v>
      </c>
      <c r="N4745" t="s">
        <v>132</v>
      </c>
      <c r="O4745" s="3" t="str">
        <f>TEXT(Ticket_Table[[#This Row],[raised_date]],"YYYY-MM")</f>
        <v>2023-02</v>
      </c>
      <c r="P4745" s="3" t="str">
        <f>IF(Ticket_Table[[#This Row],[resolution_hrs]]&lt;=4,"Fast",IF(Ticket_Table[[#This Row],[resolution_hrs]]&lt;=24,"Normal",IF(Ticket_Table[[#This Row],[resolution_hrs]]&lt;=48,"Slow","Very Slow")))</f>
        <v>Very Slow</v>
      </c>
      <c r="Q4745" s="3">
        <f>YEAR(Ticket_Table[[#This Row],[raised_date]])</f>
        <v>2023</v>
      </c>
    </row>
    <row r="4746" spans="1:17">
      <c r="A4746" t="s">
        <v>5307</v>
      </c>
      <c r="B4746" t="s">
        <v>347</v>
      </c>
      <c r="C4746" t="s">
        <v>213</v>
      </c>
      <c r="D4746" t="s">
        <v>29</v>
      </c>
      <c r="E4746" t="s">
        <v>166</v>
      </c>
      <c r="F4746" t="s">
        <v>22</v>
      </c>
      <c r="G4746" t="s">
        <v>46</v>
      </c>
      <c r="H4746" s="1">
        <v>44867</v>
      </c>
      <c r="I4746" s="2">
        <v>44868.1</v>
      </c>
      <c r="J4746">
        <v>26.4</v>
      </c>
      <c r="K4746" t="s">
        <v>24</v>
      </c>
      <c r="L4746">
        <v>0</v>
      </c>
      <c r="M4746">
        <v>5</v>
      </c>
      <c r="N4746" t="s">
        <v>447</v>
      </c>
      <c r="O4746" s="3" t="str">
        <f>TEXT(Ticket_Table[[#This Row],[raised_date]],"YYYY-MM")</f>
        <v>2022-11</v>
      </c>
      <c r="P4746" s="3" t="str">
        <f>IF(Ticket_Table[[#This Row],[resolution_hrs]]&lt;=4,"Fast",IF(Ticket_Table[[#This Row],[resolution_hrs]]&lt;=24,"Normal",IF(Ticket_Table[[#This Row],[resolution_hrs]]&lt;=48,"Slow","Very Slow")))</f>
        <v>Slow</v>
      </c>
      <c r="Q4746" s="3">
        <f>YEAR(Ticket_Table[[#This Row],[raised_date]])</f>
        <v>2022</v>
      </c>
    </row>
    <row r="4747" spans="1:17">
      <c r="A4747" t="s">
        <v>5308</v>
      </c>
      <c r="B4747" t="s">
        <v>312</v>
      </c>
      <c r="C4747" t="s">
        <v>50</v>
      </c>
      <c r="D4747" t="s">
        <v>36</v>
      </c>
      <c r="E4747" t="s">
        <v>106</v>
      </c>
      <c r="F4747" t="s">
        <v>70</v>
      </c>
      <c r="G4747" t="s">
        <v>23</v>
      </c>
      <c r="H4747" s="1">
        <v>45209</v>
      </c>
      <c r="I4747" s="2">
        <v>45210.0041666667</v>
      </c>
      <c r="J4747">
        <v>24.1</v>
      </c>
      <c r="K4747" t="s">
        <v>24</v>
      </c>
      <c r="L4747">
        <v>0</v>
      </c>
      <c r="M4747">
        <v>3</v>
      </c>
      <c r="N4747" t="s">
        <v>305</v>
      </c>
      <c r="O4747" s="3" t="str">
        <f>TEXT(Ticket_Table[[#This Row],[raised_date]],"YYYY-MM")</f>
        <v>2023-10</v>
      </c>
      <c r="P4747" s="3" t="str">
        <f>IF(Ticket_Table[[#This Row],[resolution_hrs]]&lt;=4,"Fast",IF(Ticket_Table[[#This Row],[resolution_hrs]]&lt;=24,"Normal",IF(Ticket_Table[[#This Row],[resolution_hrs]]&lt;=48,"Slow","Very Slow")))</f>
        <v>Slow</v>
      </c>
      <c r="Q4747" s="3">
        <f>YEAR(Ticket_Table[[#This Row],[raised_date]])</f>
        <v>2023</v>
      </c>
    </row>
    <row r="4748" spans="1:17">
      <c r="A4748" t="s">
        <v>5309</v>
      </c>
      <c r="B4748" t="s">
        <v>337</v>
      </c>
      <c r="C4748" t="s">
        <v>201</v>
      </c>
      <c r="D4748" t="s">
        <v>36</v>
      </c>
      <c r="E4748" t="s">
        <v>44</v>
      </c>
      <c r="F4748" t="s">
        <v>70</v>
      </c>
      <c r="G4748" t="s">
        <v>91</v>
      </c>
      <c r="H4748" s="1">
        <v>44322</v>
      </c>
      <c r="I4748" s="2">
        <v>44323.1416666667</v>
      </c>
      <c r="J4748">
        <v>27.4</v>
      </c>
      <c r="K4748" t="s">
        <v>24</v>
      </c>
      <c r="L4748">
        <v>2</v>
      </c>
      <c r="M4748">
        <v>5</v>
      </c>
      <c r="N4748" t="s">
        <v>1061</v>
      </c>
      <c r="O4748" s="3" t="str">
        <f>TEXT(Ticket_Table[[#This Row],[raised_date]],"YYYY-MM")</f>
        <v>2021-05</v>
      </c>
      <c r="P4748" s="3" t="str">
        <f>IF(Ticket_Table[[#This Row],[resolution_hrs]]&lt;=4,"Fast",IF(Ticket_Table[[#This Row],[resolution_hrs]]&lt;=24,"Normal",IF(Ticket_Table[[#This Row],[resolution_hrs]]&lt;=48,"Slow","Very Slow")))</f>
        <v>Slow</v>
      </c>
      <c r="Q4748" s="3">
        <f>YEAR(Ticket_Table[[#This Row],[raised_date]])</f>
        <v>2021</v>
      </c>
    </row>
    <row r="4749" spans="1:17">
      <c r="A4749" t="s">
        <v>5310</v>
      </c>
      <c r="B4749" t="s">
        <v>455</v>
      </c>
      <c r="C4749" t="s">
        <v>133</v>
      </c>
      <c r="D4749" t="s">
        <v>29</v>
      </c>
      <c r="E4749" t="s">
        <v>51</v>
      </c>
      <c r="F4749" t="s">
        <v>45</v>
      </c>
      <c r="G4749" t="s">
        <v>31</v>
      </c>
      <c r="H4749" s="1">
        <v>44382</v>
      </c>
      <c r="I4749" s="2">
        <v>44382.2125</v>
      </c>
      <c r="J4749">
        <v>5.1</v>
      </c>
      <c r="K4749" t="s">
        <v>32</v>
      </c>
      <c r="L4749">
        <v>0</v>
      </c>
      <c r="M4749">
        <v>4</v>
      </c>
      <c r="N4749" t="s">
        <v>1474</v>
      </c>
      <c r="O4749" s="3" t="str">
        <f>TEXT(Ticket_Table[[#This Row],[raised_date]],"YYYY-MM")</f>
        <v>2021-07</v>
      </c>
      <c r="P4749" s="3" t="str">
        <f>IF(Ticket_Table[[#This Row],[resolution_hrs]]&lt;=4,"Fast",IF(Ticket_Table[[#This Row],[resolution_hrs]]&lt;=24,"Normal",IF(Ticket_Table[[#This Row],[resolution_hrs]]&lt;=48,"Slow","Very Slow")))</f>
        <v>Normal</v>
      </c>
      <c r="Q4749" s="3">
        <f>YEAR(Ticket_Table[[#This Row],[raised_date]])</f>
        <v>2021</v>
      </c>
    </row>
    <row r="4750" spans="1:17">
      <c r="A4750" t="s">
        <v>5311</v>
      </c>
      <c r="B4750" t="s">
        <v>221</v>
      </c>
      <c r="C4750" t="s">
        <v>68</v>
      </c>
      <c r="D4750" t="s">
        <v>36</v>
      </c>
      <c r="E4750" t="s">
        <v>44</v>
      </c>
      <c r="F4750" t="s">
        <v>70</v>
      </c>
      <c r="G4750" t="s">
        <v>23</v>
      </c>
      <c r="H4750" s="1">
        <v>44642</v>
      </c>
      <c r="I4750" s="2">
        <v>44643.2708333333</v>
      </c>
      <c r="J4750">
        <v>30.5</v>
      </c>
      <c r="K4750" t="s">
        <v>24</v>
      </c>
      <c r="L4750">
        <v>0</v>
      </c>
      <c r="M4750">
        <v>4</v>
      </c>
      <c r="N4750" t="s">
        <v>223</v>
      </c>
      <c r="O4750" s="3" t="str">
        <f>TEXT(Ticket_Table[[#This Row],[raised_date]],"YYYY-MM")</f>
        <v>2022-03</v>
      </c>
      <c r="P4750" s="3" t="str">
        <f>IF(Ticket_Table[[#This Row],[resolution_hrs]]&lt;=4,"Fast",IF(Ticket_Table[[#This Row],[resolution_hrs]]&lt;=24,"Normal",IF(Ticket_Table[[#This Row],[resolution_hrs]]&lt;=48,"Slow","Very Slow")))</f>
        <v>Slow</v>
      </c>
      <c r="Q4750" s="3">
        <f>YEAR(Ticket_Table[[#This Row],[raised_date]])</f>
        <v>2022</v>
      </c>
    </row>
    <row r="4751" spans="1:17">
      <c r="A4751" t="s">
        <v>5312</v>
      </c>
      <c r="B4751" t="s">
        <v>1037</v>
      </c>
      <c r="C4751" t="s">
        <v>175</v>
      </c>
      <c r="D4751" t="s">
        <v>90</v>
      </c>
      <c r="E4751" t="s">
        <v>56</v>
      </c>
      <c r="F4751" t="s">
        <v>70</v>
      </c>
      <c r="G4751" t="s">
        <v>23</v>
      </c>
      <c r="H4751" s="1">
        <v>44481</v>
      </c>
      <c r="I4751" s="2">
        <v>44482.9416666667</v>
      </c>
      <c r="J4751">
        <v>46.6</v>
      </c>
      <c r="K4751" t="s">
        <v>24</v>
      </c>
      <c r="L4751">
        <v>0</v>
      </c>
      <c r="M4751">
        <v>3</v>
      </c>
      <c r="N4751" t="s">
        <v>158</v>
      </c>
      <c r="O4751" s="3" t="str">
        <f>TEXT(Ticket_Table[[#This Row],[raised_date]],"YYYY-MM")</f>
        <v>2021-10</v>
      </c>
      <c r="P4751" s="3" t="str">
        <f>IF(Ticket_Table[[#This Row],[resolution_hrs]]&lt;=4,"Fast",IF(Ticket_Table[[#This Row],[resolution_hrs]]&lt;=24,"Normal",IF(Ticket_Table[[#This Row],[resolution_hrs]]&lt;=48,"Slow","Very Slow")))</f>
        <v>Slow</v>
      </c>
      <c r="Q4751" s="3">
        <f>YEAR(Ticket_Table[[#This Row],[raised_date]])</f>
        <v>2021</v>
      </c>
    </row>
    <row r="4752" spans="1:17">
      <c r="A4752" t="s">
        <v>5313</v>
      </c>
      <c r="B4752" t="s">
        <v>143</v>
      </c>
      <c r="C4752" t="s">
        <v>213</v>
      </c>
      <c r="D4752" t="s">
        <v>29</v>
      </c>
      <c r="E4752" t="s">
        <v>51</v>
      </c>
      <c r="F4752" t="s">
        <v>70</v>
      </c>
      <c r="G4752" t="s">
        <v>74</v>
      </c>
      <c r="H4752" s="1">
        <v>44197</v>
      </c>
      <c r="I4752" s="2">
        <v>44199.6333333333</v>
      </c>
      <c r="J4752">
        <v>63.2</v>
      </c>
      <c r="K4752" t="s">
        <v>32</v>
      </c>
      <c r="L4752">
        <v>0</v>
      </c>
      <c r="M4752">
        <v>2</v>
      </c>
      <c r="N4752" t="s">
        <v>273</v>
      </c>
      <c r="O4752" s="3" t="str">
        <f>TEXT(Ticket_Table[[#This Row],[raised_date]],"YYYY-MM")</f>
        <v>2021-01</v>
      </c>
      <c r="P4752" s="3" t="str">
        <f>IF(Ticket_Table[[#This Row],[resolution_hrs]]&lt;=4,"Fast",IF(Ticket_Table[[#This Row],[resolution_hrs]]&lt;=24,"Normal",IF(Ticket_Table[[#This Row],[resolution_hrs]]&lt;=48,"Slow","Very Slow")))</f>
        <v>Very Slow</v>
      </c>
      <c r="Q4752" s="3">
        <f>YEAR(Ticket_Table[[#This Row],[raised_date]])</f>
        <v>2021</v>
      </c>
    </row>
    <row r="4753" spans="1:17">
      <c r="A4753" t="s">
        <v>5314</v>
      </c>
      <c r="B4753" t="s">
        <v>197</v>
      </c>
      <c r="C4753" t="s">
        <v>102</v>
      </c>
      <c r="D4753" t="s">
        <v>36</v>
      </c>
      <c r="E4753" t="s">
        <v>30</v>
      </c>
      <c r="F4753" t="s">
        <v>45</v>
      </c>
      <c r="G4753" t="s">
        <v>23</v>
      </c>
      <c r="H4753" s="1">
        <v>44497</v>
      </c>
      <c r="I4753" s="2">
        <v>44497.0708333333</v>
      </c>
      <c r="J4753">
        <v>1.7</v>
      </c>
      <c r="K4753" t="s">
        <v>24</v>
      </c>
      <c r="L4753">
        <v>0</v>
      </c>
      <c r="M4753">
        <v>4</v>
      </c>
      <c r="N4753" t="s">
        <v>232</v>
      </c>
      <c r="O4753" s="3" t="str">
        <f>TEXT(Ticket_Table[[#This Row],[raised_date]],"YYYY-MM")</f>
        <v>2021-10</v>
      </c>
      <c r="P4753" s="3" t="str">
        <f>IF(Ticket_Table[[#This Row],[resolution_hrs]]&lt;=4,"Fast",IF(Ticket_Table[[#This Row],[resolution_hrs]]&lt;=24,"Normal",IF(Ticket_Table[[#This Row],[resolution_hrs]]&lt;=48,"Slow","Very Slow")))</f>
        <v>Fast</v>
      </c>
      <c r="Q4753" s="3">
        <f>YEAR(Ticket_Table[[#This Row],[raised_date]])</f>
        <v>2021</v>
      </c>
    </row>
    <row r="4754" spans="1:17">
      <c r="A4754" t="s">
        <v>5315</v>
      </c>
      <c r="B4754" t="s">
        <v>1760</v>
      </c>
      <c r="C4754" t="s">
        <v>133</v>
      </c>
      <c r="D4754" t="s">
        <v>90</v>
      </c>
      <c r="E4754" t="s">
        <v>21</v>
      </c>
      <c r="F4754" t="s">
        <v>38</v>
      </c>
      <c r="G4754" t="s">
        <v>31</v>
      </c>
      <c r="H4754" s="1">
        <v>44502</v>
      </c>
      <c r="I4754" s="2">
        <v>44502.5166666667</v>
      </c>
      <c r="J4754">
        <v>12.4</v>
      </c>
      <c r="K4754" t="s">
        <v>24</v>
      </c>
      <c r="L4754">
        <v>1</v>
      </c>
      <c r="M4754">
        <v>2</v>
      </c>
      <c r="N4754" t="s">
        <v>92</v>
      </c>
      <c r="O4754" s="3" t="str">
        <f>TEXT(Ticket_Table[[#This Row],[raised_date]],"YYYY-MM")</f>
        <v>2021-11</v>
      </c>
      <c r="P4754" s="3" t="str">
        <f>IF(Ticket_Table[[#This Row],[resolution_hrs]]&lt;=4,"Fast",IF(Ticket_Table[[#This Row],[resolution_hrs]]&lt;=24,"Normal",IF(Ticket_Table[[#This Row],[resolution_hrs]]&lt;=48,"Slow","Very Slow")))</f>
        <v>Normal</v>
      </c>
      <c r="Q4754" s="3">
        <f>YEAR(Ticket_Table[[#This Row],[raised_date]])</f>
        <v>2021</v>
      </c>
    </row>
    <row r="4755" spans="1:17">
      <c r="A4755" t="s">
        <v>5316</v>
      </c>
      <c r="B4755" t="s">
        <v>457</v>
      </c>
      <c r="C4755" t="s">
        <v>201</v>
      </c>
      <c r="D4755" t="s">
        <v>90</v>
      </c>
      <c r="E4755" t="s">
        <v>44</v>
      </c>
      <c r="F4755" t="s">
        <v>70</v>
      </c>
      <c r="G4755" t="s">
        <v>23</v>
      </c>
      <c r="H4755" s="1">
        <v>45124</v>
      </c>
      <c r="I4755" s="2">
        <v>45126.375</v>
      </c>
      <c r="J4755">
        <v>57</v>
      </c>
      <c r="K4755" t="s">
        <v>32</v>
      </c>
      <c r="L4755">
        <v>0</v>
      </c>
      <c r="M4755">
        <v>4</v>
      </c>
      <c r="N4755" t="s">
        <v>959</v>
      </c>
      <c r="O4755" s="3" t="str">
        <f>TEXT(Ticket_Table[[#This Row],[raised_date]],"YYYY-MM")</f>
        <v>2023-07</v>
      </c>
      <c r="P4755" s="3" t="str">
        <f>IF(Ticket_Table[[#This Row],[resolution_hrs]]&lt;=4,"Fast",IF(Ticket_Table[[#This Row],[resolution_hrs]]&lt;=24,"Normal",IF(Ticket_Table[[#This Row],[resolution_hrs]]&lt;=48,"Slow","Very Slow")))</f>
        <v>Very Slow</v>
      </c>
      <c r="Q4755" s="3">
        <f>YEAR(Ticket_Table[[#This Row],[raised_date]])</f>
        <v>2023</v>
      </c>
    </row>
    <row r="4756" spans="1:17">
      <c r="A4756" t="s">
        <v>5317</v>
      </c>
      <c r="B4756" t="s">
        <v>447</v>
      </c>
      <c r="C4756" t="s">
        <v>102</v>
      </c>
      <c r="D4756" t="s">
        <v>20</v>
      </c>
      <c r="E4756" t="s">
        <v>37</v>
      </c>
      <c r="F4756" t="s">
        <v>22</v>
      </c>
      <c r="G4756" t="s">
        <v>23</v>
      </c>
      <c r="H4756" s="1">
        <v>45285</v>
      </c>
      <c r="I4756" s="2">
        <v>45286.5333333333</v>
      </c>
      <c r="J4756">
        <v>36.8</v>
      </c>
      <c r="K4756" t="s">
        <v>24</v>
      </c>
      <c r="L4756">
        <v>2</v>
      </c>
      <c r="M4756">
        <v>5</v>
      </c>
      <c r="N4756" t="s">
        <v>647</v>
      </c>
      <c r="O4756" s="3" t="str">
        <f>TEXT(Ticket_Table[[#This Row],[raised_date]],"YYYY-MM")</f>
        <v>2023-12</v>
      </c>
      <c r="P4756" s="3" t="str">
        <f>IF(Ticket_Table[[#This Row],[resolution_hrs]]&lt;=4,"Fast",IF(Ticket_Table[[#This Row],[resolution_hrs]]&lt;=24,"Normal",IF(Ticket_Table[[#This Row],[resolution_hrs]]&lt;=48,"Slow","Very Slow")))</f>
        <v>Slow</v>
      </c>
      <c r="Q4756" s="3">
        <f>YEAR(Ticket_Table[[#This Row],[raised_date]])</f>
        <v>2023</v>
      </c>
    </row>
    <row r="4757" spans="1:17">
      <c r="A4757" t="s">
        <v>5318</v>
      </c>
      <c r="B4757" t="s">
        <v>96</v>
      </c>
      <c r="C4757" t="s">
        <v>213</v>
      </c>
      <c r="D4757" t="s">
        <v>90</v>
      </c>
      <c r="E4757" t="s">
        <v>51</v>
      </c>
      <c r="F4757" t="s">
        <v>22</v>
      </c>
      <c r="G4757" t="s">
        <v>31</v>
      </c>
      <c r="H4757" s="1">
        <v>44793</v>
      </c>
      <c r="I4757" s="2">
        <v>44794.8625</v>
      </c>
      <c r="J4757">
        <v>44.7</v>
      </c>
      <c r="K4757" t="s">
        <v>24</v>
      </c>
      <c r="L4757">
        <v>0</v>
      </c>
      <c r="M4757">
        <v>5</v>
      </c>
      <c r="N4757" t="s">
        <v>811</v>
      </c>
      <c r="O4757" s="3" t="str">
        <f>TEXT(Ticket_Table[[#This Row],[raised_date]],"YYYY-MM")</f>
        <v>2022-08</v>
      </c>
      <c r="P4757" s="3" t="str">
        <f>IF(Ticket_Table[[#This Row],[resolution_hrs]]&lt;=4,"Fast",IF(Ticket_Table[[#This Row],[resolution_hrs]]&lt;=24,"Normal",IF(Ticket_Table[[#This Row],[resolution_hrs]]&lt;=48,"Slow","Very Slow")))</f>
        <v>Slow</v>
      </c>
      <c r="Q4757" s="3">
        <f>YEAR(Ticket_Table[[#This Row],[raised_date]])</f>
        <v>2022</v>
      </c>
    </row>
    <row r="4758" spans="1:17">
      <c r="A4758" t="s">
        <v>5319</v>
      </c>
      <c r="B4758" t="s">
        <v>114</v>
      </c>
      <c r="C4758" t="s">
        <v>55</v>
      </c>
      <c r="D4758" t="s">
        <v>43</v>
      </c>
      <c r="E4758" t="s">
        <v>21</v>
      </c>
      <c r="F4758" t="s">
        <v>70</v>
      </c>
      <c r="G4758" t="s">
        <v>23</v>
      </c>
      <c r="H4758" s="1">
        <v>44995</v>
      </c>
      <c r="I4758" s="2">
        <v>44996.9708333333</v>
      </c>
      <c r="J4758">
        <v>47.3</v>
      </c>
      <c r="K4758" t="s">
        <v>24</v>
      </c>
      <c r="L4758">
        <v>0</v>
      </c>
      <c r="M4758">
        <v>3</v>
      </c>
      <c r="N4758" t="s">
        <v>262</v>
      </c>
      <c r="O4758" s="3" t="str">
        <f>TEXT(Ticket_Table[[#This Row],[raised_date]],"YYYY-MM")</f>
        <v>2023-03</v>
      </c>
      <c r="P4758" s="3" t="str">
        <f>IF(Ticket_Table[[#This Row],[resolution_hrs]]&lt;=4,"Fast",IF(Ticket_Table[[#This Row],[resolution_hrs]]&lt;=24,"Normal",IF(Ticket_Table[[#This Row],[resolution_hrs]]&lt;=48,"Slow","Very Slow")))</f>
        <v>Slow</v>
      </c>
      <c r="Q4758" s="3">
        <f>YEAR(Ticket_Table[[#This Row],[raised_date]])</f>
        <v>2023</v>
      </c>
    </row>
    <row r="4759" spans="1:17">
      <c r="A4759" t="s">
        <v>5320</v>
      </c>
      <c r="B4759" t="s">
        <v>237</v>
      </c>
      <c r="C4759" t="s">
        <v>117</v>
      </c>
      <c r="D4759" t="s">
        <v>29</v>
      </c>
      <c r="E4759" t="s">
        <v>69</v>
      </c>
      <c r="F4759" t="s">
        <v>38</v>
      </c>
      <c r="G4759" t="s">
        <v>74</v>
      </c>
      <c r="H4759" s="1">
        <v>45112</v>
      </c>
      <c r="I4759" s="2">
        <v>45112.7291666667</v>
      </c>
      <c r="J4759">
        <v>17.5</v>
      </c>
      <c r="K4759" t="s">
        <v>24</v>
      </c>
      <c r="L4759">
        <v>3</v>
      </c>
      <c r="M4759">
        <v>3</v>
      </c>
      <c r="N4759" t="s">
        <v>49</v>
      </c>
      <c r="O4759" s="3" t="str">
        <f>TEXT(Ticket_Table[[#This Row],[raised_date]],"YYYY-MM")</f>
        <v>2023-07</v>
      </c>
      <c r="P4759" s="3" t="str">
        <f>IF(Ticket_Table[[#This Row],[resolution_hrs]]&lt;=4,"Fast",IF(Ticket_Table[[#This Row],[resolution_hrs]]&lt;=24,"Normal",IF(Ticket_Table[[#This Row],[resolution_hrs]]&lt;=48,"Slow","Very Slow")))</f>
        <v>Normal</v>
      </c>
      <c r="Q4759" s="3">
        <f>YEAR(Ticket_Table[[#This Row],[raised_date]])</f>
        <v>2023</v>
      </c>
    </row>
    <row r="4760" spans="1:17">
      <c r="A4760" t="s">
        <v>5321</v>
      </c>
      <c r="B4760" t="s">
        <v>365</v>
      </c>
      <c r="C4760" t="s">
        <v>133</v>
      </c>
      <c r="D4760" t="s">
        <v>29</v>
      </c>
      <c r="E4760" t="s">
        <v>56</v>
      </c>
      <c r="F4760" t="s">
        <v>70</v>
      </c>
      <c r="G4760" t="s">
        <v>23</v>
      </c>
      <c r="H4760" s="1">
        <v>44597</v>
      </c>
      <c r="I4760" s="2">
        <v>44599.9208333333</v>
      </c>
      <c r="J4760">
        <v>70.1</v>
      </c>
      <c r="K4760" t="s">
        <v>32</v>
      </c>
      <c r="L4760">
        <v>0</v>
      </c>
      <c r="M4760">
        <v>5</v>
      </c>
      <c r="N4760" t="s">
        <v>198</v>
      </c>
      <c r="O4760" s="3" t="str">
        <f>TEXT(Ticket_Table[[#This Row],[raised_date]],"YYYY-MM")</f>
        <v>2022-02</v>
      </c>
      <c r="P4760" s="3" t="str">
        <f>IF(Ticket_Table[[#This Row],[resolution_hrs]]&lt;=4,"Fast",IF(Ticket_Table[[#This Row],[resolution_hrs]]&lt;=24,"Normal",IF(Ticket_Table[[#This Row],[resolution_hrs]]&lt;=48,"Slow","Very Slow")))</f>
        <v>Very Slow</v>
      </c>
      <c r="Q4760" s="3">
        <f>YEAR(Ticket_Table[[#This Row],[raised_date]])</f>
        <v>2022</v>
      </c>
    </row>
    <row r="4761" spans="1:17">
      <c r="A4761" t="s">
        <v>5322</v>
      </c>
      <c r="B4761" t="s">
        <v>300</v>
      </c>
      <c r="C4761" t="s">
        <v>68</v>
      </c>
      <c r="D4761" t="s">
        <v>29</v>
      </c>
      <c r="E4761" t="s">
        <v>56</v>
      </c>
      <c r="F4761" t="s">
        <v>22</v>
      </c>
      <c r="G4761" t="s">
        <v>31</v>
      </c>
      <c r="H4761" s="1">
        <v>44618</v>
      </c>
      <c r="I4761" s="2">
        <v>44620.8125</v>
      </c>
      <c r="J4761">
        <v>67.5</v>
      </c>
      <c r="K4761" t="s">
        <v>24</v>
      </c>
      <c r="L4761">
        <v>0</v>
      </c>
      <c r="M4761">
        <v>4</v>
      </c>
      <c r="N4761" t="s">
        <v>310</v>
      </c>
      <c r="O4761" s="3" t="str">
        <f>TEXT(Ticket_Table[[#This Row],[raised_date]],"YYYY-MM")</f>
        <v>2022-02</v>
      </c>
      <c r="P4761" s="3" t="str">
        <f>IF(Ticket_Table[[#This Row],[resolution_hrs]]&lt;=4,"Fast",IF(Ticket_Table[[#This Row],[resolution_hrs]]&lt;=24,"Normal",IF(Ticket_Table[[#This Row],[resolution_hrs]]&lt;=48,"Slow","Very Slow")))</f>
        <v>Very Slow</v>
      </c>
      <c r="Q4761" s="3">
        <f>YEAR(Ticket_Table[[#This Row],[raised_date]])</f>
        <v>2022</v>
      </c>
    </row>
    <row r="4762" spans="1:17">
      <c r="A4762" t="s">
        <v>5323</v>
      </c>
      <c r="B4762" t="s">
        <v>600</v>
      </c>
      <c r="C4762" t="s">
        <v>78</v>
      </c>
      <c r="D4762" t="s">
        <v>36</v>
      </c>
      <c r="E4762" t="s">
        <v>30</v>
      </c>
      <c r="F4762" t="s">
        <v>38</v>
      </c>
      <c r="G4762" t="s">
        <v>31</v>
      </c>
      <c r="H4762" s="1">
        <v>44845</v>
      </c>
      <c r="I4762" s="2">
        <v>44845.275</v>
      </c>
      <c r="J4762">
        <v>6.6</v>
      </c>
      <c r="K4762" t="s">
        <v>24</v>
      </c>
      <c r="L4762">
        <v>1</v>
      </c>
      <c r="M4762">
        <v>5</v>
      </c>
      <c r="N4762" t="s">
        <v>597</v>
      </c>
      <c r="O4762" s="3" t="str">
        <f>TEXT(Ticket_Table[[#This Row],[raised_date]],"YYYY-MM")</f>
        <v>2022-10</v>
      </c>
      <c r="P4762" s="3" t="str">
        <f>IF(Ticket_Table[[#This Row],[resolution_hrs]]&lt;=4,"Fast",IF(Ticket_Table[[#This Row],[resolution_hrs]]&lt;=24,"Normal",IF(Ticket_Table[[#This Row],[resolution_hrs]]&lt;=48,"Slow","Very Slow")))</f>
        <v>Normal</v>
      </c>
      <c r="Q4762" s="3">
        <f>YEAR(Ticket_Table[[#This Row],[raised_date]])</f>
        <v>2022</v>
      </c>
    </row>
    <row r="4763" spans="1:17">
      <c r="A4763" t="s">
        <v>5324</v>
      </c>
      <c r="B4763" t="s">
        <v>275</v>
      </c>
      <c r="C4763" t="s">
        <v>95</v>
      </c>
      <c r="D4763" t="s">
        <v>36</v>
      </c>
      <c r="E4763" t="s">
        <v>51</v>
      </c>
      <c r="F4763" t="s">
        <v>38</v>
      </c>
      <c r="G4763" t="s">
        <v>23</v>
      </c>
      <c r="H4763" s="1">
        <v>44810</v>
      </c>
      <c r="I4763" s="2">
        <v>44810.1083333333</v>
      </c>
      <c r="J4763">
        <v>2.6</v>
      </c>
      <c r="K4763" t="s">
        <v>24</v>
      </c>
      <c r="L4763">
        <v>0</v>
      </c>
      <c r="M4763">
        <v>4</v>
      </c>
      <c r="N4763" t="s">
        <v>220</v>
      </c>
      <c r="O4763" s="3" t="str">
        <f>TEXT(Ticket_Table[[#This Row],[raised_date]],"YYYY-MM")</f>
        <v>2022-09</v>
      </c>
      <c r="P4763" s="3" t="str">
        <f>IF(Ticket_Table[[#This Row],[resolution_hrs]]&lt;=4,"Fast",IF(Ticket_Table[[#This Row],[resolution_hrs]]&lt;=24,"Normal",IF(Ticket_Table[[#This Row],[resolution_hrs]]&lt;=48,"Slow","Very Slow")))</f>
        <v>Fast</v>
      </c>
      <c r="Q4763" s="3">
        <f>YEAR(Ticket_Table[[#This Row],[raised_date]])</f>
        <v>2022</v>
      </c>
    </row>
    <row r="4764" spans="1:17">
      <c r="A4764" t="s">
        <v>5325</v>
      </c>
      <c r="B4764" t="s">
        <v>886</v>
      </c>
      <c r="C4764" t="s">
        <v>64</v>
      </c>
      <c r="D4764" t="s">
        <v>43</v>
      </c>
      <c r="E4764" t="s">
        <v>37</v>
      </c>
      <c r="F4764" t="s">
        <v>22</v>
      </c>
      <c r="G4764" t="s">
        <v>74</v>
      </c>
      <c r="H4764" s="1">
        <v>44820</v>
      </c>
      <c r="I4764" s="2">
        <v>44824.1875</v>
      </c>
      <c r="J4764">
        <v>100.5</v>
      </c>
      <c r="K4764" t="s">
        <v>32</v>
      </c>
      <c r="L4764">
        <v>0</v>
      </c>
      <c r="M4764">
        <v>4</v>
      </c>
      <c r="N4764" t="s">
        <v>790</v>
      </c>
      <c r="O4764" s="3" t="str">
        <f>TEXT(Ticket_Table[[#This Row],[raised_date]],"YYYY-MM")</f>
        <v>2022-09</v>
      </c>
      <c r="P4764" s="3" t="str">
        <f>IF(Ticket_Table[[#This Row],[resolution_hrs]]&lt;=4,"Fast",IF(Ticket_Table[[#This Row],[resolution_hrs]]&lt;=24,"Normal",IF(Ticket_Table[[#This Row],[resolution_hrs]]&lt;=48,"Slow","Very Slow")))</f>
        <v>Very Slow</v>
      </c>
      <c r="Q4764" s="3">
        <f>YEAR(Ticket_Table[[#This Row],[raised_date]])</f>
        <v>2022</v>
      </c>
    </row>
    <row r="4765" spans="1:17">
      <c r="A4765" t="s">
        <v>5326</v>
      </c>
      <c r="B4765" t="s">
        <v>1154</v>
      </c>
      <c r="C4765" t="s">
        <v>55</v>
      </c>
      <c r="D4765" t="s">
        <v>90</v>
      </c>
      <c r="E4765" t="s">
        <v>166</v>
      </c>
      <c r="F4765" t="s">
        <v>38</v>
      </c>
      <c r="G4765" t="s">
        <v>23</v>
      </c>
      <c r="H4765" s="1">
        <v>45087</v>
      </c>
      <c r="I4765" s="2">
        <v>45088.3708333333</v>
      </c>
      <c r="J4765">
        <v>32.9</v>
      </c>
      <c r="K4765" t="s">
        <v>32</v>
      </c>
      <c r="L4765">
        <v>0</v>
      </c>
      <c r="M4765">
        <v>2</v>
      </c>
      <c r="N4765" t="s">
        <v>1041</v>
      </c>
      <c r="O4765" s="3" t="str">
        <f>TEXT(Ticket_Table[[#This Row],[raised_date]],"YYYY-MM")</f>
        <v>2023-06</v>
      </c>
      <c r="P4765" s="3" t="str">
        <f>IF(Ticket_Table[[#This Row],[resolution_hrs]]&lt;=4,"Fast",IF(Ticket_Table[[#This Row],[resolution_hrs]]&lt;=24,"Normal",IF(Ticket_Table[[#This Row],[resolution_hrs]]&lt;=48,"Slow","Very Slow")))</f>
        <v>Slow</v>
      </c>
      <c r="Q4765" s="3">
        <f>YEAR(Ticket_Table[[#This Row],[raised_date]])</f>
        <v>2023</v>
      </c>
    </row>
    <row r="4766" spans="1:17">
      <c r="A4766" t="s">
        <v>5327</v>
      </c>
      <c r="B4766" t="s">
        <v>1382</v>
      </c>
      <c r="C4766" t="s">
        <v>213</v>
      </c>
      <c r="D4766" t="s">
        <v>36</v>
      </c>
      <c r="E4766" t="s">
        <v>37</v>
      </c>
      <c r="F4766" t="s">
        <v>70</v>
      </c>
      <c r="G4766" t="s">
        <v>31</v>
      </c>
      <c r="H4766" s="1">
        <v>44902</v>
      </c>
      <c r="I4766" s="2">
        <v>44902.1166666667</v>
      </c>
      <c r="J4766">
        <v>2.8</v>
      </c>
      <c r="K4766" t="s">
        <v>24</v>
      </c>
      <c r="L4766">
        <v>1</v>
      </c>
      <c r="M4766">
        <v>1</v>
      </c>
      <c r="N4766" t="s">
        <v>567</v>
      </c>
      <c r="O4766" s="3" t="str">
        <f>TEXT(Ticket_Table[[#This Row],[raised_date]],"YYYY-MM")</f>
        <v>2022-12</v>
      </c>
      <c r="P4766" s="3" t="str">
        <f>IF(Ticket_Table[[#This Row],[resolution_hrs]]&lt;=4,"Fast",IF(Ticket_Table[[#This Row],[resolution_hrs]]&lt;=24,"Normal",IF(Ticket_Table[[#This Row],[resolution_hrs]]&lt;=48,"Slow","Very Slow")))</f>
        <v>Fast</v>
      </c>
      <c r="Q4766" s="3">
        <f>YEAR(Ticket_Table[[#This Row],[raised_date]])</f>
        <v>2022</v>
      </c>
    </row>
    <row r="4767" spans="1:17">
      <c r="A4767" t="s">
        <v>5328</v>
      </c>
      <c r="B4767" t="s">
        <v>968</v>
      </c>
      <c r="C4767" t="s">
        <v>19</v>
      </c>
      <c r="D4767" t="s">
        <v>90</v>
      </c>
      <c r="E4767" t="s">
        <v>21</v>
      </c>
      <c r="F4767" t="s">
        <v>38</v>
      </c>
      <c r="G4767" t="s">
        <v>23</v>
      </c>
      <c r="H4767" s="1">
        <v>44379</v>
      </c>
      <c r="I4767" s="2">
        <v>44379.9291666667</v>
      </c>
      <c r="J4767">
        <v>22.3</v>
      </c>
      <c r="K4767" t="s">
        <v>24</v>
      </c>
      <c r="L4767">
        <v>0</v>
      </c>
      <c r="M4767">
        <v>3</v>
      </c>
      <c r="N4767" t="s">
        <v>302</v>
      </c>
      <c r="O4767" s="3" t="str">
        <f>TEXT(Ticket_Table[[#This Row],[raised_date]],"YYYY-MM")</f>
        <v>2021-07</v>
      </c>
      <c r="P4767" s="3" t="str">
        <f>IF(Ticket_Table[[#This Row],[resolution_hrs]]&lt;=4,"Fast",IF(Ticket_Table[[#This Row],[resolution_hrs]]&lt;=24,"Normal",IF(Ticket_Table[[#This Row],[resolution_hrs]]&lt;=48,"Slow","Very Slow")))</f>
        <v>Normal</v>
      </c>
      <c r="Q4767" s="3">
        <f>YEAR(Ticket_Table[[#This Row],[raised_date]])</f>
        <v>2021</v>
      </c>
    </row>
    <row r="4768" spans="1:17">
      <c r="A4768" t="s">
        <v>5329</v>
      </c>
      <c r="B4768" t="s">
        <v>653</v>
      </c>
      <c r="C4768" t="s">
        <v>95</v>
      </c>
      <c r="D4768" t="s">
        <v>90</v>
      </c>
      <c r="E4768" t="s">
        <v>44</v>
      </c>
      <c r="F4768" t="s">
        <v>38</v>
      </c>
      <c r="G4768" t="s">
        <v>23</v>
      </c>
      <c r="H4768" s="1">
        <v>44213</v>
      </c>
      <c r="I4768" s="2">
        <v>44214.2208333333</v>
      </c>
      <c r="J4768">
        <v>29.3</v>
      </c>
      <c r="K4768" t="s">
        <v>32</v>
      </c>
      <c r="L4768">
        <v>0</v>
      </c>
      <c r="M4768">
        <v>3</v>
      </c>
      <c r="N4768" t="s">
        <v>382</v>
      </c>
      <c r="O4768" s="3" t="str">
        <f>TEXT(Ticket_Table[[#This Row],[raised_date]],"YYYY-MM")</f>
        <v>2021-01</v>
      </c>
      <c r="P4768" s="3" t="str">
        <f>IF(Ticket_Table[[#This Row],[resolution_hrs]]&lt;=4,"Fast",IF(Ticket_Table[[#This Row],[resolution_hrs]]&lt;=24,"Normal",IF(Ticket_Table[[#This Row],[resolution_hrs]]&lt;=48,"Slow","Very Slow")))</f>
        <v>Slow</v>
      </c>
      <c r="Q4768" s="3">
        <f>YEAR(Ticket_Table[[#This Row],[raised_date]])</f>
        <v>2021</v>
      </c>
    </row>
    <row r="4769" spans="1:17">
      <c r="A4769" t="s">
        <v>5330</v>
      </c>
      <c r="B4769" t="s">
        <v>521</v>
      </c>
      <c r="C4769" t="s">
        <v>261</v>
      </c>
      <c r="D4769" t="s">
        <v>36</v>
      </c>
      <c r="E4769" t="s">
        <v>83</v>
      </c>
      <c r="F4769" t="s">
        <v>70</v>
      </c>
      <c r="G4769" t="s">
        <v>91</v>
      </c>
      <c r="H4769" s="1">
        <v>45242</v>
      </c>
      <c r="I4769" s="2">
        <v>45243.5541666667</v>
      </c>
      <c r="J4769">
        <v>37.3</v>
      </c>
      <c r="K4769" t="s">
        <v>24</v>
      </c>
      <c r="L4769">
        <v>2</v>
      </c>
      <c r="M4769">
        <v>4</v>
      </c>
      <c r="N4769" t="s">
        <v>320</v>
      </c>
      <c r="O4769" s="3" t="str">
        <f>TEXT(Ticket_Table[[#This Row],[raised_date]],"YYYY-MM")</f>
        <v>2023-11</v>
      </c>
      <c r="P4769" s="3" t="str">
        <f>IF(Ticket_Table[[#This Row],[resolution_hrs]]&lt;=4,"Fast",IF(Ticket_Table[[#This Row],[resolution_hrs]]&lt;=24,"Normal",IF(Ticket_Table[[#This Row],[resolution_hrs]]&lt;=48,"Slow","Very Slow")))</f>
        <v>Slow</v>
      </c>
      <c r="Q4769" s="3">
        <f>YEAR(Ticket_Table[[#This Row],[raised_date]])</f>
        <v>2023</v>
      </c>
    </row>
    <row r="4770" spans="1:17">
      <c r="A4770" t="s">
        <v>5331</v>
      </c>
      <c r="B4770" t="s">
        <v>525</v>
      </c>
      <c r="C4770" t="s">
        <v>213</v>
      </c>
      <c r="D4770" t="s">
        <v>36</v>
      </c>
      <c r="E4770" t="s">
        <v>30</v>
      </c>
      <c r="F4770" t="s">
        <v>38</v>
      </c>
      <c r="G4770" t="s">
        <v>23</v>
      </c>
      <c r="H4770" s="1">
        <v>45024</v>
      </c>
      <c r="I4770" s="2">
        <v>45025.1791666667</v>
      </c>
      <c r="J4770">
        <v>28.3</v>
      </c>
      <c r="K4770" t="s">
        <v>32</v>
      </c>
      <c r="L4770">
        <v>0</v>
      </c>
      <c r="M4770">
        <v>4</v>
      </c>
      <c r="N4770" t="s">
        <v>442</v>
      </c>
      <c r="O4770" s="3" t="str">
        <f>TEXT(Ticket_Table[[#This Row],[raised_date]],"YYYY-MM")</f>
        <v>2023-04</v>
      </c>
      <c r="P4770" s="3" t="str">
        <f>IF(Ticket_Table[[#This Row],[resolution_hrs]]&lt;=4,"Fast",IF(Ticket_Table[[#This Row],[resolution_hrs]]&lt;=24,"Normal",IF(Ticket_Table[[#This Row],[resolution_hrs]]&lt;=48,"Slow","Very Slow")))</f>
        <v>Slow</v>
      </c>
      <c r="Q4770" s="3">
        <f>YEAR(Ticket_Table[[#This Row],[raised_date]])</f>
        <v>2023</v>
      </c>
    </row>
    <row r="4771" spans="1:17">
      <c r="A4771" t="s">
        <v>5332</v>
      </c>
      <c r="B4771" t="s">
        <v>627</v>
      </c>
      <c r="C4771" t="s">
        <v>102</v>
      </c>
      <c r="D4771" t="s">
        <v>43</v>
      </c>
      <c r="E4771" t="s">
        <v>83</v>
      </c>
      <c r="F4771" t="s">
        <v>38</v>
      </c>
      <c r="G4771" t="s">
        <v>23</v>
      </c>
      <c r="H4771" s="1">
        <v>44458</v>
      </c>
      <c r="I4771" s="2">
        <v>44458.7833333333</v>
      </c>
      <c r="J4771">
        <v>18.8</v>
      </c>
      <c r="K4771" t="s">
        <v>24</v>
      </c>
      <c r="L4771">
        <v>0</v>
      </c>
      <c r="M4771">
        <v>4</v>
      </c>
      <c r="N4771" t="s">
        <v>25</v>
      </c>
      <c r="O4771" s="3" t="str">
        <f>TEXT(Ticket_Table[[#This Row],[raised_date]],"YYYY-MM")</f>
        <v>2021-09</v>
      </c>
      <c r="P4771" s="3" t="str">
        <f>IF(Ticket_Table[[#This Row],[resolution_hrs]]&lt;=4,"Fast",IF(Ticket_Table[[#This Row],[resolution_hrs]]&lt;=24,"Normal",IF(Ticket_Table[[#This Row],[resolution_hrs]]&lt;=48,"Slow","Very Slow")))</f>
        <v>Normal</v>
      </c>
      <c r="Q4771" s="3">
        <f>YEAR(Ticket_Table[[#This Row],[raised_date]])</f>
        <v>2021</v>
      </c>
    </row>
    <row r="4772" spans="1:17">
      <c r="A4772" t="s">
        <v>5333</v>
      </c>
      <c r="B4772" t="s">
        <v>300</v>
      </c>
      <c r="C4772" t="s">
        <v>133</v>
      </c>
      <c r="D4772" t="s">
        <v>20</v>
      </c>
      <c r="E4772" t="s">
        <v>51</v>
      </c>
      <c r="F4772" t="s">
        <v>70</v>
      </c>
      <c r="G4772" t="s">
        <v>23</v>
      </c>
      <c r="H4772" s="1">
        <v>44799</v>
      </c>
      <c r="I4772" s="2">
        <v>44800.7625</v>
      </c>
      <c r="J4772">
        <v>42.3</v>
      </c>
      <c r="K4772" t="s">
        <v>24</v>
      </c>
      <c r="L4772">
        <v>1</v>
      </c>
      <c r="M4772">
        <v>5</v>
      </c>
      <c r="N4772" t="s">
        <v>485</v>
      </c>
      <c r="O4772" s="3" t="str">
        <f>TEXT(Ticket_Table[[#This Row],[raised_date]],"YYYY-MM")</f>
        <v>2022-08</v>
      </c>
      <c r="P4772" s="3" t="str">
        <f>IF(Ticket_Table[[#This Row],[resolution_hrs]]&lt;=4,"Fast",IF(Ticket_Table[[#This Row],[resolution_hrs]]&lt;=24,"Normal",IF(Ticket_Table[[#This Row],[resolution_hrs]]&lt;=48,"Slow","Very Slow")))</f>
        <v>Slow</v>
      </c>
      <c r="Q4772" s="3">
        <f>YEAR(Ticket_Table[[#This Row],[raised_date]])</f>
        <v>2022</v>
      </c>
    </row>
    <row r="4773" spans="1:17">
      <c r="A4773" t="s">
        <v>5334</v>
      </c>
      <c r="B4773" t="s">
        <v>1022</v>
      </c>
      <c r="C4773" t="s">
        <v>140</v>
      </c>
      <c r="D4773" t="s">
        <v>29</v>
      </c>
      <c r="E4773" t="s">
        <v>166</v>
      </c>
      <c r="F4773" t="s">
        <v>70</v>
      </c>
      <c r="G4773" t="s">
        <v>46</v>
      </c>
      <c r="H4773" s="1">
        <v>44324</v>
      </c>
      <c r="I4773" s="2">
        <v>44325.0583333333</v>
      </c>
      <c r="J4773">
        <v>25.4</v>
      </c>
      <c r="K4773" t="s">
        <v>24</v>
      </c>
      <c r="L4773">
        <v>0</v>
      </c>
      <c r="M4773">
        <v>4</v>
      </c>
      <c r="N4773" t="s">
        <v>749</v>
      </c>
      <c r="O4773" s="3" t="str">
        <f>TEXT(Ticket_Table[[#This Row],[raised_date]],"YYYY-MM")</f>
        <v>2021-05</v>
      </c>
      <c r="P4773" s="3" t="str">
        <f>IF(Ticket_Table[[#This Row],[resolution_hrs]]&lt;=4,"Fast",IF(Ticket_Table[[#This Row],[resolution_hrs]]&lt;=24,"Normal",IF(Ticket_Table[[#This Row],[resolution_hrs]]&lt;=48,"Slow","Very Slow")))</f>
        <v>Slow</v>
      </c>
      <c r="Q4773" s="3">
        <f>YEAR(Ticket_Table[[#This Row],[raised_date]])</f>
        <v>2021</v>
      </c>
    </row>
    <row r="4774" spans="1:17">
      <c r="A4774" t="s">
        <v>5335</v>
      </c>
      <c r="B4774" t="s">
        <v>802</v>
      </c>
      <c r="C4774" t="s">
        <v>64</v>
      </c>
      <c r="D4774" t="s">
        <v>36</v>
      </c>
      <c r="E4774" t="s">
        <v>56</v>
      </c>
      <c r="F4774" t="s">
        <v>38</v>
      </c>
      <c r="G4774" t="s">
        <v>46</v>
      </c>
      <c r="H4774" s="1">
        <v>44953</v>
      </c>
      <c r="I4774" s="2">
        <v>44953.3541666667</v>
      </c>
      <c r="J4774">
        <v>8.5</v>
      </c>
      <c r="K4774" t="s">
        <v>24</v>
      </c>
      <c r="L4774">
        <v>0</v>
      </c>
      <c r="M4774">
        <v>4</v>
      </c>
      <c r="N4774" t="s">
        <v>811</v>
      </c>
      <c r="O4774" s="3" t="str">
        <f>TEXT(Ticket_Table[[#This Row],[raised_date]],"YYYY-MM")</f>
        <v>2023-01</v>
      </c>
      <c r="P4774" s="3" t="str">
        <f>IF(Ticket_Table[[#This Row],[resolution_hrs]]&lt;=4,"Fast",IF(Ticket_Table[[#This Row],[resolution_hrs]]&lt;=24,"Normal",IF(Ticket_Table[[#This Row],[resolution_hrs]]&lt;=48,"Slow","Very Slow")))</f>
        <v>Normal</v>
      </c>
      <c r="Q4774" s="3">
        <f>YEAR(Ticket_Table[[#This Row],[raised_date]])</f>
        <v>2023</v>
      </c>
    </row>
    <row r="4775" spans="1:17">
      <c r="A4775" t="s">
        <v>5336</v>
      </c>
      <c r="B4775" t="s">
        <v>394</v>
      </c>
      <c r="C4775" t="s">
        <v>102</v>
      </c>
      <c r="D4775" t="s">
        <v>36</v>
      </c>
      <c r="E4775" t="s">
        <v>56</v>
      </c>
      <c r="F4775" t="s">
        <v>22</v>
      </c>
      <c r="G4775" t="s">
        <v>31</v>
      </c>
      <c r="H4775" s="1">
        <v>44305</v>
      </c>
      <c r="I4775" s="2">
        <v>44308.7458333333</v>
      </c>
      <c r="J4775">
        <v>89.9</v>
      </c>
      <c r="K4775" t="s">
        <v>32</v>
      </c>
      <c r="L4775">
        <v>0</v>
      </c>
      <c r="M4775">
        <v>5</v>
      </c>
      <c r="N4775" t="s">
        <v>103</v>
      </c>
      <c r="O4775" s="3" t="str">
        <f>TEXT(Ticket_Table[[#This Row],[raised_date]],"YYYY-MM")</f>
        <v>2021-04</v>
      </c>
      <c r="P4775" s="3" t="str">
        <f>IF(Ticket_Table[[#This Row],[resolution_hrs]]&lt;=4,"Fast",IF(Ticket_Table[[#This Row],[resolution_hrs]]&lt;=24,"Normal",IF(Ticket_Table[[#This Row],[resolution_hrs]]&lt;=48,"Slow","Very Slow")))</f>
        <v>Very Slow</v>
      </c>
      <c r="Q4775" s="3">
        <f>YEAR(Ticket_Table[[#This Row],[raised_date]])</f>
        <v>2021</v>
      </c>
    </row>
    <row r="4776" spans="1:17">
      <c r="A4776" t="s">
        <v>5337</v>
      </c>
      <c r="B4776" t="s">
        <v>194</v>
      </c>
      <c r="C4776" t="s">
        <v>117</v>
      </c>
      <c r="D4776" t="s">
        <v>90</v>
      </c>
      <c r="E4776" t="s">
        <v>69</v>
      </c>
      <c r="F4776" t="s">
        <v>70</v>
      </c>
      <c r="G4776" t="s">
        <v>46</v>
      </c>
      <c r="H4776" s="1">
        <v>44198</v>
      </c>
      <c r="I4776" s="2">
        <v>44198.1375</v>
      </c>
      <c r="J4776">
        <v>3.3</v>
      </c>
      <c r="K4776" t="s">
        <v>24</v>
      </c>
      <c r="L4776">
        <v>1</v>
      </c>
      <c r="M4776">
        <v>4</v>
      </c>
      <c r="N4776" t="s">
        <v>99</v>
      </c>
      <c r="O4776" s="3" t="str">
        <f>TEXT(Ticket_Table[[#This Row],[raised_date]],"YYYY-MM")</f>
        <v>2021-01</v>
      </c>
      <c r="P4776" s="3" t="str">
        <f>IF(Ticket_Table[[#This Row],[resolution_hrs]]&lt;=4,"Fast",IF(Ticket_Table[[#This Row],[resolution_hrs]]&lt;=24,"Normal",IF(Ticket_Table[[#This Row],[resolution_hrs]]&lt;=48,"Slow","Very Slow")))</f>
        <v>Fast</v>
      </c>
      <c r="Q4776" s="3">
        <f>YEAR(Ticket_Table[[#This Row],[raised_date]])</f>
        <v>2021</v>
      </c>
    </row>
    <row r="4777" spans="1:17">
      <c r="A4777" t="s">
        <v>5338</v>
      </c>
      <c r="B4777" t="s">
        <v>515</v>
      </c>
      <c r="C4777" t="s">
        <v>287</v>
      </c>
      <c r="D4777" t="s">
        <v>20</v>
      </c>
      <c r="E4777" t="s">
        <v>21</v>
      </c>
      <c r="F4777" t="s">
        <v>38</v>
      </c>
      <c r="G4777" t="s">
        <v>23</v>
      </c>
      <c r="H4777" s="1">
        <v>44932</v>
      </c>
      <c r="I4777" s="2">
        <v>44933.1</v>
      </c>
      <c r="J4777">
        <v>26.4</v>
      </c>
      <c r="K4777" t="s">
        <v>32</v>
      </c>
      <c r="L4777">
        <v>0</v>
      </c>
      <c r="M4777">
        <v>2</v>
      </c>
      <c r="N4777" t="s">
        <v>538</v>
      </c>
      <c r="O4777" s="3" t="str">
        <f>TEXT(Ticket_Table[[#This Row],[raised_date]],"YYYY-MM")</f>
        <v>2023-01</v>
      </c>
      <c r="P4777" s="3" t="str">
        <f>IF(Ticket_Table[[#This Row],[resolution_hrs]]&lt;=4,"Fast",IF(Ticket_Table[[#This Row],[resolution_hrs]]&lt;=24,"Normal",IF(Ticket_Table[[#This Row],[resolution_hrs]]&lt;=48,"Slow","Very Slow")))</f>
        <v>Slow</v>
      </c>
      <c r="Q4777" s="3">
        <f>YEAR(Ticket_Table[[#This Row],[raised_date]])</f>
        <v>2023</v>
      </c>
    </row>
    <row r="4778" spans="1:17">
      <c r="A4778" t="s">
        <v>5339</v>
      </c>
      <c r="B4778" t="s">
        <v>487</v>
      </c>
      <c r="C4778" t="s">
        <v>28</v>
      </c>
      <c r="D4778" t="s">
        <v>36</v>
      </c>
      <c r="E4778" t="s">
        <v>21</v>
      </c>
      <c r="F4778" t="s">
        <v>38</v>
      </c>
      <c r="G4778" t="s">
        <v>23</v>
      </c>
      <c r="H4778" s="1">
        <v>44421</v>
      </c>
      <c r="I4778" s="2">
        <v>44421.5958333333</v>
      </c>
      <c r="J4778">
        <v>14.3</v>
      </c>
      <c r="K4778" t="s">
        <v>24</v>
      </c>
      <c r="L4778">
        <v>3</v>
      </c>
      <c r="M4778">
        <v>4</v>
      </c>
      <c r="N4778" t="s">
        <v>81</v>
      </c>
      <c r="O4778" s="3" t="str">
        <f>TEXT(Ticket_Table[[#This Row],[raised_date]],"YYYY-MM")</f>
        <v>2021-08</v>
      </c>
      <c r="P4778" s="3" t="str">
        <f>IF(Ticket_Table[[#This Row],[resolution_hrs]]&lt;=4,"Fast",IF(Ticket_Table[[#This Row],[resolution_hrs]]&lt;=24,"Normal",IF(Ticket_Table[[#This Row],[resolution_hrs]]&lt;=48,"Slow","Very Slow")))</f>
        <v>Normal</v>
      </c>
      <c r="Q4778" s="3">
        <f>YEAR(Ticket_Table[[#This Row],[raised_date]])</f>
        <v>2021</v>
      </c>
    </row>
    <row r="4779" spans="1:17">
      <c r="A4779" t="s">
        <v>5340</v>
      </c>
      <c r="B4779" t="s">
        <v>284</v>
      </c>
      <c r="C4779" t="s">
        <v>102</v>
      </c>
      <c r="D4779" t="s">
        <v>20</v>
      </c>
      <c r="E4779" t="s">
        <v>37</v>
      </c>
      <c r="F4779" t="s">
        <v>70</v>
      </c>
      <c r="G4779" t="s">
        <v>31</v>
      </c>
      <c r="H4779" s="1">
        <v>44774</v>
      </c>
      <c r="I4779" s="2">
        <v>44776.9916666667</v>
      </c>
      <c r="J4779">
        <v>71.8</v>
      </c>
      <c r="K4779" t="s">
        <v>32</v>
      </c>
      <c r="L4779">
        <v>0</v>
      </c>
      <c r="M4779">
        <v>4</v>
      </c>
      <c r="N4779" t="s">
        <v>627</v>
      </c>
      <c r="O4779" s="3" t="str">
        <f>TEXT(Ticket_Table[[#This Row],[raised_date]],"YYYY-MM")</f>
        <v>2022-08</v>
      </c>
      <c r="P4779" s="3" t="str">
        <f>IF(Ticket_Table[[#This Row],[resolution_hrs]]&lt;=4,"Fast",IF(Ticket_Table[[#This Row],[resolution_hrs]]&lt;=24,"Normal",IF(Ticket_Table[[#This Row],[resolution_hrs]]&lt;=48,"Slow","Very Slow")))</f>
        <v>Very Slow</v>
      </c>
      <c r="Q4779" s="3">
        <f>YEAR(Ticket_Table[[#This Row],[raised_date]])</f>
        <v>2022</v>
      </c>
    </row>
    <row r="4780" spans="1:17">
      <c r="A4780" t="s">
        <v>5341</v>
      </c>
      <c r="B4780" t="s">
        <v>683</v>
      </c>
      <c r="C4780" t="s">
        <v>102</v>
      </c>
      <c r="D4780" t="s">
        <v>29</v>
      </c>
      <c r="E4780" t="s">
        <v>21</v>
      </c>
      <c r="F4780" t="s">
        <v>22</v>
      </c>
      <c r="G4780" t="s">
        <v>31</v>
      </c>
      <c r="H4780" s="1">
        <v>44260</v>
      </c>
      <c r="I4780" s="2">
        <v>44260.3916666667</v>
      </c>
      <c r="J4780">
        <v>9.4</v>
      </c>
      <c r="K4780" t="s">
        <v>24</v>
      </c>
      <c r="L4780">
        <v>0</v>
      </c>
      <c r="M4780">
        <v>4</v>
      </c>
      <c r="N4780" t="s">
        <v>525</v>
      </c>
      <c r="O4780" s="3" t="str">
        <f>TEXT(Ticket_Table[[#This Row],[raised_date]],"YYYY-MM")</f>
        <v>2021-03</v>
      </c>
      <c r="P4780" s="3" t="str">
        <f>IF(Ticket_Table[[#This Row],[resolution_hrs]]&lt;=4,"Fast",IF(Ticket_Table[[#This Row],[resolution_hrs]]&lt;=24,"Normal",IF(Ticket_Table[[#This Row],[resolution_hrs]]&lt;=48,"Slow","Very Slow")))</f>
        <v>Normal</v>
      </c>
      <c r="Q4780" s="3">
        <f>YEAR(Ticket_Table[[#This Row],[raised_date]])</f>
        <v>2021</v>
      </c>
    </row>
    <row r="4781" spans="1:17">
      <c r="A4781" t="s">
        <v>5342</v>
      </c>
      <c r="B4781" t="s">
        <v>1857</v>
      </c>
      <c r="C4781" t="s">
        <v>64</v>
      </c>
      <c r="D4781" t="s">
        <v>90</v>
      </c>
      <c r="E4781" t="s">
        <v>37</v>
      </c>
      <c r="F4781" t="s">
        <v>70</v>
      </c>
      <c r="G4781" t="s">
        <v>74</v>
      </c>
      <c r="H4781" s="1">
        <v>44678</v>
      </c>
      <c r="I4781" s="2">
        <v>44678.2708333333</v>
      </c>
      <c r="J4781">
        <v>6.5</v>
      </c>
      <c r="K4781" t="s">
        <v>24</v>
      </c>
      <c r="L4781">
        <v>0</v>
      </c>
      <c r="M4781">
        <v>3</v>
      </c>
      <c r="N4781" t="s">
        <v>334</v>
      </c>
      <c r="O4781" s="3" t="str">
        <f>TEXT(Ticket_Table[[#This Row],[raised_date]],"YYYY-MM")</f>
        <v>2022-04</v>
      </c>
      <c r="P4781" s="3" t="str">
        <f>IF(Ticket_Table[[#This Row],[resolution_hrs]]&lt;=4,"Fast",IF(Ticket_Table[[#This Row],[resolution_hrs]]&lt;=24,"Normal",IF(Ticket_Table[[#This Row],[resolution_hrs]]&lt;=48,"Slow","Very Slow")))</f>
        <v>Normal</v>
      </c>
      <c r="Q4781" s="3">
        <f>YEAR(Ticket_Table[[#This Row],[raised_date]])</f>
        <v>2022</v>
      </c>
    </row>
    <row r="4782" spans="1:17">
      <c r="A4782" t="s">
        <v>5343</v>
      </c>
      <c r="B4782" t="s">
        <v>484</v>
      </c>
      <c r="C4782" t="s">
        <v>213</v>
      </c>
      <c r="D4782" t="s">
        <v>43</v>
      </c>
      <c r="E4782" t="s">
        <v>37</v>
      </c>
      <c r="F4782" t="s">
        <v>22</v>
      </c>
      <c r="G4782" t="s">
        <v>31</v>
      </c>
      <c r="H4782" s="1">
        <v>45081</v>
      </c>
      <c r="I4782" s="2">
        <v>45085.2125</v>
      </c>
      <c r="J4782">
        <v>101.1</v>
      </c>
      <c r="K4782" t="s">
        <v>32</v>
      </c>
      <c r="L4782">
        <v>0</v>
      </c>
      <c r="M4782">
        <v>3</v>
      </c>
      <c r="N4782" t="s">
        <v>67</v>
      </c>
      <c r="O4782" s="3" t="str">
        <f>TEXT(Ticket_Table[[#This Row],[raised_date]],"YYYY-MM")</f>
        <v>2023-06</v>
      </c>
      <c r="P4782" s="3" t="str">
        <f>IF(Ticket_Table[[#This Row],[resolution_hrs]]&lt;=4,"Fast",IF(Ticket_Table[[#This Row],[resolution_hrs]]&lt;=24,"Normal",IF(Ticket_Table[[#This Row],[resolution_hrs]]&lt;=48,"Slow","Very Slow")))</f>
        <v>Very Slow</v>
      </c>
      <c r="Q4782" s="3">
        <f>YEAR(Ticket_Table[[#This Row],[raised_date]])</f>
        <v>2023</v>
      </c>
    </row>
    <row r="4783" spans="1:17">
      <c r="A4783" t="s">
        <v>5344</v>
      </c>
      <c r="B4783" t="s">
        <v>428</v>
      </c>
      <c r="C4783" t="s">
        <v>261</v>
      </c>
      <c r="D4783" t="s">
        <v>29</v>
      </c>
      <c r="E4783" t="s">
        <v>44</v>
      </c>
      <c r="F4783" t="s">
        <v>22</v>
      </c>
      <c r="G4783" t="s">
        <v>23</v>
      </c>
      <c r="H4783" s="1">
        <v>45004</v>
      </c>
      <c r="I4783" s="2">
        <v>45005.0416666667</v>
      </c>
      <c r="J4783">
        <v>25</v>
      </c>
      <c r="K4783" t="s">
        <v>24</v>
      </c>
      <c r="L4783">
        <v>0</v>
      </c>
      <c r="M4783">
        <v>3</v>
      </c>
      <c r="N4783" t="s">
        <v>289</v>
      </c>
      <c r="O4783" s="3" t="str">
        <f>TEXT(Ticket_Table[[#This Row],[raised_date]],"YYYY-MM")</f>
        <v>2023-03</v>
      </c>
      <c r="P4783" s="3" t="str">
        <f>IF(Ticket_Table[[#This Row],[resolution_hrs]]&lt;=4,"Fast",IF(Ticket_Table[[#This Row],[resolution_hrs]]&lt;=24,"Normal",IF(Ticket_Table[[#This Row],[resolution_hrs]]&lt;=48,"Slow","Very Slow")))</f>
        <v>Slow</v>
      </c>
      <c r="Q4783" s="3">
        <f>YEAR(Ticket_Table[[#This Row],[raised_date]])</f>
        <v>2023</v>
      </c>
    </row>
    <row r="4784" spans="1:17">
      <c r="A4784" t="s">
        <v>5345</v>
      </c>
      <c r="B4784" t="s">
        <v>397</v>
      </c>
      <c r="C4784" t="s">
        <v>117</v>
      </c>
      <c r="D4784" t="s">
        <v>20</v>
      </c>
      <c r="E4784" t="s">
        <v>30</v>
      </c>
      <c r="F4784" t="s">
        <v>38</v>
      </c>
      <c r="G4784" t="s">
        <v>23</v>
      </c>
      <c r="H4784" s="1">
        <v>44848</v>
      </c>
      <c r="I4784" s="2">
        <v>44848.775</v>
      </c>
      <c r="J4784">
        <v>18.6</v>
      </c>
      <c r="K4784" t="s">
        <v>24</v>
      </c>
      <c r="L4784">
        <v>1</v>
      </c>
      <c r="M4784">
        <v>3</v>
      </c>
      <c r="N4784" t="s">
        <v>630</v>
      </c>
      <c r="O4784" s="3" t="str">
        <f>TEXT(Ticket_Table[[#This Row],[raised_date]],"YYYY-MM")</f>
        <v>2022-10</v>
      </c>
      <c r="P4784" s="3" t="str">
        <f>IF(Ticket_Table[[#This Row],[resolution_hrs]]&lt;=4,"Fast",IF(Ticket_Table[[#This Row],[resolution_hrs]]&lt;=24,"Normal",IF(Ticket_Table[[#This Row],[resolution_hrs]]&lt;=48,"Slow","Very Slow")))</f>
        <v>Normal</v>
      </c>
      <c r="Q4784" s="3">
        <f>YEAR(Ticket_Table[[#This Row],[raised_date]])</f>
        <v>2022</v>
      </c>
    </row>
    <row r="4785" spans="1:17">
      <c r="A4785" t="s">
        <v>5346</v>
      </c>
      <c r="B4785" t="s">
        <v>413</v>
      </c>
      <c r="C4785" t="s">
        <v>19</v>
      </c>
      <c r="D4785" t="s">
        <v>20</v>
      </c>
      <c r="E4785" t="s">
        <v>83</v>
      </c>
      <c r="F4785" t="s">
        <v>22</v>
      </c>
      <c r="G4785" t="s">
        <v>31</v>
      </c>
      <c r="H4785" s="1">
        <v>44980</v>
      </c>
      <c r="I4785" s="2">
        <v>44982.6041666667</v>
      </c>
      <c r="J4785">
        <v>62.5</v>
      </c>
      <c r="K4785" t="s">
        <v>24</v>
      </c>
      <c r="L4785">
        <v>0</v>
      </c>
      <c r="M4785">
        <v>4</v>
      </c>
      <c r="N4785" t="s">
        <v>409</v>
      </c>
      <c r="O4785" s="3" t="str">
        <f>TEXT(Ticket_Table[[#This Row],[raised_date]],"YYYY-MM")</f>
        <v>2023-02</v>
      </c>
      <c r="P4785" s="3" t="str">
        <f>IF(Ticket_Table[[#This Row],[resolution_hrs]]&lt;=4,"Fast",IF(Ticket_Table[[#This Row],[resolution_hrs]]&lt;=24,"Normal",IF(Ticket_Table[[#This Row],[resolution_hrs]]&lt;=48,"Slow","Very Slow")))</f>
        <v>Very Slow</v>
      </c>
      <c r="Q4785" s="3">
        <f>YEAR(Ticket_Table[[#This Row],[raised_date]])</f>
        <v>2023</v>
      </c>
    </row>
    <row r="4786" spans="1:17">
      <c r="A4786" t="s">
        <v>5347</v>
      </c>
      <c r="B4786" t="s">
        <v>564</v>
      </c>
      <c r="C4786" t="s">
        <v>68</v>
      </c>
      <c r="D4786" t="s">
        <v>29</v>
      </c>
      <c r="E4786" t="s">
        <v>44</v>
      </c>
      <c r="F4786" t="s">
        <v>70</v>
      </c>
      <c r="G4786" t="s">
        <v>46</v>
      </c>
      <c r="H4786" s="1">
        <v>45028</v>
      </c>
      <c r="I4786" s="2">
        <v>45029.6625</v>
      </c>
      <c r="J4786">
        <v>39.9</v>
      </c>
      <c r="K4786" t="s">
        <v>24</v>
      </c>
      <c r="L4786">
        <v>0</v>
      </c>
      <c r="M4786">
        <v>4</v>
      </c>
      <c r="N4786" t="s">
        <v>796</v>
      </c>
      <c r="O4786" s="3" t="str">
        <f>TEXT(Ticket_Table[[#This Row],[raised_date]],"YYYY-MM")</f>
        <v>2023-04</v>
      </c>
      <c r="P4786" s="3" t="str">
        <f>IF(Ticket_Table[[#This Row],[resolution_hrs]]&lt;=4,"Fast",IF(Ticket_Table[[#This Row],[resolution_hrs]]&lt;=24,"Normal",IF(Ticket_Table[[#This Row],[resolution_hrs]]&lt;=48,"Slow","Very Slow")))</f>
        <v>Slow</v>
      </c>
      <c r="Q4786" s="3">
        <f>YEAR(Ticket_Table[[#This Row],[raised_date]])</f>
        <v>2023</v>
      </c>
    </row>
    <row r="4787" spans="1:17">
      <c r="A4787" t="s">
        <v>5348</v>
      </c>
      <c r="B4787" t="s">
        <v>569</v>
      </c>
      <c r="C4787" t="s">
        <v>68</v>
      </c>
      <c r="D4787" t="s">
        <v>20</v>
      </c>
      <c r="E4787" t="s">
        <v>166</v>
      </c>
      <c r="F4787" t="s">
        <v>70</v>
      </c>
      <c r="G4787" t="s">
        <v>91</v>
      </c>
      <c r="H4787" s="1">
        <v>44978</v>
      </c>
      <c r="I4787" s="2">
        <v>44979.2791666667</v>
      </c>
      <c r="J4787">
        <v>30.7</v>
      </c>
      <c r="K4787" t="s">
        <v>24</v>
      </c>
      <c r="L4787">
        <v>2</v>
      </c>
      <c r="M4787">
        <v>4</v>
      </c>
      <c r="N4787" t="s">
        <v>118</v>
      </c>
      <c r="O4787" s="3" t="str">
        <f>TEXT(Ticket_Table[[#This Row],[raised_date]],"YYYY-MM")</f>
        <v>2023-02</v>
      </c>
      <c r="P4787" s="3" t="str">
        <f>IF(Ticket_Table[[#This Row],[resolution_hrs]]&lt;=4,"Fast",IF(Ticket_Table[[#This Row],[resolution_hrs]]&lt;=24,"Normal",IF(Ticket_Table[[#This Row],[resolution_hrs]]&lt;=48,"Slow","Very Slow")))</f>
        <v>Slow</v>
      </c>
      <c r="Q4787" s="3">
        <f>YEAR(Ticket_Table[[#This Row],[raised_date]])</f>
        <v>2023</v>
      </c>
    </row>
    <row r="4788" spans="1:17">
      <c r="A4788" t="s">
        <v>5349</v>
      </c>
      <c r="B4788" t="s">
        <v>658</v>
      </c>
      <c r="C4788" t="s">
        <v>175</v>
      </c>
      <c r="D4788" t="s">
        <v>43</v>
      </c>
      <c r="E4788" t="s">
        <v>166</v>
      </c>
      <c r="F4788" t="s">
        <v>45</v>
      </c>
      <c r="G4788" t="s">
        <v>23</v>
      </c>
      <c r="H4788" s="1">
        <v>45088</v>
      </c>
      <c r="I4788" s="2">
        <v>45088.1958333333</v>
      </c>
      <c r="J4788">
        <v>4.7</v>
      </c>
      <c r="K4788" t="s">
        <v>32</v>
      </c>
      <c r="L4788">
        <v>0</v>
      </c>
      <c r="M4788">
        <v>3</v>
      </c>
      <c r="N4788" t="s">
        <v>218</v>
      </c>
      <c r="O4788" s="3" t="str">
        <f>TEXT(Ticket_Table[[#This Row],[raised_date]],"YYYY-MM")</f>
        <v>2023-06</v>
      </c>
      <c r="P4788" s="3" t="str">
        <f>IF(Ticket_Table[[#This Row],[resolution_hrs]]&lt;=4,"Fast",IF(Ticket_Table[[#This Row],[resolution_hrs]]&lt;=24,"Normal",IF(Ticket_Table[[#This Row],[resolution_hrs]]&lt;=48,"Slow","Very Slow")))</f>
        <v>Normal</v>
      </c>
      <c r="Q4788" s="3">
        <f>YEAR(Ticket_Table[[#This Row],[raised_date]])</f>
        <v>2023</v>
      </c>
    </row>
    <row r="4789" spans="1:17">
      <c r="A4789" t="s">
        <v>5350</v>
      </c>
      <c r="B4789" t="s">
        <v>250</v>
      </c>
      <c r="C4789" t="s">
        <v>42</v>
      </c>
      <c r="D4789" t="s">
        <v>43</v>
      </c>
      <c r="E4789" t="s">
        <v>166</v>
      </c>
      <c r="F4789" t="s">
        <v>70</v>
      </c>
      <c r="G4789" t="s">
        <v>23</v>
      </c>
      <c r="H4789" s="1">
        <v>44629</v>
      </c>
      <c r="I4789" s="2">
        <v>44631.55</v>
      </c>
      <c r="J4789">
        <v>61.2</v>
      </c>
      <c r="K4789" t="s">
        <v>32</v>
      </c>
      <c r="L4789">
        <v>2</v>
      </c>
      <c r="M4789">
        <v>3</v>
      </c>
      <c r="N4789" t="s">
        <v>603</v>
      </c>
      <c r="O4789" s="3" t="str">
        <f>TEXT(Ticket_Table[[#This Row],[raised_date]],"YYYY-MM")</f>
        <v>2022-03</v>
      </c>
      <c r="P4789" s="3" t="str">
        <f>IF(Ticket_Table[[#This Row],[resolution_hrs]]&lt;=4,"Fast",IF(Ticket_Table[[#This Row],[resolution_hrs]]&lt;=24,"Normal",IF(Ticket_Table[[#This Row],[resolution_hrs]]&lt;=48,"Slow","Very Slow")))</f>
        <v>Very Slow</v>
      </c>
      <c r="Q4789" s="3">
        <f>YEAR(Ticket_Table[[#This Row],[raised_date]])</f>
        <v>2022</v>
      </c>
    </row>
    <row r="4790" spans="1:17">
      <c r="A4790" t="s">
        <v>5351</v>
      </c>
      <c r="B4790" t="s">
        <v>857</v>
      </c>
      <c r="C4790" t="s">
        <v>213</v>
      </c>
      <c r="D4790" t="s">
        <v>20</v>
      </c>
      <c r="E4790" t="s">
        <v>56</v>
      </c>
      <c r="F4790" t="s">
        <v>22</v>
      </c>
      <c r="G4790" t="s">
        <v>23</v>
      </c>
      <c r="H4790" s="1">
        <v>44552</v>
      </c>
      <c r="I4790" s="2">
        <v>44554.3958333333</v>
      </c>
      <c r="J4790">
        <v>57.5</v>
      </c>
      <c r="K4790" t="s">
        <v>24</v>
      </c>
      <c r="L4790">
        <v>0</v>
      </c>
      <c r="M4790">
        <v>4</v>
      </c>
      <c r="N4790" t="s">
        <v>172</v>
      </c>
      <c r="O4790" s="3" t="str">
        <f>TEXT(Ticket_Table[[#This Row],[raised_date]],"YYYY-MM")</f>
        <v>2021-12</v>
      </c>
      <c r="P4790" s="3" t="str">
        <f>IF(Ticket_Table[[#This Row],[resolution_hrs]]&lt;=4,"Fast",IF(Ticket_Table[[#This Row],[resolution_hrs]]&lt;=24,"Normal",IF(Ticket_Table[[#This Row],[resolution_hrs]]&lt;=48,"Slow","Very Slow")))</f>
        <v>Very Slow</v>
      </c>
      <c r="Q4790" s="3">
        <f>YEAR(Ticket_Table[[#This Row],[raised_date]])</f>
        <v>2021</v>
      </c>
    </row>
    <row r="4791" spans="1:17">
      <c r="A4791" t="s">
        <v>5352</v>
      </c>
      <c r="B4791" t="s">
        <v>355</v>
      </c>
      <c r="C4791" t="s">
        <v>82</v>
      </c>
      <c r="D4791" t="s">
        <v>20</v>
      </c>
      <c r="E4791" t="s">
        <v>56</v>
      </c>
      <c r="F4791" t="s">
        <v>22</v>
      </c>
      <c r="G4791" t="s">
        <v>46</v>
      </c>
      <c r="H4791" s="1">
        <v>45169</v>
      </c>
      <c r="I4791" s="2">
        <v>45169.2708333333</v>
      </c>
      <c r="J4791">
        <v>6.5</v>
      </c>
      <c r="K4791" t="s">
        <v>24</v>
      </c>
      <c r="L4791">
        <v>0</v>
      </c>
      <c r="M4791">
        <v>4</v>
      </c>
      <c r="N4791" t="s">
        <v>1019</v>
      </c>
      <c r="O4791" s="3" t="str">
        <f>TEXT(Ticket_Table[[#This Row],[raised_date]],"YYYY-MM")</f>
        <v>2023-08</v>
      </c>
      <c r="P4791" s="3" t="str">
        <f>IF(Ticket_Table[[#This Row],[resolution_hrs]]&lt;=4,"Fast",IF(Ticket_Table[[#This Row],[resolution_hrs]]&lt;=24,"Normal",IF(Ticket_Table[[#This Row],[resolution_hrs]]&lt;=48,"Slow","Very Slow")))</f>
        <v>Normal</v>
      </c>
      <c r="Q4791" s="3">
        <f>YEAR(Ticket_Table[[#This Row],[raised_date]])</f>
        <v>2023</v>
      </c>
    </row>
    <row r="4792" spans="1:17">
      <c r="A4792" t="s">
        <v>5353</v>
      </c>
      <c r="B4792" t="s">
        <v>1003</v>
      </c>
      <c r="C4792" t="s">
        <v>117</v>
      </c>
      <c r="D4792" t="s">
        <v>43</v>
      </c>
      <c r="E4792" t="s">
        <v>30</v>
      </c>
      <c r="F4792" t="s">
        <v>70</v>
      </c>
      <c r="G4792" t="s">
        <v>23</v>
      </c>
      <c r="H4792" s="1">
        <v>44481</v>
      </c>
      <c r="I4792" s="2">
        <v>44482.4375</v>
      </c>
      <c r="J4792">
        <v>34.5</v>
      </c>
      <c r="K4792" t="s">
        <v>24</v>
      </c>
      <c r="L4792">
        <v>1</v>
      </c>
      <c r="M4792">
        <v>5</v>
      </c>
      <c r="N4792" t="s">
        <v>123</v>
      </c>
      <c r="O4792" s="3" t="str">
        <f>TEXT(Ticket_Table[[#This Row],[raised_date]],"YYYY-MM")</f>
        <v>2021-10</v>
      </c>
      <c r="P4792" s="3" t="str">
        <f>IF(Ticket_Table[[#This Row],[resolution_hrs]]&lt;=4,"Fast",IF(Ticket_Table[[#This Row],[resolution_hrs]]&lt;=24,"Normal",IF(Ticket_Table[[#This Row],[resolution_hrs]]&lt;=48,"Slow","Very Slow")))</f>
        <v>Slow</v>
      </c>
      <c r="Q4792" s="3">
        <f>YEAR(Ticket_Table[[#This Row],[raised_date]])</f>
        <v>2021</v>
      </c>
    </row>
    <row r="4793" spans="1:17">
      <c r="A4793" t="s">
        <v>5354</v>
      </c>
      <c r="B4793" t="s">
        <v>206</v>
      </c>
      <c r="C4793" t="s">
        <v>60</v>
      </c>
      <c r="D4793" t="s">
        <v>20</v>
      </c>
      <c r="E4793" t="s">
        <v>166</v>
      </c>
      <c r="F4793" t="s">
        <v>70</v>
      </c>
      <c r="G4793" t="s">
        <v>74</v>
      </c>
      <c r="H4793" s="1">
        <v>44582</v>
      </c>
      <c r="I4793" s="2">
        <v>44583.5916666667</v>
      </c>
      <c r="J4793">
        <v>38.2</v>
      </c>
      <c r="K4793" t="s">
        <v>24</v>
      </c>
      <c r="L4793">
        <v>1</v>
      </c>
      <c r="M4793">
        <v>4</v>
      </c>
      <c r="N4793" t="s">
        <v>259</v>
      </c>
      <c r="O4793" s="3" t="str">
        <f>TEXT(Ticket_Table[[#This Row],[raised_date]],"YYYY-MM")</f>
        <v>2022-01</v>
      </c>
      <c r="P4793" s="3" t="str">
        <f>IF(Ticket_Table[[#This Row],[resolution_hrs]]&lt;=4,"Fast",IF(Ticket_Table[[#This Row],[resolution_hrs]]&lt;=24,"Normal",IF(Ticket_Table[[#This Row],[resolution_hrs]]&lt;=48,"Slow","Very Slow")))</f>
        <v>Slow</v>
      </c>
      <c r="Q4793" s="3">
        <f>YEAR(Ticket_Table[[#This Row],[raised_date]])</f>
        <v>2022</v>
      </c>
    </row>
    <row r="4794" spans="1:17">
      <c r="A4794" t="s">
        <v>5355</v>
      </c>
      <c r="B4794" t="s">
        <v>835</v>
      </c>
      <c r="C4794" t="s">
        <v>201</v>
      </c>
      <c r="D4794" t="s">
        <v>36</v>
      </c>
      <c r="E4794" t="s">
        <v>51</v>
      </c>
      <c r="F4794" t="s">
        <v>70</v>
      </c>
      <c r="G4794" t="s">
        <v>23</v>
      </c>
      <c r="H4794" s="1">
        <v>44984</v>
      </c>
      <c r="I4794" s="2">
        <v>44985.3458333333</v>
      </c>
      <c r="J4794">
        <v>32.3</v>
      </c>
      <c r="K4794" t="s">
        <v>24</v>
      </c>
      <c r="L4794">
        <v>0</v>
      </c>
      <c r="M4794">
        <v>4</v>
      </c>
      <c r="N4794" t="s">
        <v>1223</v>
      </c>
      <c r="O4794" s="3" t="str">
        <f>TEXT(Ticket_Table[[#This Row],[raised_date]],"YYYY-MM")</f>
        <v>2023-02</v>
      </c>
      <c r="P4794" s="3" t="str">
        <f>IF(Ticket_Table[[#This Row],[resolution_hrs]]&lt;=4,"Fast",IF(Ticket_Table[[#This Row],[resolution_hrs]]&lt;=24,"Normal",IF(Ticket_Table[[#This Row],[resolution_hrs]]&lt;=48,"Slow","Very Slow")))</f>
        <v>Slow</v>
      </c>
      <c r="Q4794" s="3">
        <f>YEAR(Ticket_Table[[#This Row],[raised_date]])</f>
        <v>2023</v>
      </c>
    </row>
    <row r="4795" spans="1:17">
      <c r="A4795" t="s">
        <v>5356</v>
      </c>
      <c r="B4795" t="s">
        <v>640</v>
      </c>
      <c r="C4795" t="s">
        <v>19</v>
      </c>
      <c r="D4795" t="s">
        <v>90</v>
      </c>
      <c r="E4795" t="s">
        <v>51</v>
      </c>
      <c r="F4795" t="s">
        <v>70</v>
      </c>
      <c r="G4795" t="s">
        <v>31</v>
      </c>
      <c r="H4795" s="1">
        <v>44934</v>
      </c>
      <c r="I4795" s="2">
        <v>44934.8375</v>
      </c>
      <c r="J4795">
        <v>20.1</v>
      </c>
      <c r="K4795" t="s">
        <v>24</v>
      </c>
      <c r="L4795">
        <v>0</v>
      </c>
      <c r="M4795">
        <v>4</v>
      </c>
      <c r="N4795" t="s">
        <v>424</v>
      </c>
      <c r="O4795" s="3" t="str">
        <f>TEXT(Ticket_Table[[#This Row],[raised_date]],"YYYY-MM")</f>
        <v>2023-01</v>
      </c>
      <c r="P4795" s="3" t="str">
        <f>IF(Ticket_Table[[#This Row],[resolution_hrs]]&lt;=4,"Fast",IF(Ticket_Table[[#This Row],[resolution_hrs]]&lt;=24,"Normal",IF(Ticket_Table[[#This Row],[resolution_hrs]]&lt;=48,"Slow","Very Slow")))</f>
        <v>Normal</v>
      </c>
      <c r="Q4795" s="3">
        <f>YEAR(Ticket_Table[[#This Row],[raised_date]])</f>
        <v>2023</v>
      </c>
    </row>
    <row r="4796" spans="1:17">
      <c r="A4796" t="s">
        <v>5357</v>
      </c>
      <c r="B4796" t="s">
        <v>802</v>
      </c>
      <c r="C4796" t="s">
        <v>60</v>
      </c>
      <c r="D4796" t="s">
        <v>36</v>
      </c>
      <c r="E4796" t="s">
        <v>69</v>
      </c>
      <c r="F4796" t="s">
        <v>22</v>
      </c>
      <c r="G4796" t="s">
        <v>31</v>
      </c>
      <c r="H4796" s="1">
        <v>45051</v>
      </c>
      <c r="I4796" s="2">
        <v>45054.7708333333</v>
      </c>
      <c r="J4796">
        <v>90.5</v>
      </c>
      <c r="K4796" t="s">
        <v>32</v>
      </c>
      <c r="L4796">
        <v>0</v>
      </c>
      <c r="M4796">
        <v>5</v>
      </c>
      <c r="N4796" t="s">
        <v>599</v>
      </c>
      <c r="O4796" s="3" t="str">
        <f>TEXT(Ticket_Table[[#This Row],[raised_date]],"YYYY-MM")</f>
        <v>2023-05</v>
      </c>
      <c r="P4796" s="3" t="str">
        <f>IF(Ticket_Table[[#This Row],[resolution_hrs]]&lt;=4,"Fast",IF(Ticket_Table[[#This Row],[resolution_hrs]]&lt;=24,"Normal",IF(Ticket_Table[[#This Row],[resolution_hrs]]&lt;=48,"Slow","Very Slow")))</f>
        <v>Very Slow</v>
      </c>
      <c r="Q4796" s="3">
        <f>YEAR(Ticket_Table[[#This Row],[raised_date]])</f>
        <v>2023</v>
      </c>
    </row>
    <row r="4797" spans="1:17">
      <c r="A4797" t="s">
        <v>5358</v>
      </c>
      <c r="B4797" t="s">
        <v>434</v>
      </c>
      <c r="C4797" t="s">
        <v>140</v>
      </c>
      <c r="D4797" t="s">
        <v>20</v>
      </c>
      <c r="E4797" t="s">
        <v>44</v>
      </c>
      <c r="F4797" t="s">
        <v>70</v>
      </c>
      <c r="G4797" t="s">
        <v>23</v>
      </c>
      <c r="H4797" s="1">
        <v>44512</v>
      </c>
      <c r="I4797" s="2">
        <v>44512.9083333333</v>
      </c>
      <c r="J4797">
        <v>21.8</v>
      </c>
      <c r="K4797" t="s">
        <v>24</v>
      </c>
      <c r="L4797">
        <v>0</v>
      </c>
      <c r="M4797">
        <v>5</v>
      </c>
      <c r="N4797" t="s">
        <v>241</v>
      </c>
      <c r="O4797" s="3" t="str">
        <f>TEXT(Ticket_Table[[#This Row],[raised_date]],"YYYY-MM")</f>
        <v>2021-11</v>
      </c>
      <c r="P4797" s="3" t="str">
        <f>IF(Ticket_Table[[#This Row],[resolution_hrs]]&lt;=4,"Fast",IF(Ticket_Table[[#This Row],[resolution_hrs]]&lt;=24,"Normal",IF(Ticket_Table[[#This Row],[resolution_hrs]]&lt;=48,"Slow","Very Slow")))</f>
        <v>Normal</v>
      </c>
      <c r="Q4797" s="3">
        <f>YEAR(Ticket_Table[[#This Row],[raised_date]])</f>
        <v>2021</v>
      </c>
    </row>
    <row r="4798" spans="1:17">
      <c r="A4798" t="s">
        <v>5359</v>
      </c>
      <c r="B4798" t="s">
        <v>169</v>
      </c>
      <c r="C4798" t="s">
        <v>287</v>
      </c>
      <c r="D4798" t="s">
        <v>20</v>
      </c>
      <c r="E4798" t="s">
        <v>83</v>
      </c>
      <c r="F4798" t="s">
        <v>70</v>
      </c>
      <c r="G4798" t="s">
        <v>23</v>
      </c>
      <c r="H4798" s="1">
        <v>44787</v>
      </c>
      <c r="I4798" s="2">
        <v>44787.7625</v>
      </c>
      <c r="J4798">
        <v>18.3</v>
      </c>
      <c r="K4798" t="s">
        <v>24</v>
      </c>
      <c r="L4798">
        <v>1</v>
      </c>
      <c r="M4798">
        <v>5</v>
      </c>
      <c r="N4798" t="s">
        <v>442</v>
      </c>
      <c r="O4798" s="3" t="str">
        <f>TEXT(Ticket_Table[[#This Row],[raised_date]],"YYYY-MM")</f>
        <v>2022-08</v>
      </c>
      <c r="P4798" s="3" t="str">
        <f>IF(Ticket_Table[[#This Row],[resolution_hrs]]&lt;=4,"Fast",IF(Ticket_Table[[#This Row],[resolution_hrs]]&lt;=24,"Normal",IF(Ticket_Table[[#This Row],[resolution_hrs]]&lt;=48,"Slow","Very Slow")))</f>
        <v>Normal</v>
      </c>
      <c r="Q4798" s="3">
        <f>YEAR(Ticket_Table[[#This Row],[raised_date]])</f>
        <v>2022</v>
      </c>
    </row>
    <row r="4799" spans="1:17">
      <c r="A4799" t="s">
        <v>5360</v>
      </c>
      <c r="B4799" t="s">
        <v>730</v>
      </c>
      <c r="C4799" t="s">
        <v>117</v>
      </c>
      <c r="D4799" t="s">
        <v>90</v>
      </c>
      <c r="E4799" t="s">
        <v>56</v>
      </c>
      <c r="F4799" t="s">
        <v>22</v>
      </c>
      <c r="G4799" t="s">
        <v>23</v>
      </c>
      <c r="H4799" s="1">
        <v>44454</v>
      </c>
      <c r="I4799" s="2">
        <v>44455.125</v>
      </c>
      <c r="J4799">
        <v>27</v>
      </c>
      <c r="K4799" t="s">
        <v>24</v>
      </c>
      <c r="L4799">
        <v>0</v>
      </c>
      <c r="M4799">
        <v>5</v>
      </c>
      <c r="N4799" t="s">
        <v>86</v>
      </c>
      <c r="O4799" s="3" t="str">
        <f>TEXT(Ticket_Table[[#This Row],[raised_date]],"YYYY-MM")</f>
        <v>2021-09</v>
      </c>
      <c r="P4799" s="3" t="str">
        <f>IF(Ticket_Table[[#This Row],[resolution_hrs]]&lt;=4,"Fast",IF(Ticket_Table[[#This Row],[resolution_hrs]]&lt;=24,"Normal",IF(Ticket_Table[[#This Row],[resolution_hrs]]&lt;=48,"Slow","Very Slow")))</f>
        <v>Slow</v>
      </c>
      <c r="Q4799" s="3">
        <f>YEAR(Ticket_Table[[#This Row],[raised_date]])</f>
        <v>2021</v>
      </c>
    </row>
    <row r="4800" spans="1:17">
      <c r="A4800" t="s">
        <v>5361</v>
      </c>
      <c r="B4800" t="s">
        <v>198</v>
      </c>
      <c r="C4800" t="s">
        <v>82</v>
      </c>
      <c r="D4800" t="s">
        <v>20</v>
      </c>
      <c r="E4800" t="s">
        <v>21</v>
      </c>
      <c r="F4800" t="s">
        <v>22</v>
      </c>
      <c r="G4800" t="s">
        <v>23</v>
      </c>
      <c r="H4800" s="1">
        <v>44472</v>
      </c>
      <c r="I4800" s="2">
        <v>44475.4625</v>
      </c>
      <c r="J4800">
        <v>83.1</v>
      </c>
      <c r="K4800" t="s">
        <v>32</v>
      </c>
      <c r="L4800">
        <v>1</v>
      </c>
      <c r="M4800">
        <v>4</v>
      </c>
      <c r="N4800" t="s">
        <v>1226</v>
      </c>
      <c r="O4800" s="3" t="str">
        <f>TEXT(Ticket_Table[[#This Row],[raised_date]],"YYYY-MM")</f>
        <v>2021-10</v>
      </c>
      <c r="P4800" s="3" t="str">
        <f>IF(Ticket_Table[[#This Row],[resolution_hrs]]&lt;=4,"Fast",IF(Ticket_Table[[#This Row],[resolution_hrs]]&lt;=24,"Normal",IF(Ticket_Table[[#This Row],[resolution_hrs]]&lt;=48,"Slow","Very Slow")))</f>
        <v>Very Slow</v>
      </c>
      <c r="Q4800" s="3">
        <f>YEAR(Ticket_Table[[#This Row],[raised_date]])</f>
        <v>2021</v>
      </c>
    </row>
    <row r="4801" spans="1:17">
      <c r="A4801" t="s">
        <v>5362</v>
      </c>
      <c r="B4801" t="s">
        <v>491</v>
      </c>
      <c r="C4801" t="s">
        <v>64</v>
      </c>
      <c r="D4801" t="s">
        <v>90</v>
      </c>
      <c r="E4801" t="s">
        <v>83</v>
      </c>
      <c r="F4801" t="s">
        <v>22</v>
      </c>
      <c r="G4801" t="s">
        <v>46</v>
      </c>
      <c r="H4801" s="1">
        <v>44220</v>
      </c>
      <c r="I4801" s="2">
        <v>44221.6541666667</v>
      </c>
      <c r="J4801">
        <v>39.7</v>
      </c>
      <c r="K4801" t="s">
        <v>24</v>
      </c>
      <c r="L4801">
        <v>0</v>
      </c>
      <c r="M4801">
        <v>1</v>
      </c>
      <c r="N4801" t="s">
        <v>506</v>
      </c>
      <c r="O4801" s="3" t="str">
        <f>TEXT(Ticket_Table[[#This Row],[raised_date]],"YYYY-MM")</f>
        <v>2021-01</v>
      </c>
      <c r="P4801" s="3" t="str">
        <f>IF(Ticket_Table[[#This Row],[resolution_hrs]]&lt;=4,"Fast",IF(Ticket_Table[[#This Row],[resolution_hrs]]&lt;=24,"Normal",IF(Ticket_Table[[#This Row],[resolution_hrs]]&lt;=48,"Slow","Very Slow")))</f>
        <v>Slow</v>
      </c>
      <c r="Q4801" s="3">
        <f>YEAR(Ticket_Table[[#This Row],[raised_date]])</f>
        <v>2021</v>
      </c>
    </row>
    <row r="4802" spans="1:17">
      <c r="A4802" t="s">
        <v>5363</v>
      </c>
      <c r="B4802" t="s">
        <v>445</v>
      </c>
      <c r="C4802" t="s">
        <v>261</v>
      </c>
      <c r="D4802" t="s">
        <v>43</v>
      </c>
      <c r="E4802" t="s">
        <v>106</v>
      </c>
      <c r="F4802" t="s">
        <v>22</v>
      </c>
      <c r="G4802" t="s">
        <v>31</v>
      </c>
      <c r="H4802" s="1">
        <v>44343</v>
      </c>
      <c r="I4802" s="2">
        <v>44345.075</v>
      </c>
      <c r="J4802">
        <v>49.8</v>
      </c>
      <c r="K4802" t="s">
        <v>24</v>
      </c>
      <c r="L4802">
        <v>0</v>
      </c>
      <c r="M4802">
        <v>4</v>
      </c>
      <c r="N4802" t="s">
        <v>897</v>
      </c>
      <c r="O4802" s="3" t="str">
        <f>TEXT(Ticket_Table[[#This Row],[raised_date]],"YYYY-MM")</f>
        <v>2021-05</v>
      </c>
      <c r="P4802" s="3" t="str">
        <f>IF(Ticket_Table[[#This Row],[resolution_hrs]]&lt;=4,"Fast",IF(Ticket_Table[[#This Row],[resolution_hrs]]&lt;=24,"Normal",IF(Ticket_Table[[#This Row],[resolution_hrs]]&lt;=48,"Slow","Very Slow")))</f>
        <v>Very Slow</v>
      </c>
      <c r="Q4802" s="3">
        <f>YEAR(Ticket_Table[[#This Row],[raised_date]])</f>
        <v>2021</v>
      </c>
    </row>
    <row r="4803" spans="1:17">
      <c r="A4803" t="s">
        <v>5364</v>
      </c>
      <c r="B4803" t="s">
        <v>1050</v>
      </c>
      <c r="C4803" t="s">
        <v>117</v>
      </c>
      <c r="D4803" t="s">
        <v>90</v>
      </c>
      <c r="E4803" t="s">
        <v>30</v>
      </c>
      <c r="F4803" t="s">
        <v>70</v>
      </c>
      <c r="G4803" t="s">
        <v>23</v>
      </c>
      <c r="H4803" s="1">
        <v>44229</v>
      </c>
      <c r="I4803" s="2">
        <v>44231.2541666667</v>
      </c>
      <c r="J4803">
        <v>54.1</v>
      </c>
      <c r="K4803" t="s">
        <v>32</v>
      </c>
      <c r="L4803">
        <v>1</v>
      </c>
      <c r="M4803">
        <v>3</v>
      </c>
      <c r="N4803" t="s">
        <v>1582</v>
      </c>
      <c r="O4803" s="3" t="str">
        <f>TEXT(Ticket_Table[[#This Row],[raised_date]],"YYYY-MM")</f>
        <v>2021-02</v>
      </c>
      <c r="P4803" s="3" t="str">
        <f>IF(Ticket_Table[[#This Row],[resolution_hrs]]&lt;=4,"Fast",IF(Ticket_Table[[#This Row],[resolution_hrs]]&lt;=24,"Normal",IF(Ticket_Table[[#This Row],[resolution_hrs]]&lt;=48,"Slow","Very Slow")))</f>
        <v>Very Slow</v>
      </c>
      <c r="Q4803" s="3">
        <f>YEAR(Ticket_Table[[#This Row],[raised_date]])</f>
        <v>2021</v>
      </c>
    </row>
    <row r="4804" spans="1:17">
      <c r="A4804" t="s">
        <v>5365</v>
      </c>
      <c r="B4804" t="s">
        <v>931</v>
      </c>
      <c r="C4804" t="s">
        <v>201</v>
      </c>
      <c r="D4804" t="s">
        <v>90</v>
      </c>
      <c r="E4804" t="s">
        <v>30</v>
      </c>
      <c r="F4804" t="s">
        <v>22</v>
      </c>
      <c r="G4804" t="s">
        <v>31</v>
      </c>
      <c r="H4804" s="1">
        <v>44491</v>
      </c>
      <c r="I4804" s="2">
        <v>44491.5541666667</v>
      </c>
      <c r="J4804">
        <v>13.3</v>
      </c>
      <c r="K4804" t="s">
        <v>24</v>
      </c>
      <c r="L4804">
        <v>0</v>
      </c>
      <c r="M4804">
        <v>2</v>
      </c>
      <c r="N4804" t="s">
        <v>413</v>
      </c>
      <c r="O4804" s="3" t="str">
        <f>TEXT(Ticket_Table[[#This Row],[raised_date]],"YYYY-MM")</f>
        <v>2021-10</v>
      </c>
      <c r="P4804" s="3" t="str">
        <f>IF(Ticket_Table[[#This Row],[resolution_hrs]]&lt;=4,"Fast",IF(Ticket_Table[[#This Row],[resolution_hrs]]&lt;=24,"Normal",IF(Ticket_Table[[#This Row],[resolution_hrs]]&lt;=48,"Slow","Very Slow")))</f>
        <v>Normal</v>
      </c>
      <c r="Q4804" s="3">
        <f>YEAR(Ticket_Table[[#This Row],[raised_date]])</f>
        <v>2021</v>
      </c>
    </row>
    <row r="4805" spans="1:17">
      <c r="A4805" t="s">
        <v>5366</v>
      </c>
      <c r="B4805" t="s">
        <v>1093</v>
      </c>
      <c r="C4805" t="s">
        <v>117</v>
      </c>
      <c r="D4805" t="s">
        <v>36</v>
      </c>
      <c r="E4805" t="s">
        <v>166</v>
      </c>
      <c r="F4805" t="s">
        <v>22</v>
      </c>
      <c r="G4805" t="s">
        <v>23</v>
      </c>
      <c r="H4805" s="1">
        <v>45193</v>
      </c>
      <c r="I4805" s="2">
        <v>45194.1166666667</v>
      </c>
      <c r="J4805">
        <v>26.8</v>
      </c>
      <c r="K4805" t="s">
        <v>24</v>
      </c>
      <c r="L4805">
        <v>1</v>
      </c>
      <c r="M4805">
        <v>4</v>
      </c>
      <c r="N4805" t="s">
        <v>216</v>
      </c>
      <c r="O4805" s="3" t="str">
        <f>TEXT(Ticket_Table[[#This Row],[raised_date]],"YYYY-MM")</f>
        <v>2023-09</v>
      </c>
      <c r="P4805" s="3" t="str">
        <f>IF(Ticket_Table[[#This Row],[resolution_hrs]]&lt;=4,"Fast",IF(Ticket_Table[[#This Row],[resolution_hrs]]&lt;=24,"Normal",IF(Ticket_Table[[#This Row],[resolution_hrs]]&lt;=48,"Slow","Very Slow")))</f>
        <v>Slow</v>
      </c>
      <c r="Q4805" s="3">
        <f>YEAR(Ticket_Table[[#This Row],[raised_date]])</f>
        <v>2023</v>
      </c>
    </row>
    <row r="4806" spans="1:17">
      <c r="A4806" t="s">
        <v>5367</v>
      </c>
      <c r="B4806" t="s">
        <v>935</v>
      </c>
      <c r="C4806" t="s">
        <v>28</v>
      </c>
      <c r="D4806" t="s">
        <v>20</v>
      </c>
      <c r="E4806" t="s">
        <v>51</v>
      </c>
      <c r="F4806" t="s">
        <v>22</v>
      </c>
      <c r="G4806" t="s">
        <v>31</v>
      </c>
      <c r="H4806" s="1">
        <v>45091</v>
      </c>
      <c r="I4806" s="2">
        <v>45094.3083333333</v>
      </c>
      <c r="J4806">
        <v>79.4</v>
      </c>
      <c r="K4806" t="s">
        <v>32</v>
      </c>
      <c r="L4806">
        <v>0</v>
      </c>
      <c r="M4806">
        <v>4</v>
      </c>
      <c r="N4806" t="s">
        <v>130</v>
      </c>
      <c r="O4806" s="3" t="str">
        <f>TEXT(Ticket_Table[[#This Row],[raised_date]],"YYYY-MM")</f>
        <v>2023-06</v>
      </c>
      <c r="P4806" s="3" t="str">
        <f>IF(Ticket_Table[[#This Row],[resolution_hrs]]&lt;=4,"Fast",IF(Ticket_Table[[#This Row],[resolution_hrs]]&lt;=24,"Normal",IF(Ticket_Table[[#This Row],[resolution_hrs]]&lt;=48,"Slow","Very Slow")))</f>
        <v>Very Slow</v>
      </c>
      <c r="Q4806" s="3">
        <f>YEAR(Ticket_Table[[#This Row],[raised_date]])</f>
        <v>2023</v>
      </c>
    </row>
    <row r="4807" spans="1:17">
      <c r="A4807" t="s">
        <v>5368</v>
      </c>
      <c r="B4807" t="s">
        <v>87</v>
      </c>
      <c r="C4807" t="s">
        <v>261</v>
      </c>
      <c r="D4807" t="s">
        <v>43</v>
      </c>
      <c r="E4807" t="s">
        <v>166</v>
      </c>
      <c r="F4807" t="s">
        <v>45</v>
      </c>
      <c r="G4807" t="s">
        <v>23</v>
      </c>
      <c r="H4807" s="1">
        <v>44475</v>
      </c>
      <c r="I4807" s="2">
        <v>44475.225</v>
      </c>
      <c r="J4807">
        <v>5.4</v>
      </c>
      <c r="K4807" t="s">
        <v>32</v>
      </c>
      <c r="L4807">
        <v>0</v>
      </c>
      <c r="M4807">
        <v>4</v>
      </c>
      <c r="N4807" t="s">
        <v>462</v>
      </c>
      <c r="O4807" s="3" t="str">
        <f>TEXT(Ticket_Table[[#This Row],[raised_date]],"YYYY-MM")</f>
        <v>2021-10</v>
      </c>
      <c r="P4807" s="3" t="str">
        <f>IF(Ticket_Table[[#This Row],[resolution_hrs]]&lt;=4,"Fast",IF(Ticket_Table[[#This Row],[resolution_hrs]]&lt;=24,"Normal",IF(Ticket_Table[[#This Row],[resolution_hrs]]&lt;=48,"Slow","Very Slow")))</f>
        <v>Normal</v>
      </c>
      <c r="Q4807" s="3">
        <f>YEAR(Ticket_Table[[#This Row],[raised_date]])</f>
        <v>2021</v>
      </c>
    </row>
    <row r="4808" spans="1:17">
      <c r="A4808" t="s">
        <v>5369</v>
      </c>
      <c r="B4808" t="s">
        <v>158</v>
      </c>
      <c r="C4808" t="s">
        <v>133</v>
      </c>
      <c r="D4808" t="s">
        <v>29</v>
      </c>
      <c r="E4808" t="s">
        <v>83</v>
      </c>
      <c r="F4808" t="s">
        <v>38</v>
      </c>
      <c r="G4808" t="s">
        <v>31</v>
      </c>
      <c r="H4808" s="1">
        <v>44370</v>
      </c>
      <c r="I4808" s="2">
        <v>44370.5708333333</v>
      </c>
      <c r="J4808">
        <v>13.7</v>
      </c>
      <c r="K4808" t="s">
        <v>24</v>
      </c>
      <c r="L4808">
        <v>0</v>
      </c>
      <c r="M4808">
        <v>3</v>
      </c>
      <c r="N4808" t="s">
        <v>47</v>
      </c>
      <c r="O4808" s="3" t="str">
        <f>TEXT(Ticket_Table[[#This Row],[raised_date]],"YYYY-MM")</f>
        <v>2021-06</v>
      </c>
      <c r="P4808" s="3" t="str">
        <f>IF(Ticket_Table[[#This Row],[resolution_hrs]]&lt;=4,"Fast",IF(Ticket_Table[[#This Row],[resolution_hrs]]&lt;=24,"Normal",IF(Ticket_Table[[#This Row],[resolution_hrs]]&lt;=48,"Slow","Very Slow")))</f>
        <v>Normal</v>
      </c>
      <c r="Q4808" s="3">
        <f>YEAR(Ticket_Table[[#This Row],[raised_date]])</f>
        <v>2021</v>
      </c>
    </row>
    <row r="4809" spans="1:17">
      <c r="A4809" t="s">
        <v>5370</v>
      </c>
      <c r="B4809" t="s">
        <v>81</v>
      </c>
      <c r="C4809" t="s">
        <v>287</v>
      </c>
      <c r="D4809" t="s">
        <v>90</v>
      </c>
      <c r="E4809" t="s">
        <v>51</v>
      </c>
      <c r="F4809" t="s">
        <v>22</v>
      </c>
      <c r="G4809" t="s">
        <v>46</v>
      </c>
      <c r="H4809" s="1">
        <v>44478</v>
      </c>
      <c r="I4809" s="2">
        <v>44479.6125</v>
      </c>
      <c r="J4809">
        <v>38.7</v>
      </c>
      <c r="K4809" t="s">
        <v>24</v>
      </c>
      <c r="L4809">
        <v>1</v>
      </c>
      <c r="M4809">
        <v>4</v>
      </c>
      <c r="N4809" t="s">
        <v>914</v>
      </c>
      <c r="O4809" s="3" t="str">
        <f>TEXT(Ticket_Table[[#This Row],[raised_date]],"YYYY-MM")</f>
        <v>2021-10</v>
      </c>
      <c r="P4809" s="3" t="str">
        <f>IF(Ticket_Table[[#This Row],[resolution_hrs]]&lt;=4,"Fast",IF(Ticket_Table[[#This Row],[resolution_hrs]]&lt;=24,"Normal",IF(Ticket_Table[[#This Row],[resolution_hrs]]&lt;=48,"Slow","Very Slow")))</f>
        <v>Slow</v>
      </c>
      <c r="Q4809" s="3">
        <f>YEAR(Ticket_Table[[#This Row],[raised_date]])</f>
        <v>2021</v>
      </c>
    </row>
    <row r="4810" spans="1:17">
      <c r="A4810" t="s">
        <v>5371</v>
      </c>
      <c r="B4810" t="s">
        <v>79</v>
      </c>
      <c r="C4810" t="s">
        <v>78</v>
      </c>
      <c r="D4810" t="s">
        <v>29</v>
      </c>
      <c r="E4810" t="s">
        <v>166</v>
      </c>
      <c r="F4810" t="s">
        <v>70</v>
      </c>
      <c r="G4810" t="s">
        <v>31</v>
      </c>
      <c r="H4810" s="1">
        <v>45048</v>
      </c>
      <c r="I4810" s="2">
        <v>45049.5375</v>
      </c>
      <c r="J4810">
        <v>36.9</v>
      </c>
      <c r="K4810" t="s">
        <v>24</v>
      </c>
      <c r="L4810">
        <v>0</v>
      </c>
      <c r="M4810">
        <v>5</v>
      </c>
      <c r="N4810" t="s">
        <v>160</v>
      </c>
      <c r="O4810" s="3" t="str">
        <f>TEXT(Ticket_Table[[#This Row],[raised_date]],"YYYY-MM")</f>
        <v>2023-05</v>
      </c>
      <c r="P4810" s="3" t="str">
        <f>IF(Ticket_Table[[#This Row],[resolution_hrs]]&lt;=4,"Fast",IF(Ticket_Table[[#This Row],[resolution_hrs]]&lt;=24,"Normal",IF(Ticket_Table[[#This Row],[resolution_hrs]]&lt;=48,"Slow","Very Slow")))</f>
        <v>Slow</v>
      </c>
      <c r="Q4810" s="3">
        <f>YEAR(Ticket_Table[[#This Row],[raised_date]])</f>
        <v>2023</v>
      </c>
    </row>
    <row r="4811" spans="1:17">
      <c r="A4811" t="s">
        <v>5372</v>
      </c>
      <c r="B4811" t="s">
        <v>594</v>
      </c>
      <c r="C4811" t="s">
        <v>42</v>
      </c>
      <c r="D4811" t="s">
        <v>20</v>
      </c>
      <c r="E4811" t="s">
        <v>83</v>
      </c>
      <c r="F4811" t="s">
        <v>22</v>
      </c>
      <c r="G4811" t="s">
        <v>23</v>
      </c>
      <c r="H4811" s="1">
        <v>45130</v>
      </c>
      <c r="I4811" s="2">
        <v>45134.1208333333</v>
      </c>
      <c r="J4811">
        <v>98.9</v>
      </c>
      <c r="K4811" t="s">
        <v>32</v>
      </c>
      <c r="L4811">
        <v>0</v>
      </c>
      <c r="M4811">
        <v>4</v>
      </c>
      <c r="N4811" t="s">
        <v>532</v>
      </c>
      <c r="O4811" s="3" t="str">
        <f>TEXT(Ticket_Table[[#This Row],[raised_date]],"YYYY-MM")</f>
        <v>2023-07</v>
      </c>
      <c r="P4811" s="3" t="str">
        <f>IF(Ticket_Table[[#This Row],[resolution_hrs]]&lt;=4,"Fast",IF(Ticket_Table[[#This Row],[resolution_hrs]]&lt;=24,"Normal",IF(Ticket_Table[[#This Row],[resolution_hrs]]&lt;=48,"Slow","Very Slow")))</f>
        <v>Very Slow</v>
      </c>
      <c r="Q4811" s="3">
        <f>YEAR(Ticket_Table[[#This Row],[raised_date]])</f>
        <v>2023</v>
      </c>
    </row>
    <row r="4812" spans="1:17">
      <c r="A4812" t="s">
        <v>5373</v>
      </c>
      <c r="B4812" t="s">
        <v>471</v>
      </c>
      <c r="C4812" t="s">
        <v>42</v>
      </c>
      <c r="D4812" t="s">
        <v>90</v>
      </c>
      <c r="E4812" t="s">
        <v>106</v>
      </c>
      <c r="F4812" t="s">
        <v>70</v>
      </c>
      <c r="G4812" t="s">
        <v>23</v>
      </c>
      <c r="H4812" s="1">
        <v>45068</v>
      </c>
      <c r="I4812" s="2">
        <v>45069.975</v>
      </c>
      <c r="J4812">
        <v>47.4</v>
      </c>
      <c r="K4812" t="s">
        <v>24</v>
      </c>
      <c r="L4812">
        <v>0</v>
      </c>
      <c r="M4812">
        <v>4</v>
      </c>
      <c r="N4812" t="s">
        <v>1013</v>
      </c>
      <c r="O4812" s="3" t="str">
        <f>TEXT(Ticket_Table[[#This Row],[raised_date]],"YYYY-MM")</f>
        <v>2023-05</v>
      </c>
      <c r="P4812" s="3" t="str">
        <f>IF(Ticket_Table[[#This Row],[resolution_hrs]]&lt;=4,"Fast",IF(Ticket_Table[[#This Row],[resolution_hrs]]&lt;=24,"Normal",IF(Ticket_Table[[#This Row],[resolution_hrs]]&lt;=48,"Slow","Very Slow")))</f>
        <v>Slow</v>
      </c>
      <c r="Q4812" s="3">
        <f>YEAR(Ticket_Table[[#This Row],[raised_date]])</f>
        <v>2023</v>
      </c>
    </row>
    <row r="4813" spans="1:17">
      <c r="A4813" t="s">
        <v>5374</v>
      </c>
      <c r="B4813" t="s">
        <v>332</v>
      </c>
      <c r="C4813" t="s">
        <v>175</v>
      </c>
      <c r="D4813" t="s">
        <v>29</v>
      </c>
      <c r="E4813" t="s">
        <v>69</v>
      </c>
      <c r="F4813" t="s">
        <v>22</v>
      </c>
      <c r="G4813" t="s">
        <v>46</v>
      </c>
      <c r="H4813" s="1">
        <v>44565</v>
      </c>
      <c r="I4813" s="2">
        <v>44567.7416666667</v>
      </c>
      <c r="J4813">
        <v>65.8</v>
      </c>
      <c r="K4813" t="s">
        <v>24</v>
      </c>
      <c r="L4813">
        <v>0</v>
      </c>
      <c r="M4813">
        <v>4</v>
      </c>
      <c r="N4813" t="s">
        <v>307</v>
      </c>
      <c r="O4813" s="3" t="str">
        <f>TEXT(Ticket_Table[[#This Row],[raised_date]],"YYYY-MM")</f>
        <v>2022-01</v>
      </c>
      <c r="P4813" s="3" t="str">
        <f>IF(Ticket_Table[[#This Row],[resolution_hrs]]&lt;=4,"Fast",IF(Ticket_Table[[#This Row],[resolution_hrs]]&lt;=24,"Normal",IF(Ticket_Table[[#This Row],[resolution_hrs]]&lt;=48,"Slow","Very Slow")))</f>
        <v>Very Slow</v>
      </c>
      <c r="Q4813" s="3">
        <f>YEAR(Ticket_Table[[#This Row],[raised_date]])</f>
        <v>2022</v>
      </c>
    </row>
    <row r="4814" spans="1:17">
      <c r="A4814" t="s">
        <v>5375</v>
      </c>
      <c r="B4814" t="s">
        <v>899</v>
      </c>
      <c r="C4814" t="s">
        <v>55</v>
      </c>
      <c r="D4814" t="s">
        <v>36</v>
      </c>
      <c r="E4814" t="s">
        <v>44</v>
      </c>
      <c r="F4814" t="s">
        <v>38</v>
      </c>
      <c r="G4814" t="s">
        <v>74</v>
      </c>
      <c r="H4814" s="1">
        <v>45127</v>
      </c>
      <c r="I4814" s="2">
        <v>45127.6958333333</v>
      </c>
      <c r="J4814">
        <v>16.7</v>
      </c>
      <c r="K4814" t="s">
        <v>24</v>
      </c>
      <c r="L4814">
        <v>0</v>
      </c>
      <c r="M4814">
        <v>5</v>
      </c>
      <c r="N4814" t="s">
        <v>917</v>
      </c>
      <c r="O4814" s="3" t="str">
        <f>TEXT(Ticket_Table[[#This Row],[raised_date]],"YYYY-MM")</f>
        <v>2023-07</v>
      </c>
      <c r="P4814" s="3" t="str">
        <f>IF(Ticket_Table[[#This Row],[resolution_hrs]]&lt;=4,"Fast",IF(Ticket_Table[[#This Row],[resolution_hrs]]&lt;=24,"Normal",IF(Ticket_Table[[#This Row],[resolution_hrs]]&lt;=48,"Slow","Very Slow")))</f>
        <v>Normal</v>
      </c>
      <c r="Q4814" s="3">
        <f>YEAR(Ticket_Table[[#This Row],[raised_date]])</f>
        <v>2023</v>
      </c>
    </row>
    <row r="4815" spans="1:17">
      <c r="A4815" t="s">
        <v>5376</v>
      </c>
      <c r="B4815" t="s">
        <v>499</v>
      </c>
      <c r="C4815" t="s">
        <v>261</v>
      </c>
      <c r="D4815" t="s">
        <v>29</v>
      </c>
      <c r="E4815" t="s">
        <v>69</v>
      </c>
      <c r="F4815" t="s">
        <v>70</v>
      </c>
      <c r="G4815" t="s">
        <v>31</v>
      </c>
      <c r="H4815" s="1">
        <v>45240</v>
      </c>
      <c r="I4815" s="2">
        <v>45241.2791666667</v>
      </c>
      <c r="J4815">
        <v>30.7</v>
      </c>
      <c r="K4815" t="s">
        <v>24</v>
      </c>
      <c r="L4815">
        <v>0</v>
      </c>
      <c r="M4815">
        <v>3</v>
      </c>
      <c r="N4815" t="s">
        <v>99</v>
      </c>
      <c r="O4815" s="3" t="str">
        <f>TEXT(Ticket_Table[[#This Row],[raised_date]],"YYYY-MM")</f>
        <v>2023-11</v>
      </c>
      <c r="P4815" s="3" t="str">
        <f>IF(Ticket_Table[[#This Row],[resolution_hrs]]&lt;=4,"Fast",IF(Ticket_Table[[#This Row],[resolution_hrs]]&lt;=24,"Normal",IF(Ticket_Table[[#This Row],[resolution_hrs]]&lt;=48,"Slow","Very Slow")))</f>
        <v>Slow</v>
      </c>
      <c r="Q4815" s="3">
        <f>YEAR(Ticket_Table[[#This Row],[raised_date]])</f>
        <v>2023</v>
      </c>
    </row>
    <row r="4816" spans="1:17">
      <c r="A4816" t="s">
        <v>5377</v>
      </c>
      <c r="B4816" t="s">
        <v>325</v>
      </c>
      <c r="C4816" t="s">
        <v>213</v>
      </c>
      <c r="D4816" t="s">
        <v>36</v>
      </c>
      <c r="E4816" t="s">
        <v>106</v>
      </c>
      <c r="F4816" t="s">
        <v>38</v>
      </c>
      <c r="G4816" t="s">
        <v>23</v>
      </c>
      <c r="H4816" s="1">
        <v>45065</v>
      </c>
      <c r="I4816" s="2">
        <v>45065.8708333333</v>
      </c>
      <c r="J4816">
        <v>20.9</v>
      </c>
      <c r="K4816" t="s">
        <v>24</v>
      </c>
      <c r="L4816">
        <v>0</v>
      </c>
      <c r="M4816">
        <v>2</v>
      </c>
      <c r="N4816" t="s">
        <v>637</v>
      </c>
      <c r="O4816" s="3" t="str">
        <f>TEXT(Ticket_Table[[#This Row],[raised_date]],"YYYY-MM")</f>
        <v>2023-05</v>
      </c>
      <c r="P4816" s="3" t="str">
        <f>IF(Ticket_Table[[#This Row],[resolution_hrs]]&lt;=4,"Fast",IF(Ticket_Table[[#This Row],[resolution_hrs]]&lt;=24,"Normal",IF(Ticket_Table[[#This Row],[resolution_hrs]]&lt;=48,"Slow","Very Slow")))</f>
        <v>Normal</v>
      </c>
      <c r="Q4816" s="3">
        <f>YEAR(Ticket_Table[[#This Row],[raised_date]])</f>
        <v>2023</v>
      </c>
    </row>
    <row r="4817" spans="1:17">
      <c r="A4817" t="s">
        <v>5378</v>
      </c>
      <c r="B4817" t="s">
        <v>365</v>
      </c>
      <c r="C4817" t="s">
        <v>78</v>
      </c>
      <c r="D4817" t="s">
        <v>43</v>
      </c>
      <c r="E4817" t="s">
        <v>69</v>
      </c>
      <c r="F4817" t="s">
        <v>22</v>
      </c>
      <c r="G4817" t="s">
        <v>23</v>
      </c>
      <c r="H4817" s="1">
        <v>45118</v>
      </c>
      <c r="I4817" s="2">
        <v>45121.7291666667</v>
      </c>
      <c r="J4817">
        <v>89.5</v>
      </c>
      <c r="K4817" t="s">
        <v>32</v>
      </c>
      <c r="L4817">
        <v>0</v>
      </c>
      <c r="M4817">
        <v>3</v>
      </c>
      <c r="N4817" t="s">
        <v>1136</v>
      </c>
      <c r="O4817" s="3" t="str">
        <f>TEXT(Ticket_Table[[#This Row],[raised_date]],"YYYY-MM")</f>
        <v>2023-07</v>
      </c>
      <c r="P4817" s="3" t="str">
        <f>IF(Ticket_Table[[#This Row],[resolution_hrs]]&lt;=4,"Fast",IF(Ticket_Table[[#This Row],[resolution_hrs]]&lt;=24,"Normal",IF(Ticket_Table[[#This Row],[resolution_hrs]]&lt;=48,"Slow","Very Slow")))</f>
        <v>Very Slow</v>
      </c>
      <c r="Q4817" s="3">
        <f>YEAR(Ticket_Table[[#This Row],[raised_date]])</f>
        <v>2023</v>
      </c>
    </row>
    <row r="4818" spans="1:17">
      <c r="A4818" t="s">
        <v>5379</v>
      </c>
      <c r="B4818" t="s">
        <v>616</v>
      </c>
      <c r="C4818" t="s">
        <v>82</v>
      </c>
      <c r="D4818" t="s">
        <v>20</v>
      </c>
      <c r="E4818" t="s">
        <v>21</v>
      </c>
      <c r="F4818" t="s">
        <v>38</v>
      </c>
      <c r="G4818" t="s">
        <v>23</v>
      </c>
      <c r="H4818" s="1">
        <v>44984</v>
      </c>
      <c r="I4818" s="2">
        <v>44984.225</v>
      </c>
      <c r="J4818">
        <v>5.4</v>
      </c>
      <c r="K4818" t="s">
        <v>24</v>
      </c>
      <c r="L4818">
        <v>1</v>
      </c>
      <c r="M4818">
        <v>4</v>
      </c>
      <c r="N4818" t="s">
        <v>597</v>
      </c>
      <c r="O4818" s="3" t="str">
        <f>TEXT(Ticket_Table[[#This Row],[raised_date]],"YYYY-MM")</f>
        <v>2023-02</v>
      </c>
      <c r="P4818" s="3" t="str">
        <f>IF(Ticket_Table[[#This Row],[resolution_hrs]]&lt;=4,"Fast",IF(Ticket_Table[[#This Row],[resolution_hrs]]&lt;=24,"Normal",IF(Ticket_Table[[#This Row],[resolution_hrs]]&lt;=48,"Slow","Very Slow")))</f>
        <v>Normal</v>
      </c>
      <c r="Q4818" s="3">
        <f>YEAR(Ticket_Table[[#This Row],[raised_date]])</f>
        <v>2023</v>
      </c>
    </row>
    <row r="4819" spans="1:17">
      <c r="A4819" t="s">
        <v>5380</v>
      </c>
      <c r="B4819" t="s">
        <v>849</v>
      </c>
      <c r="C4819" t="s">
        <v>287</v>
      </c>
      <c r="D4819" t="s">
        <v>29</v>
      </c>
      <c r="E4819" t="s">
        <v>56</v>
      </c>
      <c r="F4819" t="s">
        <v>38</v>
      </c>
      <c r="G4819" t="s">
        <v>46</v>
      </c>
      <c r="H4819" s="1">
        <v>44924</v>
      </c>
      <c r="I4819" s="2">
        <v>44924.825</v>
      </c>
      <c r="J4819">
        <v>19.8</v>
      </c>
      <c r="K4819" t="s">
        <v>24</v>
      </c>
      <c r="L4819">
        <v>1</v>
      </c>
      <c r="M4819">
        <v>3</v>
      </c>
      <c r="N4819" t="s">
        <v>340</v>
      </c>
      <c r="O4819" s="3" t="str">
        <f>TEXT(Ticket_Table[[#This Row],[raised_date]],"YYYY-MM")</f>
        <v>2022-12</v>
      </c>
      <c r="P4819" s="3" t="str">
        <f>IF(Ticket_Table[[#This Row],[resolution_hrs]]&lt;=4,"Fast",IF(Ticket_Table[[#This Row],[resolution_hrs]]&lt;=24,"Normal",IF(Ticket_Table[[#This Row],[resolution_hrs]]&lt;=48,"Slow","Very Slow")))</f>
        <v>Normal</v>
      </c>
      <c r="Q4819" s="3">
        <f>YEAR(Ticket_Table[[#This Row],[raised_date]])</f>
        <v>2022</v>
      </c>
    </row>
    <row r="4820" spans="1:17">
      <c r="A4820" t="s">
        <v>5381</v>
      </c>
      <c r="B4820" t="s">
        <v>546</v>
      </c>
      <c r="C4820" t="s">
        <v>175</v>
      </c>
      <c r="D4820" t="s">
        <v>90</v>
      </c>
      <c r="E4820" t="s">
        <v>56</v>
      </c>
      <c r="F4820" t="s">
        <v>22</v>
      </c>
      <c r="G4820" t="s">
        <v>31</v>
      </c>
      <c r="H4820" s="1">
        <v>44659</v>
      </c>
      <c r="I4820" s="2">
        <v>44662.5041666667</v>
      </c>
      <c r="J4820">
        <v>84.1</v>
      </c>
      <c r="K4820" t="s">
        <v>32</v>
      </c>
      <c r="L4820">
        <v>0</v>
      </c>
      <c r="M4820">
        <v>4</v>
      </c>
      <c r="N4820" t="s">
        <v>808</v>
      </c>
      <c r="O4820" s="3" t="str">
        <f>TEXT(Ticket_Table[[#This Row],[raised_date]],"YYYY-MM")</f>
        <v>2022-04</v>
      </c>
      <c r="P4820" s="3" t="str">
        <f>IF(Ticket_Table[[#This Row],[resolution_hrs]]&lt;=4,"Fast",IF(Ticket_Table[[#This Row],[resolution_hrs]]&lt;=24,"Normal",IF(Ticket_Table[[#This Row],[resolution_hrs]]&lt;=48,"Slow","Very Slow")))</f>
        <v>Very Slow</v>
      </c>
      <c r="Q4820" s="3">
        <f>YEAR(Ticket_Table[[#This Row],[raised_date]])</f>
        <v>2022</v>
      </c>
    </row>
    <row r="4821" spans="1:17">
      <c r="A4821" t="s">
        <v>5382</v>
      </c>
      <c r="B4821" t="s">
        <v>530</v>
      </c>
      <c r="C4821" t="s">
        <v>28</v>
      </c>
      <c r="D4821" t="s">
        <v>20</v>
      </c>
      <c r="E4821" t="s">
        <v>21</v>
      </c>
      <c r="F4821" t="s">
        <v>70</v>
      </c>
      <c r="G4821" t="s">
        <v>31</v>
      </c>
      <c r="H4821" s="1">
        <v>44577</v>
      </c>
      <c r="I4821" s="2">
        <v>44578.2458333333</v>
      </c>
      <c r="J4821">
        <v>29.9</v>
      </c>
      <c r="K4821" t="s">
        <v>24</v>
      </c>
      <c r="L4821">
        <v>0</v>
      </c>
      <c r="M4821">
        <v>3</v>
      </c>
      <c r="N4821" t="s">
        <v>556</v>
      </c>
      <c r="O4821" s="3" t="str">
        <f>TEXT(Ticket_Table[[#This Row],[raised_date]],"YYYY-MM")</f>
        <v>2022-01</v>
      </c>
      <c r="P4821" s="3" t="str">
        <f>IF(Ticket_Table[[#This Row],[resolution_hrs]]&lt;=4,"Fast",IF(Ticket_Table[[#This Row],[resolution_hrs]]&lt;=24,"Normal",IF(Ticket_Table[[#This Row],[resolution_hrs]]&lt;=48,"Slow","Very Slow")))</f>
        <v>Slow</v>
      </c>
      <c r="Q4821" s="3">
        <f>YEAR(Ticket_Table[[#This Row],[raised_date]])</f>
        <v>2022</v>
      </c>
    </row>
    <row r="4822" spans="1:17">
      <c r="A4822" t="s">
        <v>5383</v>
      </c>
      <c r="B4822" t="s">
        <v>792</v>
      </c>
      <c r="C4822" t="s">
        <v>60</v>
      </c>
      <c r="D4822" t="s">
        <v>29</v>
      </c>
      <c r="E4822" t="s">
        <v>56</v>
      </c>
      <c r="F4822" t="s">
        <v>22</v>
      </c>
      <c r="G4822" t="s">
        <v>23</v>
      </c>
      <c r="H4822" s="1">
        <v>45066</v>
      </c>
      <c r="I4822" s="2">
        <v>45068.65</v>
      </c>
      <c r="J4822">
        <v>63.6</v>
      </c>
      <c r="K4822" t="s">
        <v>24</v>
      </c>
      <c r="L4822">
        <v>0</v>
      </c>
      <c r="M4822">
        <v>2</v>
      </c>
      <c r="N4822" t="s">
        <v>1013</v>
      </c>
      <c r="O4822" s="3" t="str">
        <f>TEXT(Ticket_Table[[#This Row],[raised_date]],"YYYY-MM")</f>
        <v>2023-05</v>
      </c>
      <c r="P4822" s="3" t="str">
        <f>IF(Ticket_Table[[#This Row],[resolution_hrs]]&lt;=4,"Fast",IF(Ticket_Table[[#This Row],[resolution_hrs]]&lt;=24,"Normal",IF(Ticket_Table[[#This Row],[resolution_hrs]]&lt;=48,"Slow","Very Slow")))</f>
        <v>Very Slow</v>
      </c>
      <c r="Q4822" s="3">
        <f>YEAR(Ticket_Table[[#This Row],[raised_date]])</f>
        <v>2023</v>
      </c>
    </row>
    <row r="4823" spans="1:17">
      <c r="A4823" t="s">
        <v>5384</v>
      </c>
      <c r="B4823" t="s">
        <v>358</v>
      </c>
      <c r="C4823" t="s">
        <v>201</v>
      </c>
      <c r="D4823" t="s">
        <v>90</v>
      </c>
      <c r="E4823" t="s">
        <v>83</v>
      </c>
      <c r="F4823" t="s">
        <v>22</v>
      </c>
      <c r="G4823" t="s">
        <v>23</v>
      </c>
      <c r="H4823" s="1">
        <v>44212</v>
      </c>
      <c r="I4823" s="2">
        <v>44212.6583333333</v>
      </c>
      <c r="J4823">
        <v>15.8</v>
      </c>
      <c r="K4823" t="s">
        <v>24</v>
      </c>
      <c r="L4823">
        <v>0</v>
      </c>
      <c r="M4823">
        <v>3</v>
      </c>
      <c r="N4823" t="s">
        <v>1037</v>
      </c>
      <c r="O4823" s="3" t="str">
        <f>TEXT(Ticket_Table[[#This Row],[raised_date]],"YYYY-MM")</f>
        <v>2021-01</v>
      </c>
      <c r="P4823" s="3" t="str">
        <f>IF(Ticket_Table[[#This Row],[resolution_hrs]]&lt;=4,"Fast",IF(Ticket_Table[[#This Row],[resolution_hrs]]&lt;=24,"Normal",IF(Ticket_Table[[#This Row],[resolution_hrs]]&lt;=48,"Slow","Very Slow")))</f>
        <v>Normal</v>
      </c>
      <c r="Q4823" s="3">
        <f>YEAR(Ticket_Table[[#This Row],[raised_date]])</f>
        <v>2021</v>
      </c>
    </row>
    <row r="4824" spans="1:17">
      <c r="A4824" t="s">
        <v>5385</v>
      </c>
      <c r="B4824" t="s">
        <v>1041</v>
      </c>
      <c r="C4824" t="s">
        <v>213</v>
      </c>
      <c r="D4824" t="s">
        <v>90</v>
      </c>
      <c r="E4824" t="s">
        <v>56</v>
      </c>
      <c r="F4824" t="s">
        <v>22</v>
      </c>
      <c r="G4824" t="s">
        <v>31</v>
      </c>
      <c r="H4824" s="1">
        <v>45217</v>
      </c>
      <c r="I4824" s="2">
        <v>45218.2</v>
      </c>
      <c r="J4824">
        <v>28.8</v>
      </c>
      <c r="K4824" t="s">
        <v>24</v>
      </c>
      <c r="L4824">
        <v>3</v>
      </c>
      <c r="M4824">
        <v>5</v>
      </c>
      <c r="N4824" t="s">
        <v>92</v>
      </c>
      <c r="O4824" s="3" t="str">
        <f>TEXT(Ticket_Table[[#This Row],[raised_date]],"YYYY-MM")</f>
        <v>2023-10</v>
      </c>
      <c r="P4824" s="3" t="str">
        <f>IF(Ticket_Table[[#This Row],[resolution_hrs]]&lt;=4,"Fast",IF(Ticket_Table[[#This Row],[resolution_hrs]]&lt;=24,"Normal",IF(Ticket_Table[[#This Row],[resolution_hrs]]&lt;=48,"Slow","Very Slow")))</f>
        <v>Slow</v>
      </c>
      <c r="Q4824" s="3">
        <f>YEAR(Ticket_Table[[#This Row],[raised_date]])</f>
        <v>2023</v>
      </c>
    </row>
    <row r="4825" spans="1:17">
      <c r="A4825" t="s">
        <v>5386</v>
      </c>
      <c r="B4825" t="s">
        <v>527</v>
      </c>
      <c r="C4825" t="s">
        <v>28</v>
      </c>
      <c r="D4825" t="s">
        <v>90</v>
      </c>
      <c r="E4825" t="s">
        <v>30</v>
      </c>
      <c r="F4825" t="s">
        <v>70</v>
      </c>
      <c r="G4825" t="s">
        <v>31</v>
      </c>
      <c r="H4825" s="1">
        <v>44681</v>
      </c>
      <c r="I4825" s="2">
        <v>44681.8916666667</v>
      </c>
      <c r="J4825">
        <v>21.4</v>
      </c>
      <c r="K4825" t="s">
        <v>24</v>
      </c>
      <c r="L4825">
        <v>0</v>
      </c>
      <c r="M4825">
        <v>4</v>
      </c>
      <c r="N4825" t="s">
        <v>200</v>
      </c>
      <c r="O4825" s="3" t="str">
        <f>TEXT(Ticket_Table[[#This Row],[raised_date]],"YYYY-MM")</f>
        <v>2022-04</v>
      </c>
      <c r="P4825" s="3" t="str">
        <f>IF(Ticket_Table[[#This Row],[resolution_hrs]]&lt;=4,"Fast",IF(Ticket_Table[[#This Row],[resolution_hrs]]&lt;=24,"Normal",IF(Ticket_Table[[#This Row],[resolution_hrs]]&lt;=48,"Slow","Very Slow")))</f>
        <v>Normal</v>
      </c>
      <c r="Q4825" s="3">
        <f>YEAR(Ticket_Table[[#This Row],[raised_date]])</f>
        <v>2022</v>
      </c>
    </row>
    <row r="4826" spans="1:17">
      <c r="A4826" t="s">
        <v>5387</v>
      </c>
      <c r="B4826" t="s">
        <v>1136</v>
      </c>
      <c r="C4826" t="s">
        <v>213</v>
      </c>
      <c r="D4826" t="s">
        <v>90</v>
      </c>
      <c r="E4826" t="s">
        <v>30</v>
      </c>
      <c r="F4826" t="s">
        <v>70</v>
      </c>
      <c r="G4826" t="s">
        <v>74</v>
      </c>
      <c r="H4826" s="1">
        <v>45224</v>
      </c>
      <c r="I4826" s="2">
        <v>45224.9708333333</v>
      </c>
      <c r="J4826">
        <v>23.3</v>
      </c>
      <c r="K4826" t="s">
        <v>24</v>
      </c>
      <c r="L4826">
        <v>0</v>
      </c>
      <c r="M4826">
        <v>3</v>
      </c>
      <c r="N4826" t="s">
        <v>906</v>
      </c>
      <c r="O4826" s="3" t="str">
        <f>TEXT(Ticket_Table[[#This Row],[raised_date]],"YYYY-MM")</f>
        <v>2023-10</v>
      </c>
      <c r="P4826" s="3" t="str">
        <f>IF(Ticket_Table[[#This Row],[resolution_hrs]]&lt;=4,"Fast",IF(Ticket_Table[[#This Row],[resolution_hrs]]&lt;=24,"Normal",IF(Ticket_Table[[#This Row],[resolution_hrs]]&lt;=48,"Slow","Very Slow")))</f>
        <v>Normal</v>
      </c>
      <c r="Q4826" s="3">
        <f>YEAR(Ticket_Table[[#This Row],[raised_date]])</f>
        <v>2023</v>
      </c>
    </row>
    <row r="4827" spans="1:17">
      <c r="A4827" t="s">
        <v>5388</v>
      </c>
      <c r="B4827" t="s">
        <v>57</v>
      </c>
      <c r="C4827" t="s">
        <v>102</v>
      </c>
      <c r="D4827" t="s">
        <v>29</v>
      </c>
      <c r="E4827" t="s">
        <v>51</v>
      </c>
      <c r="F4827" t="s">
        <v>45</v>
      </c>
      <c r="G4827" t="s">
        <v>31</v>
      </c>
      <c r="H4827" s="1">
        <v>44748</v>
      </c>
      <c r="I4827" s="2">
        <v>44748.0583333333</v>
      </c>
      <c r="J4827">
        <v>1.4</v>
      </c>
      <c r="K4827" t="s">
        <v>24</v>
      </c>
      <c r="L4827">
        <v>1</v>
      </c>
      <c r="M4827">
        <v>3</v>
      </c>
      <c r="N4827" t="s">
        <v>307</v>
      </c>
      <c r="O4827" s="3" t="str">
        <f>TEXT(Ticket_Table[[#This Row],[raised_date]],"YYYY-MM")</f>
        <v>2022-07</v>
      </c>
      <c r="P4827" s="3" t="str">
        <f>IF(Ticket_Table[[#This Row],[resolution_hrs]]&lt;=4,"Fast",IF(Ticket_Table[[#This Row],[resolution_hrs]]&lt;=24,"Normal",IF(Ticket_Table[[#This Row],[resolution_hrs]]&lt;=48,"Slow","Very Slow")))</f>
        <v>Fast</v>
      </c>
      <c r="Q4827" s="3">
        <f>YEAR(Ticket_Table[[#This Row],[raised_date]])</f>
        <v>2022</v>
      </c>
    </row>
    <row r="4828" spans="1:17">
      <c r="A4828" t="s">
        <v>5389</v>
      </c>
      <c r="B4828" t="s">
        <v>817</v>
      </c>
      <c r="C4828" t="s">
        <v>42</v>
      </c>
      <c r="D4828" t="s">
        <v>43</v>
      </c>
      <c r="E4828" t="s">
        <v>37</v>
      </c>
      <c r="F4828" t="s">
        <v>22</v>
      </c>
      <c r="G4828" t="s">
        <v>23</v>
      </c>
      <c r="H4828" s="1">
        <v>45038</v>
      </c>
      <c r="I4828" s="2">
        <v>45039.9166666667</v>
      </c>
      <c r="J4828">
        <v>46</v>
      </c>
      <c r="K4828" t="s">
        <v>24</v>
      </c>
      <c r="L4828">
        <v>0</v>
      </c>
      <c r="M4828">
        <v>4</v>
      </c>
      <c r="N4828" t="s">
        <v>790</v>
      </c>
      <c r="O4828" s="3" t="str">
        <f>TEXT(Ticket_Table[[#This Row],[raised_date]],"YYYY-MM")</f>
        <v>2023-04</v>
      </c>
      <c r="P4828" s="3" t="str">
        <f>IF(Ticket_Table[[#This Row],[resolution_hrs]]&lt;=4,"Fast",IF(Ticket_Table[[#This Row],[resolution_hrs]]&lt;=24,"Normal",IF(Ticket_Table[[#This Row],[resolution_hrs]]&lt;=48,"Slow","Very Slow")))</f>
        <v>Slow</v>
      </c>
      <c r="Q4828" s="3">
        <f>YEAR(Ticket_Table[[#This Row],[raised_date]])</f>
        <v>2023</v>
      </c>
    </row>
    <row r="4829" spans="1:17">
      <c r="A4829" t="s">
        <v>5390</v>
      </c>
      <c r="B4829" t="s">
        <v>966</v>
      </c>
      <c r="C4829" t="s">
        <v>19</v>
      </c>
      <c r="D4829" t="s">
        <v>36</v>
      </c>
      <c r="E4829" t="s">
        <v>106</v>
      </c>
      <c r="F4829" t="s">
        <v>45</v>
      </c>
      <c r="G4829" t="s">
        <v>31</v>
      </c>
      <c r="H4829" s="1">
        <v>44948</v>
      </c>
      <c r="I4829" s="2">
        <v>44948.2458333333</v>
      </c>
      <c r="J4829">
        <v>5.9</v>
      </c>
      <c r="K4829" t="s">
        <v>32</v>
      </c>
      <c r="L4829">
        <v>0</v>
      </c>
      <c r="M4829">
        <v>4</v>
      </c>
      <c r="N4829" t="s">
        <v>822</v>
      </c>
      <c r="O4829" s="3" t="str">
        <f>TEXT(Ticket_Table[[#This Row],[raised_date]],"YYYY-MM")</f>
        <v>2023-01</v>
      </c>
      <c r="P4829" s="3" t="str">
        <f>IF(Ticket_Table[[#This Row],[resolution_hrs]]&lt;=4,"Fast",IF(Ticket_Table[[#This Row],[resolution_hrs]]&lt;=24,"Normal",IF(Ticket_Table[[#This Row],[resolution_hrs]]&lt;=48,"Slow","Very Slow")))</f>
        <v>Normal</v>
      </c>
      <c r="Q4829" s="3">
        <f>YEAR(Ticket_Table[[#This Row],[raised_date]])</f>
        <v>2023</v>
      </c>
    </row>
    <row r="4830" spans="1:17">
      <c r="A4830" t="s">
        <v>5391</v>
      </c>
      <c r="B4830" t="s">
        <v>135</v>
      </c>
      <c r="C4830" t="s">
        <v>102</v>
      </c>
      <c r="D4830" t="s">
        <v>36</v>
      </c>
      <c r="E4830" t="s">
        <v>30</v>
      </c>
      <c r="F4830" t="s">
        <v>22</v>
      </c>
      <c r="G4830" t="s">
        <v>23</v>
      </c>
      <c r="H4830" s="1">
        <v>44265</v>
      </c>
      <c r="I4830" s="2">
        <v>44267.6083333333</v>
      </c>
      <c r="J4830">
        <v>62.6</v>
      </c>
      <c r="K4830" t="s">
        <v>24</v>
      </c>
      <c r="L4830">
        <v>0</v>
      </c>
      <c r="M4830">
        <v>4</v>
      </c>
      <c r="N4830" t="s">
        <v>406</v>
      </c>
      <c r="O4830" s="3" t="str">
        <f>TEXT(Ticket_Table[[#This Row],[raised_date]],"YYYY-MM")</f>
        <v>2021-03</v>
      </c>
      <c r="P4830" s="3" t="str">
        <f>IF(Ticket_Table[[#This Row],[resolution_hrs]]&lt;=4,"Fast",IF(Ticket_Table[[#This Row],[resolution_hrs]]&lt;=24,"Normal",IF(Ticket_Table[[#This Row],[resolution_hrs]]&lt;=48,"Slow","Very Slow")))</f>
        <v>Very Slow</v>
      </c>
      <c r="Q4830" s="3">
        <f>YEAR(Ticket_Table[[#This Row],[raised_date]])</f>
        <v>2021</v>
      </c>
    </row>
    <row r="4831" spans="1:17">
      <c r="A4831" t="s">
        <v>5392</v>
      </c>
      <c r="B4831" t="s">
        <v>204</v>
      </c>
      <c r="C4831" t="s">
        <v>287</v>
      </c>
      <c r="D4831" t="s">
        <v>36</v>
      </c>
      <c r="E4831" t="s">
        <v>44</v>
      </c>
      <c r="F4831" t="s">
        <v>38</v>
      </c>
      <c r="G4831" t="s">
        <v>23</v>
      </c>
      <c r="H4831" s="1">
        <v>44274</v>
      </c>
      <c r="I4831" s="2">
        <v>44274.9625</v>
      </c>
      <c r="J4831">
        <v>23.1</v>
      </c>
      <c r="K4831" t="s">
        <v>24</v>
      </c>
      <c r="L4831">
        <v>0</v>
      </c>
      <c r="M4831">
        <v>5</v>
      </c>
      <c r="N4831" t="s">
        <v>387</v>
      </c>
      <c r="O4831" s="3" t="str">
        <f>TEXT(Ticket_Table[[#This Row],[raised_date]],"YYYY-MM")</f>
        <v>2021-03</v>
      </c>
      <c r="P4831" s="3" t="str">
        <f>IF(Ticket_Table[[#This Row],[resolution_hrs]]&lt;=4,"Fast",IF(Ticket_Table[[#This Row],[resolution_hrs]]&lt;=24,"Normal",IF(Ticket_Table[[#This Row],[resolution_hrs]]&lt;=48,"Slow","Very Slow")))</f>
        <v>Normal</v>
      </c>
      <c r="Q4831" s="3">
        <f>YEAR(Ticket_Table[[#This Row],[raised_date]])</f>
        <v>2021</v>
      </c>
    </row>
    <row r="4832" spans="1:17">
      <c r="A4832" t="s">
        <v>5393</v>
      </c>
      <c r="B4832" t="s">
        <v>96</v>
      </c>
      <c r="C4832" t="s">
        <v>133</v>
      </c>
      <c r="D4832" t="s">
        <v>43</v>
      </c>
      <c r="E4832" t="s">
        <v>51</v>
      </c>
      <c r="F4832" t="s">
        <v>70</v>
      </c>
      <c r="G4832" t="s">
        <v>23</v>
      </c>
      <c r="H4832" s="1">
        <v>45186</v>
      </c>
      <c r="I4832" s="2">
        <v>45188.3291666667</v>
      </c>
      <c r="J4832">
        <v>55.9</v>
      </c>
      <c r="K4832" t="s">
        <v>32</v>
      </c>
      <c r="L4832">
        <v>0</v>
      </c>
      <c r="M4832">
        <v>4</v>
      </c>
      <c r="N4832" t="s">
        <v>380</v>
      </c>
      <c r="O4832" s="3" t="str">
        <f>TEXT(Ticket_Table[[#This Row],[raised_date]],"YYYY-MM")</f>
        <v>2023-09</v>
      </c>
      <c r="P4832" s="3" t="str">
        <f>IF(Ticket_Table[[#This Row],[resolution_hrs]]&lt;=4,"Fast",IF(Ticket_Table[[#This Row],[resolution_hrs]]&lt;=24,"Normal",IF(Ticket_Table[[#This Row],[resolution_hrs]]&lt;=48,"Slow","Very Slow")))</f>
        <v>Very Slow</v>
      </c>
      <c r="Q4832" s="3">
        <f>YEAR(Ticket_Table[[#This Row],[raised_date]])</f>
        <v>2023</v>
      </c>
    </row>
    <row r="4833" spans="1:17">
      <c r="A4833" t="s">
        <v>5394</v>
      </c>
      <c r="B4833" t="s">
        <v>597</v>
      </c>
      <c r="C4833" t="s">
        <v>201</v>
      </c>
      <c r="D4833" t="s">
        <v>90</v>
      </c>
      <c r="E4833" t="s">
        <v>21</v>
      </c>
      <c r="F4833" t="s">
        <v>22</v>
      </c>
      <c r="G4833" t="s">
        <v>23</v>
      </c>
      <c r="H4833" s="1">
        <v>44951</v>
      </c>
      <c r="I4833" s="2">
        <v>44955.0541666667</v>
      </c>
      <c r="J4833">
        <v>97.3</v>
      </c>
      <c r="K4833" t="s">
        <v>32</v>
      </c>
      <c r="L4833">
        <v>0</v>
      </c>
      <c r="M4833">
        <v>5</v>
      </c>
      <c r="N4833" t="s">
        <v>647</v>
      </c>
      <c r="O4833" s="3" t="str">
        <f>TEXT(Ticket_Table[[#This Row],[raised_date]],"YYYY-MM")</f>
        <v>2023-01</v>
      </c>
      <c r="P4833" s="3" t="str">
        <f>IF(Ticket_Table[[#This Row],[resolution_hrs]]&lt;=4,"Fast",IF(Ticket_Table[[#This Row],[resolution_hrs]]&lt;=24,"Normal",IF(Ticket_Table[[#This Row],[resolution_hrs]]&lt;=48,"Slow","Very Slow")))</f>
        <v>Very Slow</v>
      </c>
      <c r="Q4833" s="3">
        <f>YEAR(Ticket_Table[[#This Row],[raised_date]])</f>
        <v>2023</v>
      </c>
    </row>
    <row r="4834" spans="1:17">
      <c r="A4834" t="s">
        <v>5395</v>
      </c>
      <c r="B4834" t="s">
        <v>452</v>
      </c>
      <c r="C4834" t="s">
        <v>78</v>
      </c>
      <c r="D4834" t="s">
        <v>90</v>
      </c>
      <c r="E4834" t="s">
        <v>106</v>
      </c>
      <c r="F4834" t="s">
        <v>38</v>
      </c>
      <c r="G4834" t="s">
        <v>23</v>
      </c>
      <c r="H4834" s="1">
        <v>44428</v>
      </c>
      <c r="I4834" s="2">
        <v>44429.3208333333</v>
      </c>
      <c r="J4834">
        <v>31.7</v>
      </c>
      <c r="K4834" t="s">
        <v>32</v>
      </c>
      <c r="L4834">
        <v>0</v>
      </c>
      <c r="M4834">
        <v>1</v>
      </c>
      <c r="N4834" t="s">
        <v>101</v>
      </c>
      <c r="O4834" s="3" t="str">
        <f>TEXT(Ticket_Table[[#This Row],[raised_date]],"YYYY-MM")</f>
        <v>2021-08</v>
      </c>
      <c r="P4834" s="3" t="str">
        <f>IF(Ticket_Table[[#This Row],[resolution_hrs]]&lt;=4,"Fast",IF(Ticket_Table[[#This Row],[resolution_hrs]]&lt;=24,"Normal",IF(Ticket_Table[[#This Row],[resolution_hrs]]&lt;=48,"Slow","Very Slow")))</f>
        <v>Slow</v>
      </c>
      <c r="Q4834" s="3">
        <f>YEAR(Ticket_Table[[#This Row],[raised_date]])</f>
        <v>2021</v>
      </c>
    </row>
    <row r="4835" spans="1:17">
      <c r="A4835" t="s">
        <v>5396</v>
      </c>
      <c r="B4835" t="s">
        <v>1016</v>
      </c>
      <c r="C4835" t="s">
        <v>50</v>
      </c>
      <c r="D4835" t="s">
        <v>20</v>
      </c>
      <c r="E4835" t="s">
        <v>106</v>
      </c>
      <c r="F4835" t="s">
        <v>70</v>
      </c>
      <c r="G4835" t="s">
        <v>31</v>
      </c>
      <c r="H4835" s="1">
        <v>45183</v>
      </c>
      <c r="I4835" s="2">
        <v>45183.0875</v>
      </c>
      <c r="J4835">
        <v>2.1</v>
      </c>
      <c r="K4835" t="s">
        <v>24</v>
      </c>
      <c r="L4835">
        <v>1</v>
      </c>
      <c r="M4835">
        <v>5</v>
      </c>
      <c r="N4835" t="s">
        <v>149</v>
      </c>
      <c r="O4835" s="3" t="str">
        <f>TEXT(Ticket_Table[[#This Row],[raised_date]],"YYYY-MM")</f>
        <v>2023-09</v>
      </c>
      <c r="P4835" s="3" t="str">
        <f>IF(Ticket_Table[[#This Row],[resolution_hrs]]&lt;=4,"Fast",IF(Ticket_Table[[#This Row],[resolution_hrs]]&lt;=24,"Normal",IF(Ticket_Table[[#This Row],[resolution_hrs]]&lt;=48,"Slow","Very Slow")))</f>
        <v>Fast</v>
      </c>
      <c r="Q4835" s="3">
        <f>YEAR(Ticket_Table[[#This Row],[raised_date]])</f>
        <v>2023</v>
      </c>
    </row>
    <row r="4836" spans="1:17">
      <c r="A4836" t="s">
        <v>5397</v>
      </c>
      <c r="B4836" t="s">
        <v>922</v>
      </c>
      <c r="C4836" t="s">
        <v>140</v>
      </c>
      <c r="D4836" t="s">
        <v>36</v>
      </c>
      <c r="E4836" t="s">
        <v>21</v>
      </c>
      <c r="F4836" t="s">
        <v>38</v>
      </c>
      <c r="G4836" t="s">
        <v>23</v>
      </c>
      <c r="H4836" s="1">
        <v>44360</v>
      </c>
      <c r="I4836" s="2">
        <v>44360.2166666667</v>
      </c>
      <c r="J4836">
        <v>5.2</v>
      </c>
      <c r="K4836" t="s">
        <v>24</v>
      </c>
      <c r="L4836">
        <v>0</v>
      </c>
      <c r="M4836">
        <v>4</v>
      </c>
      <c r="N4836" t="s">
        <v>73</v>
      </c>
      <c r="O4836" s="3" t="str">
        <f>TEXT(Ticket_Table[[#This Row],[raised_date]],"YYYY-MM")</f>
        <v>2021-06</v>
      </c>
      <c r="P4836" s="3" t="str">
        <f>IF(Ticket_Table[[#This Row],[resolution_hrs]]&lt;=4,"Fast",IF(Ticket_Table[[#This Row],[resolution_hrs]]&lt;=24,"Normal",IF(Ticket_Table[[#This Row],[resolution_hrs]]&lt;=48,"Slow","Very Slow")))</f>
        <v>Normal</v>
      </c>
      <c r="Q4836" s="3">
        <f>YEAR(Ticket_Table[[#This Row],[raised_date]])</f>
        <v>2021</v>
      </c>
    </row>
    <row r="4837" spans="1:17">
      <c r="A4837" t="s">
        <v>5398</v>
      </c>
      <c r="B4837" t="s">
        <v>337</v>
      </c>
      <c r="C4837" t="s">
        <v>95</v>
      </c>
      <c r="D4837" t="s">
        <v>36</v>
      </c>
      <c r="E4837" t="s">
        <v>37</v>
      </c>
      <c r="F4837" t="s">
        <v>70</v>
      </c>
      <c r="G4837" t="s">
        <v>74</v>
      </c>
      <c r="H4837" s="1">
        <v>44487</v>
      </c>
      <c r="I4837" s="2">
        <v>44487.8208333333</v>
      </c>
      <c r="J4837">
        <v>19.7</v>
      </c>
      <c r="K4837" t="s">
        <v>24</v>
      </c>
      <c r="L4837">
        <v>0</v>
      </c>
      <c r="M4837">
        <v>3</v>
      </c>
      <c r="N4837" t="s">
        <v>1051</v>
      </c>
      <c r="O4837" s="3" t="str">
        <f>TEXT(Ticket_Table[[#This Row],[raised_date]],"YYYY-MM")</f>
        <v>2021-10</v>
      </c>
      <c r="P4837" s="3" t="str">
        <f>IF(Ticket_Table[[#This Row],[resolution_hrs]]&lt;=4,"Fast",IF(Ticket_Table[[#This Row],[resolution_hrs]]&lt;=24,"Normal",IF(Ticket_Table[[#This Row],[resolution_hrs]]&lt;=48,"Slow","Very Slow")))</f>
        <v>Normal</v>
      </c>
      <c r="Q4837" s="3">
        <f>YEAR(Ticket_Table[[#This Row],[raised_date]])</f>
        <v>2021</v>
      </c>
    </row>
    <row r="4838" spans="1:17">
      <c r="A4838" t="s">
        <v>5399</v>
      </c>
      <c r="B4838" t="s">
        <v>822</v>
      </c>
      <c r="C4838" t="s">
        <v>213</v>
      </c>
      <c r="D4838" t="s">
        <v>90</v>
      </c>
      <c r="E4838" t="s">
        <v>69</v>
      </c>
      <c r="F4838" t="s">
        <v>70</v>
      </c>
      <c r="G4838" t="s">
        <v>74</v>
      </c>
      <c r="H4838" s="1">
        <v>45275</v>
      </c>
      <c r="I4838" s="2">
        <v>45276.6833333333</v>
      </c>
      <c r="J4838">
        <v>40.4</v>
      </c>
      <c r="K4838" t="s">
        <v>24</v>
      </c>
      <c r="L4838">
        <v>0</v>
      </c>
      <c r="M4838">
        <v>3</v>
      </c>
      <c r="N4838" t="s">
        <v>424</v>
      </c>
      <c r="O4838" s="3" t="str">
        <f>TEXT(Ticket_Table[[#This Row],[raised_date]],"YYYY-MM")</f>
        <v>2023-12</v>
      </c>
      <c r="P4838" s="3" t="str">
        <f>IF(Ticket_Table[[#This Row],[resolution_hrs]]&lt;=4,"Fast",IF(Ticket_Table[[#This Row],[resolution_hrs]]&lt;=24,"Normal",IF(Ticket_Table[[#This Row],[resolution_hrs]]&lt;=48,"Slow","Very Slow")))</f>
        <v>Slow</v>
      </c>
      <c r="Q4838" s="3">
        <f>YEAR(Ticket_Table[[#This Row],[raised_date]])</f>
        <v>2023</v>
      </c>
    </row>
    <row r="4839" spans="1:17">
      <c r="A4839" t="s">
        <v>5400</v>
      </c>
      <c r="B4839" t="s">
        <v>238</v>
      </c>
      <c r="C4839" t="s">
        <v>64</v>
      </c>
      <c r="D4839" t="s">
        <v>36</v>
      </c>
      <c r="E4839" t="s">
        <v>69</v>
      </c>
      <c r="F4839" t="s">
        <v>70</v>
      </c>
      <c r="G4839" t="s">
        <v>31</v>
      </c>
      <c r="H4839" s="1">
        <v>44769</v>
      </c>
      <c r="I4839" s="2">
        <v>44771.7916666667</v>
      </c>
      <c r="J4839">
        <v>67</v>
      </c>
      <c r="K4839" t="s">
        <v>32</v>
      </c>
      <c r="L4839">
        <v>0</v>
      </c>
      <c r="M4839">
        <v>4</v>
      </c>
      <c r="N4839" t="s">
        <v>395</v>
      </c>
      <c r="O4839" s="3" t="str">
        <f>TEXT(Ticket_Table[[#This Row],[raised_date]],"YYYY-MM")</f>
        <v>2022-07</v>
      </c>
      <c r="P4839" s="3" t="str">
        <f>IF(Ticket_Table[[#This Row],[resolution_hrs]]&lt;=4,"Fast",IF(Ticket_Table[[#This Row],[resolution_hrs]]&lt;=24,"Normal",IF(Ticket_Table[[#This Row],[resolution_hrs]]&lt;=48,"Slow","Very Slow")))</f>
        <v>Very Slow</v>
      </c>
      <c r="Q4839" s="3">
        <f>YEAR(Ticket_Table[[#This Row],[raised_date]])</f>
        <v>2022</v>
      </c>
    </row>
    <row r="4840" spans="1:17">
      <c r="A4840" t="s">
        <v>5401</v>
      </c>
      <c r="B4840" t="s">
        <v>931</v>
      </c>
      <c r="C4840" t="s">
        <v>60</v>
      </c>
      <c r="D4840" t="s">
        <v>90</v>
      </c>
      <c r="E4840" t="s">
        <v>166</v>
      </c>
      <c r="F4840" t="s">
        <v>38</v>
      </c>
      <c r="G4840" t="s">
        <v>31</v>
      </c>
      <c r="H4840" s="1">
        <v>45149</v>
      </c>
      <c r="I4840" s="2">
        <v>45150.125</v>
      </c>
      <c r="J4840">
        <v>27</v>
      </c>
      <c r="K4840" t="s">
        <v>32</v>
      </c>
      <c r="L4840">
        <v>0</v>
      </c>
      <c r="M4840">
        <v>2</v>
      </c>
      <c r="N4840" t="s">
        <v>105</v>
      </c>
      <c r="O4840" s="3" t="str">
        <f>TEXT(Ticket_Table[[#This Row],[raised_date]],"YYYY-MM")</f>
        <v>2023-08</v>
      </c>
      <c r="P4840" s="3" t="str">
        <f>IF(Ticket_Table[[#This Row],[resolution_hrs]]&lt;=4,"Fast",IF(Ticket_Table[[#This Row],[resolution_hrs]]&lt;=24,"Normal",IF(Ticket_Table[[#This Row],[resolution_hrs]]&lt;=48,"Slow","Very Slow")))</f>
        <v>Slow</v>
      </c>
      <c r="Q4840" s="3">
        <f>YEAR(Ticket_Table[[#This Row],[raised_date]])</f>
        <v>2023</v>
      </c>
    </row>
    <row r="4841" spans="1:17">
      <c r="A4841" t="s">
        <v>5402</v>
      </c>
      <c r="B4841" t="s">
        <v>603</v>
      </c>
      <c r="C4841" t="s">
        <v>28</v>
      </c>
      <c r="D4841" t="s">
        <v>90</v>
      </c>
      <c r="E4841" t="s">
        <v>166</v>
      </c>
      <c r="F4841" t="s">
        <v>22</v>
      </c>
      <c r="G4841" t="s">
        <v>31</v>
      </c>
      <c r="H4841" s="1">
        <v>45255</v>
      </c>
      <c r="I4841" s="2">
        <v>45255.6041666667</v>
      </c>
      <c r="J4841">
        <v>14.5</v>
      </c>
      <c r="K4841" t="s">
        <v>24</v>
      </c>
      <c r="L4841">
        <v>0</v>
      </c>
      <c r="M4841">
        <v>4</v>
      </c>
      <c r="N4841" t="s">
        <v>685</v>
      </c>
      <c r="O4841" s="3" t="str">
        <f>TEXT(Ticket_Table[[#This Row],[raised_date]],"YYYY-MM")</f>
        <v>2023-11</v>
      </c>
      <c r="P4841" s="3" t="str">
        <f>IF(Ticket_Table[[#This Row],[resolution_hrs]]&lt;=4,"Fast",IF(Ticket_Table[[#This Row],[resolution_hrs]]&lt;=24,"Normal",IF(Ticket_Table[[#This Row],[resolution_hrs]]&lt;=48,"Slow","Very Slow")))</f>
        <v>Normal</v>
      </c>
      <c r="Q4841" s="3">
        <f>YEAR(Ticket_Table[[#This Row],[raised_date]])</f>
        <v>2023</v>
      </c>
    </row>
    <row r="4842" spans="1:17">
      <c r="A4842" t="s">
        <v>5403</v>
      </c>
      <c r="B4842" t="s">
        <v>1337</v>
      </c>
      <c r="C4842" t="s">
        <v>133</v>
      </c>
      <c r="D4842" t="s">
        <v>90</v>
      </c>
      <c r="E4842" t="s">
        <v>51</v>
      </c>
      <c r="F4842" t="s">
        <v>38</v>
      </c>
      <c r="G4842" t="s">
        <v>23</v>
      </c>
      <c r="H4842" s="1">
        <v>44357</v>
      </c>
      <c r="I4842" s="2">
        <v>44357.0916666667</v>
      </c>
      <c r="J4842">
        <v>2.2</v>
      </c>
      <c r="K4842" t="s">
        <v>24</v>
      </c>
      <c r="L4842">
        <v>0</v>
      </c>
      <c r="M4842">
        <v>4</v>
      </c>
      <c r="N4842" t="s">
        <v>438</v>
      </c>
      <c r="O4842" s="3" t="str">
        <f>TEXT(Ticket_Table[[#This Row],[raised_date]],"YYYY-MM")</f>
        <v>2021-06</v>
      </c>
      <c r="P4842" s="3" t="str">
        <f>IF(Ticket_Table[[#This Row],[resolution_hrs]]&lt;=4,"Fast",IF(Ticket_Table[[#This Row],[resolution_hrs]]&lt;=24,"Normal",IF(Ticket_Table[[#This Row],[resolution_hrs]]&lt;=48,"Slow","Very Slow")))</f>
        <v>Fast</v>
      </c>
      <c r="Q4842" s="3">
        <f>YEAR(Ticket_Table[[#This Row],[raised_date]])</f>
        <v>2021</v>
      </c>
    </row>
    <row r="4843" spans="1:17">
      <c r="A4843" t="s">
        <v>5404</v>
      </c>
      <c r="B4843" t="s">
        <v>503</v>
      </c>
      <c r="C4843" t="s">
        <v>64</v>
      </c>
      <c r="D4843" t="s">
        <v>29</v>
      </c>
      <c r="E4843" t="s">
        <v>166</v>
      </c>
      <c r="F4843" t="s">
        <v>38</v>
      </c>
      <c r="G4843" t="s">
        <v>23</v>
      </c>
      <c r="H4843" s="1">
        <v>45268</v>
      </c>
      <c r="I4843" s="2">
        <v>45268.6708333333</v>
      </c>
      <c r="J4843">
        <v>16.1</v>
      </c>
      <c r="K4843" t="s">
        <v>24</v>
      </c>
      <c r="L4843">
        <v>0</v>
      </c>
      <c r="M4843">
        <v>3</v>
      </c>
      <c r="N4843" t="s">
        <v>733</v>
      </c>
      <c r="O4843" s="3" t="str">
        <f>TEXT(Ticket_Table[[#This Row],[raised_date]],"YYYY-MM")</f>
        <v>2023-12</v>
      </c>
      <c r="P4843" s="3" t="str">
        <f>IF(Ticket_Table[[#This Row],[resolution_hrs]]&lt;=4,"Fast",IF(Ticket_Table[[#This Row],[resolution_hrs]]&lt;=24,"Normal",IF(Ticket_Table[[#This Row],[resolution_hrs]]&lt;=48,"Slow","Very Slow")))</f>
        <v>Normal</v>
      </c>
      <c r="Q4843" s="3">
        <f>YEAR(Ticket_Table[[#This Row],[raised_date]])</f>
        <v>2023</v>
      </c>
    </row>
    <row r="4844" spans="1:17">
      <c r="A4844" t="s">
        <v>5405</v>
      </c>
      <c r="B4844" t="s">
        <v>810</v>
      </c>
      <c r="C4844" t="s">
        <v>42</v>
      </c>
      <c r="D4844" t="s">
        <v>29</v>
      </c>
      <c r="E4844" t="s">
        <v>166</v>
      </c>
      <c r="F4844" t="s">
        <v>22</v>
      </c>
      <c r="G4844" t="s">
        <v>46</v>
      </c>
      <c r="H4844" s="1">
        <v>44378</v>
      </c>
      <c r="I4844" s="2">
        <v>44381.1166666667</v>
      </c>
      <c r="J4844">
        <v>74.8</v>
      </c>
      <c r="K4844" t="s">
        <v>32</v>
      </c>
      <c r="L4844">
        <v>0</v>
      </c>
      <c r="M4844">
        <v>2</v>
      </c>
      <c r="N4844" t="s">
        <v>337</v>
      </c>
      <c r="O4844" s="3" t="str">
        <f>TEXT(Ticket_Table[[#This Row],[raised_date]],"YYYY-MM")</f>
        <v>2021-07</v>
      </c>
      <c r="P4844" s="3" t="str">
        <f>IF(Ticket_Table[[#This Row],[resolution_hrs]]&lt;=4,"Fast",IF(Ticket_Table[[#This Row],[resolution_hrs]]&lt;=24,"Normal",IF(Ticket_Table[[#This Row],[resolution_hrs]]&lt;=48,"Slow","Very Slow")))</f>
        <v>Very Slow</v>
      </c>
      <c r="Q4844" s="3">
        <f>YEAR(Ticket_Table[[#This Row],[raised_date]])</f>
        <v>2021</v>
      </c>
    </row>
    <row r="4845" spans="1:17">
      <c r="A4845" t="s">
        <v>5406</v>
      </c>
      <c r="B4845" t="s">
        <v>564</v>
      </c>
      <c r="C4845" t="s">
        <v>82</v>
      </c>
      <c r="D4845" t="s">
        <v>29</v>
      </c>
      <c r="E4845" t="s">
        <v>21</v>
      </c>
      <c r="F4845" t="s">
        <v>22</v>
      </c>
      <c r="G4845" t="s">
        <v>91</v>
      </c>
      <c r="H4845" s="1">
        <v>44699</v>
      </c>
      <c r="I4845" s="2">
        <v>44703.4541666667</v>
      </c>
      <c r="J4845">
        <v>106.9</v>
      </c>
      <c r="K4845" t="s">
        <v>32</v>
      </c>
      <c r="L4845">
        <v>2</v>
      </c>
      <c r="M4845">
        <v>5</v>
      </c>
      <c r="N4845" t="s">
        <v>123</v>
      </c>
      <c r="O4845" s="3" t="str">
        <f>TEXT(Ticket_Table[[#This Row],[raised_date]],"YYYY-MM")</f>
        <v>2022-05</v>
      </c>
      <c r="P4845" s="3" t="str">
        <f>IF(Ticket_Table[[#This Row],[resolution_hrs]]&lt;=4,"Fast",IF(Ticket_Table[[#This Row],[resolution_hrs]]&lt;=24,"Normal",IF(Ticket_Table[[#This Row],[resolution_hrs]]&lt;=48,"Slow","Very Slow")))</f>
        <v>Very Slow</v>
      </c>
      <c r="Q4845" s="3">
        <f>YEAR(Ticket_Table[[#This Row],[raised_date]])</f>
        <v>2022</v>
      </c>
    </row>
    <row r="4846" spans="1:17">
      <c r="A4846" t="s">
        <v>5407</v>
      </c>
      <c r="B4846" t="s">
        <v>647</v>
      </c>
      <c r="C4846" t="s">
        <v>140</v>
      </c>
      <c r="D4846" t="s">
        <v>29</v>
      </c>
      <c r="E4846" t="s">
        <v>69</v>
      </c>
      <c r="F4846" t="s">
        <v>38</v>
      </c>
      <c r="G4846" t="s">
        <v>23</v>
      </c>
      <c r="H4846" s="1">
        <v>45164</v>
      </c>
      <c r="I4846" s="2">
        <v>45164.2333333333</v>
      </c>
      <c r="J4846">
        <v>5.6</v>
      </c>
      <c r="K4846" t="s">
        <v>24</v>
      </c>
      <c r="L4846">
        <v>0</v>
      </c>
      <c r="M4846">
        <v>3</v>
      </c>
      <c r="N4846" t="s">
        <v>550</v>
      </c>
      <c r="O4846" s="3" t="str">
        <f>TEXT(Ticket_Table[[#This Row],[raised_date]],"YYYY-MM")</f>
        <v>2023-08</v>
      </c>
      <c r="P4846" s="3" t="str">
        <f>IF(Ticket_Table[[#This Row],[resolution_hrs]]&lt;=4,"Fast",IF(Ticket_Table[[#This Row],[resolution_hrs]]&lt;=24,"Normal",IF(Ticket_Table[[#This Row],[resolution_hrs]]&lt;=48,"Slow","Very Slow")))</f>
        <v>Normal</v>
      </c>
      <c r="Q4846" s="3">
        <f>YEAR(Ticket_Table[[#This Row],[raised_date]])</f>
        <v>2023</v>
      </c>
    </row>
    <row r="4847" spans="1:17">
      <c r="A4847" t="s">
        <v>5408</v>
      </c>
      <c r="B4847" t="s">
        <v>1578</v>
      </c>
      <c r="C4847" t="s">
        <v>19</v>
      </c>
      <c r="D4847" t="s">
        <v>43</v>
      </c>
      <c r="E4847" t="s">
        <v>166</v>
      </c>
      <c r="F4847" t="s">
        <v>70</v>
      </c>
      <c r="G4847" t="s">
        <v>23</v>
      </c>
      <c r="H4847" s="1">
        <v>44356</v>
      </c>
      <c r="I4847" s="2">
        <v>44358.6041666667</v>
      </c>
      <c r="J4847">
        <v>62.5</v>
      </c>
      <c r="K4847" t="s">
        <v>32</v>
      </c>
      <c r="L4847">
        <v>1</v>
      </c>
      <c r="M4847">
        <v>2</v>
      </c>
      <c r="N4847" t="s">
        <v>202</v>
      </c>
      <c r="O4847" s="3" t="str">
        <f>TEXT(Ticket_Table[[#This Row],[raised_date]],"YYYY-MM")</f>
        <v>2021-06</v>
      </c>
      <c r="P4847" s="3" t="str">
        <f>IF(Ticket_Table[[#This Row],[resolution_hrs]]&lt;=4,"Fast",IF(Ticket_Table[[#This Row],[resolution_hrs]]&lt;=24,"Normal",IF(Ticket_Table[[#This Row],[resolution_hrs]]&lt;=48,"Slow","Very Slow")))</f>
        <v>Very Slow</v>
      </c>
      <c r="Q4847" s="3">
        <f>YEAR(Ticket_Table[[#This Row],[raised_date]])</f>
        <v>2021</v>
      </c>
    </row>
    <row r="4848" spans="1:17">
      <c r="A4848" t="s">
        <v>5409</v>
      </c>
      <c r="B4848" t="s">
        <v>395</v>
      </c>
      <c r="C4848" t="s">
        <v>287</v>
      </c>
      <c r="D4848" t="s">
        <v>20</v>
      </c>
      <c r="E4848" t="s">
        <v>30</v>
      </c>
      <c r="F4848" t="s">
        <v>70</v>
      </c>
      <c r="G4848" t="s">
        <v>31</v>
      </c>
      <c r="H4848" s="1">
        <v>44836</v>
      </c>
      <c r="I4848" s="2">
        <v>44838.7583333333</v>
      </c>
      <c r="J4848">
        <v>66.2</v>
      </c>
      <c r="K4848" t="s">
        <v>32</v>
      </c>
      <c r="L4848">
        <v>0</v>
      </c>
      <c r="M4848">
        <v>3</v>
      </c>
      <c r="N4848" t="s">
        <v>378</v>
      </c>
      <c r="O4848" s="3" t="str">
        <f>TEXT(Ticket_Table[[#This Row],[raised_date]],"YYYY-MM")</f>
        <v>2022-10</v>
      </c>
      <c r="P4848" s="3" t="str">
        <f>IF(Ticket_Table[[#This Row],[resolution_hrs]]&lt;=4,"Fast",IF(Ticket_Table[[#This Row],[resolution_hrs]]&lt;=24,"Normal",IF(Ticket_Table[[#This Row],[resolution_hrs]]&lt;=48,"Slow","Very Slow")))</f>
        <v>Very Slow</v>
      </c>
      <c r="Q4848" s="3">
        <f>YEAR(Ticket_Table[[#This Row],[raised_date]])</f>
        <v>2022</v>
      </c>
    </row>
    <row r="4849" spans="1:17">
      <c r="A4849" t="s">
        <v>5410</v>
      </c>
      <c r="B4849" t="s">
        <v>701</v>
      </c>
      <c r="C4849" t="s">
        <v>261</v>
      </c>
      <c r="D4849" t="s">
        <v>20</v>
      </c>
      <c r="E4849" t="s">
        <v>44</v>
      </c>
      <c r="F4849" t="s">
        <v>22</v>
      </c>
      <c r="G4849" t="s">
        <v>31</v>
      </c>
      <c r="H4849" s="1">
        <v>44305</v>
      </c>
      <c r="I4849" s="2">
        <v>44309.075</v>
      </c>
      <c r="J4849">
        <v>97.8</v>
      </c>
      <c r="K4849" t="s">
        <v>32</v>
      </c>
      <c r="L4849">
        <v>0</v>
      </c>
      <c r="M4849">
        <v>5</v>
      </c>
      <c r="N4849" t="s">
        <v>1025</v>
      </c>
      <c r="O4849" s="3" t="str">
        <f>TEXT(Ticket_Table[[#This Row],[raised_date]],"YYYY-MM")</f>
        <v>2021-04</v>
      </c>
      <c r="P4849" s="3" t="str">
        <f>IF(Ticket_Table[[#This Row],[resolution_hrs]]&lt;=4,"Fast",IF(Ticket_Table[[#This Row],[resolution_hrs]]&lt;=24,"Normal",IF(Ticket_Table[[#This Row],[resolution_hrs]]&lt;=48,"Slow","Very Slow")))</f>
        <v>Very Slow</v>
      </c>
      <c r="Q4849" s="3">
        <f>YEAR(Ticket_Table[[#This Row],[raised_date]])</f>
        <v>2021</v>
      </c>
    </row>
    <row r="4850" spans="1:17">
      <c r="A4850" t="s">
        <v>5411</v>
      </c>
      <c r="B4850" t="s">
        <v>968</v>
      </c>
      <c r="C4850" t="s">
        <v>82</v>
      </c>
      <c r="D4850" t="s">
        <v>90</v>
      </c>
      <c r="E4850" t="s">
        <v>30</v>
      </c>
      <c r="F4850" t="s">
        <v>70</v>
      </c>
      <c r="G4850" t="s">
        <v>74</v>
      </c>
      <c r="H4850" s="1">
        <v>44900</v>
      </c>
      <c r="I4850" s="2">
        <v>44901.0916666667</v>
      </c>
      <c r="J4850">
        <v>26.2</v>
      </c>
      <c r="K4850" t="s">
        <v>24</v>
      </c>
      <c r="L4850">
        <v>0</v>
      </c>
      <c r="M4850">
        <v>4</v>
      </c>
      <c r="N4850" t="s">
        <v>800</v>
      </c>
      <c r="O4850" s="3" t="str">
        <f>TEXT(Ticket_Table[[#This Row],[raised_date]],"YYYY-MM")</f>
        <v>2022-12</v>
      </c>
      <c r="P4850" s="3" t="str">
        <f>IF(Ticket_Table[[#This Row],[resolution_hrs]]&lt;=4,"Fast",IF(Ticket_Table[[#This Row],[resolution_hrs]]&lt;=24,"Normal",IF(Ticket_Table[[#This Row],[resolution_hrs]]&lt;=48,"Slow","Very Slow")))</f>
        <v>Slow</v>
      </c>
      <c r="Q4850" s="3">
        <f>YEAR(Ticket_Table[[#This Row],[raised_date]])</f>
        <v>2022</v>
      </c>
    </row>
    <row r="4851" spans="1:17">
      <c r="A4851" t="s">
        <v>5412</v>
      </c>
      <c r="B4851" t="s">
        <v>204</v>
      </c>
      <c r="C4851" t="s">
        <v>102</v>
      </c>
      <c r="D4851" t="s">
        <v>36</v>
      </c>
      <c r="E4851" t="s">
        <v>37</v>
      </c>
      <c r="F4851" t="s">
        <v>22</v>
      </c>
      <c r="G4851" t="s">
        <v>23</v>
      </c>
      <c r="H4851" s="1">
        <v>45292</v>
      </c>
      <c r="I4851" s="2">
        <v>45293.8333333333</v>
      </c>
      <c r="J4851">
        <v>44</v>
      </c>
      <c r="K4851" t="s">
        <v>24</v>
      </c>
      <c r="L4851">
        <v>2</v>
      </c>
      <c r="M4851">
        <v>4</v>
      </c>
      <c r="N4851" t="s">
        <v>118</v>
      </c>
      <c r="O4851" s="3" t="str">
        <f>TEXT(Ticket_Table[[#This Row],[raised_date]],"YYYY-MM")</f>
        <v>2024-01</v>
      </c>
      <c r="P4851" s="3" t="str">
        <f>IF(Ticket_Table[[#This Row],[resolution_hrs]]&lt;=4,"Fast",IF(Ticket_Table[[#This Row],[resolution_hrs]]&lt;=24,"Normal",IF(Ticket_Table[[#This Row],[resolution_hrs]]&lt;=48,"Slow","Very Slow")))</f>
        <v>Slow</v>
      </c>
      <c r="Q4851" s="3">
        <f>YEAR(Ticket_Table[[#This Row],[raised_date]])</f>
        <v>2024</v>
      </c>
    </row>
    <row r="4852" spans="1:17">
      <c r="A4852" t="s">
        <v>5413</v>
      </c>
      <c r="B4852" t="s">
        <v>367</v>
      </c>
      <c r="C4852" t="s">
        <v>50</v>
      </c>
      <c r="D4852" t="s">
        <v>29</v>
      </c>
      <c r="E4852" t="s">
        <v>30</v>
      </c>
      <c r="F4852" t="s">
        <v>70</v>
      </c>
      <c r="G4852" t="s">
        <v>23</v>
      </c>
      <c r="H4852" s="1">
        <v>44219</v>
      </c>
      <c r="I4852" s="2">
        <v>44220.6875</v>
      </c>
      <c r="J4852">
        <v>40.5</v>
      </c>
      <c r="K4852" t="s">
        <v>24</v>
      </c>
      <c r="L4852">
        <v>1</v>
      </c>
      <c r="M4852">
        <v>3</v>
      </c>
      <c r="N4852" t="s">
        <v>129</v>
      </c>
      <c r="O4852" s="3" t="str">
        <f>TEXT(Ticket_Table[[#This Row],[raised_date]],"YYYY-MM")</f>
        <v>2021-01</v>
      </c>
      <c r="P4852" s="3" t="str">
        <f>IF(Ticket_Table[[#This Row],[resolution_hrs]]&lt;=4,"Fast",IF(Ticket_Table[[#This Row],[resolution_hrs]]&lt;=24,"Normal",IF(Ticket_Table[[#This Row],[resolution_hrs]]&lt;=48,"Slow","Very Slow")))</f>
        <v>Slow</v>
      </c>
      <c r="Q4852" s="3">
        <f>YEAR(Ticket_Table[[#This Row],[raised_date]])</f>
        <v>2021</v>
      </c>
    </row>
    <row r="4853" spans="1:17">
      <c r="A4853" t="s">
        <v>5414</v>
      </c>
      <c r="B4853" t="s">
        <v>592</v>
      </c>
      <c r="C4853" t="s">
        <v>42</v>
      </c>
      <c r="D4853" t="s">
        <v>20</v>
      </c>
      <c r="E4853" t="s">
        <v>51</v>
      </c>
      <c r="F4853" t="s">
        <v>38</v>
      </c>
      <c r="G4853" t="s">
        <v>23</v>
      </c>
      <c r="H4853" s="1">
        <v>45157</v>
      </c>
      <c r="I4853" s="2">
        <v>45158.0791666667</v>
      </c>
      <c r="J4853">
        <v>25.9</v>
      </c>
      <c r="K4853" t="s">
        <v>32</v>
      </c>
      <c r="L4853">
        <v>3</v>
      </c>
      <c r="M4853">
        <v>4</v>
      </c>
      <c r="N4853" t="s">
        <v>120</v>
      </c>
      <c r="O4853" s="3" t="str">
        <f>TEXT(Ticket_Table[[#This Row],[raised_date]],"YYYY-MM")</f>
        <v>2023-08</v>
      </c>
      <c r="P4853" s="3" t="str">
        <f>IF(Ticket_Table[[#This Row],[resolution_hrs]]&lt;=4,"Fast",IF(Ticket_Table[[#This Row],[resolution_hrs]]&lt;=24,"Normal",IF(Ticket_Table[[#This Row],[resolution_hrs]]&lt;=48,"Slow","Very Slow")))</f>
        <v>Slow</v>
      </c>
      <c r="Q4853" s="3">
        <f>YEAR(Ticket_Table[[#This Row],[raised_date]])</f>
        <v>2023</v>
      </c>
    </row>
    <row r="4854" spans="1:17">
      <c r="A4854" t="s">
        <v>5415</v>
      </c>
      <c r="B4854" t="s">
        <v>337</v>
      </c>
      <c r="C4854" t="s">
        <v>201</v>
      </c>
      <c r="D4854" t="s">
        <v>20</v>
      </c>
      <c r="E4854" t="s">
        <v>166</v>
      </c>
      <c r="F4854" t="s">
        <v>22</v>
      </c>
      <c r="G4854" t="s">
        <v>74</v>
      </c>
      <c r="H4854" s="1">
        <v>45126</v>
      </c>
      <c r="I4854" s="2">
        <v>45126.5708333333</v>
      </c>
      <c r="J4854">
        <v>13.7</v>
      </c>
      <c r="K4854" t="s">
        <v>24</v>
      </c>
      <c r="L4854">
        <v>1</v>
      </c>
      <c r="M4854">
        <v>1</v>
      </c>
      <c r="N4854" t="s">
        <v>600</v>
      </c>
      <c r="O4854" s="3" t="str">
        <f>TEXT(Ticket_Table[[#This Row],[raised_date]],"YYYY-MM")</f>
        <v>2023-07</v>
      </c>
      <c r="P4854" s="3" t="str">
        <f>IF(Ticket_Table[[#This Row],[resolution_hrs]]&lt;=4,"Fast",IF(Ticket_Table[[#This Row],[resolution_hrs]]&lt;=24,"Normal",IF(Ticket_Table[[#This Row],[resolution_hrs]]&lt;=48,"Slow","Very Slow")))</f>
        <v>Normal</v>
      </c>
      <c r="Q4854" s="3">
        <f>YEAR(Ticket_Table[[#This Row],[raised_date]])</f>
        <v>2023</v>
      </c>
    </row>
    <row r="4855" spans="1:17">
      <c r="A4855" t="s">
        <v>5416</v>
      </c>
      <c r="B4855" t="s">
        <v>33</v>
      </c>
      <c r="C4855" t="s">
        <v>261</v>
      </c>
      <c r="D4855" t="s">
        <v>29</v>
      </c>
      <c r="E4855" t="s">
        <v>166</v>
      </c>
      <c r="F4855" t="s">
        <v>70</v>
      </c>
      <c r="G4855" t="s">
        <v>31</v>
      </c>
      <c r="H4855" s="1">
        <v>45246</v>
      </c>
      <c r="I4855" s="2">
        <v>45248.6958333333</v>
      </c>
      <c r="J4855">
        <v>64.7</v>
      </c>
      <c r="K4855" t="s">
        <v>32</v>
      </c>
      <c r="L4855">
        <v>0</v>
      </c>
      <c r="M4855">
        <v>4</v>
      </c>
      <c r="N4855" t="s">
        <v>435</v>
      </c>
      <c r="O4855" s="3" t="str">
        <f>TEXT(Ticket_Table[[#This Row],[raised_date]],"YYYY-MM")</f>
        <v>2023-11</v>
      </c>
      <c r="P4855" s="3" t="str">
        <f>IF(Ticket_Table[[#This Row],[resolution_hrs]]&lt;=4,"Fast",IF(Ticket_Table[[#This Row],[resolution_hrs]]&lt;=24,"Normal",IF(Ticket_Table[[#This Row],[resolution_hrs]]&lt;=48,"Slow","Very Slow")))</f>
        <v>Very Slow</v>
      </c>
      <c r="Q4855" s="3">
        <f>YEAR(Ticket_Table[[#This Row],[raised_date]])</f>
        <v>2023</v>
      </c>
    </row>
    <row r="4856" spans="1:17">
      <c r="A4856" t="s">
        <v>5417</v>
      </c>
      <c r="B4856" t="s">
        <v>1216</v>
      </c>
      <c r="C4856" t="s">
        <v>102</v>
      </c>
      <c r="D4856" t="s">
        <v>43</v>
      </c>
      <c r="E4856" t="s">
        <v>21</v>
      </c>
      <c r="F4856" t="s">
        <v>45</v>
      </c>
      <c r="G4856" t="s">
        <v>23</v>
      </c>
      <c r="H4856" s="1">
        <v>45157</v>
      </c>
      <c r="I4856" s="2">
        <v>45157.2291666667</v>
      </c>
      <c r="J4856">
        <v>5.5</v>
      </c>
      <c r="K4856" t="s">
        <v>32</v>
      </c>
      <c r="L4856">
        <v>2</v>
      </c>
      <c r="M4856">
        <v>2</v>
      </c>
      <c r="N4856" t="s">
        <v>194</v>
      </c>
      <c r="O4856" s="3" t="str">
        <f>TEXT(Ticket_Table[[#This Row],[raised_date]],"YYYY-MM")</f>
        <v>2023-08</v>
      </c>
      <c r="P4856" s="3" t="str">
        <f>IF(Ticket_Table[[#This Row],[resolution_hrs]]&lt;=4,"Fast",IF(Ticket_Table[[#This Row],[resolution_hrs]]&lt;=24,"Normal",IF(Ticket_Table[[#This Row],[resolution_hrs]]&lt;=48,"Slow","Very Slow")))</f>
        <v>Normal</v>
      </c>
      <c r="Q4856" s="3">
        <f>YEAR(Ticket_Table[[#This Row],[raised_date]])</f>
        <v>2023</v>
      </c>
    </row>
    <row r="4857" spans="1:17">
      <c r="A4857" t="s">
        <v>5418</v>
      </c>
      <c r="B4857" t="s">
        <v>52</v>
      </c>
      <c r="C4857" t="s">
        <v>261</v>
      </c>
      <c r="D4857" t="s">
        <v>43</v>
      </c>
      <c r="E4857" t="s">
        <v>83</v>
      </c>
      <c r="F4857" t="s">
        <v>38</v>
      </c>
      <c r="G4857" t="s">
        <v>31</v>
      </c>
      <c r="H4857" s="1">
        <v>44875</v>
      </c>
      <c r="I4857" s="2">
        <v>44875.9041666667</v>
      </c>
      <c r="J4857">
        <v>21.7</v>
      </c>
      <c r="K4857" t="s">
        <v>24</v>
      </c>
      <c r="L4857">
        <v>3</v>
      </c>
      <c r="M4857">
        <v>4</v>
      </c>
      <c r="N4857" t="s">
        <v>109</v>
      </c>
      <c r="O4857" s="3" t="str">
        <f>TEXT(Ticket_Table[[#This Row],[raised_date]],"YYYY-MM")</f>
        <v>2022-11</v>
      </c>
      <c r="P4857" s="3" t="str">
        <f>IF(Ticket_Table[[#This Row],[resolution_hrs]]&lt;=4,"Fast",IF(Ticket_Table[[#This Row],[resolution_hrs]]&lt;=24,"Normal",IF(Ticket_Table[[#This Row],[resolution_hrs]]&lt;=48,"Slow","Very Slow")))</f>
        <v>Normal</v>
      </c>
      <c r="Q4857" s="3">
        <f>YEAR(Ticket_Table[[#This Row],[raised_date]])</f>
        <v>2022</v>
      </c>
    </row>
    <row r="4858" spans="1:17">
      <c r="A4858" t="s">
        <v>5419</v>
      </c>
      <c r="B4858" t="s">
        <v>172</v>
      </c>
      <c r="C4858" t="s">
        <v>64</v>
      </c>
      <c r="D4858" t="s">
        <v>20</v>
      </c>
      <c r="E4858" t="s">
        <v>37</v>
      </c>
      <c r="F4858" t="s">
        <v>38</v>
      </c>
      <c r="G4858" t="s">
        <v>46</v>
      </c>
      <c r="H4858" s="1">
        <v>45059</v>
      </c>
      <c r="I4858" s="2">
        <v>45059.9416666667</v>
      </c>
      <c r="J4858">
        <v>22.6</v>
      </c>
      <c r="K4858" t="s">
        <v>24</v>
      </c>
      <c r="L4858">
        <v>0</v>
      </c>
      <c r="M4858">
        <v>4</v>
      </c>
      <c r="N4858" t="s">
        <v>876</v>
      </c>
      <c r="O4858" s="3" t="str">
        <f>TEXT(Ticket_Table[[#This Row],[raised_date]],"YYYY-MM")</f>
        <v>2023-05</v>
      </c>
      <c r="P4858" s="3" t="str">
        <f>IF(Ticket_Table[[#This Row],[resolution_hrs]]&lt;=4,"Fast",IF(Ticket_Table[[#This Row],[resolution_hrs]]&lt;=24,"Normal",IF(Ticket_Table[[#This Row],[resolution_hrs]]&lt;=48,"Slow","Very Slow")))</f>
        <v>Normal</v>
      </c>
      <c r="Q4858" s="3">
        <f>YEAR(Ticket_Table[[#This Row],[raised_date]])</f>
        <v>2023</v>
      </c>
    </row>
    <row r="4859" spans="1:17">
      <c r="A4859" t="s">
        <v>5420</v>
      </c>
      <c r="B4859" t="s">
        <v>198</v>
      </c>
      <c r="C4859" t="s">
        <v>28</v>
      </c>
      <c r="D4859" t="s">
        <v>43</v>
      </c>
      <c r="E4859" t="s">
        <v>30</v>
      </c>
      <c r="F4859" t="s">
        <v>70</v>
      </c>
      <c r="G4859" t="s">
        <v>46</v>
      </c>
      <c r="H4859" s="1">
        <v>44919</v>
      </c>
      <c r="I4859" s="2">
        <v>44921.9833333333</v>
      </c>
      <c r="J4859">
        <v>71.6</v>
      </c>
      <c r="K4859" t="s">
        <v>32</v>
      </c>
      <c r="L4859">
        <v>2</v>
      </c>
      <c r="M4859">
        <v>1</v>
      </c>
      <c r="N4859" t="s">
        <v>787</v>
      </c>
      <c r="O4859" s="3" t="str">
        <f>TEXT(Ticket_Table[[#This Row],[raised_date]],"YYYY-MM")</f>
        <v>2022-12</v>
      </c>
      <c r="P4859" s="3" t="str">
        <f>IF(Ticket_Table[[#This Row],[resolution_hrs]]&lt;=4,"Fast",IF(Ticket_Table[[#This Row],[resolution_hrs]]&lt;=24,"Normal",IF(Ticket_Table[[#This Row],[resolution_hrs]]&lt;=48,"Slow","Very Slow")))</f>
        <v>Very Slow</v>
      </c>
      <c r="Q4859" s="3">
        <f>YEAR(Ticket_Table[[#This Row],[raised_date]])</f>
        <v>2022</v>
      </c>
    </row>
    <row r="4860" spans="1:17">
      <c r="A4860" t="s">
        <v>5421</v>
      </c>
      <c r="B4860" t="s">
        <v>428</v>
      </c>
      <c r="C4860" t="s">
        <v>117</v>
      </c>
      <c r="D4860" t="s">
        <v>29</v>
      </c>
      <c r="E4860" t="s">
        <v>83</v>
      </c>
      <c r="F4860" t="s">
        <v>38</v>
      </c>
      <c r="G4860" t="s">
        <v>31</v>
      </c>
      <c r="H4860" s="1">
        <v>44800</v>
      </c>
      <c r="I4860" s="2">
        <v>44800.1083333333</v>
      </c>
      <c r="J4860">
        <v>2.6</v>
      </c>
      <c r="K4860" t="s">
        <v>24</v>
      </c>
      <c r="L4860">
        <v>0</v>
      </c>
      <c r="M4860">
        <v>5</v>
      </c>
      <c r="N4860" t="s">
        <v>27</v>
      </c>
      <c r="O4860" s="3" t="str">
        <f>TEXT(Ticket_Table[[#This Row],[raised_date]],"YYYY-MM")</f>
        <v>2022-08</v>
      </c>
      <c r="P4860" s="3" t="str">
        <f>IF(Ticket_Table[[#This Row],[resolution_hrs]]&lt;=4,"Fast",IF(Ticket_Table[[#This Row],[resolution_hrs]]&lt;=24,"Normal",IF(Ticket_Table[[#This Row],[resolution_hrs]]&lt;=48,"Slow","Very Slow")))</f>
        <v>Fast</v>
      </c>
      <c r="Q4860" s="3">
        <f>YEAR(Ticket_Table[[#This Row],[raised_date]])</f>
        <v>2022</v>
      </c>
    </row>
    <row r="4861" spans="1:17">
      <c r="A4861" t="s">
        <v>5422</v>
      </c>
      <c r="B4861" t="s">
        <v>204</v>
      </c>
      <c r="C4861" t="s">
        <v>201</v>
      </c>
      <c r="D4861" t="s">
        <v>20</v>
      </c>
      <c r="E4861" t="s">
        <v>106</v>
      </c>
      <c r="F4861" t="s">
        <v>22</v>
      </c>
      <c r="G4861" t="s">
        <v>31</v>
      </c>
      <c r="H4861" s="1">
        <v>44789</v>
      </c>
      <c r="I4861" s="2">
        <v>44792.3333333333</v>
      </c>
      <c r="J4861">
        <v>80</v>
      </c>
      <c r="K4861" t="s">
        <v>32</v>
      </c>
      <c r="L4861">
        <v>2</v>
      </c>
      <c r="M4861">
        <v>3</v>
      </c>
      <c r="N4861" t="s">
        <v>1058</v>
      </c>
      <c r="O4861" s="3" t="str">
        <f>TEXT(Ticket_Table[[#This Row],[raised_date]],"YYYY-MM")</f>
        <v>2022-08</v>
      </c>
      <c r="P4861" s="3" t="str">
        <f>IF(Ticket_Table[[#This Row],[resolution_hrs]]&lt;=4,"Fast",IF(Ticket_Table[[#This Row],[resolution_hrs]]&lt;=24,"Normal",IF(Ticket_Table[[#This Row],[resolution_hrs]]&lt;=48,"Slow","Very Slow")))</f>
        <v>Very Slow</v>
      </c>
      <c r="Q4861" s="3">
        <f>YEAR(Ticket_Table[[#This Row],[raised_date]])</f>
        <v>2022</v>
      </c>
    </row>
    <row r="4862" spans="1:17">
      <c r="A4862" t="s">
        <v>5423</v>
      </c>
      <c r="B4862" t="s">
        <v>550</v>
      </c>
      <c r="C4862" t="s">
        <v>140</v>
      </c>
      <c r="D4862" t="s">
        <v>29</v>
      </c>
      <c r="E4862" t="s">
        <v>44</v>
      </c>
      <c r="F4862" t="s">
        <v>22</v>
      </c>
      <c r="G4862" t="s">
        <v>31</v>
      </c>
      <c r="H4862" s="1">
        <v>44540</v>
      </c>
      <c r="I4862" s="2">
        <v>44541.625</v>
      </c>
      <c r="J4862">
        <v>39</v>
      </c>
      <c r="K4862" t="s">
        <v>24</v>
      </c>
      <c r="L4862">
        <v>2</v>
      </c>
      <c r="M4862">
        <v>2</v>
      </c>
      <c r="N4862" t="s">
        <v>554</v>
      </c>
      <c r="O4862" s="3" t="str">
        <f>TEXT(Ticket_Table[[#This Row],[raised_date]],"YYYY-MM")</f>
        <v>2021-12</v>
      </c>
      <c r="P4862" s="3" t="str">
        <f>IF(Ticket_Table[[#This Row],[resolution_hrs]]&lt;=4,"Fast",IF(Ticket_Table[[#This Row],[resolution_hrs]]&lt;=24,"Normal",IF(Ticket_Table[[#This Row],[resolution_hrs]]&lt;=48,"Slow","Very Slow")))</f>
        <v>Slow</v>
      </c>
      <c r="Q4862" s="3">
        <f>YEAR(Ticket_Table[[#This Row],[raised_date]])</f>
        <v>2021</v>
      </c>
    </row>
    <row r="4863" spans="1:17">
      <c r="A4863" t="s">
        <v>5424</v>
      </c>
      <c r="B4863" t="s">
        <v>760</v>
      </c>
      <c r="C4863" t="s">
        <v>42</v>
      </c>
      <c r="D4863" t="s">
        <v>43</v>
      </c>
      <c r="E4863" t="s">
        <v>44</v>
      </c>
      <c r="F4863" t="s">
        <v>22</v>
      </c>
      <c r="G4863" t="s">
        <v>31</v>
      </c>
      <c r="H4863" s="1">
        <v>44269</v>
      </c>
      <c r="I4863" s="2">
        <v>44271.0416666667</v>
      </c>
      <c r="J4863">
        <v>49</v>
      </c>
      <c r="K4863" t="s">
        <v>24</v>
      </c>
      <c r="L4863">
        <v>1</v>
      </c>
      <c r="M4863">
        <v>5</v>
      </c>
      <c r="N4863" t="s">
        <v>924</v>
      </c>
      <c r="O4863" s="3" t="str">
        <f>TEXT(Ticket_Table[[#This Row],[raised_date]],"YYYY-MM")</f>
        <v>2021-03</v>
      </c>
      <c r="P4863" s="3" t="str">
        <f>IF(Ticket_Table[[#This Row],[resolution_hrs]]&lt;=4,"Fast",IF(Ticket_Table[[#This Row],[resolution_hrs]]&lt;=24,"Normal",IF(Ticket_Table[[#This Row],[resolution_hrs]]&lt;=48,"Slow","Very Slow")))</f>
        <v>Very Slow</v>
      </c>
      <c r="Q4863" s="3">
        <f>YEAR(Ticket_Table[[#This Row],[raised_date]])</f>
        <v>2021</v>
      </c>
    </row>
    <row r="4864" spans="1:17">
      <c r="A4864" t="s">
        <v>5425</v>
      </c>
      <c r="B4864" t="s">
        <v>186</v>
      </c>
      <c r="C4864" t="s">
        <v>60</v>
      </c>
      <c r="D4864" t="s">
        <v>29</v>
      </c>
      <c r="E4864" t="s">
        <v>69</v>
      </c>
      <c r="F4864" t="s">
        <v>70</v>
      </c>
      <c r="G4864" t="s">
        <v>46</v>
      </c>
      <c r="H4864" s="1">
        <v>44819</v>
      </c>
      <c r="I4864" s="2">
        <v>44820.25</v>
      </c>
      <c r="J4864">
        <v>30</v>
      </c>
      <c r="K4864" t="s">
        <v>24</v>
      </c>
      <c r="L4864">
        <v>1</v>
      </c>
      <c r="M4864">
        <v>3</v>
      </c>
      <c r="N4864" t="s">
        <v>191</v>
      </c>
      <c r="O4864" s="3" t="str">
        <f>TEXT(Ticket_Table[[#This Row],[raised_date]],"YYYY-MM")</f>
        <v>2022-09</v>
      </c>
      <c r="P4864" s="3" t="str">
        <f>IF(Ticket_Table[[#This Row],[resolution_hrs]]&lt;=4,"Fast",IF(Ticket_Table[[#This Row],[resolution_hrs]]&lt;=24,"Normal",IF(Ticket_Table[[#This Row],[resolution_hrs]]&lt;=48,"Slow","Very Slow")))</f>
        <v>Slow</v>
      </c>
      <c r="Q4864" s="3">
        <f>YEAR(Ticket_Table[[#This Row],[raised_date]])</f>
        <v>2022</v>
      </c>
    </row>
    <row r="4865" spans="1:17">
      <c r="A4865" t="s">
        <v>5426</v>
      </c>
      <c r="B4865" t="s">
        <v>439</v>
      </c>
      <c r="C4865" t="s">
        <v>201</v>
      </c>
      <c r="D4865" t="s">
        <v>43</v>
      </c>
      <c r="E4865" t="s">
        <v>166</v>
      </c>
      <c r="F4865" t="s">
        <v>38</v>
      </c>
      <c r="G4865" t="s">
        <v>23</v>
      </c>
      <c r="H4865" s="1">
        <v>44730</v>
      </c>
      <c r="I4865" s="2">
        <v>44730.6958333333</v>
      </c>
      <c r="J4865">
        <v>16.7</v>
      </c>
      <c r="K4865" t="s">
        <v>24</v>
      </c>
      <c r="L4865">
        <v>0</v>
      </c>
      <c r="M4865">
        <v>1</v>
      </c>
      <c r="N4865" t="s">
        <v>434</v>
      </c>
      <c r="O4865" s="3" t="str">
        <f>TEXT(Ticket_Table[[#This Row],[raised_date]],"YYYY-MM")</f>
        <v>2022-06</v>
      </c>
      <c r="P4865" s="3" t="str">
        <f>IF(Ticket_Table[[#This Row],[resolution_hrs]]&lt;=4,"Fast",IF(Ticket_Table[[#This Row],[resolution_hrs]]&lt;=24,"Normal",IF(Ticket_Table[[#This Row],[resolution_hrs]]&lt;=48,"Slow","Very Slow")))</f>
        <v>Normal</v>
      </c>
      <c r="Q4865" s="3">
        <f>YEAR(Ticket_Table[[#This Row],[raised_date]])</f>
        <v>2022</v>
      </c>
    </row>
    <row r="4866" spans="1:17">
      <c r="A4866" t="s">
        <v>5427</v>
      </c>
      <c r="B4866" t="s">
        <v>600</v>
      </c>
      <c r="C4866" t="s">
        <v>82</v>
      </c>
      <c r="D4866" t="s">
        <v>43</v>
      </c>
      <c r="E4866" t="s">
        <v>69</v>
      </c>
      <c r="F4866" t="s">
        <v>70</v>
      </c>
      <c r="G4866" t="s">
        <v>23</v>
      </c>
      <c r="H4866" s="1">
        <v>44322</v>
      </c>
      <c r="I4866" s="2">
        <v>44324.5125</v>
      </c>
      <c r="J4866">
        <v>60.3</v>
      </c>
      <c r="K4866" t="s">
        <v>32</v>
      </c>
      <c r="L4866">
        <v>0</v>
      </c>
      <c r="M4866">
        <v>4</v>
      </c>
      <c r="N4866" t="s">
        <v>232</v>
      </c>
      <c r="O4866" s="3" t="str">
        <f>TEXT(Ticket_Table[[#This Row],[raised_date]],"YYYY-MM")</f>
        <v>2021-05</v>
      </c>
      <c r="P4866" s="3" t="str">
        <f>IF(Ticket_Table[[#This Row],[resolution_hrs]]&lt;=4,"Fast",IF(Ticket_Table[[#This Row],[resolution_hrs]]&lt;=24,"Normal",IF(Ticket_Table[[#This Row],[resolution_hrs]]&lt;=48,"Slow","Very Slow")))</f>
        <v>Very Slow</v>
      </c>
      <c r="Q4866" s="3">
        <f>YEAR(Ticket_Table[[#This Row],[raised_date]])</f>
        <v>2021</v>
      </c>
    </row>
    <row r="4867" spans="1:17">
      <c r="A4867" t="s">
        <v>5428</v>
      </c>
      <c r="B4867" t="s">
        <v>476</v>
      </c>
      <c r="C4867" t="s">
        <v>28</v>
      </c>
      <c r="D4867" t="s">
        <v>29</v>
      </c>
      <c r="E4867" t="s">
        <v>21</v>
      </c>
      <c r="F4867" t="s">
        <v>38</v>
      </c>
      <c r="G4867" t="s">
        <v>31</v>
      </c>
      <c r="H4867" s="1">
        <v>45166</v>
      </c>
      <c r="I4867" s="2">
        <v>45166.4625</v>
      </c>
      <c r="J4867">
        <v>11.1</v>
      </c>
      <c r="K4867" t="s">
        <v>24</v>
      </c>
      <c r="L4867">
        <v>0</v>
      </c>
      <c r="M4867">
        <v>2</v>
      </c>
      <c r="N4867" t="s">
        <v>478</v>
      </c>
      <c r="O4867" s="3" t="str">
        <f>TEXT(Ticket_Table[[#This Row],[raised_date]],"YYYY-MM")</f>
        <v>2023-08</v>
      </c>
      <c r="P4867" s="3" t="str">
        <f>IF(Ticket_Table[[#This Row],[resolution_hrs]]&lt;=4,"Fast",IF(Ticket_Table[[#This Row],[resolution_hrs]]&lt;=24,"Normal",IF(Ticket_Table[[#This Row],[resolution_hrs]]&lt;=48,"Slow","Very Slow")))</f>
        <v>Normal</v>
      </c>
      <c r="Q4867" s="3">
        <f>YEAR(Ticket_Table[[#This Row],[raised_date]])</f>
        <v>2023</v>
      </c>
    </row>
    <row r="4868" spans="1:17">
      <c r="A4868" t="s">
        <v>5429</v>
      </c>
      <c r="B4868" t="s">
        <v>1058</v>
      </c>
      <c r="C4868" t="s">
        <v>201</v>
      </c>
      <c r="D4868" t="s">
        <v>43</v>
      </c>
      <c r="E4868" t="s">
        <v>37</v>
      </c>
      <c r="F4868" t="s">
        <v>38</v>
      </c>
      <c r="G4868" t="s">
        <v>23</v>
      </c>
      <c r="H4868" s="1">
        <v>44543</v>
      </c>
      <c r="I4868" s="2">
        <v>44543.7375</v>
      </c>
      <c r="J4868">
        <v>17.7</v>
      </c>
      <c r="K4868" t="s">
        <v>24</v>
      </c>
      <c r="L4868">
        <v>0</v>
      </c>
      <c r="M4868">
        <v>5</v>
      </c>
      <c r="N4868" t="s">
        <v>135</v>
      </c>
      <c r="O4868" s="3" t="str">
        <f>TEXT(Ticket_Table[[#This Row],[raised_date]],"YYYY-MM")</f>
        <v>2021-12</v>
      </c>
      <c r="P4868" s="3" t="str">
        <f>IF(Ticket_Table[[#This Row],[resolution_hrs]]&lt;=4,"Fast",IF(Ticket_Table[[#This Row],[resolution_hrs]]&lt;=24,"Normal",IF(Ticket_Table[[#This Row],[resolution_hrs]]&lt;=48,"Slow","Very Slow")))</f>
        <v>Normal</v>
      </c>
      <c r="Q4868" s="3">
        <f>YEAR(Ticket_Table[[#This Row],[raised_date]])</f>
        <v>2021</v>
      </c>
    </row>
    <row r="4869" spans="1:17">
      <c r="A4869" t="s">
        <v>5430</v>
      </c>
      <c r="B4869" t="s">
        <v>680</v>
      </c>
      <c r="C4869" t="s">
        <v>60</v>
      </c>
      <c r="D4869" t="s">
        <v>90</v>
      </c>
      <c r="E4869" t="s">
        <v>37</v>
      </c>
      <c r="F4869" t="s">
        <v>70</v>
      </c>
      <c r="G4869" t="s">
        <v>46</v>
      </c>
      <c r="H4869" s="1">
        <v>44302</v>
      </c>
      <c r="I4869" s="2">
        <v>44302.4416666667</v>
      </c>
      <c r="J4869">
        <v>10.6</v>
      </c>
      <c r="K4869" t="s">
        <v>24</v>
      </c>
      <c r="L4869">
        <v>0</v>
      </c>
      <c r="M4869">
        <v>1</v>
      </c>
      <c r="N4869" t="s">
        <v>197</v>
      </c>
      <c r="O4869" s="3" t="str">
        <f>TEXT(Ticket_Table[[#This Row],[raised_date]],"YYYY-MM")</f>
        <v>2021-04</v>
      </c>
      <c r="P4869" s="3" t="str">
        <f>IF(Ticket_Table[[#This Row],[resolution_hrs]]&lt;=4,"Fast",IF(Ticket_Table[[#This Row],[resolution_hrs]]&lt;=24,"Normal",IF(Ticket_Table[[#This Row],[resolution_hrs]]&lt;=48,"Slow","Very Slow")))</f>
        <v>Normal</v>
      </c>
      <c r="Q4869" s="3">
        <f>YEAR(Ticket_Table[[#This Row],[raised_date]])</f>
        <v>2021</v>
      </c>
    </row>
    <row r="4870" spans="1:17">
      <c r="A4870" t="s">
        <v>5431</v>
      </c>
      <c r="B4870" t="s">
        <v>233</v>
      </c>
      <c r="C4870" t="s">
        <v>95</v>
      </c>
      <c r="D4870" t="s">
        <v>29</v>
      </c>
      <c r="E4870" t="s">
        <v>106</v>
      </c>
      <c r="F4870" t="s">
        <v>70</v>
      </c>
      <c r="G4870" t="s">
        <v>23</v>
      </c>
      <c r="H4870" s="1">
        <v>44794</v>
      </c>
      <c r="I4870" s="2">
        <v>44794.5833333333</v>
      </c>
      <c r="J4870">
        <v>14</v>
      </c>
      <c r="K4870" t="s">
        <v>24</v>
      </c>
      <c r="L4870">
        <v>0</v>
      </c>
      <c r="M4870">
        <v>2</v>
      </c>
      <c r="N4870" t="s">
        <v>141</v>
      </c>
      <c r="O4870" s="3" t="str">
        <f>TEXT(Ticket_Table[[#This Row],[raised_date]],"YYYY-MM")</f>
        <v>2022-08</v>
      </c>
      <c r="P4870" s="3" t="str">
        <f>IF(Ticket_Table[[#This Row],[resolution_hrs]]&lt;=4,"Fast",IF(Ticket_Table[[#This Row],[resolution_hrs]]&lt;=24,"Normal",IF(Ticket_Table[[#This Row],[resolution_hrs]]&lt;=48,"Slow","Very Slow")))</f>
        <v>Normal</v>
      </c>
      <c r="Q4870" s="3">
        <f>YEAR(Ticket_Table[[#This Row],[raised_date]])</f>
        <v>2022</v>
      </c>
    </row>
    <row r="4871" spans="1:17">
      <c r="A4871" t="s">
        <v>5432</v>
      </c>
      <c r="B4871" t="s">
        <v>614</v>
      </c>
      <c r="C4871" t="s">
        <v>19</v>
      </c>
      <c r="D4871" t="s">
        <v>90</v>
      </c>
      <c r="E4871" t="s">
        <v>51</v>
      </c>
      <c r="F4871" t="s">
        <v>70</v>
      </c>
      <c r="G4871" t="s">
        <v>31</v>
      </c>
      <c r="H4871" s="1">
        <v>44252</v>
      </c>
      <c r="I4871" s="2">
        <v>44254.3083333333</v>
      </c>
      <c r="J4871">
        <v>55.4</v>
      </c>
      <c r="K4871" t="s">
        <v>32</v>
      </c>
      <c r="L4871">
        <v>0</v>
      </c>
      <c r="M4871">
        <v>5</v>
      </c>
      <c r="N4871" t="s">
        <v>678</v>
      </c>
      <c r="O4871" s="3" t="str">
        <f>TEXT(Ticket_Table[[#This Row],[raised_date]],"YYYY-MM")</f>
        <v>2021-02</v>
      </c>
      <c r="P4871" s="3" t="str">
        <f>IF(Ticket_Table[[#This Row],[resolution_hrs]]&lt;=4,"Fast",IF(Ticket_Table[[#This Row],[resolution_hrs]]&lt;=24,"Normal",IF(Ticket_Table[[#This Row],[resolution_hrs]]&lt;=48,"Slow","Very Slow")))</f>
        <v>Very Slow</v>
      </c>
      <c r="Q4871" s="3">
        <f>YEAR(Ticket_Table[[#This Row],[raised_date]])</f>
        <v>2021</v>
      </c>
    </row>
    <row r="4872" spans="1:17">
      <c r="A4872" t="s">
        <v>5433</v>
      </c>
      <c r="B4872" t="s">
        <v>466</v>
      </c>
      <c r="C4872" t="s">
        <v>140</v>
      </c>
      <c r="D4872" t="s">
        <v>29</v>
      </c>
      <c r="E4872" t="s">
        <v>37</v>
      </c>
      <c r="F4872" t="s">
        <v>70</v>
      </c>
      <c r="G4872" t="s">
        <v>31</v>
      </c>
      <c r="H4872" s="1">
        <v>44784</v>
      </c>
      <c r="I4872" s="2">
        <v>44786.7541666667</v>
      </c>
      <c r="J4872">
        <v>66.1</v>
      </c>
      <c r="K4872" t="s">
        <v>32</v>
      </c>
      <c r="L4872">
        <v>1</v>
      </c>
      <c r="M4872">
        <v>3</v>
      </c>
      <c r="N4872" t="s">
        <v>640</v>
      </c>
      <c r="O4872" s="3" t="str">
        <f>TEXT(Ticket_Table[[#This Row],[raised_date]],"YYYY-MM")</f>
        <v>2022-08</v>
      </c>
      <c r="P4872" s="3" t="str">
        <f>IF(Ticket_Table[[#This Row],[resolution_hrs]]&lt;=4,"Fast",IF(Ticket_Table[[#This Row],[resolution_hrs]]&lt;=24,"Normal",IF(Ticket_Table[[#This Row],[resolution_hrs]]&lt;=48,"Slow","Very Slow")))</f>
        <v>Very Slow</v>
      </c>
      <c r="Q4872" s="3">
        <f>YEAR(Ticket_Table[[#This Row],[raised_date]])</f>
        <v>2022</v>
      </c>
    </row>
    <row r="4873" spans="1:17">
      <c r="A4873" t="s">
        <v>5434</v>
      </c>
      <c r="B4873" t="s">
        <v>599</v>
      </c>
      <c r="C4873" t="s">
        <v>50</v>
      </c>
      <c r="D4873" t="s">
        <v>43</v>
      </c>
      <c r="E4873" t="s">
        <v>37</v>
      </c>
      <c r="F4873" t="s">
        <v>22</v>
      </c>
      <c r="G4873" t="s">
        <v>31</v>
      </c>
      <c r="H4873" s="1">
        <v>45189</v>
      </c>
      <c r="I4873" s="2">
        <v>45193.2166666667</v>
      </c>
      <c r="J4873">
        <v>101.2</v>
      </c>
      <c r="K4873" t="s">
        <v>32</v>
      </c>
      <c r="L4873">
        <v>1</v>
      </c>
      <c r="M4873">
        <v>5</v>
      </c>
      <c r="N4873" t="s">
        <v>321</v>
      </c>
      <c r="O4873" s="3" t="str">
        <f>TEXT(Ticket_Table[[#This Row],[raised_date]],"YYYY-MM")</f>
        <v>2023-09</v>
      </c>
      <c r="P48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873" s="3">
        <f>YEAR(Ticket_Table[[#This Row],[raised_date]])</f>
        <v>2023</v>
      </c>
    </row>
    <row r="4874" spans="1:17">
      <c r="A4874" t="s">
        <v>5435</v>
      </c>
      <c r="B4874" t="s">
        <v>61</v>
      </c>
      <c r="C4874" t="s">
        <v>60</v>
      </c>
      <c r="D4874" t="s">
        <v>43</v>
      </c>
      <c r="E4874" t="s">
        <v>37</v>
      </c>
      <c r="F4874" t="s">
        <v>45</v>
      </c>
      <c r="G4874" t="s">
        <v>23</v>
      </c>
      <c r="H4874" s="1">
        <v>44365</v>
      </c>
      <c r="I4874" s="2">
        <v>44365.0583333333</v>
      </c>
      <c r="J4874">
        <v>1.4</v>
      </c>
      <c r="K4874" t="s">
        <v>24</v>
      </c>
      <c r="L4874">
        <v>0</v>
      </c>
      <c r="M4874">
        <v>3</v>
      </c>
      <c r="N4874" t="s">
        <v>556</v>
      </c>
      <c r="O4874" s="3" t="str">
        <f>TEXT(Ticket_Table[[#This Row],[raised_date]],"YYYY-MM")</f>
        <v>2021-06</v>
      </c>
      <c r="P4874" s="3" t="str">
        <f>IF(Ticket_Table[[#This Row],[resolution_hrs]]&lt;=4,"Fast",IF(Ticket_Table[[#This Row],[resolution_hrs]]&lt;=24,"Normal",IF(Ticket_Table[[#This Row],[resolution_hrs]]&lt;=48,"Slow","Very Slow")))</f>
        <v>Fast</v>
      </c>
      <c r="Q4874" s="3">
        <f>YEAR(Ticket_Table[[#This Row],[raised_date]])</f>
        <v>2021</v>
      </c>
    </row>
    <row r="4875" spans="1:17">
      <c r="A4875" t="s">
        <v>5436</v>
      </c>
      <c r="B4875" t="s">
        <v>510</v>
      </c>
      <c r="C4875" t="s">
        <v>50</v>
      </c>
      <c r="D4875" t="s">
        <v>20</v>
      </c>
      <c r="E4875" t="s">
        <v>44</v>
      </c>
      <c r="F4875" t="s">
        <v>22</v>
      </c>
      <c r="G4875" t="s">
        <v>23</v>
      </c>
      <c r="H4875" s="1">
        <v>44456</v>
      </c>
      <c r="I4875" s="2">
        <v>44460.0333333333</v>
      </c>
      <c r="J4875">
        <v>96.8</v>
      </c>
      <c r="K4875" t="s">
        <v>32</v>
      </c>
      <c r="L4875">
        <v>0</v>
      </c>
      <c r="M4875">
        <v>2</v>
      </c>
      <c r="N4875" t="s">
        <v>1156</v>
      </c>
      <c r="O4875" s="3" t="str">
        <f>TEXT(Ticket_Table[[#This Row],[raised_date]],"YYYY-MM")</f>
        <v>2021-09</v>
      </c>
      <c r="P4875" s="3" t="str">
        <f>IF(Ticket_Table[[#This Row],[resolution_hrs]]&lt;=4,"Fast",IF(Ticket_Table[[#This Row],[resolution_hrs]]&lt;=24,"Normal",IF(Ticket_Table[[#This Row],[resolution_hrs]]&lt;=48,"Slow","Very Slow")))</f>
        <v>Very Slow</v>
      </c>
      <c r="Q4875" s="3">
        <f>YEAR(Ticket_Table[[#This Row],[raised_date]])</f>
        <v>2021</v>
      </c>
    </row>
    <row r="4876" spans="1:17">
      <c r="A4876" t="s">
        <v>5437</v>
      </c>
      <c r="B4876" t="s">
        <v>676</v>
      </c>
      <c r="C4876" t="s">
        <v>287</v>
      </c>
      <c r="D4876" t="s">
        <v>20</v>
      </c>
      <c r="E4876" t="s">
        <v>51</v>
      </c>
      <c r="F4876" t="s">
        <v>22</v>
      </c>
      <c r="G4876" t="s">
        <v>23</v>
      </c>
      <c r="H4876" s="1">
        <v>45232</v>
      </c>
      <c r="I4876" s="2">
        <v>45234.6875</v>
      </c>
      <c r="J4876">
        <v>64.5</v>
      </c>
      <c r="K4876" t="s">
        <v>24</v>
      </c>
      <c r="L4876">
        <v>0</v>
      </c>
      <c r="M4876">
        <v>1</v>
      </c>
      <c r="N4876" t="s">
        <v>493</v>
      </c>
      <c r="O4876" s="3" t="str">
        <f>TEXT(Ticket_Table[[#This Row],[raised_date]],"YYYY-MM")</f>
        <v>2023-11</v>
      </c>
      <c r="P4876" s="3" t="str">
        <f>IF(Ticket_Table[[#This Row],[resolution_hrs]]&lt;=4,"Fast",IF(Ticket_Table[[#This Row],[resolution_hrs]]&lt;=24,"Normal",IF(Ticket_Table[[#This Row],[resolution_hrs]]&lt;=48,"Slow","Very Slow")))</f>
        <v>Very Slow</v>
      </c>
      <c r="Q4876" s="3">
        <f>YEAR(Ticket_Table[[#This Row],[raised_date]])</f>
        <v>2023</v>
      </c>
    </row>
    <row r="4877" spans="1:17">
      <c r="A4877" t="s">
        <v>5438</v>
      </c>
      <c r="B4877" t="s">
        <v>790</v>
      </c>
      <c r="C4877" t="s">
        <v>201</v>
      </c>
      <c r="D4877" t="s">
        <v>90</v>
      </c>
      <c r="E4877" t="s">
        <v>51</v>
      </c>
      <c r="F4877" t="s">
        <v>38</v>
      </c>
      <c r="G4877" t="s">
        <v>46</v>
      </c>
      <c r="H4877" s="1">
        <v>44354</v>
      </c>
      <c r="I4877" s="2">
        <v>44354.5791666667</v>
      </c>
      <c r="J4877">
        <v>13.9</v>
      </c>
      <c r="K4877" t="s">
        <v>24</v>
      </c>
      <c r="L4877">
        <v>0</v>
      </c>
      <c r="M4877">
        <v>3</v>
      </c>
      <c r="N4877" t="s">
        <v>680</v>
      </c>
      <c r="O4877" s="3" t="str">
        <f>TEXT(Ticket_Table[[#This Row],[raised_date]],"YYYY-MM")</f>
        <v>2021-06</v>
      </c>
      <c r="P4877" s="3" t="str">
        <f>IF(Ticket_Table[[#This Row],[resolution_hrs]]&lt;=4,"Fast",IF(Ticket_Table[[#This Row],[resolution_hrs]]&lt;=24,"Normal",IF(Ticket_Table[[#This Row],[resolution_hrs]]&lt;=48,"Slow","Very Slow")))</f>
        <v>Normal</v>
      </c>
      <c r="Q4877" s="3">
        <f>YEAR(Ticket_Table[[#This Row],[raised_date]])</f>
        <v>2021</v>
      </c>
    </row>
    <row r="4878" spans="1:17">
      <c r="A4878" t="s">
        <v>5439</v>
      </c>
      <c r="B4878" t="s">
        <v>485</v>
      </c>
      <c r="C4878" t="s">
        <v>102</v>
      </c>
      <c r="D4878" t="s">
        <v>43</v>
      </c>
      <c r="E4878" t="s">
        <v>56</v>
      </c>
      <c r="F4878" t="s">
        <v>70</v>
      </c>
      <c r="G4878" t="s">
        <v>74</v>
      </c>
      <c r="H4878" s="1">
        <v>44766</v>
      </c>
      <c r="I4878" s="2">
        <v>44767.9625</v>
      </c>
      <c r="J4878">
        <v>47.1</v>
      </c>
      <c r="K4878" t="s">
        <v>24</v>
      </c>
      <c r="L4878">
        <v>0</v>
      </c>
      <c r="M4878">
        <v>4</v>
      </c>
      <c r="N4878" t="s">
        <v>110</v>
      </c>
      <c r="O4878" s="3" t="str">
        <f>TEXT(Ticket_Table[[#This Row],[raised_date]],"YYYY-MM")</f>
        <v>2022-07</v>
      </c>
      <c r="P4878" s="3" t="str">
        <f>IF(Ticket_Table[[#This Row],[resolution_hrs]]&lt;=4,"Fast",IF(Ticket_Table[[#This Row],[resolution_hrs]]&lt;=24,"Normal",IF(Ticket_Table[[#This Row],[resolution_hrs]]&lt;=48,"Slow","Very Slow")))</f>
        <v>Slow</v>
      </c>
      <c r="Q4878" s="3">
        <f>YEAR(Ticket_Table[[#This Row],[raised_date]])</f>
        <v>2022</v>
      </c>
    </row>
    <row r="4879" spans="1:17">
      <c r="A4879" t="s">
        <v>5440</v>
      </c>
      <c r="B4879" t="s">
        <v>415</v>
      </c>
      <c r="C4879" t="s">
        <v>19</v>
      </c>
      <c r="D4879" t="s">
        <v>20</v>
      </c>
      <c r="E4879" t="s">
        <v>30</v>
      </c>
      <c r="F4879" t="s">
        <v>38</v>
      </c>
      <c r="G4879" t="s">
        <v>46</v>
      </c>
      <c r="H4879" s="1">
        <v>44713</v>
      </c>
      <c r="I4879" s="2">
        <v>44713.5958333333</v>
      </c>
      <c r="J4879">
        <v>14.3</v>
      </c>
      <c r="K4879" t="s">
        <v>24</v>
      </c>
      <c r="L4879">
        <v>1</v>
      </c>
      <c r="M4879">
        <v>1</v>
      </c>
      <c r="N4879" t="s">
        <v>2204</v>
      </c>
      <c r="O4879" s="3" t="str">
        <f>TEXT(Ticket_Table[[#This Row],[raised_date]],"YYYY-MM")</f>
        <v>2022-06</v>
      </c>
      <c r="P4879" s="3" t="str">
        <f>IF(Ticket_Table[[#This Row],[resolution_hrs]]&lt;=4,"Fast",IF(Ticket_Table[[#This Row],[resolution_hrs]]&lt;=24,"Normal",IF(Ticket_Table[[#This Row],[resolution_hrs]]&lt;=48,"Slow","Very Slow")))</f>
        <v>Normal</v>
      </c>
      <c r="Q4879" s="3">
        <f>YEAR(Ticket_Table[[#This Row],[raised_date]])</f>
        <v>2022</v>
      </c>
    </row>
    <row r="4880" spans="1:17">
      <c r="A4880" t="s">
        <v>5441</v>
      </c>
      <c r="B4880" t="s">
        <v>678</v>
      </c>
      <c r="C4880" t="s">
        <v>19</v>
      </c>
      <c r="D4880" t="s">
        <v>43</v>
      </c>
      <c r="E4880" t="s">
        <v>21</v>
      </c>
      <c r="F4880" t="s">
        <v>70</v>
      </c>
      <c r="G4880" t="s">
        <v>23</v>
      </c>
      <c r="H4880" s="1">
        <v>44468</v>
      </c>
      <c r="I4880" s="2">
        <v>44469.3375</v>
      </c>
      <c r="J4880">
        <v>32.1</v>
      </c>
      <c r="K4880" t="s">
        <v>24</v>
      </c>
      <c r="L4880">
        <v>0</v>
      </c>
      <c r="M4880">
        <v>4</v>
      </c>
      <c r="N4880" t="s">
        <v>584</v>
      </c>
      <c r="O4880" s="3" t="str">
        <f>TEXT(Ticket_Table[[#This Row],[raised_date]],"YYYY-MM")</f>
        <v>2021-09</v>
      </c>
      <c r="P4880" s="3" t="str">
        <f>IF(Ticket_Table[[#This Row],[resolution_hrs]]&lt;=4,"Fast",IF(Ticket_Table[[#This Row],[resolution_hrs]]&lt;=24,"Normal",IF(Ticket_Table[[#This Row],[resolution_hrs]]&lt;=48,"Slow","Very Slow")))</f>
        <v>Slow</v>
      </c>
      <c r="Q4880" s="3">
        <f>YEAR(Ticket_Table[[#This Row],[raised_date]])</f>
        <v>2021</v>
      </c>
    </row>
    <row r="4881" spans="1:17">
      <c r="A4881" t="s">
        <v>5442</v>
      </c>
      <c r="B4881" t="s">
        <v>817</v>
      </c>
      <c r="C4881" t="s">
        <v>102</v>
      </c>
      <c r="D4881" t="s">
        <v>29</v>
      </c>
      <c r="E4881" t="s">
        <v>166</v>
      </c>
      <c r="F4881" t="s">
        <v>70</v>
      </c>
      <c r="G4881" t="s">
        <v>31</v>
      </c>
      <c r="H4881" s="1">
        <v>44772</v>
      </c>
      <c r="I4881" s="2">
        <v>44773.5458333333</v>
      </c>
      <c r="J4881">
        <v>37.1</v>
      </c>
      <c r="K4881" t="s">
        <v>24</v>
      </c>
      <c r="L4881">
        <v>1</v>
      </c>
      <c r="M4881">
        <v>3</v>
      </c>
      <c r="N4881" t="s">
        <v>121</v>
      </c>
      <c r="O4881" s="3" t="str">
        <f>TEXT(Ticket_Table[[#This Row],[raised_date]],"YYYY-MM")</f>
        <v>2022-07</v>
      </c>
      <c r="P4881" s="3" t="str">
        <f>IF(Ticket_Table[[#This Row],[resolution_hrs]]&lt;=4,"Fast",IF(Ticket_Table[[#This Row],[resolution_hrs]]&lt;=24,"Normal",IF(Ticket_Table[[#This Row],[resolution_hrs]]&lt;=48,"Slow","Very Slow")))</f>
        <v>Slow</v>
      </c>
      <c r="Q4881" s="3">
        <f>YEAR(Ticket_Table[[#This Row],[raised_date]])</f>
        <v>2022</v>
      </c>
    </row>
    <row r="4882" spans="1:17">
      <c r="A4882" t="s">
        <v>5443</v>
      </c>
      <c r="B4882" t="s">
        <v>189</v>
      </c>
      <c r="C4882" t="s">
        <v>64</v>
      </c>
      <c r="D4882" t="s">
        <v>20</v>
      </c>
      <c r="E4882" t="s">
        <v>37</v>
      </c>
      <c r="F4882" t="s">
        <v>22</v>
      </c>
      <c r="G4882" t="s">
        <v>46</v>
      </c>
      <c r="H4882" s="1">
        <v>44760</v>
      </c>
      <c r="I4882" s="2">
        <v>44762.6625</v>
      </c>
      <c r="J4882">
        <v>63.9</v>
      </c>
      <c r="K4882" t="s">
        <v>24</v>
      </c>
      <c r="L4882">
        <v>0</v>
      </c>
      <c r="M4882">
        <v>3</v>
      </c>
      <c r="N4882" t="s">
        <v>886</v>
      </c>
      <c r="O4882" s="3" t="str">
        <f>TEXT(Ticket_Table[[#This Row],[raised_date]],"YYYY-MM")</f>
        <v>2022-07</v>
      </c>
      <c r="P4882" s="3" t="str">
        <f>IF(Ticket_Table[[#This Row],[resolution_hrs]]&lt;=4,"Fast",IF(Ticket_Table[[#This Row],[resolution_hrs]]&lt;=24,"Normal",IF(Ticket_Table[[#This Row],[resolution_hrs]]&lt;=48,"Slow","Very Slow")))</f>
        <v>Very Slow</v>
      </c>
      <c r="Q4882" s="3">
        <f>YEAR(Ticket_Table[[#This Row],[raised_date]])</f>
        <v>2022</v>
      </c>
    </row>
    <row r="4883" spans="1:17">
      <c r="A4883" t="s">
        <v>5444</v>
      </c>
      <c r="B4883" t="s">
        <v>614</v>
      </c>
      <c r="C4883" t="s">
        <v>64</v>
      </c>
      <c r="D4883" t="s">
        <v>90</v>
      </c>
      <c r="E4883" t="s">
        <v>37</v>
      </c>
      <c r="F4883" t="s">
        <v>70</v>
      </c>
      <c r="G4883" t="s">
        <v>31</v>
      </c>
      <c r="H4883" s="1">
        <v>44723</v>
      </c>
      <c r="I4883" s="2">
        <v>44725.8375</v>
      </c>
      <c r="J4883">
        <v>68.1</v>
      </c>
      <c r="K4883" t="s">
        <v>32</v>
      </c>
      <c r="L4883">
        <v>0</v>
      </c>
      <c r="M4883">
        <v>3</v>
      </c>
      <c r="N4883" t="s">
        <v>489</v>
      </c>
      <c r="O4883" s="3" t="str">
        <f>TEXT(Ticket_Table[[#This Row],[raised_date]],"YYYY-MM")</f>
        <v>2022-06</v>
      </c>
      <c r="P4883" s="3" t="str">
        <f>IF(Ticket_Table[[#This Row],[resolution_hrs]]&lt;=4,"Fast",IF(Ticket_Table[[#This Row],[resolution_hrs]]&lt;=24,"Normal",IF(Ticket_Table[[#This Row],[resolution_hrs]]&lt;=48,"Slow","Very Slow")))</f>
        <v>Very Slow</v>
      </c>
      <c r="Q4883" s="3">
        <f>YEAR(Ticket_Table[[#This Row],[raised_date]])</f>
        <v>2022</v>
      </c>
    </row>
    <row r="4884" spans="1:17">
      <c r="A4884" t="s">
        <v>5445</v>
      </c>
      <c r="B4884" t="s">
        <v>165</v>
      </c>
      <c r="C4884" t="s">
        <v>42</v>
      </c>
      <c r="D4884" t="s">
        <v>20</v>
      </c>
      <c r="E4884" t="s">
        <v>56</v>
      </c>
      <c r="F4884" t="s">
        <v>70</v>
      </c>
      <c r="G4884" t="s">
        <v>23</v>
      </c>
      <c r="H4884" s="1">
        <v>44226</v>
      </c>
      <c r="I4884" s="2">
        <v>44226.3291666667</v>
      </c>
      <c r="J4884">
        <v>7.9</v>
      </c>
      <c r="K4884" t="s">
        <v>24</v>
      </c>
      <c r="L4884">
        <v>1</v>
      </c>
      <c r="M4884">
        <v>4</v>
      </c>
      <c r="N4884" t="s">
        <v>135</v>
      </c>
      <c r="O4884" s="3" t="str">
        <f>TEXT(Ticket_Table[[#This Row],[raised_date]],"YYYY-MM")</f>
        <v>2021-01</v>
      </c>
      <c r="P4884" s="3" t="str">
        <f>IF(Ticket_Table[[#This Row],[resolution_hrs]]&lt;=4,"Fast",IF(Ticket_Table[[#This Row],[resolution_hrs]]&lt;=24,"Normal",IF(Ticket_Table[[#This Row],[resolution_hrs]]&lt;=48,"Slow","Very Slow")))</f>
        <v>Normal</v>
      </c>
      <c r="Q4884" s="3">
        <f>YEAR(Ticket_Table[[#This Row],[raised_date]])</f>
        <v>2021</v>
      </c>
    </row>
    <row r="4885" spans="1:17">
      <c r="A4885" t="s">
        <v>5446</v>
      </c>
      <c r="B4885" t="s">
        <v>571</v>
      </c>
      <c r="C4885" t="s">
        <v>102</v>
      </c>
      <c r="D4885" t="s">
        <v>43</v>
      </c>
      <c r="E4885" t="s">
        <v>166</v>
      </c>
      <c r="F4885" t="s">
        <v>38</v>
      </c>
      <c r="G4885" t="s">
        <v>23</v>
      </c>
      <c r="H4885" s="1">
        <v>44425</v>
      </c>
      <c r="I4885" s="2">
        <v>44425.475</v>
      </c>
      <c r="J4885">
        <v>11.4</v>
      </c>
      <c r="K4885" t="s">
        <v>24</v>
      </c>
      <c r="L4885">
        <v>0</v>
      </c>
      <c r="M4885">
        <v>3</v>
      </c>
      <c r="N4885" t="s">
        <v>152</v>
      </c>
      <c r="O4885" s="3" t="str">
        <f>TEXT(Ticket_Table[[#This Row],[raised_date]],"YYYY-MM")</f>
        <v>2021-08</v>
      </c>
      <c r="P4885" s="3" t="str">
        <f>IF(Ticket_Table[[#This Row],[resolution_hrs]]&lt;=4,"Fast",IF(Ticket_Table[[#This Row],[resolution_hrs]]&lt;=24,"Normal",IF(Ticket_Table[[#This Row],[resolution_hrs]]&lt;=48,"Slow","Very Slow")))</f>
        <v>Normal</v>
      </c>
      <c r="Q4885" s="3">
        <f>YEAR(Ticket_Table[[#This Row],[raised_date]])</f>
        <v>2021</v>
      </c>
    </row>
    <row r="4886" spans="1:17">
      <c r="A4886" t="s">
        <v>5447</v>
      </c>
      <c r="B4886" t="s">
        <v>59</v>
      </c>
      <c r="C4886" t="s">
        <v>50</v>
      </c>
      <c r="D4886" t="s">
        <v>36</v>
      </c>
      <c r="E4886" t="s">
        <v>51</v>
      </c>
      <c r="F4886" t="s">
        <v>70</v>
      </c>
      <c r="G4886" t="s">
        <v>23</v>
      </c>
      <c r="H4886" s="1">
        <v>44554</v>
      </c>
      <c r="I4886" s="2">
        <v>44555.05</v>
      </c>
      <c r="J4886">
        <v>25.2</v>
      </c>
      <c r="K4886" t="s">
        <v>24</v>
      </c>
      <c r="L4886">
        <v>0</v>
      </c>
      <c r="M4886">
        <v>2</v>
      </c>
      <c r="N4886" t="s">
        <v>515</v>
      </c>
      <c r="O4886" s="3" t="str">
        <f>TEXT(Ticket_Table[[#This Row],[raised_date]],"YYYY-MM")</f>
        <v>2021-12</v>
      </c>
      <c r="P4886" s="3" t="str">
        <f>IF(Ticket_Table[[#This Row],[resolution_hrs]]&lt;=4,"Fast",IF(Ticket_Table[[#This Row],[resolution_hrs]]&lt;=24,"Normal",IF(Ticket_Table[[#This Row],[resolution_hrs]]&lt;=48,"Slow","Very Slow")))</f>
        <v>Slow</v>
      </c>
      <c r="Q4886" s="3">
        <f>YEAR(Ticket_Table[[#This Row],[raised_date]])</f>
        <v>2021</v>
      </c>
    </row>
    <row r="4887" spans="1:17">
      <c r="A4887" t="s">
        <v>5448</v>
      </c>
      <c r="B4887" t="s">
        <v>873</v>
      </c>
      <c r="C4887" t="s">
        <v>133</v>
      </c>
      <c r="D4887" t="s">
        <v>36</v>
      </c>
      <c r="E4887" t="s">
        <v>106</v>
      </c>
      <c r="F4887" t="s">
        <v>45</v>
      </c>
      <c r="G4887" t="s">
        <v>23</v>
      </c>
      <c r="H4887" s="1">
        <v>44506</v>
      </c>
      <c r="I4887" s="2">
        <v>44506.1583333333</v>
      </c>
      <c r="J4887">
        <v>3.8</v>
      </c>
      <c r="K4887" t="s">
        <v>24</v>
      </c>
      <c r="L4887">
        <v>1</v>
      </c>
      <c r="M4887">
        <v>5</v>
      </c>
      <c r="N4887" t="s">
        <v>858</v>
      </c>
      <c r="O4887" s="3" t="str">
        <f>TEXT(Ticket_Table[[#This Row],[raised_date]],"YYYY-MM")</f>
        <v>2021-11</v>
      </c>
      <c r="P4887" s="3" t="str">
        <f>IF(Ticket_Table[[#This Row],[resolution_hrs]]&lt;=4,"Fast",IF(Ticket_Table[[#This Row],[resolution_hrs]]&lt;=24,"Normal",IF(Ticket_Table[[#This Row],[resolution_hrs]]&lt;=48,"Slow","Very Slow")))</f>
        <v>Fast</v>
      </c>
      <c r="Q4887" s="3">
        <f>YEAR(Ticket_Table[[#This Row],[raised_date]])</f>
        <v>2021</v>
      </c>
    </row>
    <row r="4888" spans="1:17">
      <c r="A4888" t="s">
        <v>5449</v>
      </c>
      <c r="B4888" t="s">
        <v>47</v>
      </c>
      <c r="C4888" t="s">
        <v>64</v>
      </c>
      <c r="D4888" t="s">
        <v>43</v>
      </c>
      <c r="E4888" t="s">
        <v>44</v>
      </c>
      <c r="F4888" t="s">
        <v>22</v>
      </c>
      <c r="G4888" t="s">
        <v>23</v>
      </c>
      <c r="H4888" s="1">
        <v>45111</v>
      </c>
      <c r="I4888" s="2">
        <v>45115.0416666667</v>
      </c>
      <c r="J4888">
        <v>97</v>
      </c>
      <c r="K4888" t="s">
        <v>32</v>
      </c>
      <c r="L4888">
        <v>0</v>
      </c>
      <c r="M4888">
        <v>3</v>
      </c>
      <c r="N4888" t="s">
        <v>395</v>
      </c>
      <c r="O4888" s="3" t="str">
        <f>TEXT(Ticket_Table[[#This Row],[raised_date]],"YYYY-MM")</f>
        <v>2023-07</v>
      </c>
      <c r="P4888" s="3" t="str">
        <f>IF(Ticket_Table[[#This Row],[resolution_hrs]]&lt;=4,"Fast",IF(Ticket_Table[[#This Row],[resolution_hrs]]&lt;=24,"Normal",IF(Ticket_Table[[#This Row],[resolution_hrs]]&lt;=48,"Slow","Very Slow")))</f>
        <v>Very Slow</v>
      </c>
      <c r="Q4888" s="3">
        <f>YEAR(Ticket_Table[[#This Row],[raised_date]])</f>
        <v>2023</v>
      </c>
    </row>
    <row r="4889" spans="1:17">
      <c r="A4889" t="s">
        <v>5450</v>
      </c>
      <c r="B4889" t="s">
        <v>455</v>
      </c>
      <c r="C4889" t="s">
        <v>78</v>
      </c>
      <c r="D4889" t="s">
        <v>29</v>
      </c>
      <c r="E4889" t="s">
        <v>37</v>
      </c>
      <c r="F4889" t="s">
        <v>70</v>
      </c>
      <c r="G4889" t="s">
        <v>31</v>
      </c>
      <c r="H4889" s="1">
        <v>44954</v>
      </c>
      <c r="I4889" s="2">
        <v>44955.7583333333</v>
      </c>
      <c r="J4889">
        <v>42.2</v>
      </c>
      <c r="K4889" t="s">
        <v>24</v>
      </c>
      <c r="L4889">
        <v>0</v>
      </c>
      <c r="M4889">
        <v>2</v>
      </c>
      <c r="N4889" t="s">
        <v>924</v>
      </c>
      <c r="O4889" s="3" t="str">
        <f>TEXT(Ticket_Table[[#This Row],[raised_date]],"YYYY-MM")</f>
        <v>2023-01</v>
      </c>
      <c r="P4889" s="3" t="str">
        <f>IF(Ticket_Table[[#This Row],[resolution_hrs]]&lt;=4,"Fast",IF(Ticket_Table[[#This Row],[resolution_hrs]]&lt;=24,"Normal",IF(Ticket_Table[[#This Row],[resolution_hrs]]&lt;=48,"Slow","Very Slow")))</f>
        <v>Slow</v>
      </c>
      <c r="Q4889" s="3">
        <f>YEAR(Ticket_Table[[#This Row],[raised_date]])</f>
        <v>2023</v>
      </c>
    </row>
    <row r="4890" spans="1:17">
      <c r="A4890" t="s">
        <v>5451</v>
      </c>
      <c r="B4890" t="s">
        <v>245</v>
      </c>
      <c r="C4890" t="s">
        <v>19</v>
      </c>
      <c r="D4890" t="s">
        <v>20</v>
      </c>
      <c r="E4890" t="s">
        <v>21</v>
      </c>
      <c r="F4890" t="s">
        <v>70</v>
      </c>
      <c r="G4890" t="s">
        <v>31</v>
      </c>
      <c r="H4890" s="1">
        <v>44556</v>
      </c>
      <c r="I4890" s="2">
        <v>44558.5375</v>
      </c>
      <c r="J4890">
        <v>60.9</v>
      </c>
      <c r="K4890" t="s">
        <v>32</v>
      </c>
      <c r="L4890">
        <v>0</v>
      </c>
      <c r="M4890">
        <v>3</v>
      </c>
      <c r="N4890" t="s">
        <v>424</v>
      </c>
      <c r="O4890" s="3" t="str">
        <f>TEXT(Ticket_Table[[#This Row],[raised_date]],"YYYY-MM")</f>
        <v>2021-12</v>
      </c>
      <c r="P4890" s="3" t="str">
        <f>IF(Ticket_Table[[#This Row],[resolution_hrs]]&lt;=4,"Fast",IF(Ticket_Table[[#This Row],[resolution_hrs]]&lt;=24,"Normal",IF(Ticket_Table[[#This Row],[resolution_hrs]]&lt;=48,"Slow","Very Slow")))</f>
        <v>Very Slow</v>
      </c>
      <c r="Q4890" s="3">
        <f>YEAR(Ticket_Table[[#This Row],[raised_date]])</f>
        <v>2021</v>
      </c>
    </row>
    <row r="4891" spans="1:17">
      <c r="A4891" t="s">
        <v>5452</v>
      </c>
      <c r="B4891" t="s">
        <v>720</v>
      </c>
      <c r="C4891" t="s">
        <v>133</v>
      </c>
      <c r="D4891" t="s">
        <v>36</v>
      </c>
      <c r="E4891" t="s">
        <v>21</v>
      </c>
      <c r="F4891" t="s">
        <v>45</v>
      </c>
      <c r="G4891" t="s">
        <v>31</v>
      </c>
      <c r="H4891" s="1">
        <v>44732</v>
      </c>
      <c r="I4891" s="2">
        <v>44732.1291666667</v>
      </c>
      <c r="J4891">
        <v>3.1</v>
      </c>
      <c r="K4891" t="s">
        <v>24</v>
      </c>
      <c r="L4891">
        <v>1</v>
      </c>
      <c r="M4891">
        <v>3</v>
      </c>
      <c r="N4891" t="s">
        <v>903</v>
      </c>
      <c r="O4891" s="3" t="str">
        <f>TEXT(Ticket_Table[[#This Row],[raised_date]],"YYYY-MM")</f>
        <v>2022-06</v>
      </c>
      <c r="P4891" s="3" t="str">
        <f>IF(Ticket_Table[[#This Row],[resolution_hrs]]&lt;=4,"Fast",IF(Ticket_Table[[#This Row],[resolution_hrs]]&lt;=24,"Normal",IF(Ticket_Table[[#This Row],[resolution_hrs]]&lt;=48,"Slow","Very Slow")))</f>
        <v>Fast</v>
      </c>
      <c r="Q4891" s="3">
        <f>YEAR(Ticket_Table[[#This Row],[raised_date]])</f>
        <v>2022</v>
      </c>
    </row>
    <row r="4892" spans="1:17">
      <c r="A4892" t="s">
        <v>5453</v>
      </c>
      <c r="B4892" t="s">
        <v>389</v>
      </c>
      <c r="C4892" t="s">
        <v>213</v>
      </c>
      <c r="D4892" t="s">
        <v>29</v>
      </c>
      <c r="E4892" t="s">
        <v>37</v>
      </c>
      <c r="F4892" t="s">
        <v>22</v>
      </c>
      <c r="G4892" t="s">
        <v>23</v>
      </c>
      <c r="H4892" s="1">
        <v>44680</v>
      </c>
      <c r="I4892" s="2">
        <v>44681.4791666667</v>
      </c>
      <c r="J4892">
        <v>35.5</v>
      </c>
      <c r="K4892" t="s">
        <v>24</v>
      </c>
      <c r="L4892">
        <v>0</v>
      </c>
      <c r="M4892">
        <v>4</v>
      </c>
      <c r="N4892" t="s">
        <v>493</v>
      </c>
      <c r="O4892" s="3" t="str">
        <f>TEXT(Ticket_Table[[#This Row],[raised_date]],"YYYY-MM")</f>
        <v>2022-04</v>
      </c>
      <c r="P4892" s="3" t="str">
        <f>IF(Ticket_Table[[#This Row],[resolution_hrs]]&lt;=4,"Fast",IF(Ticket_Table[[#This Row],[resolution_hrs]]&lt;=24,"Normal",IF(Ticket_Table[[#This Row],[resolution_hrs]]&lt;=48,"Slow","Very Slow")))</f>
        <v>Slow</v>
      </c>
      <c r="Q4892" s="3">
        <f>YEAR(Ticket_Table[[#This Row],[raised_date]])</f>
        <v>2022</v>
      </c>
    </row>
    <row r="4893" spans="1:17">
      <c r="A4893" t="s">
        <v>5454</v>
      </c>
      <c r="B4893" t="s">
        <v>1164</v>
      </c>
      <c r="C4893" t="s">
        <v>133</v>
      </c>
      <c r="D4893" t="s">
        <v>43</v>
      </c>
      <c r="E4893" t="s">
        <v>21</v>
      </c>
      <c r="F4893" t="s">
        <v>70</v>
      </c>
      <c r="G4893" t="s">
        <v>31</v>
      </c>
      <c r="H4893" s="1">
        <v>45190</v>
      </c>
      <c r="I4893" s="2">
        <v>45190.9833333333</v>
      </c>
      <c r="J4893">
        <v>23.6</v>
      </c>
      <c r="K4893" t="s">
        <v>24</v>
      </c>
      <c r="L4893">
        <v>1</v>
      </c>
      <c r="M4893">
        <v>1</v>
      </c>
      <c r="N4893" t="s">
        <v>270</v>
      </c>
      <c r="O4893" s="3" t="str">
        <f>TEXT(Ticket_Table[[#This Row],[raised_date]],"YYYY-MM")</f>
        <v>2023-09</v>
      </c>
      <c r="P4893" s="3" t="str">
        <f>IF(Ticket_Table[[#This Row],[resolution_hrs]]&lt;=4,"Fast",IF(Ticket_Table[[#This Row],[resolution_hrs]]&lt;=24,"Normal",IF(Ticket_Table[[#This Row],[resolution_hrs]]&lt;=48,"Slow","Very Slow")))</f>
        <v>Normal</v>
      </c>
      <c r="Q4893" s="3">
        <f>YEAR(Ticket_Table[[#This Row],[raised_date]])</f>
        <v>2023</v>
      </c>
    </row>
    <row r="4894" spans="1:17">
      <c r="A4894" t="s">
        <v>5455</v>
      </c>
      <c r="B4894" t="s">
        <v>138</v>
      </c>
      <c r="C4894" t="s">
        <v>50</v>
      </c>
      <c r="D4894" t="s">
        <v>29</v>
      </c>
      <c r="E4894" t="s">
        <v>106</v>
      </c>
      <c r="F4894" t="s">
        <v>38</v>
      </c>
      <c r="G4894" t="s">
        <v>23</v>
      </c>
      <c r="H4894" s="1">
        <v>44567</v>
      </c>
      <c r="I4894" s="2">
        <v>44567.3</v>
      </c>
      <c r="J4894">
        <v>7.2</v>
      </c>
      <c r="K4894" t="s">
        <v>24</v>
      </c>
      <c r="L4894">
        <v>0</v>
      </c>
      <c r="M4894">
        <v>4</v>
      </c>
      <c r="N4894" t="s">
        <v>1156</v>
      </c>
      <c r="O4894" s="3" t="str">
        <f>TEXT(Ticket_Table[[#This Row],[raised_date]],"YYYY-MM")</f>
        <v>2022-01</v>
      </c>
      <c r="P4894" s="3" t="str">
        <f>IF(Ticket_Table[[#This Row],[resolution_hrs]]&lt;=4,"Fast",IF(Ticket_Table[[#This Row],[resolution_hrs]]&lt;=24,"Normal",IF(Ticket_Table[[#This Row],[resolution_hrs]]&lt;=48,"Slow","Very Slow")))</f>
        <v>Normal</v>
      </c>
      <c r="Q4894" s="3">
        <f>YEAR(Ticket_Table[[#This Row],[raised_date]])</f>
        <v>2022</v>
      </c>
    </row>
    <row r="4895" spans="1:17">
      <c r="A4895" t="s">
        <v>5456</v>
      </c>
      <c r="B4895" t="s">
        <v>424</v>
      </c>
      <c r="C4895" t="s">
        <v>95</v>
      </c>
      <c r="D4895" t="s">
        <v>43</v>
      </c>
      <c r="E4895" t="s">
        <v>21</v>
      </c>
      <c r="F4895" t="s">
        <v>22</v>
      </c>
      <c r="G4895" t="s">
        <v>91</v>
      </c>
      <c r="H4895" s="1">
        <v>45277</v>
      </c>
      <c r="I4895" s="2">
        <v>45277.6791666667</v>
      </c>
      <c r="J4895">
        <v>16.3</v>
      </c>
      <c r="K4895" t="s">
        <v>24</v>
      </c>
      <c r="L4895">
        <v>0</v>
      </c>
      <c r="M4895">
        <v>4</v>
      </c>
      <c r="N4895" t="s">
        <v>343</v>
      </c>
      <c r="O4895" s="3" t="str">
        <f>TEXT(Ticket_Table[[#This Row],[raised_date]],"YYYY-MM")</f>
        <v>2023-12</v>
      </c>
      <c r="P4895" s="3" t="str">
        <f>IF(Ticket_Table[[#This Row],[resolution_hrs]]&lt;=4,"Fast",IF(Ticket_Table[[#This Row],[resolution_hrs]]&lt;=24,"Normal",IF(Ticket_Table[[#This Row],[resolution_hrs]]&lt;=48,"Slow","Very Slow")))</f>
        <v>Normal</v>
      </c>
      <c r="Q4895" s="3">
        <f>YEAR(Ticket_Table[[#This Row],[raised_date]])</f>
        <v>2023</v>
      </c>
    </row>
    <row r="4896" spans="1:17">
      <c r="A4896" t="s">
        <v>5457</v>
      </c>
      <c r="B4896" t="s">
        <v>359</v>
      </c>
      <c r="C4896" t="s">
        <v>28</v>
      </c>
      <c r="D4896" t="s">
        <v>20</v>
      </c>
      <c r="E4896" t="s">
        <v>83</v>
      </c>
      <c r="F4896" t="s">
        <v>38</v>
      </c>
      <c r="G4896" t="s">
        <v>23</v>
      </c>
      <c r="H4896" s="1">
        <v>44264</v>
      </c>
      <c r="I4896" s="2">
        <v>44265.2291666667</v>
      </c>
      <c r="J4896">
        <v>29.5</v>
      </c>
      <c r="K4896" t="s">
        <v>32</v>
      </c>
      <c r="L4896">
        <v>0</v>
      </c>
      <c r="M4896">
        <v>5</v>
      </c>
      <c r="N4896" t="s">
        <v>1226</v>
      </c>
      <c r="O4896" s="3" t="str">
        <f>TEXT(Ticket_Table[[#This Row],[raised_date]],"YYYY-MM")</f>
        <v>2021-03</v>
      </c>
      <c r="P4896" s="3" t="str">
        <f>IF(Ticket_Table[[#This Row],[resolution_hrs]]&lt;=4,"Fast",IF(Ticket_Table[[#This Row],[resolution_hrs]]&lt;=24,"Normal",IF(Ticket_Table[[#This Row],[resolution_hrs]]&lt;=48,"Slow","Very Slow")))</f>
        <v>Slow</v>
      </c>
      <c r="Q4896" s="3">
        <f>YEAR(Ticket_Table[[#This Row],[raised_date]])</f>
        <v>2021</v>
      </c>
    </row>
    <row r="4897" spans="1:17">
      <c r="A4897" t="s">
        <v>5458</v>
      </c>
      <c r="B4897" t="s">
        <v>464</v>
      </c>
      <c r="C4897" t="s">
        <v>117</v>
      </c>
      <c r="D4897" t="s">
        <v>29</v>
      </c>
      <c r="E4897" t="s">
        <v>166</v>
      </c>
      <c r="F4897" t="s">
        <v>22</v>
      </c>
      <c r="G4897" t="s">
        <v>91</v>
      </c>
      <c r="H4897" s="1">
        <v>44899</v>
      </c>
      <c r="I4897" s="2">
        <v>44902.3166666667</v>
      </c>
      <c r="J4897">
        <v>79.6</v>
      </c>
      <c r="K4897" t="s">
        <v>32</v>
      </c>
      <c r="L4897">
        <v>0</v>
      </c>
      <c r="M4897">
        <v>3</v>
      </c>
      <c r="N4897" t="s">
        <v>554</v>
      </c>
      <c r="O4897" s="3" t="str">
        <f>TEXT(Ticket_Table[[#This Row],[raised_date]],"YYYY-MM")</f>
        <v>2022-12</v>
      </c>
      <c r="P4897" s="3" t="str">
        <f>IF(Ticket_Table[[#This Row],[resolution_hrs]]&lt;=4,"Fast",IF(Ticket_Table[[#This Row],[resolution_hrs]]&lt;=24,"Normal",IF(Ticket_Table[[#This Row],[resolution_hrs]]&lt;=48,"Slow","Very Slow")))</f>
        <v>Very Slow</v>
      </c>
      <c r="Q4897" s="3">
        <f>YEAR(Ticket_Table[[#This Row],[raised_date]])</f>
        <v>2022</v>
      </c>
    </row>
    <row r="4898" spans="1:17">
      <c r="A4898" t="s">
        <v>5459</v>
      </c>
      <c r="B4898" t="s">
        <v>127</v>
      </c>
      <c r="C4898" t="s">
        <v>95</v>
      </c>
      <c r="D4898" t="s">
        <v>20</v>
      </c>
      <c r="E4898" t="s">
        <v>56</v>
      </c>
      <c r="F4898" t="s">
        <v>38</v>
      </c>
      <c r="G4898" t="s">
        <v>31</v>
      </c>
      <c r="H4898" s="1">
        <v>44369</v>
      </c>
      <c r="I4898" s="2">
        <v>44370.4833333333</v>
      </c>
      <c r="J4898">
        <v>35.6</v>
      </c>
      <c r="K4898" t="s">
        <v>32</v>
      </c>
      <c r="L4898">
        <v>0</v>
      </c>
      <c r="M4898">
        <v>4</v>
      </c>
      <c r="N4898" t="s">
        <v>401</v>
      </c>
      <c r="O4898" s="3" t="str">
        <f>TEXT(Ticket_Table[[#This Row],[raised_date]],"YYYY-MM")</f>
        <v>2021-06</v>
      </c>
      <c r="P4898" s="3" t="str">
        <f>IF(Ticket_Table[[#This Row],[resolution_hrs]]&lt;=4,"Fast",IF(Ticket_Table[[#This Row],[resolution_hrs]]&lt;=24,"Normal",IF(Ticket_Table[[#This Row],[resolution_hrs]]&lt;=48,"Slow","Very Slow")))</f>
        <v>Slow</v>
      </c>
      <c r="Q4898" s="3">
        <f>YEAR(Ticket_Table[[#This Row],[raised_date]])</f>
        <v>2021</v>
      </c>
    </row>
    <row r="4899" spans="1:17">
      <c r="A4899" t="s">
        <v>5460</v>
      </c>
      <c r="B4899" t="s">
        <v>194</v>
      </c>
      <c r="C4899" t="s">
        <v>68</v>
      </c>
      <c r="D4899" t="s">
        <v>29</v>
      </c>
      <c r="E4899" t="s">
        <v>56</v>
      </c>
      <c r="F4899" t="s">
        <v>45</v>
      </c>
      <c r="G4899" t="s">
        <v>31</v>
      </c>
      <c r="H4899" s="1">
        <v>44494</v>
      </c>
      <c r="I4899" s="2">
        <v>44494.0875</v>
      </c>
      <c r="J4899">
        <v>2.1</v>
      </c>
      <c r="K4899" t="s">
        <v>24</v>
      </c>
      <c r="L4899">
        <v>0</v>
      </c>
      <c r="M4899">
        <v>3</v>
      </c>
      <c r="N4899" t="s">
        <v>1243</v>
      </c>
      <c r="O4899" s="3" t="str">
        <f>TEXT(Ticket_Table[[#This Row],[raised_date]],"YYYY-MM")</f>
        <v>2021-10</v>
      </c>
      <c r="P4899" s="3" t="str">
        <f>IF(Ticket_Table[[#This Row],[resolution_hrs]]&lt;=4,"Fast",IF(Ticket_Table[[#This Row],[resolution_hrs]]&lt;=24,"Normal",IF(Ticket_Table[[#This Row],[resolution_hrs]]&lt;=48,"Slow","Very Slow")))</f>
        <v>Fast</v>
      </c>
      <c r="Q4899" s="3">
        <f>YEAR(Ticket_Table[[#This Row],[raised_date]])</f>
        <v>2021</v>
      </c>
    </row>
    <row r="4900" spans="1:17">
      <c r="A4900" t="s">
        <v>5461</v>
      </c>
      <c r="B4900" t="s">
        <v>683</v>
      </c>
      <c r="C4900" t="s">
        <v>78</v>
      </c>
      <c r="D4900" t="s">
        <v>43</v>
      </c>
      <c r="E4900" t="s">
        <v>69</v>
      </c>
      <c r="F4900" t="s">
        <v>38</v>
      </c>
      <c r="G4900" t="s">
        <v>74</v>
      </c>
      <c r="H4900" s="1">
        <v>44512</v>
      </c>
      <c r="I4900" s="2">
        <v>44512.8</v>
      </c>
      <c r="J4900">
        <v>19.2</v>
      </c>
      <c r="K4900" t="s">
        <v>24</v>
      </c>
      <c r="L4900">
        <v>0</v>
      </c>
      <c r="M4900">
        <v>4</v>
      </c>
      <c r="N4900" t="s">
        <v>273</v>
      </c>
      <c r="O4900" s="3" t="str">
        <f>TEXT(Ticket_Table[[#This Row],[raised_date]],"YYYY-MM")</f>
        <v>2021-11</v>
      </c>
      <c r="P4900" s="3" t="str">
        <f>IF(Ticket_Table[[#This Row],[resolution_hrs]]&lt;=4,"Fast",IF(Ticket_Table[[#This Row],[resolution_hrs]]&lt;=24,"Normal",IF(Ticket_Table[[#This Row],[resolution_hrs]]&lt;=48,"Slow","Very Slow")))</f>
        <v>Normal</v>
      </c>
      <c r="Q4900" s="3">
        <f>YEAR(Ticket_Table[[#This Row],[raised_date]])</f>
        <v>2021</v>
      </c>
    </row>
    <row r="4901" spans="1:17">
      <c r="A4901" t="s">
        <v>5462</v>
      </c>
      <c r="B4901" t="s">
        <v>871</v>
      </c>
      <c r="C4901" t="s">
        <v>102</v>
      </c>
      <c r="D4901" t="s">
        <v>43</v>
      </c>
      <c r="E4901" t="s">
        <v>44</v>
      </c>
      <c r="F4901" t="s">
        <v>70</v>
      </c>
      <c r="G4901" t="s">
        <v>23</v>
      </c>
      <c r="H4901" s="1">
        <v>45212</v>
      </c>
      <c r="I4901" s="2">
        <v>45213.7416666667</v>
      </c>
      <c r="J4901">
        <v>41.8</v>
      </c>
      <c r="K4901" t="s">
        <v>24</v>
      </c>
      <c r="L4901">
        <v>0</v>
      </c>
      <c r="M4901">
        <v>4</v>
      </c>
      <c r="N4901" t="s">
        <v>146</v>
      </c>
      <c r="O4901" s="3" t="str">
        <f>TEXT(Ticket_Table[[#This Row],[raised_date]],"YYYY-MM")</f>
        <v>2023-10</v>
      </c>
      <c r="P4901" s="3" t="str">
        <f>IF(Ticket_Table[[#This Row],[resolution_hrs]]&lt;=4,"Fast",IF(Ticket_Table[[#This Row],[resolution_hrs]]&lt;=24,"Normal",IF(Ticket_Table[[#This Row],[resolution_hrs]]&lt;=48,"Slow","Very Slow")))</f>
        <v>Slow</v>
      </c>
      <c r="Q4901" s="3">
        <f>YEAR(Ticket_Table[[#This Row],[raised_date]])</f>
        <v>2023</v>
      </c>
    </row>
    <row r="4902" spans="1:17">
      <c r="A4902" t="s">
        <v>5463</v>
      </c>
      <c r="B4902" t="s">
        <v>942</v>
      </c>
      <c r="C4902" t="s">
        <v>201</v>
      </c>
      <c r="D4902" t="s">
        <v>29</v>
      </c>
      <c r="E4902" t="s">
        <v>166</v>
      </c>
      <c r="F4902" t="s">
        <v>22</v>
      </c>
      <c r="G4902" t="s">
        <v>23</v>
      </c>
      <c r="H4902" s="1">
        <v>45042</v>
      </c>
      <c r="I4902" s="2">
        <v>45044.7875</v>
      </c>
      <c r="J4902">
        <v>66.9</v>
      </c>
      <c r="K4902" t="s">
        <v>24</v>
      </c>
      <c r="L4902">
        <v>1</v>
      </c>
      <c r="M4902">
        <v>2</v>
      </c>
      <c r="N4902" t="s">
        <v>355</v>
      </c>
      <c r="O4902" s="3" t="str">
        <f>TEXT(Ticket_Table[[#This Row],[raised_date]],"YYYY-MM")</f>
        <v>2023-04</v>
      </c>
      <c r="P4902" s="3" t="str">
        <f>IF(Ticket_Table[[#This Row],[resolution_hrs]]&lt;=4,"Fast",IF(Ticket_Table[[#This Row],[resolution_hrs]]&lt;=24,"Normal",IF(Ticket_Table[[#This Row],[resolution_hrs]]&lt;=48,"Slow","Very Slow")))</f>
        <v>Very Slow</v>
      </c>
      <c r="Q4902" s="3">
        <f>YEAR(Ticket_Table[[#This Row],[raised_date]])</f>
        <v>2023</v>
      </c>
    </row>
    <row r="4903" spans="1:17">
      <c r="A4903" t="s">
        <v>5464</v>
      </c>
      <c r="B4903" t="s">
        <v>413</v>
      </c>
      <c r="C4903" t="s">
        <v>19</v>
      </c>
      <c r="D4903" t="s">
        <v>43</v>
      </c>
      <c r="E4903" t="s">
        <v>37</v>
      </c>
      <c r="F4903" t="s">
        <v>45</v>
      </c>
      <c r="G4903" t="s">
        <v>74</v>
      </c>
      <c r="H4903" s="1">
        <v>44981</v>
      </c>
      <c r="I4903" s="2">
        <v>44981.0625</v>
      </c>
      <c r="J4903">
        <v>1.5</v>
      </c>
      <c r="K4903" t="s">
        <v>24</v>
      </c>
      <c r="L4903">
        <v>0</v>
      </c>
      <c r="M4903">
        <v>4</v>
      </c>
      <c r="N4903" t="s">
        <v>599</v>
      </c>
      <c r="O4903" s="3" t="str">
        <f>TEXT(Ticket_Table[[#This Row],[raised_date]],"YYYY-MM")</f>
        <v>2023-02</v>
      </c>
      <c r="P4903" s="3" t="str">
        <f>IF(Ticket_Table[[#This Row],[resolution_hrs]]&lt;=4,"Fast",IF(Ticket_Table[[#This Row],[resolution_hrs]]&lt;=24,"Normal",IF(Ticket_Table[[#This Row],[resolution_hrs]]&lt;=48,"Slow","Very Slow")))</f>
        <v>Fast</v>
      </c>
      <c r="Q4903" s="3">
        <f>YEAR(Ticket_Table[[#This Row],[raised_date]])</f>
        <v>2023</v>
      </c>
    </row>
    <row r="4904" spans="1:17">
      <c r="A4904" t="s">
        <v>5465</v>
      </c>
      <c r="B4904" t="s">
        <v>367</v>
      </c>
      <c r="C4904" t="s">
        <v>19</v>
      </c>
      <c r="D4904" t="s">
        <v>90</v>
      </c>
      <c r="E4904" t="s">
        <v>83</v>
      </c>
      <c r="F4904" t="s">
        <v>70</v>
      </c>
      <c r="G4904" t="s">
        <v>23</v>
      </c>
      <c r="H4904" s="1">
        <v>44684</v>
      </c>
      <c r="I4904" s="2">
        <v>44684.8833333333</v>
      </c>
      <c r="J4904">
        <v>21.2</v>
      </c>
      <c r="K4904" t="s">
        <v>24</v>
      </c>
      <c r="L4904">
        <v>1</v>
      </c>
      <c r="M4904">
        <v>4</v>
      </c>
      <c r="N4904" t="s">
        <v>515</v>
      </c>
      <c r="O4904" s="3" t="str">
        <f>TEXT(Ticket_Table[[#This Row],[raised_date]],"YYYY-MM")</f>
        <v>2022-05</v>
      </c>
      <c r="P4904" s="3" t="str">
        <f>IF(Ticket_Table[[#This Row],[resolution_hrs]]&lt;=4,"Fast",IF(Ticket_Table[[#This Row],[resolution_hrs]]&lt;=24,"Normal",IF(Ticket_Table[[#This Row],[resolution_hrs]]&lt;=48,"Slow","Very Slow")))</f>
        <v>Normal</v>
      </c>
      <c r="Q4904" s="3">
        <f>YEAR(Ticket_Table[[#This Row],[raised_date]])</f>
        <v>2022</v>
      </c>
    </row>
    <row r="4905" spans="1:17">
      <c r="A4905" t="s">
        <v>5466</v>
      </c>
      <c r="B4905" t="s">
        <v>264</v>
      </c>
      <c r="C4905" t="s">
        <v>55</v>
      </c>
      <c r="D4905" t="s">
        <v>90</v>
      </c>
      <c r="E4905" t="s">
        <v>106</v>
      </c>
      <c r="F4905" t="s">
        <v>22</v>
      </c>
      <c r="G4905" t="s">
        <v>91</v>
      </c>
      <c r="H4905" s="1">
        <v>45098</v>
      </c>
      <c r="I4905" s="2">
        <v>45098.5708333333</v>
      </c>
      <c r="J4905">
        <v>13.7</v>
      </c>
      <c r="K4905" t="s">
        <v>24</v>
      </c>
      <c r="L4905">
        <v>1</v>
      </c>
      <c r="M4905">
        <v>3</v>
      </c>
      <c r="N4905" t="s">
        <v>210</v>
      </c>
      <c r="O4905" s="3" t="str">
        <f>TEXT(Ticket_Table[[#This Row],[raised_date]],"YYYY-MM")</f>
        <v>2023-06</v>
      </c>
      <c r="P4905" s="3" t="str">
        <f>IF(Ticket_Table[[#This Row],[resolution_hrs]]&lt;=4,"Fast",IF(Ticket_Table[[#This Row],[resolution_hrs]]&lt;=24,"Normal",IF(Ticket_Table[[#This Row],[resolution_hrs]]&lt;=48,"Slow","Very Slow")))</f>
        <v>Normal</v>
      </c>
      <c r="Q4905" s="3">
        <f>YEAR(Ticket_Table[[#This Row],[raised_date]])</f>
        <v>2023</v>
      </c>
    </row>
    <row r="4906" spans="1:17">
      <c r="A4906" t="s">
        <v>5467</v>
      </c>
      <c r="B4906" t="s">
        <v>778</v>
      </c>
      <c r="C4906" t="s">
        <v>102</v>
      </c>
      <c r="D4906" t="s">
        <v>20</v>
      </c>
      <c r="E4906" t="s">
        <v>69</v>
      </c>
      <c r="F4906" t="s">
        <v>38</v>
      </c>
      <c r="G4906" t="s">
        <v>23</v>
      </c>
      <c r="H4906" s="1">
        <v>44539</v>
      </c>
      <c r="I4906" s="2">
        <v>44539.4416666667</v>
      </c>
      <c r="J4906">
        <v>10.6</v>
      </c>
      <c r="K4906" t="s">
        <v>24</v>
      </c>
      <c r="L4906">
        <v>0</v>
      </c>
      <c r="M4906">
        <v>3</v>
      </c>
      <c r="N4906" t="s">
        <v>701</v>
      </c>
      <c r="O4906" s="3" t="str">
        <f>TEXT(Ticket_Table[[#This Row],[raised_date]],"YYYY-MM")</f>
        <v>2021-12</v>
      </c>
      <c r="P4906" s="3" t="str">
        <f>IF(Ticket_Table[[#This Row],[resolution_hrs]]&lt;=4,"Fast",IF(Ticket_Table[[#This Row],[resolution_hrs]]&lt;=24,"Normal",IF(Ticket_Table[[#This Row],[resolution_hrs]]&lt;=48,"Slow","Very Slow")))</f>
        <v>Normal</v>
      </c>
      <c r="Q4906" s="3">
        <f>YEAR(Ticket_Table[[#This Row],[raised_date]])</f>
        <v>2021</v>
      </c>
    </row>
    <row r="4907" spans="1:17">
      <c r="A4907" t="s">
        <v>5468</v>
      </c>
      <c r="B4907" t="s">
        <v>224</v>
      </c>
      <c r="C4907" t="s">
        <v>175</v>
      </c>
      <c r="D4907" t="s">
        <v>90</v>
      </c>
      <c r="E4907" t="s">
        <v>44</v>
      </c>
      <c r="F4907" t="s">
        <v>70</v>
      </c>
      <c r="G4907" t="s">
        <v>46</v>
      </c>
      <c r="H4907" s="1">
        <v>44628</v>
      </c>
      <c r="I4907" s="2">
        <v>44629.3416666667</v>
      </c>
      <c r="J4907">
        <v>32.2</v>
      </c>
      <c r="K4907" t="s">
        <v>24</v>
      </c>
      <c r="L4907">
        <v>0</v>
      </c>
      <c r="M4907">
        <v>3</v>
      </c>
      <c r="N4907" t="s">
        <v>138</v>
      </c>
      <c r="O4907" s="3" t="str">
        <f>TEXT(Ticket_Table[[#This Row],[raised_date]],"YYYY-MM")</f>
        <v>2022-03</v>
      </c>
      <c r="P4907" s="3" t="str">
        <f>IF(Ticket_Table[[#This Row],[resolution_hrs]]&lt;=4,"Fast",IF(Ticket_Table[[#This Row],[resolution_hrs]]&lt;=24,"Normal",IF(Ticket_Table[[#This Row],[resolution_hrs]]&lt;=48,"Slow","Very Slow")))</f>
        <v>Slow</v>
      </c>
      <c r="Q4907" s="3">
        <f>YEAR(Ticket_Table[[#This Row],[raised_date]])</f>
        <v>2022</v>
      </c>
    </row>
    <row r="4908" spans="1:17">
      <c r="A4908" t="s">
        <v>5469</v>
      </c>
      <c r="B4908" t="s">
        <v>1154</v>
      </c>
      <c r="C4908" t="s">
        <v>60</v>
      </c>
      <c r="D4908" t="s">
        <v>90</v>
      </c>
      <c r="E4908" t="s">
        <v>44</v>
      </c>
      <c r="F4908" t="s">
        <v>22</v>
      </c>
      <c r="G4908" t="s">
        <v>23</v>
      </c>
      <c r="H4908" s="1">
        <v>44903</v>
      </c>
      <c r="I4908" s="2">
        <v>44906.9875</v>
      </c>
      <c r="J4908">
        <v>95.7</v>
      </c>
      <c r="K4908" t="s">
        <v>32</v>
      </c>
      <c r="L4908">
        <v>0</v>
      </c>
      <c r="M4908">
        <v>1</v>
      </c>
      <c r="N4908" t="s">
        <v>86</v>
      </c>
      <c r="O4908" s="3" t="str">
        <f>TEXT(Ticket_Table[[#This Row],[raised_date]],"YYYY-MM")</f>
        <v>2022-12</v>
      </c>
      <c r="P4908" s="3" t="str">
        <f>IF(Ticket_Table[[#This Row],[resolution_hrs]]&lt;=4,"Fast",IF(Ticket_Table[[#This Row],[resolution_hrs]]&lt;=24,"Normal",IF(Ticket_Table[[#This Row],[resolution_hrs]]&lt;=48,"Slow","Very Slow")))</f>
        <v>Very Slow</v>
      </c>
      <c r="Q4908" s="3">
        <f>YEAR(Ticket_Table[[#This Row],[raised_date]])</f>
        <v>2022</v>
      </c>
    </row>
    <row r="4909" spans="1:17">
      <c r="A4909" t="s">
        <v>5470</v>
      </c>
      <c r="B4909" t="s">
        <v>493</v>
      </c>
      <c r="C4909" t="s">
        <v>68</v>
      </c>
      <c r="D4909" t="s">
        <v>36</v>
      </c>
      <c r="E4909" t="s">
        <v>30</v>
      </c>
      <c r="F4909" t="s">
        <v>22</v>
      </c>
      <c r="G4909" t="s">
        <v>74</v>
      </c>
      <c r="H4909" s="1">
        <v>44308</v>
      </c>
      <c r="I4909" s="2">
        <v>44309.3291666667</v>
      </c>
      <c r="J4909">
        <v>31.9</v>
      </c>
      <c r="K4909" t="s">
        <v>24</v>
      </c>
      <c r="L4909">
        <v>3</v>
      </c>
      <c r="M4909">
        <v>1</v>
      </c>
      <c r="N4909" t="s">
        <v>620</v>
      </c>
      <c r="O4909" s="3" t="str">
        <f>TEXT(Ticket_Table[[#This Row],[raised_date]],"YYYY-MM")</f>
        <v>2021-04</v>
      </c>
      <c r="P4909" s="3" t="str">
        <f>IF(Ticket_Table[[#This Row],[resolution_hrs]]&lt;=4,"Fast",IF(Ticket_Table[[#This Row],[resolution_hrs]]&lt;=24,"Normal",IF(Ticket_Table[[#This Row],[resolution_hrs]]&lt;=48,"Slow","Very Slow")))</f>
        <v>Slow</v>
      </c>
      <c r="Q4909" s="3">
        <f>YEAR(Ticket_Table[[#This Row],[raised_date]])</f>
        <v>2021</v>
      </c>
    </row>
    <row r="4910" spans="1:17">
      <c r="A4910" t="s">
        <v>5471</v>
      </c>
      <c r="B4910" t="s">
        <v>454</v>
      </c>
      <c r="C4910" t="s">
        <v>78</v>
      </c>
      <c r="D4910" t="s">
        <v>36</v>
      </c>
      <c r="E4910" t="s">
        <v>166</v>
      </c>
      <c r="F4910" t="s">
        <v>22</v>
      </c>
      <c r="G4910" t="s">
        <v>23</v>
      </c>
      <c r="H4910" s="1">
        <v>44738</v>
      </c>
      <c r="I4910" s="2">
        <v>44742.1333333333</v>
      </c>
      <c r="J4910">
        <v>99.2</v>
      </c>
      <c r="K4910" t="s">
        <v>32</v>
      </c>
      <c r="L4910">
        <v>0</v>
      </c>
      <c r="M4910">
        <v>4</v>
      </c>
      <c r="N4910" t="s">
        <v>96</v>
      </c>
      <c r="O4910" s="3" t="str">
        <f>TEXT(Ticket_Table[[#This Row],[raised_date]],"YYYY-MM")</f>
        <v>2022-06</v>
      </c>
      <c r="P4910" s="3" t="str">
        <f>IF(Ticket_Table[[#This Row],[resolution_hrs]]&lt;=4,"Fast",IF(Ticket_Table[[#This Row],[resolution_hrs]]&lt;=24,"Normal",IF(Ticket_Table[[#This Row],[resolution_hrs]]&lt;=48,"Slow","Very Slow")))</f>
        <v>Very Slow</v>
      </c>
      <c r="Q4910" s="3">
        <f>YEAR(Ticket_Table[[#This Row],[raised_date]])</f>
        <v>2022</v>
      </c>
    </row>
    <row r="4911" spans="1:17">
      <c r="A4911" t="s">
        <v>5472</v>
      </c>
      <c r="B4911" t="s">
        <v>655</v>
      </c>
      <c r="C4911" t="s">
        <v>55</v>
      </c>
      <c r="D4911" t="s">
        <v>36</v>
      </c>
      <c r="E4911" t="s">
        <v>83</v>
      </c>
      <c r="F4911" t="s">
        <v>70</v>
      </c>
      <c r="G4911" t="s">
        <v>23</v>
      </c>
      <c r="H4911" s="1">
        <v>44434</v>
      </c>
      <c r="I4911" s="2">
        <v>44436.9666666667</v>
      </c>
      <c r="J4911">
        <v>71.2</v>
      </c>
      <c r="K4911" t="s">
        <v>32</v>
      </c>
      <c r="L4911">
        <v>2</v>
      </c>
      <c r="M4911">
        <v>3</v>
      </c>
      <c r="N4911" t="s">
        <v>1252</v>
      </c>
      <c r="O4911" s="3" t="str">
        <f>TEXT(Ticket_Table[[#This Row],[raised_date]],"YYYY-MM")</f>
        <v>2021-08</v>
      </c>
      <c r="P4911" s="3" t="str">
        <f>IF(Ticket_Table[[#This Row],[resolution_hrs]]&lt;=4,"Fast",IF(Ticket_Table[[#This Row],[resolution_hrs]]&lt;=24,"Normal",IF(Ticket_Table[[#This Row],[resolution_hrs]]&lt;=48,"Slow","Very Slow")))</f>
        <v>Very Slow</v>
      </c>
      <c r="Q4911" s="3">
        <f>YEAR(Ticket_Table[[#This Row],[raised_date]])</f>
        <v>2021</v>
      </c>
    </row>
    <row r="4912" spans="1:17">
      <c r="A4912" t="s">
        <v>5473</v>
      </c>
      <c r="B4912" t="s">
        <v>258</v>
      </c>
      <c r="C4912" t="s">
        <v>140</v>
      </c>
      <c r="D4912" t="s">
        <v>36</v>
      </c>
      <c r="E4912" t="s">
        <v>51</v>
      </c>
      <c r="F4912" t="s">
        <v>70</v>
      </c>
      <c r="G4912" t="s">
        <v>23</v>
      </c>
      <c r="H4912" s="1">
        <v>44304</v>
      </c>
      <c r="I4912" s="2">
        <v>44306.2708333333</v>
      </c>
      <c r="J4912">
        <v>54.5</v>
      </c>
      <c r="K4912" t="s">
        <v>32</v>
      </c>
      <c r="L4912">
        <v>0</v>
      </c>
      <c r="M4912">
        <v>3</v>
      </c>
      <c r="N4912" t="s">
        <v>200</v>
      </c>
      <c r="O4912" s="3" t="str">
        <f>TEXT(Ticket_Table[[#This Row],[raised_date]],"YYYY-MM")</f>
        <v>2021-04</v>
      </c>
      <c r="P4912" s="3" t="str">
        <f>IF(Ticket_Table[[#This Row],[resolution_hrs]]&lt;=4,"Fast",IF(Ticket_Table[[#This Row],[resolution_hrs]]&lt;=24,"Normal",IF(Ticket_Table[[#This Row],[resolution_hrs]]&lt;=48,"Slow","Very Slow")))</f>
        <v>Very Slow</v>
      </c>
      <c r="Q4912" s="3">
        <f>YEAR(Ticket_Table[[#This Row],[raised_date]])</f>
        <v>2021</v>
      </c>
    </row>
    <row r="4913" spans="1:17">
      <c r="A4913" t="s">
        <v>5474</v>
      </c>
      <c r="B4913" t="s">
        <v>1013</v>
      </c>
      <c r="C4913" t="s">
        <v>55</v>
      </c>
      <c r="D4913" t="s">
        <v>43</v>
      </c>
      <c r="E4913" t="s">
        <v>106</v>
      </c>
      <c r="F4913" t="s">
        <v>70</v>
      </c>
      <c r="G4913" t="s">
        <v>31</v>
      </c>
      <c r="H4913" s="1">
        <v>44540</v>
      </c>
      <c r="I4913" s="2">
        <v>44542.775</v>
      </c>
      <c r="J4913">
        <v>66.6</v>
      </c>
      <c r="K4913" t="s">
        <v>32</v>
      </c>
      <c r="L4913">
        <v>1</v>
      </c>
      <c r="M4913">
        <v>4</v>
      </c>
      <c r="N4913" t="s">
        <v>118</v>
      </c>
      <c r="O4913" s="3" t="str">
        <f>TEXT(Ticket_Table[[#This Row],[raised_date]],"YYYY-MM")</f>
        <v>2021-12</v>
      </c>
      <c r="P4913" s="3" t="str">
        <f>IF(Ticket_Table[[#This Row],[resolution_hrs]]&lt;=4,"Fast",IF(Ticket_Table[[#This Row],[resolution_hrs]]&lt;=24,"Normal",IF(Ticket_Table[[#This Row],[resolution_hrs]]&lt;=48,"Slow","Very Slow")))</f>
        <v>Very Slow</v>
      </c>
      <c r="Q4913" s="3">
        <f>YEAR(Ticket_Table[[#This Row],[raised_date]])</f>
        <v>2021</v>
      </c>
    </row>
    <row r="4914" spans="1:17">
      <c r="A4914" t="s">
        <v>5475</v>
      </c>
      <c r="B4914" t="s">
        <v>101</v>
      </c>
      <c r="C4914" t="s">
        <v>213</v>
      </c>
      <c r="D4914" t="s">
        <v>20</v>
      </c>
      <c r="E4914" t="s">
        <v>69</v>
      </c>
      <c r="F4914" t="s">
        <v>38</v>
      </c>
      <c r="G4914" t="s">
        <v>46</v>
      </c>
      <c r="H4914" s="1">
        <v>45147</v>
      </c>
      <c r="I4914" s="2">
        <v>45148.0125</v>
      </c>
      <c r="J4914">
        <v>24.3</v>
      </c>
      <c r="K4914" t="s">
        <v>32</v>
      </c>
      <c r="L4914">
        <v>0</v>
      </c>
      <c r="M4914">
        <v>4</v>
      </c>
      <c r="N4914" t="s">
        <v>854</v>
      </c>
      <c r="O4914" s="3" t="str">
        <f>TEXT(Ticket_Table[[#This Row],[raised_date]],"YYYY-MM")</f>
        <v>2023-08</v>
      </c>
      <c r="P4914" s="3" t="str">
        <f>IF(Ticket_Table[[#This Row],[resolution_hrs]]&lt;=4,"Fast",IF(Ticket_Table[[#This Row],[resolution_hrs]]&lt;=24,"Normal",IF(Ticket_Table[[#This Row],[resolution_hrs]]&lt;=48,"Slow","Very Slow")))</f>
        <v>Slow</v>
      </c>
      <c r="Q4914" s="3">
        <f>YEAR(Ticket_Table[[#This Row],[raised_date]])</f>
        <v>2023</v>
      </c>
    </row>
    <row r="4915" spans="1:17">
      <c r="A4915" t="s">
        <v>5476</v>
      </c>
      <c r="B4915" t="s">
        <v>491</v>
      </c>
      <c r="C4915" t="s">
        <v>55</v>
      </c>
      <c r="D4915" t="s">
        <v>20</v>
      </c>
      <c r="E4915" t="s">
        <v>37</v>
      </c>
      <c r="F4915" t="s">
        <v>38</v>
      </c>
      <c r="G4915" t="s">
        <v>31</v>
      </c>
      <c r="H4915" s="1">
        <v>45013</v>
      </c>
      <c r="I4915" s="2">
        <v>45013.2458333333</v>
      </c>
      <c r="J4915">
        <v>5.9</v>
      </c>
      <c r="K4915" t="s">
        <v>24</v>
      </c>
      <c r="L4915">
        <v>1</v>
      </c>
      <c r="M4915">
        <v>5</v>
      </c>
      <c r="N4915" t="s">
        <v>216</v>
      </c>
      <c r="O4915" s="3" t="str">
        <f>TEXT(Ticket_Table[[#This Row],[raised_date]],"YYYY-MM")</f>
        <v>2023-03</v>
      </c>
      <c r="P4915" s="3" t="str">
        <f>IF(Ticket_Table[[#This Row],[resolution_hrs]]&lt;=4,"Fast",IF(Ticket_Table[[#This Row],[resolution_hrs]]&lt;=24,"Normal",IF(Ticket_Table[[#This Row],[resolution_hrs]]&lt;=48,"Slow","Very Slow")))</f>
        <v>Normal</v>
      </c>
      <c r="Q4915" s="3">
        <f>YEAR(Ticket_Table[[#This Row],[raised_date]])</f>
        <v>2023</v>
      </c>
    </row>
    <row r="4916" spans="1:17">
      <c r="A4916" t="s">
        <v>5477</v>
      </c>
      <c r="B4916" t="s">
        <v>382</v>
      </c>
      <c r="C4916" t="s">
        <v>64</v>
      </c>
      <c r="D4916" t="s">
        <v>90</v>
      </c>
      <c r="E4916" t="s">
        <v>56</v>
      </c>
      <c r="F4916" t="s">
        <v>70</v>
      </c>
      <c r="G4916" t="s">
        <v>91</v>
      </c>
      <c r="H4916" s="1">
        <v>45172</v>
      </c>
      <c r="I4916" s="2">
        <v>45172.6541666667</v>
      </c>
      <c r="J4916">
        <v>15.7</v>
      </c>
      <c r="K4916" t="s">
        <v>24</v>
      </c>
      <c r="L4916">
        <v>0</v>
      </c>
      <c r="M4916">
        <v>5</v>
      </c>
      <c r="N4916" t="s">
        <v>733</v>
      </c>
      <c r="O4916" s="3" t="str">
        <f>TEXT(Ticket_Table[[#This Row],[raised_date]],"YYYY-MM")</f>
        <v>2023-09</v>
      </c>
      <c r="P4916" s="3" t="str">
        <f>IF(Ticket_Table[[#This Row],[resolution_hrs]]&lt;=4,"Fast",IF(Ticket_Table[[#This Row],[resolution_hrs]]&lt;=24,"Normal",IF(Ticket_Table[[#This Row],[resolution_hrs]]&lt;=48,"Slow","Very Slow")))</f>
        <v>Normal</v>
      </c>
      <c r="Q4916" s="3">
        <f>YEAR(Ticket_Table[[#This Row],[raised_date]])</f>
        <v>2023</v>
      </c>
    </row>
    <row r="4917" spans="1:17">
      <c r="A4917" t="s">
        <v>5478</v>
      </c>
      <c r="B4917" t="s">
        <v>922</v>
      </c>
      <c r="C4917" t="s">
        <v>82</v>
      </c>
      <c r="D4917" t="s">
        <v>20</v>
      </c>
      <c r="E4917" t="s">
        <v>69</v>
      </c>
      <c r="F4917" t="s">
        <v>22</v>
      </c>
      <c r="G4917" t="s">
        <v>74</v>
      </c>
      <c r="H4917" s="1">
        <v>44814</v>
      </c>
      <c r="I4917" s="2">
        <v>44817.7833333333</v>
      </c>
      <c r="J4917">
        <v>90.8</v>
      </c>
      <c r="K4917" t="s">
        <v>32</v>
      </c>
      <c r="L4917">
        <v>0</v>
      </c>
      <c r="M4917">
        <v>4</v>
      </c>
      <c r="N4917" t="s">
        <v>59</v>
      </c>
      <c r="O4917" s="3" t="str">
        <f>TEXT(Ticket_Table[[#This Row],[raised_date]],"YYYY-MM")</f>
        <v>2022-09</v>
      </c>
      <c r="P4917" s="3" t="str">
        <f>IF(Ticket_Table[[#This Row],[resolution_hrs]]&lt;=4,"Fast",IF(Ticket_Table[[#This Row],[resolution_hrs]]&lt;=24,"Normal",IF(Ticket_Table[[#This Row],[resolution_hrs]]&lt;=48,"Slow","Very Slow")))</f>
        <v>Very Slow</v>
      </c>
      <c r="Q4917" s="3">
        <f>YEAR(Ticket_Table[[#This Row],[raised_date]])</f>
        <v>2022</v>
      </c>
    </row>
    <row r="4918" spans="1:17">
      <c r="A4918" t="s">
        <v>5479</v>
      </c>
      <c r="B4918" t="s">
        <v>206</v>
      </c>
      <c r="C4918" t="s">
        <v>50</v>
      </c>
      <c r="D4918" t="s">
        <v>90</v>
      </c>
      <c r="E4918" t="s">
        <v>21</v>
      </c>
      <c r="F4918" t="s">
        <v>38</v>
      </c>
      <c r="G4918" t="s">
        <v>31</v>
      </c>
      <c r="H4918" s="1">
        <v>45172</v>
      </c>
      <c r="I4918" s="2">
        <v>45173.1416666667</v>
      </c>
      <c r="J4918">
        <v>27.4</v>
      </c>
      <c r="K4918" t="s">
        <v>32</v>
      </c>
      <c r="L4918">
        <v>0</v>
      </c>
      <c r="M4918">
        <v>2</v>
      </c>
      <c r="N4918" t="s">
        <v>1348</v>
      </c>
      <c r="O4918" s="3" t="str">
        <f>TEXT(Ticket_Table[[#This Row],[raised_date]],"YYYY-MM")</f>
        <v>2023-09</v>
      </c>
      <c r="P4918" s="3" t="str">
        <f>IF(Ticket_Table[[#This Row],[resolution_hrs]]&lt;=4,"Fast",IF(Ticket_Table[[#This Row],[resolution_hrs]]&lt;=24,"Normal",IF(Ticket_Table[[#This Row],[resolution_hrs]]&lt;=48,"Slow","Very Slow")))</f>
        <v>Slow</v>
      </c>
      <c r="Q4918" s="3">
        <f>YEAR(Ticket_Table[[#This Row],[raised_date]])</f>
        <v>2023</v>
      </c>
    </row>
    <row r="4919" spans="1:17">
      <c r="A4919" t="s">
        <v>5480</v>
      </c>
      <c r="B4919" t="s">
        <v>1582</v>
      </c>
      <c r="C4919" t="s">
        <v>55</v>
      </c>
      <c r="D4919" t="s">
        <v>20</v>
      </c>
      <c r="E4919" t="s">
        <v>44</v>
      </c>
      <c r="F4919" t="s">
        <v>70</v>
      </c>
      <c r="G4919" t="s">
        <v>23</v>
      </c>
      <c r="H4919" s="1">
        <v>45287</v>
      </c>
      <c r="I4919" s="2">
        <v>45287.1208333333</v>
      </c>
      <c r="J4919">
        <v>2.9</v>
      </c>
      <c r="K4919" t="s">
        <v>24</v>
      </c>
      <c r="L4919">
        <v>0</v>
      </c>
      <c r="M4919">
        <v>4</v>
      </c>
      <c r="N4919" t="s">
        <v>532</v>
      </c>
      <c r="O4919" s="3" t="str">
        <f>TEXT(Ticket_Table[[#This Row],[raised_date]],"YYYY-MM")</f>
        <v>2023-12</v>
      </c>
      <c r="P4919" s="3" t="str">
        <f>IF(Ticket_Table[[#This Row],[resolution_hrs]]&lt;=4,"Fast",IF(Ticket_Table[[#This Row],[resolution_hrs]]&lt;=24,"Normal",IF(Ticket_Table[[#This Row],[resolution_hrs]]&lt;=48,"Slow","Very Slow")))</f>
        <v>Fast</v>
      </c>
      <c r="Q4919" s="3">
        <f>YEAR(Ticket_Table[[#This Row],[raised_date]])</f>
        <v>2023</v>
      </c>
    </row>
    <row r="4920" spans="1:17">
      <c r="A4920" t="s">
        <v>5481</v>
      </c>
      <c r="B4920" t="s">
        <v>1202</v>
      </c>
      <c r="C4920" t="s">
        <v>78</v>
      </c>
      <c r="D4920" t="s">
        <v>29</v>
      </c>
      <c r="E4920" t="s">
        <v>37</v>
      </c>
      <c r="F4920" t="s">
        <v>70</v>
      </c>
      <c r="G4920" t="s">
        <v>23</v>
      </c>
      <c r="H4920" s="1">
        <v>44675</v>
      </c>
      <c r="I4920" s="2">
        <v>44677.7125</v>
      </c>
      <c r="J4920">
        <v>65.1</v>
      </c>
      <c r="K4920" t="s">
        <v>32</v>
      </c>
      <c r="L4920">
        <v>0</v>
      </c>
      <c r="M4920">
        <v>4</v>
      </c>
      <c r="N4920" t="s">
        <v>594</v>
      </c>
      <c r="O4920" s="3" t="str">
        <f>TEXT(Ticket_Table[[#This Row],[raised_date]],"YYYY-MM")</f>
        <v>2022-04</v>
      </c>
      <c r="P4920" s="3" t="str">
        <f>IF(Ticket_Table[[#This Row],[resolution_hrs]]&lt;=4,"Fast",IF(Ticket_Table[[#This Row],[resolution_hrs]]&lt;=24,"Normal",IF(Ticket_Table[[#This Row],[resolution_hrs]]&lt;=48,"Slow","Very Slow")))</f>
        <v>Very Slow</v>
      </c>
      <c r="Q4920" s="3">
        <f>YEAR(Ticket_Table[[#This Row],[raised_date]])</f>
        <v>2022</v>
      </c>
    </row>
    <row r="4921" spans="1:17">
      <c r="A4921" t="s">
        <v>5482</v>
      </c>
      <c r="B4921" t="s">
        <v>1058</v>
      </c>
      <c r="C4921" t="s">
        <v>68</v>
      </c>
      <c r="D4921" t="s">
        <v>29</v>
      </c>
      <c r="E4921" t="s">
        <v>106</v>
      </c>
      <c r="F4921" t="s">
        <v>70</v>
      </c>
      <c r="G4921" t="s">
        <v>46</v>
      </c>
      <c r="H4921" s="1">
        <v>44974</v>
      </c>
      <c r="I4921" s="2">
        <v>44976.8791666667</v>
      </c>
      <c r="J4921">
        <v>69.1</v>
      </c>
      <c r="K4921" t="s">
        <v>32</v>
      </c>
      <c r="L4921">
        <v>0</v>
      </c>
      <c r="M4921">
        <v>4</v>
      </c>
      <c r="N4921" t="s">
        <v>671</v>
      </c>
      <c r="O4921" s="3" t="str">
        <f>TEXT(Ticket_Table[[#This Row],[raised_date]],"YYYY-MM")</f>
        <v>2023-02</v>
      </c>
      <c r="P4921" s="3" t="str">
        <f>IF(Ticket_Table[[#This Row],[resolution_hrs]]&lt;=4,"Fast",IF(Ticket_Table[[#This Row],[resolution_hrs]]&lt;=24,"Normal",IF(Ticket_Table[[#This Row],[resolution_hrs]]&lt;=48,"Slow","Very Slow")))</f>
        <v>Very Slow</v>
      </c>
      <c r="Q4921" s="3">
        <f>YEAR(Ticket_Table[[#This Row],[raised_date]])</f>
        <v>2023</v>
      </c>
    </row>
    <row r="4922" spans="1:17">
      <c r="A4922" t="s">
        <v>5483</v>
      </c>
      <c r="B4922" t="s">
        <v>968</v>
      </c>
      <c r="C4922" t="s">
        <v>287</v>
      </c>
      <c r="D4922" t="s">
        <v>20</v>
      </c>
      <c r="E4922" t="s">
        <v>83</v>
      </c>
      <c r="F4922" t="s">
        <v>70</v>
      </c>
      <c r="G4922" t="s">
        <v>23</v>
      </c>
      <c r="H4922" s="1">
        <v>44995</v>
      </c>
      <c r="I4922" s="2">
        <v>44996.6375</v>
      </c>
      <c r="J4922">
        <v>39.3</v>
      </c>
      <c r="K4922" t="s">
        <v>24</v>
      </c>
      <c r="L4922">
        <v>0</v>
      </c>
      <c r="M4922">
        <v>3</v>
      </c>
      <c r="N4922" t="s">
        <v>161</v>
      </c>
      <c r="O4922" s="3" t="str">
        <f>TEXT(Ticket_Table[[#This Row],[raised_date]],"YYYY-MM")</f>
        <v>2023-03</v>
      </c>
      <c r="P4922" s="3" t="str">
        <f>IF(Ticket_Table[[#This Row],[resolution_hrs]]&lt;=4,"Fast",IF(Ticket_Table[[#This Row],[resolution_hrs]]&lt;=24,"Normal",IF(Ticket_Table[[#This Row],[resolution_hrs]]&lt;=48,"Slow","Very Slow")))</f>
        <v>Slow</v>
      </c>
      <c r="Q4922" s="3">
        <f>YEAR(Ticket_Table[[#This Row],[raised_date]])</f>
        <v>2023</v>
      </c>
    </row>
    <row r="4923" spans="1:17">
      <c r="A4923" t="s">
        <v>5484</v>
      </c>
      <c r="B4923" t="s">
        <v>956</v>
      </c>
      <c r="C4923" t="s">
        <v>19</v>
      </c>
      <c r="D4923" t="s">
        <v>43</v>
      </c>
      <c r="E4923" t="s">
        <v>51</v>
      </c>
      <c r="F4923" t="s">
        <v>45</v>
      </c>
      <c r="G4923" t="s">
        <v>91</v>
      </c>
      <c r="H4923" s="1">
        <v>45168</v>
      </c>
      <c r="I4923" s="2">
        <v>45168.2083333333</v>
      </c>
      <c r="J4923">
        <v>5</v>
      </c>
      <c r="K4923" t="s">
        <v>32</v>
      </c>
      <c r="L4923">
        <v>0</v>
      </c>
      <c r="M4923">
        <v>4</v>
      </c>
      <c r="N4923" t="s">
        <v>77</v>
      </c>
      <c r="O4923" s="3" t="str">
        <f>TEXT(Ticket_Table[[#This Row],[raised_date]],"YYYY-MM")</f>
        <v>2023-08</v>
      </c>
      <c r="P4923" s="3" t="str">
        <f>IF(Ticket_Table[[#This Row],[resolution_hrs]]&lt;=4,"Fast",IF(Ticket_Table[[#This Row],[resolution_hrs]]&lt;=24,"Normal",IF(Ticket_Table[[#This Row],[resolution_hrs]]&lt;=48,"Slow","Very Slow")))</f>
        <v>Normal</v>
      </c>
      <c r="Q4923" s="3">
        <f>YEAR(Ticket_Table[[#This Row],[raised_date]])</f>
        <v>2023</v>
      </c>
    </row>
    <row r="4924" spans="1:17">
      <c r="A4924" t="s">
        <v>5485</v>
      </c>
      <c r="B4924" t="s">
        <v>1064</v>
      </c>
      <c r="C4924" t="s">
        <v>60</v>
      </c>
      <c r="D4924" t="s">
        <v>90</v>
      </c>
      <c r="E4924" t="s">
        <v>21</v>
      </c>
      <c r="F4924" t="s">
        <v>22</v>
      </c>
      <c r="G4924" t="s">
        <v>46</v>
      </c>
      <c r="H4924" s="1">
        <v>44734</v>
      </c>
      <c r="I4924" s="2">
        <v>44734.0708333333</v>
      </c>
      <c r="J4924">
        <v>1.7</v>
      </c>
      <c r="K4924" t="s">
        <v>24</v>
      </c>
      <c r="L4924">
        <v>0</v>
      </c>
      <c r="M4924">
        <v>4</v>
      </c>
      <c r="N4924" t="s">
        <v>269</v>
      </c>
      <c r="O4924" s="3" t="str">
        <f>TEXT(Ticket_Table[[#This Row],[raised_date]],"YYYY-MM")</f>
        <v>2022-06</v>
      </c>
      <c r="P4924" s="3" t="str">
        <f>IF(Ticket_Table[[#This Row],[resolution_hrs]]&lt;=4,"Fast",IF(Ticket_Table[[#This Row],[resolution_hrs]]&lt;=24,"Normal",IF(Ticket_Table[[#This Row],[resolution_hrs]]&lt;=48,"Slow","Very Slow")))</f>
        <v>Fast</v>
      </c>
      <c r="Q4924" s="3">
        <f>YEAR(Ticket_Table[[#This Row],[raised_date]])</f>
        <v>2022</v>
      </c>
    </row>
    <row r="4925" spans="1:17">
      <c r="A4925" t="s">
        <v>5486</v>
      </c>
      <c r="B4925" t="s">
        <v>434</v>
      </c>
      <c r="C4925" t="s">
        <v>64</v>
      </c>
      <c r="D4925" t="s">
        <v>20</v>
      </c>
      <c r="E4925" t="s">
        <v>37</v>
      </c>
      <c r="F4925" t="s">
        <v>38</v>
      </c>
      <c r="G4925" t="s">
        <v>46</v>
      </c>
      <c r="H4925" s="1">
        <v>44494</v>
      </c>
      <c r="I4925" s="2">
        <v>44495.2541666667</v>
      </c>
      <c r="J4925">
        <v>30.1</v>
      </c>
      <c r="K4925" t="s">
        <v>32</v>
      </c>
      <c r="L4925">
        <v>0</v>
      </c>
      <c r="M4925">
        <v>3</v>
      </c>
      <c r="N4925" t="s">
        <v>929</v>
      </c>
      <c r="O4925" s="3" t="str">
        <f>TEXT(Ticket_Table[[#This Row],[raised_date]],"YYYY-MM")</f>
        <v>2021-10</v>
      </c>
      <c r="P4925" s="3" t="str">
        <f>IF(Ticket_Table[[#This Row],[resolution_hrs]]&lt;=4,"Fast",IF(Ticket_Table[[#This Row],[resolution_hrs]]&lt;=24,"Normal",IF(Ticket_Table[[#This Row],[resolution_hrs]]&lt;=48,"Slow","Very Slow")))</f>
        <v>Slow</v>
      </c>
      <c r="Q4925" s="3">
        <f>YEAR(Ticket_Table[[#This Row],[raised_date]])</f>
        <v>2021</v>
      </c>
    </row>
    <row r="4926" spans="1:17">
      <c r="A4926" t="s">
        <v>5487</v>
      </c>
      <c r="B4926" t="s">
        <v>1016</v>
      </c>
      <c r="C4926" t="s">
        <v>50</v>
      </c>
      <c r="D4926" t="s">
        <v>90</v>
      </c>
      <c r="E4926" t="s">
        <v>37</v>
      </c>
      <c r="F4926" t="s">
        <v>22</v>
      </c>
      <c r="G4926" t="s">
        <v>46</v>
      </c>
      <c r="H4926" s="1">
        <v>45283</v>
      </c>
      <c r="I4926" s="2">
        <v>45283.1583333333</v>
      </c>
      <c r="J4926">
        <v>3.8</v>
      </c>
      <c r="K4926" t="s">
        <v>24</v>
      </c>
      <c r="L4926">
        <v>1</v>
      </c>
      <c r="M4926">
        <v>4</v>
      </c>
      <c r="N4926" t="s">
        <v>343</v>
      </c>
      <c r="O4926" s="3" t="str">
        <f>TEXT(Ticket_Table[[#This Row],[raised_date]],"YYYY-MM")</f>
        <v>2023-12</v>
      </c>
      <c r="P4926" s="3" t="str">
        <f>IF(Ticket_Table[[#This Row],[resolution_hrs]]&lt;=4,"Fast",IF(Ticket_Table[[#This Row],[resolution_hrs]]&lt;=24,"Normal",IF(Ticket_Table[[#This Row],[resolution_hrs]]&lt;=48,"Slow","Very Slow")))</f>
        <v>Fast</v>
      </c>
      <c r="Q4926" s="3">
        <f>YEAR(Ticket_Table[[#This Row],[raised_date]])</f>
        <v>2023</v>
      </c>
    </row>
    <row r="4927" spans="1:17">
      <c r="A4927" t="s">
        <v>5488</v>
      </c>
      <c r="B4927" t="s">
        <v>198</v>
      </c>
      <c r="C4927" t="s">
        <v>102</v>
      </c>
      <c r="D4927" t="s">
        <v>36</v>
      </c>
      <c r="E4927" t="s">
        <v>44</v>
      </c>
      <c r="F4927" t="s">
        <v>45</v>
      </c>
      <c r="G4927" t="s">
        <v>23</v>
      </c>
      <c r="H4927" s="1">
        <v>45087</v>
      </c>
      <c r="I4927" s="2">
        <v>45087.0833333333</v>
      </c>
      <c r="J4927">
        <v>2</v>
      </c>
      <c r="K4927" t="s">
        <v>24</v>
      </c>
      <c r="L4927">
        <v>0</v>
      </c>
      <c r="M4927">
        <v>2</v>
      </c>
      <c r="N4927" t="s">
        <v>105</v>
      </c>
      <c r="O4927" s="3" t="str">
        <f>TEXT(Ticket_Table[[#This Row],[raised_date]],"YYYY-MM")</f>
        <v>2023-06</v>
      </c>
      <c r="P4927" s="3" t="str">
        <f>IF(Ticket_Table[[#This Row],[resolution_hrs]]&lt;=4,"Fast",IF(Ticket_Table[[#This Row],[resolution_hrs]]&lt;=24,"Normal",IF(Ticket_Table[[#This Row],[resolution_hrs]]&lt;=48,"Slow","Very Slow")))</f>
        <v>Fast</v>
      </c>
      <c r="Q4927" s="3">
        <f>YEAR(Ticket_Table[[#This Row],[raised_date]])</f>
        <v>2023</v>
      </c>
    </row>
    <row r="4928" spans="1:17">
      <c r="A4928" t="s">
        <v>5489</v>
      </c>
      <c r="B4928" t="s">
        <v>581</v>
      </c>
      <c r="C4928" t="s">
        <v>95</v>
      </c>
      <c r="D4928" t="s">
        <v>20</v>
      </c>
      <c r="E4928" t="s">
        <v>166</v>
      </c>
      <c r="F4928" t="s">
        <v>22</v>
      </c>
      <c r="G4928" t="s">
        <v>31</v>
      </c>
      <c r="H4928" s="1">
        <v>44221</v>
      </c>
      <c r="I4928" s="2">
        <v>44225.2416666667</v>
      </c>
      <c r="J4928">
        <v>101.8</v>
      </c>
      <c r="K4928" t="s">
        <v>32</v>
      </c>
      <c r="L4928">
        <v>0</v>
      </c>
      <c r="M4928">
        <v>4</v>
      </c>
      <c r="N4928" t="s">
        <v>1180</v>
      </c>
      <c r="O4928" s="3" t="str">
        <f>TEXT(Ticket_Table[[#This Row],[raised_date]],"YYYY-MM")</f>
        <v>2021-01</v>
      </c>
      <c r="P4928" s="3" t="str">
        <f>IF(Ticket_Table[[#This Row],[resolution_hrs]]&lt;=4,"Fast",IF(Ticket_Table[[#This Row],[resolution_hrs]]&lt;=24,"Normal",IF(Ticket_Table[[#This Row],[resolution_hrs]]&lt;=48,"Slow","Very Slow")))</f>
        <v>Very Slow</v>
      </c>
      <c r="Q4928" s="3">
        <f>YEAR(Ticket_Table[[#This Row],[raised_date]])</f>
        <v>2021</v>
      </c>
    </row>
    <row r="4929" spans="1:17">
      <c r="A4929" t="s">
        <v>5490</v>
      </c>
      <c r="B4929" t="s">
        <v>39</v>
      </c>
      <c r="C4929" t="s">
        <v>95</v>
      </c>
      <c r="D4929" t="s">
        <v>43</v>
      </c>
      <c r="E4929" t="s">
        <v>21</v>
      </c>
      <c r="F4929" t="s">
        <v>22</v>
      </c>
      <c r="G4929" t="s">
        <v>23</v>
      </c>
      <c r="H4929" s="1">
        <v>44788</v>
      </c>
      <c r="I4929" s="2">
        <v>44790.5875</v>
      </c>
      <c r="J4929">
        <v>62.1</v>
      </c>
      <c r="K4929" t="s">
        <v>24</v>
      </c>
      <c r="L4929">
        <v>0</v>
      </c>
      <c r="M4929">
        <v>4</v>
      </c>
      <c r="N4929" t="s">
        <v>640</v>
      </c>
      <c r="O4929" s="3" t="str">
        <f>TEXT(Ticket_Table[[#This Row],[raised_date]],"YYYY-MM")</f>
        <v>2022-08</v>
      </c>
      <c r="P4929" s="3" t="str">
        <f>IF(Ticket_Table[[#This Row],[resolution_hrs]]&lt;=4,"Fast",IF(Ticket_Table[[#This Row],[resolution_hrs]]&lt;=24,"Normal",IF(Ticket_Table[[#This Row],[resolution_hrs]]&lt;=48,"Slow","Very Slow")))</f>
        <v>Very Slow</v>
      </c>
      <c r="Q4929" s="3">
        <f>YEAR(Ticket_Table[[#This Row],[raised_date]])</f>
        <v>2022</v>
      </c>
    </row>
    <row r="4930" spans="1:17">
      <c r="A4930" t="s">
        <v>5491</v>
      </c>
      <c r="B4930" t="s">
        <v>308</v>
      </c>
      <c r="C4930" t="s">
        <v>68</v>
      </c>
      <c r="D4930" t="s">
        <v>36</v>
      </c>
      <c r="E4930" t="s">
        <v>44</v>
      </c>
      <c r="F4930" t="s">
        <v>70</v>
      </c>
      <c r="G4930" t="s">
        <v>46</v>
      </c>
      <c r="H4930" s="1">
        <v>45116</v>
      </c>
      <c r="I4930" s="2">
        <v>45118.2083333333</v>
      </c>
      <c r="J4930">
        <v>53</v>
      </c>
      <c r="K4930" t="s">
        <v>32</v>
      </c>
      <c r="L4930">
        <v>1</v>
      </c>
      <c r="M4930">
        <v>3</v>
      </c>
      <c r="N4930" t="s">
        <v>970</v>
      </c>
      <c r="O4930" s="3" t="str">
        <f>TEXT(Ticket_Table[[#This Row],[raised_date]],"YYYY-MM")</f>
        <v>2023-07</v>
      </c>
      <c r="P4930" s="3" t="str">
        <f>IF(Ticket_Table[[#This Row],[resolution_hrs]]&lt;=4,"Fast",IF(Ticket_Table[[#This Row],[resolution_hrs]]&lt;=24,"Normal",IF(Ticket_Table[[#This Row],[resolution_hrs]]&lt;=48,"Slow","Very Slow")))</f>
        <v>Very Slow</v>
      </c>
      <c r="Q4930" s="3">
        <f>YEAR(Ticket_Table[[#This Row],[raised_date]])</f>
        <v>2023</v>
      </c>
    </row>
    <row r="4931" spans="1:17">
      <c r="A4931" t="s">
        <v>5492</v>
      </c>
      <c r="B4931" t="s">
        <v>256</v>
      </c>
      <c r="C4931" t="s">
        <v>50</v>
      </c>
      <c r="D4931" t="s">
        <v>20</v>
      </c>
      <c r="E4931" t="s">
        <v>69</v>
      </c>
      <c r="F4931" t="s">
        <v>70</v>
      </c>
      <c r="G4931" t="s">
        <v>23</v>
      </c>
      <c r="H4931" s="1">
        <v>44979</v>
      </c>
      <c r="I4931" s="2">
        <v>44980.5833333333</v>
      </c>
      <c r="J4931">
        <v>38</v>
      </c>
      <c r="K4931" t="s">
        <v>24</v>
      </c>
      <c r="L4931">
        <v>0</v>
      </c>
      <c r="M4931">
        <v>5</v>
      </c>
      <c r="N4931" t="s">
        <v>73</v>
      </c>
      <c r="O4931" s="3" t="str">
        <f>TEXT(Ticket_Table[[#This Row],[raised_date]],"YYYY-MM")</f>
        <v>2023-02</v>
      </c>
      <c r="P4931" s="3" t="str">
        <f>IF(Ticket_Table[[#This Row],[resolution_hrs]]&lt;=4,"Fast",IF(Ticket_Table[[#This Row],[resolution_hrs]]&lt;=24,"Normal",IF(Ticket_Table[[#This Row],[resolution_hrs]]&lt;=48,"Slow","Very Slow")))</f>
        <v>Slow</v>
      </c>
      <c r="Q4931" s="3">
        <f>YEAR(Ticket_Table[[#This Row],[raised_date]])</f>
        <v>2023</v>
      </c>
    </row>
    <row r="4932" spans="1:17">
      <c r="A4932" t="s">
        <v>5493</v>
      </c>
      <c r="B4932" t="s">
        <v>423</v>
      </c>
      <c r="C4932" t="s">
        <v>78</v>
      </c>
      <c r="D4932" t="s">
        <v>29</v>
      </c>
      <c r="E4932" t="s">
        <v>21</v>
      </c>
      <c r="F4932" t="s">
        <v>22</v>
      </c>
      <c r="G4932" t="s">
        <v>23</v>
      </c>
      <c r="H4932" s="1">
        <v>44843</v>
      </c>
      <c r="I4932" s="2">
        <v>44846.7458333333</v>
      </c>
      <c r="J4932">
        <v>89.9</v>
      </c>
      <c r="K4932" t="s">
        <v>32</v>
      </c>
      <c r="L4932">
        <v>1</v>
      </c>
      <c r="M4932">
        <v>5</v>
      </c>
      <c r="N4932" t="s">
        <v>27</v>
      </c>
      <c r="O4932" s="3" t="str">
        <f>TEXT(Ticket_Table[[#This Row],[raised_date]],"YYYY-MM")</f>
        <v>2022-10</v>
      </c>
      <c r="P4932" s="3" t="str">
        <f>IF(Ticket_Table[[#This Row],[resolution_hrs]]&lt;=4,"Fast",IF(Ticket_Table[[#This Row],[resolution_hrs]]&lt;=24,"Normal",IF(Ticket_Table[[#This Row],[resolution_hrs]]&lt;=48,"Slow","Very Slow")))</f>
        <v>Very Slow</v>
      </c>
      <c r="Q4932" s="3">
        <f>YEAR(Ticket_Table[[#This Row],[raised_date]])</f>
        <v>2022</v>
      </c>
    </row>
    <row r="4933" spans="1:17">
      <c r="A4933" t="s">
        <v>5494</v>
      </c>
      <c r="B4933" t="s">
        <v>423</v>
      </c>
      <c r="C4933" t="s">
        <v>133</v>
      </c>
      <c r="D4933" t="s">
        <v>20</v>
      </c>
      <c r="E4933" t="s">
        <v>51</v>
      </c>
      <c r="F4933" t="s">
        <v>70</v>
      </c>
      <c r="G4933" t="s">
        <v>74</v>
      </c>
      <c r="H4933" s="1">
        <v>45282</v>
      </c>
      <c r="I4933" s="2">
        <v>45282.9125</v>
      </c>
      <c r="J4933">
        <v>21.9</v>
      </c>
      <c r="K4933" t="s">
        <v>24</v>
      </c>
      <c r="L4933">
        <v>0</v>
      </c>
      <c r="M4933">
        <v>3</v>
      </c>
      <c r="N4933" t="s">
        <v>857</v>
      </c>
      <c r="O4933" s="3" t="str">
        <f>TEXT(Ticket_Table[[#This Row],[raised_date]],"YYYY-MM")</f>
        <v>2023-12</v>
      </c>
      <c r="P4933" s="3" t="str">
        <f>IF(Ticket_Table[[#This Row],[resolution_hrs]]&lt;=4,"Fast",IF(Ticket_Table[[#This Row],[resolution_hrs]]&lt;=24,"Normal",IF(Ticket_Table[[#This Row],[resolution_hrs]]&lt;=48,"Slow","Very Slow")))</f>
        <v>Normal</v>
      </c>
      <c r="Q4933" s="3">
        <f>YEAR(Ticket_Table[[#This Row],[raised_date]])</f>
        <v>2023</v>
      </c>
    </row>
    <row r="4934" spans="1:17">
      <c r="A4934" t="s">
        <v>5495</v>
      </c>
      <c r="B4934" t="s">
        <v>27</v>
      </c>
      <c r="C4934" t="s">
        <v>140</v>
      </c>
      <c r="D4934" t="s">
        <v>29</v>
      </c>
      <c r="E4934" t="s">
        <v>56</v>
      </c>
      <c r="F4934" t="s">
        <v>70</v>
      </c>
      <c r="G4934" t="s">
        <v>23</v>
      </c>
      <c r="H4934" s="1">
        <v>44281</v>
      </c>
      <c r="I4934" s="2">
        <v>44281.3666666667</v>
      </c>
      <c r="J4934">
        <v>8.8</v>
      </c>
      <c r="K4934" t="s">
        <v>24</v>
      </c>
      <c r="L4934">
        <v>1</v>
      </c>
      <c r="M4934">
        <v>2</v>
      </c>
      <c r="N4934" t="s">
        <v>347</v>
      </c>
      <c r="O4934" s="3" t="str">
        <f>TEXT(Ticket_Table[[#This Row],[raised_date]],"YYYY-MM")</f>
        <v>2021-03</v>
      </c>
      <c r="P4934" s="3" t="str">
        <f>IF(Ticket_Table[[#This Row],[resolution_hrs]]&lt;=4,"Fast",IF(Ticket_Table[[#This Row],[resolution_hrs]]&lt;=24,"Normal",IF(Ticket_Table[[#This Row],[resolution_hrs]]&lt;=48,"Slow","Very Slow")))</f>
        <v>Normal</v>
      </c>
      <c r="Q4934" s="3">
        <f>YEAR(Ticket_Table[[#This Row],[raised_date]])</f>
        <v>2021</v>
      </c>
    </row>
    <row r="4935" spans="1:17">
      <c r="A4935" t="s">
        <v>5496</v>
      </c>
      <c r="B4935" t="s">
        <v>325</v>
      </c>
      <c r="C4935" t="s">
        <v>19</v>
      </c>
      <c r="D4935" t="s">
        <v>29</v>
      </c>
      <c r="E4935" t="s">
        <v>69</v>
      </c>
      <c r="F4935" t="s">
        <v>22</v>
      </c>
      <c r="G4935" t="s">
        <v>46</v>
      </c>
      <c r="H4935" s="1">
        <v>44396</v>
      </c>
      <c r="I4935" s="2">
        <v>44399.1916666667</v>
      </c>
      <c r="J4935">
        <v>76.6</v>
      </c>
      <c r="K4935" t="s">
        <v>32</v>
      </c>
      <c r="L4935">
        <v>0</v>
      </c>
      <c r="M4935">
        <v>4</v>
      </c>
      <c r="N4935" t="s">
        <v>75</v>
      </c>
      <c r="O4935" s="3" t="str">
        <f>TEXT(Ticket_Table[[#This Row],[raised_date]],"YYYY-MM")</f>
        <v>2021-07</v>
      </c>
      <c r="P4935" s="3" t="str">
        <f>IF(Ticket_Table[[#This Row],[resolution_hrs]]&lt;=4,"Fast",IF(Ticket_Table[[#This Row],[resolution_hrs]]&lt;=24,"Normal",IF(Ticket_Table[[#This Row],[resolution_hrs]]&lt;=48,"Slow","Very Slow")))</f>
        <v>Very Slow</v>
      </c>
      <c r="Q4935" s="3">
        <f>YEAR(Ticket_Table[[#This Row],[raised_date]])</f>
        <v>2021</v>
      </c>
    </row>
    <row r="4936" spans="1:17">
      <c r="A4936" t="s">
        <v>5497</v>
      </c>
      <c r="B4936" t="s">
        <v>687</v>
      </c>
      <c r="C4936" t="s">
        <v>42</v>
      </c>
      <c r="D4936" t="s">
        <v>20</v>
      </c>
      <c r="E4936" t="s">
        <v>51</v>
      </c>
      <c r="F4936" t="s">
        <v>70</v>
      </c>
      <c r="G4936" t="s">
        <v>31</v>
      </c>
      <c r="H4936" s="1">
        <v>45285</v>
      </c>
      <c r="I4936" s="2">
        <v>45287.5416666667</v>
      </c>
      <c r="J4936">
        <v>61</v>
      </c>
      <c r="K4936" t="s">
        <v>32</v>
      </c>
      <c r="L4936">
        <v>1</v>
      </c>
      <c r="M4936">
        <v>4</v>
      </c>
      <c r="N4936" t="s">
        <v>496</v>
      </c>
      <c r="O4936" s="3" t="str">
        <f>TEXT(Ticket_Table[[#This Row],[raised_date]],"YYYY-MM")</f>
        <v>2023-12</v>
      </c>
      <c r="P4936" s="3" t="str">
        <f>IF(Ticket_Table[[#This Row],[resolution_hrs]]&lt;=4,"Fast",IF(Ticket_Table[[#This Row],[resolution_hrs]]&lt;=24,"Normal",IF(Ticket_Table[[#This Row],[resolution_hrs]]&lt;=48,"Slow","Very Slow")))</f>
        <v>Very Slow</v>
      </c>
      <c r="Q4936" s="3">
        <f>YEAR(Ticket_Table[[#This Row],[raised_date]])</f>
        <v>2023</v>
      </c>
    </row>
    <row r="4937" spans="1:17">
      <c r="A4937" t="s">
        <v>5498</v>
      </c>
      <c r="B4937" t="s">
        <v>307</v>
      </c>
      <c r="C4937" t="s">
        <v>213</v>
      </c>
      <c r="D4937" t="s">
        <v>20</v>
      </c>
      <c r="E4937" t="s">
        <v>83</v>
      </c>
      <c r="F4937" t="s">
        <v>38</v>
      </c>
      <c r="G4937" t="s">
        <v>23</v>
      </c>
      <c r="H4937" s="1">
        <v>44921</v>
      </c>
      <c r="I4937" s="2">
        <v>44921.6916666667</v>
      </c>
      <c r="J4937">
        <v>16.6</v>
      </c>
      <c r="K4937" t="s">
        <v>24</v>
      </c>
      <c r="L4937">
        <v>0</v>
      </c>
      <c r="M4937">
        <v>4</v>
      </c>
      <c r="N4937" t="s">
        <v>221</v>
      </c>
      <c r="O4937" s="3" t="str">
        <f>TEXT(Ticket_Table[[#This Row],[raised_date]],"YYYY-MM")</f>
        <v>2022-12</v>
      </c>
      <c r="P4937" s="3" t="str">
        <f>IF(Ticket_Table[[#This Row],[resolution_hrs]]&lt;=4,"Fast",IF(Ticket_Table[[#This Row],[resolution_hrs]]&lt;=24,"Normal",IF(Ticket_Table[[#This Row],[resolution_hrs]]&lt;=48,"Slow","Very Slow")))</f>
        <v>Normal</v>
      </c>
      <c r="Q4937" s="3">
        <f>YEAR(Ticket_Table[[#This Row],[raised_date]])</f>
        <v>2022</v>
      </c>
    </row>
    <row r="4938" spans="1:17">
      <c r="A4938" t="s">
        <v>5499</v>
      </c>
      <c r="B4938" t="s">
        <v>950</v>
      </c>
      <c r="C4938" t="s">
        <v>95</v>
      </c>
      <c r="D4938" t="s">
        <v>29</v>
      </c>
      <c r="E4938" t="s">
        <v>44</v>
      </c>
      <c r="F4938" t="s">
        <v>38</v>
      </c>
      <c r="G4938" t="s">
        <v>31</v>
      </c>
      <c r="H4938" s="1">
        <v>45081</v>
      </c>
      <c r="I4938" s="2">
        <v>45081.6708333333</v>
      </c>
      <c r="J4938">
        <v>16.1</v>
      </c>
      <c r="K4938" t="s">
        <v>24</v>
      </c>
      <c r="L4938">
        <v>0</v>
      </c>
      <c r="M4938">
        <v>4</v>
      </c>
      <c r="N4938" t="s">
        <v>981</v>
      </c>
      <c r="O4938" s="3" t="str">
        <f>TEXT(Ticket_Table[[#This Row],[raised_date]],"YYYY-MM")</f>
        <v>2023-06</v>
      </c>
      <c r="P4938" s="3" t="str">
        <f>IF(Ticket_Table[[#This Row],[resolution_hrs]]&lt;=4,"Fast",IF(Ticket_Table[[#This Row],[resolution_hrs]]&lt;=24,"Normal",IF(Ticket_Table[[#This Row],[resolution_hrs]]&lt;=48,"Slow","Very Slow")))</f>
        <v>Normal</v>
      </c>
      <c r="Q4938" s="3">
        <f>YEAR(Ticket_Table[[#This Row],[raised_date]])</f>
        <v>2023</v>
      </c>
    </row>
    <row r="4939" spans="1:17">
      <c r="A4939" t="s">
        <v>5500</v>
      </c>
      <c r="B4939" t="s">
        <v>579</v>
      </c>
      <c r="C4939" t="s">
        <v>68</v>
      </c>
      <c r="D4939" t="s">
        <v>90</v>
      </c>
      <c r="E4939" t="s">
        <v>51</v>
      </c>
      <c r="F4939" t="s">
        <v>38</v>
      </c>
      <c r="G4939" t="s">
        <v>91</v>
      </c>
      <c r="H4939" s="1">
        <v>44755</v>
      </c>
      <c r="I4939" s="2">
        <v>44755.425</v>
      </c>
      <c r="J4939">
        <v>10.2</v>
      </c>
      <c r="K4939" t="s">
        <v>24</v>
      </c>
      <c r="L4939">
        <v>0</v>
      </c>
      <c r="M4939">
        <v>5</v>
      </c>
      <c r="N4939" t="s">
        <v>434</v>
      </c>
      <c r="O4939" s="3" t="str">
        <f>TEXT(Ticket_Table[[#This Row],[raised_date]],"YYYY-MM")</f>
        <v>2022-07</v>
      </c>
      <c r="P4939" s="3" t="str">
        <f>IF(Ticket_Table[[#This Row],[resolution_hrs]]&lt;=4,"Fast",IF(Ticket_Table[[#This Row],[resolution_hrs]]&lt;=24,"Normal",IF(Ticket_Table[[#This Row],[resolution_hrs]]&lt;=48,"Slow","Very Slow")))</f>
        <v>Normal</v>
      </c>
      <c r="Q4939" s="3">
        <f>YEAR(Ticket_Table[[#This Row],[raised_date]])</f>
        <v>2022</v>
      </c>
    </row>
    <row r="4940" spans="1:17">
      <c r="A4940" t="s">
        <v>5501</v>
      </c>
      <c r="B4940" t="s">
        <v>772</v>
      </c>
      <c r="C4940" t="s">
        <v>213</v>
      </c>
      <c r="D4940" t="s">
        <v>36</v>
      </c>
      <c r="E4940" t="s">
        <v>166</v>
      </c>
      <c r="F4940" t="s">
        <v>38</v>
      </c>
      <c r="G4940" t="s">
        <v>31</v>
      </c>
      <c r="H4940" s="1">
        <v>44883</v>
      </c>
      <c r="I4940" s="2">
        <v>44884.3041666667</v>
      </c>
      <c r="J4940">
        <v>31.3</v>
      </c>
      <c r="K4940" t="s">
        <v>32</v>
      </c>
      <c r="L4940">
        <v>2</v>
      </c>
      <c r="M4940">
        <v>4</v>
      </c>
      <c r="N4940" t="s">
        <v>380</v>
      </c>
      <c r="O4940" s="3" t="str">
        <f>TEXT(Ticket_Table[[#This Row],[raised_date]],"YYYY-MM")</f>
        <v>2022-11</v>
      </c>
      <c r="P4940" s="3" t="str">
        <f>IF(Ticket_Table[[#This Row],[resolution_hrs]]&lt;=4,"Fast",IF(Ticket_Table[[#This Row],[resolution_hrs]]&lt;=24,"Normal",IF(Ticket_Table[[#This Row],[resolution_hrs]]&lt;=48,"Slow","Very Slow")))</f>
        <v>Slow</v>
      </c>
      <c r="Q4940" s="3">
        <f>YEAR(Ticket_Table[[#This Row],[raised_date]])</f>
        <v>2022</v>
      </c>
    </row>
    <row r="4941" spans="1:17">
      <c r="A4941" t="s">
        <v>5502</v>
      </c>
      <c r="B4941" t="s">
        <v>811</v>
      </c>
      <c r="C4941" t="s">
        <v>287</v>
      </c>
      <c r="D4941" t="s">
        <v>43</v>
      </c>
      <c r="E4941" t="s">
        <v>30</v>
      </c>
      <c r="F4941" t="s">
        <v>70</v>
      </c>
      <c r="G4941" t="s">
        <v>46</v>
      </c>
      <c r="H4941" s="1">
        <v>44750</v>
      </c>
      <c r="I4941" s="2">
        <v>44752.9791666667</v>
      </c>
      <c r="J4941">
        <v>71.5</v>
      </c>
      <c r="K4941" t="s">
        <v>32</v>
      </c>
      <c r="L4941">
        <v>1</v>
      </c>
      <c r="M4941">
        <v>1</v>
      </c>
      <c r="N4941" t="s">
        <v>1195</v>
      </c>
      <c r="O4941" s="3" t="str">
        <f>TEXT(Ticket_Table[[#This Row],[raised_date]],"YYYY-MM")</f>
        <v>2022-07</v>
      </c>
      <c r="P4941" s="3" t="str">
        <f>IF(Ticket_Table[[#This Row],[resolution_hrs]]&lt;=4,"Fast",IF(Ticket_Table[[#This Row],[resolution_hrs]]&lt;=24,"Normal",IF(Ticket_Table[[#This Row],[resolution_hrs]]&lt;=48,"Slow","Very Slow")))</f>
        <v>Very Slow</v>
      </c>
      <c r="Q4941" s="3">
        <f>YEAR(Ticket_Table[[#This Row],[raised_date]])</f>
        <v>2022</v>
      </c>
    </row>
    <row r="4942" spans="1:17">
      <c r="A4942" t="s">
        <v>5503</v>
      </c>
      <c r="B4942" t="s">
        <v>259</v>
      </c>
      <c r="C4942" t="s">
        <v>95</v>
      </c>
      <c r="D4942" t="s">
        <v>20</v>
      </c>
      <c r="E4942" t="s">
        <v>56</v>
      </c>
      <c r="F4942" t="s">
        <v>22</v>
      </c>
      <c r="G4942" t="s">
        <v>31</v>
      </c>
      <c r="H4942" s="1">
        <v>44743</v>
      </c>
      <c r="I4942" s="2">
        <v>44746.3041666667</v>
      </c>
      <c r="J4942">
        <v>79.3</v>
      </c>
      <c r="K4942" t="s">
        <v>32</v>
      </c>
      <c r="L4942">
        <v>1</v>
      </c>
      <c r="M4942">
        <v>4</v>
      </c>
      <c r="N4942" t="s">
        <v>493</v>
      </c>
      <c r="O4942" s="3" t="str">
        <f>TEXT(Ticket_Table[[#This Row],[raised_date]],"YYYY-MM")</f>
        <v>2022-07</v>
      </c>
      <c r="P4942" s="3" t="str">
        <f>IF(Ticket_Table[[#This Row],[resolution_hrs]]&lt;=4,"Fast",IF(Ticket_Table[[#This Row],[resolution_hrs]]&lt;=24,"Normal",IF(Ticket_Table[[#This Row],[resolution_hrs]]&lt;=48,"Slow","Very Slow")))</f>
        <v>Very Slow</v>
      </c>
      <c r="Q4942" s="3">
        <f>YEAR(Ticket_Table[[#This Row],[raised_date]])</f>
        <v>2022</v>
      </c>
    </row>
    <row r="4943" spans="1:17">
      <c r="A4943" t="s">
        <v>5504</v>
      </c>
      <c r="B4943" t="s">
        <v>114</v>
      </c>
      <c r="C4943" t="s">
        <v>64</v>
      </c>
      <c r="D4943" t="s">
        <v>36</v>
      </c>
      <c r="E4943" t="s">
        <v>83</v>
      </c>
      <c r="F4943" t="s">
        <v>22</v>
      </c>
      <c r="G4943" t="s">
        <v>31</v>
      </c>
      <c r="H4943" s="1">
        <v>44398</v>
      </c>
      <c r="I4943" s="2">
        <v>44398.5625</v>
      </c>
      <c r="J4943">
        <v>13.5</v>
      </c>
      <c r="K4943" t="s">
        <v>24</v>
      </c>
      <c r="L4943">
        <v>0</v>
      </c>
      <c r="M4943">
        <v>4</v>
      </c>
      <c r="N4943" t="s">
        <v>327</v>
      </c>
      <c r="O4943" s="3" t="str">
        <f>TEXT(Ticket_Table[[#This Row],[raised_date]],"YYYY-MM")</f>
        <v>2021-07</v>
      </c>
      <c r="P4943" s="3" t="str">
        <f>IF(Ticket_Table[[#This Row],[resolution_hrs]]&lt;=4,"Fast",IF(Ticket_Table[[#This Row],[resolution_hrs]]&lt;=24,"Normal",IF(Ticket_Table[[#This Row],[resolution_hrs]]&lt;=48,"Slow","Very Slow")))</f>
        <v>Normal</v>
      </c>
      <c r="Q4943" s="3">
        <f>YEAR(Ticket_Table[[#This Row],[raised_date]])</f>
        <v>2021</v>
      </c>
    </row>
    <row r="4944" spans="1:17">
      <c r="A4944" t="s">
        <v>5505</v>
      </c>
      <c r="B4944" t="s">
        <v>204</v>
      </c>
      <c r="C4944" t="s">
        <v>19</v>
      </c>
      <c r="D4944" t="s">
        <v>36</v>
      </c>
      <c r="E4944" t="s">
        <v>37</v>
      </c>
      <c r="F4944" t="s">
        <v>38</v>
      </c>
      <c r="G4944" t="s">
        <v>31</v>
      </c>
      <c r="H4944" s="1">
        <v>44719</v>
      </c>
      <c r="I4944" s="2">
        <v>44719.5583333333</v>
      </c>
      <c r="J4944">
        <v>13.4</v>
      </c>
      <c r="K4944" t="s">
        <v>24</v>
      </c>
      <c r="L4944">
        <v>0</v>
      </c>
      <c r="M4944">
        <v>5</v>
      </c>
      <c r="N4944" t="s">
        <v>758</v>
      </c>
      <c r="O4944" s="3" t="str">
        <f>TEXT(Ticket_Table[[#This Row],[raised_date]],"YYYY-MM")</f>
        <v>2022-06</v>
      </c>
      <c r="P4944" s="3" t="str">
        <f>IF(Ticket_Table[[#This Row],[resolution_hrs]]&lt;=4,"Fast",IF(Ticket_Table[[#This Row],[resolution_hrs]]&lt;=24,"Normal",IF(Ticket_Table[[#This Row],[resolution_hrs]]&lt;=48,"Slow","Very Slow")))</f>
        <v>Normal</v>
      </c>
      <c r="Q4944" s="3">
        <f>YEAR(Ticket_Table[[#This Row],[raised_date]])</f>
        <v>2022</v>
      </c>
    </row>
    <row r="4945" spans="1:17">
      <c r="A4945" t="s">
        <v>5506</v>
      </c>
      <c r="B4945" t="s">
        <v>167</v>
      </c>
      <c r="C4945" t="s">
        <v>117</v>
      </c>
      <c r="D4945" t="s">
        <v>90</v>
      </c>
      <c r="E4945" t="s">
        <v>44</v>
      </c>
      <c r="F4945" t="s">
        <v>45</v>
      </c>
      <c r="G4945" t="s">
        <v>74</v>
      </c>
      <c r="H4945" s="1">
        <v>44998</v>
      </c>
      <c r="I4945" s="2">
        <v>44998.0583333333</v>
      </c>
      <c r="J4945">
        <v>1.4</v>
      </c>
      <c r="K4945" t="s">
        <v>24</v>
      </c>
      <c r="L4945">
        <v>0</v>
      </c>
      <c r="M4945">
        <v>3</v>
      </c>
      <c r="N4945" t="s">
        <v>512</v>
      </c>
      <c r="O4945" s="3" t="str">
        <f>TEXT(Ticket_Table[[#This Row],[raised_date]],"YYYY-MM")</f>
        <v>2023-03</v>
      </c>
      <c r="P4945" s="3" t="str">
        <f>IF(Ticket_Table[[#This Row],[resolution_hrs]]&lt;=4,"Fast",IF(Ticket_Table[[#This Row],[resolution_hrs]]&lt;=24,"Normal",IF(Ticket_Table[[#This Row],[resolution_hrs]]&lt;=48,"Slow","Very Slow")))</f>
        <v>Fast</v>
      </c>
      <c r="Q4945" s="3">
        <f>YEAR(Ticket_Table[[#This Row],[raised_date]])</f>
        <v>2023</v>
      </c>
    </row>
    <row r="4946" spans="1:17">
      <c r="A4946" t="s">
        <v>5507</v>
      </c>
      <c r="B4946" t="s">
        <v>760</v>
      </c>
      <c r="C4946" t="s">
        <v>133</v>
      </c>
      <c r="D4946" t="s">
        <v>36</v>
      </c>
      <c r="E4946" t="s">
        <v>69</v>
      </c>
      <c r="F4946" t="s">
        <v>70</v>
      </c>
      <c r="G4946" t="s">
        <v>46</v>
      </c>
      <c r="H4946" s="1">
        <v>45141</v>
      </c>
      <c r="I4946" s="2">
        <v>45143.3875</v>
      </c>
      <c r="J4946">
        <v>57.3</v>
      </c>
      <c r="K4946" t="s">
        <v>32</v>
      </c>
      <c r="L4946">
        <v>0</v>
      </c>
      <c r="M4946">
        <v>4</v>
      </c>
      <c r="N4946" t="s">
        <v>696</v>
      </c>
      <c r="O4946" s="3" t="str">
        <f>TEXT(Ticket_Table[[#This Row],[raised_date]],"YYYY-MM")</f>
        <v>2023-08</v>
      </c>
      <c r="P4946" s="3" t="str">
        <f>IF(Ticket_Table[[#This Row],[resolution_hrs]]&lt;=4,"Fast",IF(Ticket_Table[[#This Row],[resolution_hrs]]&lt;=24,"Normal",IF(Ticket_Table[[#This Row],[resolution_hrs]]&lt;=48,"Slow","Very Slow")))</f>
        <v>Very Slow</v>
      </c>
      <c r="Q4946" s="3">
        <f>YEAR(Ticket_Table[[#This Row],[raised_date]])</f>
        <v>2023</v>
      </c>
    </row>
    <row r="4947" spans="1:17">
      <c r="A4947" t="s">
        <v>5508</v>
      </c>
      <c r="B4947" t="s">
        <v>347</v>
      </c>
      <c r="C4947" t="s">
        <v>102</v>
      </c>
      <c r="D4947" t="s">
        <v>20</v>
      </c>
      <c r="E4947" t="s">
        <v>30</v>
      </c>
      <c r="F4947" t="s">
        <v>22</v>
      </c>
      <c r="G4947" t="s">
        <v>91</v>
      </c>
      <c r="H4947" s="1">
        <v>44692</v>
      </c>
      <c r="I4947" s="2">
        <v>44695.2833333333</v>
      </c>
      <c r="J4947">
        <v>78.8</v>
      </c>
      <c r="K4947" t="s">
        <v>32</v>
      </c>
      <c r="L4947">
        <v>1</v>
      </c>
      <c r="M4947">
        <v>4</v>
      </c>
      <c r="N4947" t="s">
        <v>726</v>
      </c>
      <c r="O4947" s="3" t="str">
        <f>TEXT(Ticket_Table[[#This Row],[raised_date]],"YYYY-MM")</f>
        <v>2022-05</v>
      </c>
      <c r="P4947" s="3" t="str">
        <f>IF(Ticket_Table[[#This Row],[resolution_hrs]]&lt;=4,"Fast",IF(Ticket_Table[[#This Row],[resolution_hrs]]&lt;=24,"Normal",IF(Ticket_Table[[#This Row],[resolution_hrs]]&lt;=48,"Slow","Very Slow")))</f>
        <v>Very Slow</v>
      </c>
      <c r="Q4947" s="3">
        <f>YEAR(Ticket_Table[[#This Row],[raised_date]])</f>
        <v>2022</v>
      </c>
    </row>
    <row r="4948" spans="1:17">
      <c r="A4948" t="s">
        <v>5509</v>
      </c>
      <c r="B4948" t="s">
        <v>586</v>
      </c>
      <c r="C4948" t="s">
        <v>68</v>
      </c>
      <c r="D4948" t="s">
        <v>36</v>
      </c>
      <c r="E4948" t="s">
        <v>21</v>
      </c>
      <c r="F4948" t="s">
        <v>22</v>
      </c>
      <c r="G4948" t="s">
        <v>46</v>
      </c>
      <c r="H4948" s="1">
        <v>44596</v>
      </c>
      <c r="I4948" s="2">
        <v>44597.5</v>
      </c>
      <c r="J4948">
        <v>36</v>
      </c>
      <c r="K4948" t="s">
        <v>24</v>
      </c>
      <c r="L4948">
        <v>0</v>
      </c>
      <c r="M4948">
        <v>4</v>
      </c>
      <c r="N4948" t="s">
        <v>810</v>
      </c>
      <c r="O4948" s="3" t="str">
        <f>TEXT(Ticket_Table[[#This Row],[raised_date]],"YYYY-MM")</f>
        <v>2022-02</v>
      </c>
      <c r="P4948" s="3" t="str">
        <f>IF(Ticket_Table[[#This Row],[resolution_hrs]]&lt;=4,"Fast",IF(Ticket_Table[[#This Row],[resolution_hrs]]&lt;=24,"Normal",IF(Ticket_Table[[#This Row],[resolution_hrs]]&lt;=48,"Slow","Very Slow")))</f>
        <v>Slow</v>
      </c>
      <c r="Q4948" s="3">
        <f>YEAR(Ticket_Table[[#This Row],[raised_date]])</f>
        <v>2022</v>
      </c>
    </row>
    <row r="4949" spans="1:17">
      <c r="A4949" t="s">
        <v>5510</v>
      </c>
      <c r="B4949" t="s">
        <v>367</v>
      </c>
      <c r="C4949" t="s">
        <v>95</v>
      </c>
      <c r="D4949" t="s">
        <v>20</v>
      </c>
      <c r="E4949" t="s">
        <v>44</v>
      </c>
      <c r="F4949" t="s">
        <v>70</v>
      </c>
      <c r="G4949" t="s">
        <v>46</v>
      </c>
      <c r="H4949" s="1">
        <v>45261</v>
      </c>
      <c r="I4949" s="2">
        <v>45262.5416666667</v>
      </c>
      <c r="J4949">
        <v>37</v>
      </c>
      <c r="K4949" t="s">
        <v>24</v>
      </c>
      <c r="L4949">
        <v>0</v>
      </c>
      <c r="M4949">
        <v>2</v>
      </c>
      <c r="N4949" t="s">
        <v>501</v>
      </c>
      <c r="O4949" s="3" t="str">
        <f>TEXT(Ticket_Table[[#This Row],[raised_date]],"YYYY-MM")</f>
        <v>2023-12</v>
      </c>
      <c r="P4949" s="3" t="str">
        <f>IF(Ticket_Table[[#This Row],[resolution_hrs]]&lt;=4,"Fast",IF(Ticket_Table[[#This Row],[resolution_hrs]]&lt;=24,"Normal",IF(Ticket_Table[[#This Row],[resolution_hrs]]&lt;=48,"Slow","Very Slow")))</f>
        <v>Slow</v>
      </c>
      <c r="Q4949" s="3">
        <f>YEAR(Ticket_Table[[#This Row],[raised_date]])</f>
        <v>2023</v>
      </c>
    </row>
    <row r="4950" spans="1:17">
      <c r="A4950" t="s">
        <v>5511</v>
      </c>
      <c r="B4950" t="s">
        <v>202</v>
      </c>
      <c r="C4950" t="s">
        <v>261</v>
      </c>
      <c r="D4950" t="s">
        <v>20</v>
      </c>
      <c r="E4950" t="s">
        <v>106</v>
      </c>
      <c r="F4950" t="s">
        <v>70</v>
      </c>
      <c r="G4950" t="s">
        <v>23</v>
      </c>
      <c r="H4950" s="1">
        <v>44888</v>
      </c>
      <c r="I4950" s="2">
        <v>44888.8583333333</v>
      </c>
      <c r="J4950">
        <v>20.6</v>
      </c>
      <c r="K4950" t="s">
        <v>24</v>
      </c>
      <c r="L4950">
        <v>0</v>
      </c>
      <c r="M4950">
        <v>5</v>
      </c>
      <c r="N4950" t="s">
        <v>595</v>
      </c>
      <c r="O4950" s="3" t="str">
        <f>TEXT(Ticket_Table[[#This Row],[raised_date]],"YYYY-MM")</f>
        <v>2022-11</v>
      </c>
      <c r="P4950" s="3" t="str">
        <f>IF(Ticket_Table[[#This Row],[resolution_hrs]]&lt;=4,"Fast",IF(Ticket_Table[[#This Row],[resolution_hrs]]&lt;=24,"Normal",IF(Ticket_Table[[#This Row],[resolution_hrs]]&lt;=48,"Slow","Very Slow")))</f>
        <v>Normal</v>
      </c>
      <c r="Q4950" s="3">
        <f>YEAR(Ticket_Table[[#This Row],[raised_date]])</f>
        <v>2022</v>
      </c>
    </row>
    <row r="4951" spans="1:17">
      <c r="A4951" t="s">
        <v>5512</v>
      </c>
      <c r="B4951" t="s">
        <v>476</v>
      </c>
      <c r="C4951" t="s">
        <v>102</v>
      </c>
      <c r="D4951" t="s">
        <v>29</v>
      </c>
      <c r="E4951" t="s">
        <v>44</v>
      </c>
      <c r="F4951" t="s">
        <v>22</v>
      </c>
      <c r="G4951" t="s">
        <v>31</v>
      </c>
      <c r="H4951" s="1">
        <v>44565</v>
      </c>
      <c r="I4951" s="2">
        <v>44567.8541666667</v>
      </c>
      <c r="J4951">
        <v>68.5</v>
      </c>
      <c r="K4951" t="s">
        <v>24</v>
      </c>
      <c r="L4951">
        <v>1</v>
      </c>
      <c r="M4951">
        <v>4</v>
      </c>
      <c r="N4951" t="s">
        <v>79</v>
      </c>
      <c r="O4951" s="3" t="str">
        <f>TEXT(Ticket_Table[[#This Row],[raised_date]],"YYYY-MM")</f>
        <v>2022-01</v>
      </c>
      <c r="P4951" s="3" t="str">
        <f>IF(Ticket_Table[[#This Row],[resolution_hrs]]&lt;=4,"Fast",IF(Ticket_Table[[#This Row],[resolution_hrs]]&lt;=24,"Normal",IF(Ticket_Table[[#This Row],[resolution_hrs]]&lt;=48,"Slow","Very Slow")))</f>
        <v>Very Slow</v>
      </c>
      <c r="Q4951" s="3">
        <f>YEAR(Ticket_Table[[#This Row],[raised_date]])</f>
        <v>2022</v>
      </c>
    </row>
    <row r="4952" spans="1:17">
      <c r="A4952" t="s">
        <v>5513</v>
      </c>
      <c r="B4952" t="s">
        <v>63</v>
      </c>
      <c r="C4952" t="s">
        <v>213</v>
      </c>
      <c r="D4952" t="s">
        <v>90</v>
      </c>
      <c r="E4952" t="s">
        <v>106</v>
      </c>
      <c r="F4952" t="s">
        <v>45</v>
      </c>
      <c r="G4952" t="s">
        <v>23</v>
      </c>
      <c r="H4952" s="1">
        <v>44838</v>
      </c>
      <c r="I4952" s="2">
        <v>44838.15</v>
      </c>
      <c r="J4952">
        <v>3.6</v>
      </c>
      <c r="K4952" t="s">
        <v>24</v>
      </c>
      <c r="L4952">
        <v>0</v>
      </c>
      <c r="M4952">
        <v>5</v>
      </c>
      <c r="N4952" t="s">
        <v>835</v>
      </c>
      <c r="O4952" s="3" t="str">
        <f>TEXT(Ticket_Table[[#This Row],[raised_date]],"YYYY-MM")</f>
        <v>2022-10</v>
      </c>
      <c r="P4952" s="3" t="str">
        <f>IF(Ticket_Table[[#This Row],[resolution_hrs]]&lt;=4,"Fast",IF(Ticket_Table[[#This Row],[resolution_hrs]]&lt;=24,"Normal",IF(Ticket_Table[[#This Row],[resolution_hrs]]&lt;=48,"Slow","Very Slow")))</f>
        <v>Fast</v>
      </c>
      <c r="Q4952" s="3">
        <f>YEAR(Ticket_Table[[#This Row],[raised_date]])</f>
        <v>2022</v>
      </c>
    </row>
    <row r="4953" spans="1:17">
      <c r="A4953" t="s">
        <v>5514</v>
      </c>
      <c r="B4953" t="s">
        <v>171</v>
      </c>
      <c r="C4953" t="s">
        <v>19</v>
      </c>
      <c r="D4953" t="s">
        <v>43</v>
      </c>
      <c r="E4953" t="s">
        <v>37</v>
      </c>
      <c r="F4953" t="s">
        <v>70</v>
      </c>
      <c r="G4953" t="s">
        <v>31</v>
      </c>
      <c r="H4953" s="1">
        <v>44218</v>
      </c>
      <c r="I4953" s="2">
        <v>44220.3416666667</v>
      </c>
      <c r="J4953">
        <v>56.2</v>
      </c>
      <c r="K4953" t="s">
        <v>32</v>
      </c>
      <c r="L4953">
        <v>3</v>
      </c>
      <c r="M4953">
        <v>3</v>
      </c>
      <c r="N4953" t="s">
        <v>41</v>
      </c>
      <c r="O4953" s="3" t="str">
        <f>TEXT(Ticket_Table[[#This Row],[raised_date]],"YYYY-MM")</f>
        <v>2021-01</v>
      </c>
      <c r="P4953" s="3" t="str">
        <f>IF(Ticket_Table[[#This Row],[resolution_hrs]]&lt;=4,"Fast",IF(Ticket_Table[[#This Row],[resolution_hrs]]&lt;=24,"Normal",IF(Ticket_Table[[#This Row],[resolution_hrs]]&lt;=48,"Slow","Very Slow")))</f>
        <v>Very Slow</v>
      </c>
      <c r="Q4953" s="3">
        <f>YEAR(Ticket_Table[[#This Row],[raised_date]])</f>
        <v>2021</v>
      </c>
    </row>
    <row r="4954" spans="1:17">
      <c r="A4954" t="s">
        <v>5515</v>
      </c>
      <c r="B4954" t="s">
        <v>359</v>
      </c>
      <c r="C4954" t="s">
        <v>55</v>
      </c>
      <c r="D4954" t="s">
        <v>29</v>
      </c>
      <c r="E4954" t="s">
        <v>83</v>
      </c>
      <c r="F4954" t="s">
        <v>45</v>
      </c>
      <c r="G4954" t="s">
        <v>23</v>
      </c>
      <c r="H4954" s="1">
        <v>44214</v>
      </c>
      <c r="I4954" s="2">
        <v>44214.1875</v>
      </c>
      <c r="J4954">
        <v>4.5</v>
      </c>
      <c r="K4954" t="s">
        <v>32</v>
      </c>
      <c r="L4954">
        <v>0</v>
      </c>
      <c r="M4954">
        <v>4</v>
      </c>
      <c r="N4954" t="s">
        <v>854</v>
      </c>
      <c r="O4954" s="3" t="str">
        <f>TEXT(Ticket_Table[[#This Row],[raised_date]],"YYYY-MM")</f>
        <v>2021-01</v>
      </c>
      <c r="P4954" s="3" t="str">
        <f>IF(Ticket_Table[[#This Row],[resolution_hrs]]&lt;=4,"Fast",IF(Ticket_Table[[#This Row],[resolution_hrs]]&lt;=24,"Normal",IF(Ticket_Table[[#This Row],[resolution_hrs]]&lt;=48,"Slow","Very Slow")))</f>
        <v>Normal</v>
      </c>
      <c r="Q4954" s="3">
        <f>YEAR(Ticket_Table[[#This Row],[raised_date]])</f>
        <v>2021</v>
      </c>
    </row>
    <row r="4955" spans="1:17">
      <c r="A4955" t="s">
        <v>5516</v>
      </c>
      <c r="B4955" t="s">
        <v>434</v>
      </c>
      <c r="C4955" t="s">
        <v>19</v>
      </c>
      <c r="D4955" t="s">
        <v>43</v>
      </c>
      <c r="E4955" t="s">
        <v>56</v>
      </c>
      <c r="F4955" t="s">
        <v>38</v>
      </c>
      <c r="G4955" t="s">
        <v>46</v>
      </c>
      <c r="H4955" s="1">
        <v>44336</v>
      </c>
      <c r="I4955" s="2">
        <v>44336.5</v>
      </c>
      <c r="J4955">
        <v>12</v>
      </c>
      <c r="K4955" t="s">
        <v>24</v>
      </c>
      <c r="L4955">
        <v>1</v>
      </c>
      <c r="M4955">
        <v>5</v>
      </c>
      <c r="N4955" t="s">
        <v>1123</v>
      </c>
      <c r="O4955" s="3" t="str">
        <f>TEXT(Ticket_Table[[#This Row],[raised_date]],"YYYY-MM")</f>
        <v>2021-05</v>
      </c>
      <c r="P4955" s="3" t="str">
        <f>IF(Ticket_Table[[#This Row],[resolution_hrs]]&lt;=4,"Fast",IF(Ticket_Table[[#This Row],[resolution_hrs]]&lt;=24,"Normal",IF(Ticket_Table[[#This Row],[resolution_hrs]]&lt;=48,"Slow","Very Slow")))</f>
        <v>Normal</v>
      </c>
      <c r="Q4955" s="3">
        <f>YEAR(Ticket_Table[[#This Row],[raised_date]])</f>
        <v>2021</v>
      </c>
    </row>
    <row r="4956" spans="1:17">
      <c r="A4956" t="s">
        <v>5517</v>
      </c>
      <c r="B4956" t="s">
        <v>988</v>
      </c>
      <c r="C4956" t="s">
        <v>28</v>
      </c>
      <c r="D4956" t="s">
        <v>20</v>
      </c>
      <c r="E4956" t="s">
        <v>44</v>
      </c>
      <c r="F4956" t="s">
        <v>38</v>
      </c>
      <c r="G4956" t="s">
        <v>23</v>
      </c>
      <c r="H4956" s="1">
        <v>44221</v>
      </c>
      <c r="I4956" s="2">
        <v>44222.3916666667</v>
      </c>
      <c r="J4956">
        <v>33.4</v>
      </c>
      <c r="K4956" t="s">
        <v>32</v>
      </c>
      <c r="L4956">
        <v>0</v>
      </c>
      <c r="M4956">
        <v>5</v>
      </c>
      <c r="N4956" t="s">
        <v>318</v>
      </c>
      <c r="O4956" s="3" t="str">
        <f>TEXT(Ticket_Table[[#This Row],[raised_date]],"YYYY-MM")</f>
        <v>2021-01</v>
      </c>
      <c r="P4956" s="3" t="str">
        <f>IF(Ticket_Table[[#This Row],[resolution_hrs]]&lt;=4,"Fast",IF(Ticket_Table[[#This Row],[resolution_hrs]]&lt;=24,"Normal",IF(Ticket_Table[[#This Row],[resolution_hrs]]&lt;=48,"Slow","Very Slow")))</f>
        <v>Slow</v>
      </c>
      <c r="Q4956" s="3">
        <f>YEAR(Ticket_Table[[#This Row],[raised_date]])</f>
        <v>2021</v>
      </c>
    </row>
    <row r="4957" spans="1:17">
      <c r="A4957" t="s">
        <v>5518</v>
      </c>
      <c r="B4957" t="s">
        <v>614</v>
      </c>
      <c r="C4957" t="s">
        <v>95</v>
      </c>
      <c r="D4957" t="s">
        <v>29</v>
      </c>
      <c r="E4957" t="s">
        <v>37</v>
      </c>
      <c r="F4957" t="s">
        <v>70</v>
      </c>
      <c r="G4957" t="s">
        <v>23</v>
      </c>
      <c r="H4957" s="1">
        <v>45039</v>
      </c>
      <c r="I4957" s="2">
        <v>45040.325</v>
      </c>
      <c r="J4957">
        <v>31.8</v>
      </c>
      <c r="K4957" t="s">
        <v>24</v>
      </c>
      <c r="L4957">
        <v>0</v>
      </c>
      <c r="M4957">
        <v>5</v>
      </c>
      <c r="N4957" t="s">
        <v>405</v>
      </c>
      <c r="O4957" s="3" t="str">
        <f>TEXT(Ticket_Table[[#This Row],[raised_date]],"YYYY-MM")</f>
        <v>2023-04</v>
      </c>
      <c r="P4957" s="3" t="str">
        <f>IF(Ticket_Table[[#This Row],[resolution_hrs]]&lt;=4,"Fast",IF(Ticket_Table[[#This Row],[resolution_hrs]]&lt;=24,"Normal",IF(Ticket_Table[[#This Row],[resolution_hrs]]&lt;=48,"Slow","Very Slow")))</f>
        <v>Slow</v>
      </c>
      <c r="Q4957" s="3">
        <f>YEAR(Ticket_Table[[#This Row],[raised_date]])</f>
        <v>2023</v>
      </c>
    </row>
    <row r="4958" spans="1:17">
      <c r="A4958" t="s">
        <v>5519</v>
      </c>
      <c r="B4958" t="s">
        <v>126</v>
      </c>
      <c r="C4958" t="s">
        <v>133</v>
      </c>
      <c r="D4958" t="s">
        <v>36</v>
      </c>
      <c r="E4958" t="s">
        <v>21</v>
      </c>
      <c r="F4958" t="s">
        <v>70</v>
      </c>
      <c r="G4958" t="s">
        <v>23</v>
      </c>
      <c r="H4958" s="1">
        <v>44397</v>
      </c>
      <c r="I4958" s="2">
        <v>44399.8</v>
      </c>
      <c r="J4958">
        <v>67.2</v>
      </c>
      <c r="K4958" t="s">
        <v>32</v>
      </c>
      <c r="L4958">
        <v>1</v>
      </c>
      <c r="M4958">
        <v>1</v>
      </c>
      <c r="N4958" t="s">
        <v>409</v>
      </c>
      <c r="O4958" s="3" t="str">
        <f>TEXT(Ticket_Table[[#This Row],[raised_date]],"YYYY-MM")</f>
        <v>2021-07</v>
      </c>
      <c r="P4958" s="3" t="str">
        <f>IF(Ticket_Table[[#This Row],[resolution_hrs]]&lt;=4,"Fast",IF(Ticket_Table[[#This Row],[resolution_hrs]]&lt;=24,"Normal",IF(Ticket_Table[[#This Row],[resolution_hrs]]&lt;=48,"Slow","Very Slow")))</f>
        <v>Very Slow</v>
      </c>
      <c r="Q4958" s="3">
        <f>YEAR(Ticket_Table[[#This Row],[raised_date]])</f>
        <v>2021</v>
      </c>
    </row>
    <row r="4959" spans="1:17">
      <c r="A4959" t="s">
        <v>5520</v>
      </c>
      <c r="B4959" t="s">
        <v>495</v>
      </c>
      <c r="C4959" t="s">
        <v>117</v>
      </c>
      <c r="D4959" t="s">
        <v>36</v>
      </c>
      <c r="E4959" t="s">
        <v>30</v>
      </c>
      <c r="F4959" t="s">
        <v>70</v>
      </c>
      <c r="G4959" t="s">
        <v>23</v>
      </c>
      <c r="H4959" s="1">
        <v>45272</v>
      </c>
      <c r="I4959" s="2">
        <v>45274.3916666667</v>
      </c>
      <c r="J4959">
        <v>57.4</v>
      </c>
      <c r="K4959" t="s">
        <v>32</v>
      </c>
      <c r="L4959">
        <v>0</v>
      </c>
      <c r="M4959">
        <v>4</v>
      </c>
      <c r="N4959" t="s">
        <v>1348</v>
      </c>
      <c r="O4959" s="3" t="str">
        <f>TEXT(Ticket_Table[[#This Row],[raised_date]],"YYYY-MM")</f>
        <v>2023-12</v>
      </c>
      <c r="P4959" s="3" t="str">
        <f>IF(Ticket_Table[[#This Row],[resolution_hrs]]&lt;=4,"Fast",IF(Ticket_Table[[#This Row],[resolution_hrs]]&lt;=24,"Normal",IF(Ticket_Table[[#This Row],[resolution_hrs]]&lt;=48,"Slow","Very Slow")))</f>
        <v>Very Slow</v>
      </c>
      <c r="Q4959" s="3">
        <f>YEAR(Ticket_Table[[#This Row],[raised_date]])</f>
        <v>2023</v>
      </c>
    </row>
    <row r="4960" spans="1:17">
      <c r="A4960" t="s">
        <v>5521</v>
      </c>
      <c r="B4960" t="s">
        <v>647</v>
      </c>
      <c r="C4960" t="s">
        <v>42</v>
      </c>
      <c r="D4960" t="s">
        <v>43</v>
      </c>
      <c r="E4960" t="s">
        <v>166</v>
      </c>
      <c r="F4960" t="s">
        <v>70</v>
      </c>
      <c r="G4960" t="s">
        <v>46</v>
      </c>
      <c r="H4960" s="1">
        <v>44409</v>
      </c>
      <c r="I4960" s="2">
        <v>44409.9791666667</v>
      </c>
      <c r="J4960">
        <v>23.5</v>
      </c>
      <c r="K4960" t="s">
        <v>24</v>
      </c>
      <c r="L4960">
        <v>0</v>
      </c>
      <c r="M4960">
        <v>2</v>
      </c>
      <c r="N4960" t="s">
        <v>165</v>
      </c>
      <c r="O4960" s="3" t="str">
        <f>TEXT(Ticket_Table[[#This Row],[raised_date]],"YYYY-MM")</f>
        <v>2021-08</v>
      </c>
      <c r="P4960" s="3" t="str">
        <f>IF(Ticket_Table[[#This Row],[resolution_hrs]]&lt;=4,"Fast",IF(Ticket_Table[[#This Row],[resolution_hrs]]&lt;=24,"Normal",IF(Ticket_Table[[#This Row],[resolution_hrs]]&lt;=48,"Slow","Very Slow")))</f>
        <v>Normal</v>
      </c>
      <c r="Q4960" s="3">
        <f>YEAR(Ticket_Table[[#This Row],[raised_date]])</f>
        <v>2021</v>
      </c>
    </row>
    <row r="4961" spans="1:17">
      <c r="A4961" t="s">
        <v>5522</v>
      </c>
      <c r="B4961" t="s">
        <v>676</v>
      </c>
      <c r="C4961" t="s">
        <v>64</v>
      </c>
      <c r="D4961" t="s">
        <v>20</v>
      </c>
      <c r="E4961" t="s">
        <v>51</v>
      </c>
      <c r="F4961" t="s">
        <v>70</v>
      </c>
      <c r="G4961" t="s">
        <v>23</v>
      </c>
      <c r="H4961" s="1">
        <v>45110</v>
      </c>
      <c r="I4961" s="2">
        <v>45112.5291666667</v>
      </c>
      <c r="J4961">
        <v>60.7</v>
      </c>
      <c r="K4961" t="s">
        <v>32</v>
      </c>
      <c r="L4961">
        <v>0</v>
      </c>
      <c r="M4961">
        <v>3</v>
      </c>
      <c r="N4961" t="s">
        <v>903</v>
      </c>
      <c r="O4961" s="3" t="str">
        <f>TEXT(Ticket_Table[[#This Row],[raised_date]],"YYYY-MM")</f>
        <v>2023-07</v>
      </c>
      <c r="P4961" s="3" t="str">
        <f>IF(Ticket_Table[[#This Row],[resolution_hrs]]&lt;=4,"Fast",IF(Ticket_Table[[#This Row],[resolution_hrs]]&lt;=24,"Normal",IF(Ticket_Table[[#This Row],[resolution_hrs]]&lt;=48,"Slow","Very Slow")))</f>
        <v>Very Slow</v>
      </c>
      <c r="Q4961" s="3">
        <f>YEAR(Ticket_Table[[#This Row],[raised_date]])</f>
        <v>2023</v>
      </c>
    </row>
    <row r="4962" spans="1:17">
      <c r="A4962" t="s">
        <v>5523</v>
      </c>
      <c r="B4962" t="s">
        <v>439</v>
      </c>
      <c r="C4962" t="s">
        <v>78</v>
      </c>
      <c r="D4962" t="s">
        <v>43</v>
      </c>
      <c r="E4962" t="s">
        <v>37</v>
      </c>
      <c r="F4962" t="s">
        <v>45</v>
      </c>
      <c r="G4962" t="s">
        <v>31</v>
      </c>
      <c r="H4962" s="1">
        <v>44916</v>
      </c>
      <c r="I4962" s="2">
        <v>44916.1791666667</v>
      </c>
      <c r="J4962">
        <v>4.3</v>
      </c>
      <c r="K4962" t="s">
        <v>32</v>
      </c>
      <c r="L4962">
        <v>0</v>
      </c>
      <c r="M4962">
        <v>3</v>
      </c>
      <c r="N4962" t="s">
        <v>1064</v>
      </c>
      <c r="O4962" s="3" t="str">
        <f>TEXT(Ticket_Table[[#This Row],[raised_date]],"YYYY-MM")</f>
        <v>2022-12</v>
      </c>
      <c r="P4962" s="3" t="str">
        <f>IF(Ticket_Table[[#This Row],[resolution_hrs]]&lt;=4,"Fast",IF(Ticket_Table[[#This Row],[resolution_hrs]]&lt;=24,"Normal",IF(Ticket_Table[[#This Row],[resolution_hrs]]&lt;=48,"Slow","Very Slow")))</f>
        <v>Normal</v>
      </c>
      <c r="Q4962" s="3">
        <f>YEAR(Ticket_Table[[#This Row],[raised_date]])</f>
        <v>2022</v>
      </c>
    </row>
    <row r="4963" spans="1:17">
      <c r="A4963" t="s">
        <v>5524</v>
      </c>
      <c r="B4963" t="s">
        <v>886</v>
      </c>
      <c r="C4963" t="s">
        <v>19</v>
      </c>
      <c r="D4963" t="s">
        <v>90</v>
      </c>
      <c r="E4963" t="s">
        <v>30</v>
      </c>
      <c r="F4963" t="s">
        <v>38</v>
      </c>
      <c r="G4963" t="s">
        <v>23</v>
      </c>
      <c r="H4963" s="1">
        <v>44646</v>
      </c>
      <c r="I4963" s="2">
        <v>44647.3208333333</v>
      </c>
      <c r="J4963">
        <v>31.7</v>
      </c>
      <c r="K4963" t="s">
        <v>32</v>
      </c>
      <c r="L4963">
        <v>1</v>
      </c>
      <c r="M4963">
        <v>4</v>
      </c>
      <c r="N4963" t="s">
        <v>796</v>
      </c>
      <c r="O4963" s="3" t="str">
        <f>TEXT(Ticket_Table[[#This Row],[raised_date]],"YYYY-MM")</f>
        <v>2022-03</v>
      </c>
      <c r="P4963" s="3" t="str">
        <f>IF(Ticket_Table[[#This Row],[resolution_hrs]]&lt;=4,"Fast",IF(Ticket_Table[[#This Row],[resolution_hrs]]&lt;=24,"Normal",IF(Ticket_Table[[#This Row],[resolution_hrs]]&lt;=48,"Slow","Very Slow")))</f>
        <v>Slow</v>
      </c>
      <c r="Q4963" s="3">
        <f>YEAR(Ticket_Table[[#This Row],[raised_date]])</f>
        <v>2022</v>
      </c>
    </row>
    <row r="4964" spans="1:17">
      <c r="A4964" t="s">
        <v>5525</v>
      </c>
      <c r="B4964" t="s">
        <v>517</v>
      </c>
      <c r="C4964" t="s">
        <v>102</v>
      </c>
      <c r="D4964" t="s">
        <v>36</v>
      </c>
      <c r="E4964" t="s">
        <v>106</v>
      </c>
      <c r="F4964" t="s">
        <v>38</v>
      </c>
      <c r="G4964" t="s">
        <v>74</v>
      </c>
      <c r="H4964" s="1">
        <v>44777</v>
      </c>
      <c r="I4964" s="2">
        <v>44777.0916666667</v>
      </c>
      <c r="J4964">
        <v>2.2</v>
      </c>
      <c r="K4964" t="s">
        <v>24</v>
      </c>
      <c r="L4964">
        <v>0</v>
      </c>
      <c r="M4964">
        <v>4</v>
      </c>
      <c r="N4964" t="s">
        <v>445</v>
      </c>
      <c r="O4964" s="3" t="str">
        <f>TEXT(Ticket_Table[[#This Row],[raised_date]],"YYYY-MM")</f>
        <v>2022-08</v>
      </c>
      <c r="P4964" s="3" t="str">
        <f>IF(Ticket_Table[[#This Row],[resolution_hrs]]&lt;=4,"Fast",IF(Ticket_Table[[#This Row],[resolution_hrs]]&lt;=24,"Normal",IF(Ticket_Table[[#This Row],[resolution_hrs]]&lt;=48,"Slow","Very Slow")))</f>
        <v>Fast</v>
      </c>
      <c r="Q4964" s="3">
        <f>YEAR(Ticket_Table[[#This Row],[raised_date]])</f>
        <v>2022</v>
      </c>
    </row>
    <row r="4965" spans="1:17">
      <c r="A4965" t="s">
        <v>5526</v>
      </c>
      <c r="B4965" t="s">
        <v>403</v>
      </c>
      <c r="C4965" t="s">
        <v>64</v>
      </c>
      <c r="D4965" t="s">
        <v>29</v>
      </c>
      <c r="E4965" t="s">
        <v>37</v>
      </c>
      <c r="F4965" t="s">
        <v>38</v>
      </c>
      <c r="G4965" t="s">
        <v>46</v>
      </c>
      <c r="H4965" s="1">
        <v>44712</v>
      </c>
      <c r="I4965" s="2">
        <v>44712.9666666667</v>
      </c>
      <c r="J4965">
        <v>23.2</v>
      </c>
      <c r="K4965" t="s">
        <v>24</v>
      </c>
      <c r="L4965">
        <v>1</v>
      </c>
      <c r="M4965">
        <v>4</v>
      </c>
      <c r="N4965" t="s">
        <v>646</v>
      </c>
      <c r="O4965" s="3" t="str">
        <f>TEXT(Ticket_Table[[#This Row],[raised_date]],"YYYY-MM")</f>
        <v>2022-05</v>
      </c>
      <c r="P4965" s="3" t="str">
        <f>IF(Ticket_Table[[#This Row],[resolution_hrs]]&lt;=4,"Fast",IF(Ticket_Table[[#This Row],[resolution_hrs]]&lt;=24,"Normal",IF(Ticket_Table[[#This Row],[resolution_hrs]]&lt;=48,"Slow","Very Slow")))</f>
        <v>Normal</v>
      </c>
      <c r="Q4965" s="3">
        <f>YEAR(Ticket_Table[[#This Row],[raised_date]])</f>
        <v>2022</v>
      </c>
    </row>
    <row r="4966" spans="1:17">
      <c r="A4966" t="s">
        <v>5527</v>
      </c>
      <c r="B4966" t="s">
        <v>655</v>
      </c>
      <c r="C4966" t="s">
        <v>60</v>
      </c>
      <c r="D4966" t="s">
        <v>29</v>
      </c>
      <c r="E4966" t="s">
        <v>21</v>
      </c>
      <c r="F4966" t="s">
        <v>22</v>
      </c>
      <c r="G4966" t="s">
        <v>23</v>
      </c>
      <c r="H4966" s="1">
        <v>44592</v>
      </c>
      <c r="I4966" s="2">
        <v>44592.0791666667</v>
      </c>
      <c r="J4966">
        <v>1.9</v>
      </c>
      <c r="K4966" t="s">
        <v>24</v>
      </c>
      <c r="L4966">
        <v>0</v>
      </c>
      <c r="M4966">
        <v>4</v>
      </c>
      <c r="N4966" t="s">
        <v>318</v>
      </c>
      <c r="O4966" s="3" t="str">
        <f>TEXT(Ticket_Table[[#This Row],[raised_date]],"YYYY-MM")</f>
        <v>2022-01</v>
      </c>
      <c r="P4966" s="3" t="str">
        <f>IF(Ticket_Table[[#This Row],[resolution_hrs]]&lt;=4,"Fast",IF(Ticket_Table[[#This Row],[resolution_hrs]]&lt;=24,"Normal",IF(Ticket_Table[[#This Row],[resolution_hrs]]&lt;=48,"Slow","Very Slow")))</f>
        <v>Fast</v>
      </c>
      <c r="Q4966" s="3">
        <f>YEAR(Ticket_Table[[#This Row],[raised_date]])</f>
        <v>2022</v>
      </c>
    </row>
    <row r="4967" spans="1:17">
      <c r="A4967" t="s">
        <v>5528</v>
      </c>
      <c r="B4967" t="s">
        <v>374</v>
      </c>
      <c r="C4967" t="s">
        <v>102</v>
      </c>
      <c r="D4967" t="s">
        <v>29</v>
      </c>
      <c r="E4967" t="s">
        <v>37</v>
      </c>
      <c r="F4967" t="s">
        <v>22</v>
      </c>
      <c r="G4967" t="s">
        <v>31</v>
      </c>
      <c r="H4967" s="1">
        <v>44266</v>
      </c>
      <c r="I4967" s="2">
        <v>44266.65</v>
      </c>
      <c r="J4967">
        <v>15.6</v>
      </c>
      <c r="K4967" t="s">
        <v>24</v>
      </c>
      <c r="L4967">
        <v>0</v>
      </c>
      <c r="M4967">
        <v>1</v>
      </c>
      <c r="N4967" t="s">
        <v>191</v>
      </c>
      <c r="O4967" s="3" t="str">
        <f>TEXT(Ticket_Table[[#This Row],[raised_date]],"YYYY-MM")</f>
        <v>2021-03</v>
      </c>
      <c r="P4967" s="3" t="str">
        <f>IF(Ticket_Table[[#This Row],[resolution_hrs]]&lt;=4,"Fast",IF(Ticket_Table[[#This Row],[resolution_hrs]]&lt;=24,"Normal",IF(Ticket_Table[[#This Row],[resolution_hrs]]&lt;=48,"Slow","Very Slow")))</f>
        <v>Normal</v>
      </c>
      <c r="Q4967" s="3">
        <f>YEAR(Ticket_Table[[#This Row],[raised_date]])</f>
        <v>2021</v>
      </c>
    </row>
    <row r="4968" spans="1:17">
      <c r="A4968" t="s">
        <v>5529</v>
      </c>
      <c r="B4968" t="s">
        <v>391</v>
      </c>
      <c r="C4968" t="s">
        <v>175</v>
      </c>
      <c r="D4968" t="s">
        <v>36</v>
      </c>
      <c r="E4968" t="s">
        <v>56</v>
      </c>
      <c r="F4968" t="s">
        <v>70</v>
      </c>
      <c r="G4968" t="s">
        <v>23</v>
      </c>
      <c r="H4968" s="1">
        <v>44245</v>
      </c>
      <c r="I4968" s="2">
        <v>44246.1541666667</v>
      </c>
      <c r="J4968">
        <v>27.7</v>
      </c>
      <c r="K4968" t="s">
        <v>24</v>
      </c>
      <c r="L4968">
        <v>0</v>
      </c>
      <c r="M4968">
        <v>5</v>
      </c>
      <c r="N4968" t="s">
        <v>588</v>
      </c>
      <c r="O4968" s="3" t="str">
        <f>TEXT(Ticket_Table[[#This Row],[raised_date]],"YYYY-MM")</f>
        <v>2021-02</v>
      </c>
      <c r="P4968" s="3" t="str">
        <f>IF(Ticket_Table[[#This Row],[resolution_hrs]]&lt;=4,"Fast",IF(Ticket_Table[[#This Row],[resolution_hrs]]&lt;=24,"Normal",IF(Ticket_Table[[#This Row],[resolution_hrs]]&lt;=48,"Slow","Very Slow")))</f>
        <v>Slow</v>
      </c>
      <c r="Q4968" s="3">
        <f>YEAR(Ticket_Table[[#This Row],[raised_date]])</f>
        <v>2021</v>
      </c>
    </row>
    <row r="4969" spans="1:17">
      <c r="A4969" t="s">
        <v>5530</v>
      </c>
      <c r="B4969" t="s">
        <v>318</v>
      </c>
      <c r="C4969" t="s">
        <v>55</v>
      </c>
      <c r="D4969" t="s">
        <v>20</v>
      </c>
      <c r="E4969" t="s">
        <v>106</v>
      </c>
      <c r="F4969" t="s">
        <v>70</v>
      </c>
      <c r="G4969" t="s">
        <v>74</v>
      </c>
      <c r="H4969" s="1">
        <v>44385</v>
      </c>
      <c r="I4969" s="2">
        <v>44387.8333333333</v>
      </c>
      <c r="J4969">
        <v>68</v>
      </c>
      <c r="K4969" t="s">
        <v>32</v>
      </c>
      <c r="L4969">
        <v>2</v>
      </c>
      <c r="M4969">
        <v>3</v>
      </c>
      <c r="N4969" t="s">
        <v>652</v>
      </c>
      <c r="O4969" s="3" t="str">
        <f>TEXT(Ticket_Table[[#This Row],[raised_date]],"YYYY-MM")</f>
        <v>2021-07</v>
      </c>
      <c r="P4969" s="3" t="str">
        <f>IF(Ticket_Table[[#This Row],[resolution_hrs]]&lt;=4,"Fast",IF(Ticket_Table[[#This Row],[resolution_hrs]]&lt;=24,"Normal",IF(Ticket_Table[[#This Row],[resolution_hrs]]&lt;=48,"Slow","Very Slow")))</f>
        <v>Very Slow</v>
      </c>
      <c r="Q4969" s="3">
        <f>YEAR(Ticket_Table[[#This Row],[raised_date]])</f>
        <v>2021</v>
      </c>
    </row>
    <row r="4970" spans="1:17">
      <c r="A4970" t="s">
        <v>5531</v>
      </c>
      <c r="B4970" t="s">
        <v>512</v>
      </c>
      <c r="C4970" t="s">
        <v>64</v>
      </c>
      <c r="D4970" t="s">
        <v>36</v>
      </c>
      <c r="E4970" t="s">
        <v>44</v>
      </c>
      <c r="F4970" t="s">
        <v>38</v>
      </c>
      <c r="G4970" t="s">
        <v>23</v>
      </c>
      <c r="H4970" s="1">
        <v>44313</v>
      </c>
      <c r="I4970" s="2">
        <v>44314.025</v>
      </c>
      <c r="J4970">
        <v>24.6</v>
      </c>
      <c r="K4970" t="s">
        <v>32</v>
      </c>
      <c r="L4970">
        <v>2</v>
      </c>
      <c r="M4970">
        <v>4</v>
      </c>
      <c r="N4970" t="s">
        <v>817</v>
      </c>
      <c r="O4970" s="3" t="str">
        <f>TEXT(Ticket_Table[[#This Row],[raised_date]],"YYYY-MM")</f>
        <v>2021-04</v>
      </c>
      <c r="P4970" s="3" t="str">
        <f>IF(Ticket_Table[[#This Row],[resolution_hrs]]&lt;=4,"Fast",IF(Ticket_Table[[#This Row],[resolution_hrs]]&lt;=24,"Normal",IF(Ticket_Table[[#This Row],[resolution_hrs]]&lt;=48,"Slow","Very Slow")))</f>
        <v>Slow</v>
      </c>
      <c r="Q4970" s="3">
        <f>YEAR(Ticket_Table[[#This Row],[raised_date]])</f>
        <v>2021</v>
      </c>
    </row>
    <row r="4971" spans="1:17">
      <c r="A4971" t="s">
        <v>5532</v>
      </c>
      <c r="B4971" t="s">
        <v>350</v>
      </c>
      <c r="C4971" t="s">
        <v>28</v>
      </c>
      <c r="D4971" t="s">
        <v>36</v>
      </c>
      <c r="E4971" t="s">
        <v>69</v>
      </c>
      <c r="F4971" t="s">
        <v>70</v>
      </c>
      <c r="G4971" t="s">
        <v>31</v>
      </c>
      <c r="H4971" s="1">
        <v>44641</v>
      </c>
      <c r="I4971" s="2">
        <v>44641.825</v>
      </c>
      <c r="J4971">
        <v>19.8</v>
      </c>
      <c r="K4971" t="s">
        <v>24</v>
      </c>
      <c r="L4971">
        <v>0</v>
      </c>
      <c r="M4971">
        <v>4</v>
      </c>
      <c r="N4971" t="s">
        <v>189</v>
      </c>
      <c r="O4971" s="3" t="str">
        <f>TEXT(Ticket_Table[[#This Row],[raised_date]],"YYYY-MM")</f>
        <v>2022-03</v>
      </c>
      <c r="P4971" s="3" t="str">
        <f>IF(Ticket_Table[[#This Row],[resolution_hrs]]&lt;=4,"Fast",IF(Ticket_Table[[#This Row],[resolution_hrs]]&lt;=24,"Normal",IF(Ticket_Table[[#This Row],[resolution_hrs]]&lt;=48,"Slow","Very Slow")))</f>
        <v>Normal</v>
      </c>
      <c r="Q4971" s="3">
        <f>YEAR(Ticket_Table[[#This Row],[raised_date]])</f>
        <v>2022</v>
      </c>
    </row>
    <row r="4972" spans="1:17">
      <c r="A4972" t="s">
        <v>5533</v>
      </c>
      <c r="B4972" t="s">
        <v>406</v>
      </c>
      <c r="C4972" t="s">
        <v>287</v>
      </c>
      <c r="D4972" t="s">
        <v>29</v>
      </c>
      <c r="E4972" t="s">
        <v>166</v>
      </c>
      <c r="F4972" t="s">
        <v>70</v>
      </c>
      <c r="G4972" t="s">
        <v>23</v>
      </c>
      <c r="H4972" s="1">
        <v>44446</v>
      </c>
      <c r="I4972" s="2">
        <v>44446.4916666667</v>
      </c>
      <c r="J4972">
        <v>11.8</v>
      </c>
      <c r="K4972" t="s">
        <v>24</v>
      </c>
      <c r="L4972">
        <v>0</v>
      </c>
      <c r="M4972">
        <v>5</v>
      </c>
      <c r="N4972" t="s">
        <v>212</v>
      </c>
      <c r="O4972" s="3" t="str">
        <f>TEXT(Ticket_Table[[#This Row],[raised_date]],"YYYY-MM")</f>
        <v>2021-09</v>
      </c>
      <c r="P4972" s="3" t="str">
        <f>IF(Ticket_Table[[#This Row],[resolution_hrs]]&lt;=4,"Fast",IF(Ticket_Table[[#This Row],[resolution_hrs]]&lt;=24,"Normal",IF(Ticket_Table[[#This Row],[resolution_hrs]]&lt;=48,"Slow","Very Slow")))</f>
        <v>Normal</v>
      </c>
      <c r="Q4972" s="3">
        <f>YEAR(Ticket_Table[[#This Row],[raised_date]])</f>
        <v>2021</v>
      </c>
    </row>
    <row r="4973" spans="1:17">
      <c r="A4973" t="s">
        <v>5534</v>
      </c>
      <c r="B4973" t="s">
        <v>720</v>
      </c>
      <c r="C4973" t="s">
        <v>64</v>
      </c>
      <c r="D4973" t="s">
        <v>36</v>
      </c>
      <c r="E4973" t="s">
        <v>44</v>
      </c>
      <c r="F4973" t="s">
        <v>70</v>
      </c>
      <c r="G4973" t="s">
        <v>23</v>
      </c>
      <c r="H4973" s="1">
        <v>44442</v>
      </c>
      <c r="I4973" s="2">
        <v>44444.45</v>
      </c>
      <c r="J4973">
        <v>58.8</v>
      </c>
      <c r="K4973" t="s">
        <v>32</v>
      </c>
      <c r="L4973">
        <v>1</v>
      </c>
      <c r="M4973">
        <v>5</v>
      </c>
      <c r="N4973" t="s">
        <v>760</v>
      </c>
      <c r="O4973" s="3" t="str">
        <f>TEXT(Ticket_Table[[#This Row],[raised_date]],"YYYY-MM")</f>
        <v>2021-09</v>
      </c>
      <c r="P4973" s="3" t="str">
        <f>IF(Ticket_Table[[#This Row],[resolution_hrs]]&lt;=4,"Fast",IF(Ticket_Table[[#This Row],[resolution_hrs]]&lt;=24,"Normal",IF(Ticket_Table[[#This Row],[resolution_hrs]]&lt;=48,"Slow","Very Slow")))</f>
        <v>Very Slow</v>
      </c>
      <c r="Q4973" s="3">
        <f>YEAR(Ticket_Table[[#This Row],[raised_date]])</f>
        <v>2021</v>
      </c>
    </row>
    <row r="4974" spans="1:17">
      <c r="A4974" t="s">
        <v>5535</v>
      </c>
      <c r="B4974" t="s">
        <v>296</v>
      </c>
      <c r="C4974" t="s">
        <v>78</v>
      </c>
      <c r="D4974" t="s">
        <v>29</v>
      </c>
      <c r="E4974" t="s">
        <v>51</v>
      </c>
      <c r="F4974" t="s">
        <v>22</v>
      </c>
      <c r="G4974" t="s">
        <v>31</v>
      </c>
      <c r="H4974" s="1">
        <v>44373</v>
      </c>
      <c r="I4974" s="2">
        <v>44376.3125</v>
      </c>
      <c r="J4974">
        <v>79.5</v>
      </c>
      <c r="K4974" t="s">
        <v>32</v>
      </c>
      <c r="L4974">
        <v>1</v>
      </c>
      <c r="M4974">
        <v>3</v>
      </c>
      <c r="N4974" t="s">
        <v>552</v>
      </c>
      <c r="O4974" s="3" t="str">
        <f>TEXT(Ticket_Table[[#This Row],[raised_date]],"YYYY-MM")</f>
        <v>2021-06</v>
      </c>
      <c r="P4974" s="3" t="str">
        <f>IF(Ticket_Table[[#This Row],[resolution_hrs]]&lt;=4,"Fast",IF(Ticket_Table[[#This Row],[resolution_hrs]]&lt;=24,"Normal",IF(Ticket_Table[[#This Row],[resolution_hrs]]&lt;=48,"Slow","Very Slow")))</f>
        <v>Very Slow</v>
      </c>
      <c r="Q4974" s="3">
        <f>YEAR(Ticket_Table[[#This Row],[raised_date]])</f>
        <v>2021</v>
      </c>
    </row>
    <row r="4975" spans="1:17">
      <c r="A4975" t="s">
        <v>5536</v>
      </c>
      <c r="B4975" t="s">
        <v>49</v>
      </c>
      <c r="C4975" t="s">
        <v>201</v>
      </c>
      <c r="D4975" t="s">
        <v>20</v>
      </c>
      <c r="E4975" t="s">
        <v>37</v>
      </c>
      <c r="F4975" t="s">
        <v>70</v>
      </c>
      <c r="G4975" t="s">
        <v>23</v>
      </c>
      <c r="H4975" s="1">
        <v>44463</v>
      </c>
      <c r="I4975" s="2">
        <v>44463.8791666667</v>
      </c>
      <c r="J4975">
        <v>21.1</v>
      </c>
      <c r="K4975" t="s">
        <v>24</v>
      </c>
      <c r="L4975">
        <v>1</v>
      </c>
      <c r="M4975">
        <v>2</v>
      </c>
      <c r="N4975" t="s">
        <v>449</v>
      </c>
      <c r="O4975" s="3" t="str">
        <f>TEXT(Ticket_Table[[#This Row],[raised_date]],"YYYY-MM")</f>
        <v>2021-09</v>
      </c>
      <c r="P4975" s="3" t="str">
        <f>IF(Ticket_Table[[#This Row],[resolution_hrs]]&lt;=4,"Fast",IF(Ticket_Table[[#This Row],[resolution_hrs]]&lt;=24,"Normal",IF(Ticket_Table[[#This Row],[resolution_hrs]]&lt;=48,"Slow","Very Slow")))</f>
        <v>Normal</v>
      </c>
      <c r="Q4975" s="3">
        <f>YEAR(Ticket_Table[[#This Row],[raised_date]])</f>
        <v>2021</v>
      </c>
    </row>
    <row r="4976" spans="1:17">
      <c r="A4976" t="s">
        <v>5537</v>
      </c>
      <c r="B4976" t="s">
        <v>931</v>
      </c>
      <c r="C4976" t="s">
        <v>102</v>
      </c>
      <c r="D4976" t="s">
        <v>90</v>
      </c>
      <c r="E4976" t="s">
        <v>83</v>
      </c>
      <c r="F4976" t="s">
        <v>38</v>
      </c>
      <c r="G4976" t="s">
        <v>46</v>
      </c>
      <c r="H4976" s="1">
        <v>44966</v>
      </c>
      <c r="I4976" s="2">
        <v>44966.3333333333</v>
      </c>
      <c r="J4976">
        <v>8</v>
      </c>
      <c r="K4976" t="s">
        <v>24</v>
      </c>
      <c r="L4976">
        <v>0</v>
      </c>
      <c r="M4976">
        <v>4</v>
      </c>
      <c r="N4976" t="s">
        <v>518</v>
      </c>
      <c r="O4976" s="3" t="str">
        <f>TEXT(Ticket_Table[[#This Row],[raised_date]],"YYYY-MM")</f>
        <v>2023-02</v>
      </c>
      <c r="P4976" s="3" t="str">
        <f>IF(Ticket_Table[[#This Row],[resolution_hrs]]&lt;=4,"Fast",IF(Ticket_Table[[#This Row],[resolution_hrs]]&lt;=24,"Normal",IF(Ticket_Table[[#This Row],[resolution_hrs]]&lt;=48,"Slow","Very Slow")))</f>
        <v>Normal</v>
      </c>
      <c r="Q4976" s="3">
        <f>YEAR(Ticket_Table[[#This Row],[raised_date]])</f>
        <v>2023</v>
      </c>
    </row>
    <row r="4977" spans="1:17">
      <c r="A4977" t="s">
        <v>5538</v>
      </c>
      <c r="B4977" t="s">
        <v>780</v>
      </c>
      <c r="C4977" t="s">
        <v>133</v>
      </c>
      <c r="D4977" t="s">
        <v>29</v>
      </c>
      <c r="E4977" t="s">
        <v>37</v>
      </c>
      <c r="F4977" t="s">
        <v>22</v>
      </c>
      <c r="G4977" t="s">
        <v>46</v>
      </c>
      <c r="H4977" s="1">
        <v>44575</v>
      </c>
      <c r="I4977" s="2">
        <v>44578.9458333333</v>
      </c>
      <c r="J4977">
        <v>94.7</v>
      </c>
      <c r="K4977" t="s">
        <v>32</v>
      </c>
      <c r="L4977">
        <v>0</v>
      </c>
      <c r="M4977">
        <v>4</v>
      </c>
      <c r="N4977" t="s">
        <v>270</v>
      </c>
      <c r="O4977" s="3" t="str">
        <f>TEXT(Ticket_Table[[#This Row],[raised_date]],"YYYY-MM")</f>
        <v>2022-01</v>
      </c>
      <c r="P4977" s="3" t="str">
        <f>IF(Ticket_Table[[#This Row],[resolution_hrs]]&lt;=4,"Fast",IF(Ticket_Table[[#This Row],[resolution_hrs]]&lt;=24,"Normal",IF(Ticket_Table[[#This Row],[resolution_hrs]]&lt;=48,"Slow","Very Slow")))</f>
        <v>Very Slow</v>
      </c>
      <c r="Q4977" s="3">
        <f>YEAR(Ticket_Table[[#This Row],[raised_date]])</f>
        <v>2022</v>
      </c>
    </row>
    <row r="4978" spans="1:17">
      <c r="A4978" t="s">
        <v>5539</v>
      </c>
      <c r="B4978" t="s">
        <v>372</v>
      </c>
      <c r="C4978" t="s">
        <v>117</v>
      </c>
      <c r="D4978" t="s">
        <v>43</v>
      </c>
      <c r="E4978" t="s">
        <v>106</v>
      </c>
      <c r="F4978" t="s">
        <v>70</v>
      </c>
      <c r="G4978" t="s">
        <v>23</v>
      </c>
      <c r="H4978" s="1">
        <v>44424</v>
      </c>
      <c r="I4978" s="2">
        <v>44426.8541666667</v>
      </c>
      <c r="J4978">
        <v>68.5</v>
      </c>
      <c r="K4978" t="s">
        <v>32</v>
      </c>
      <c r="L4978">
        <v>0</v>
      </c>
      <c r="M4978">
        <v>4</v>
      </c>
      <c r="N4978" t="s">
        <v>221</v>
      </c>
      <c r="O4978" s="3" t="str">
        <f>TEXT(Ticket_Table[[#This Row],[raised_date]],"YYYY-MM")</f>
        <v>2021-08</v>
      </c>
      <c r="P4978" s="3" t="str">
        <f>IF(Ticket_Table[[#This Row],[resolution_hrs]]&lt;=4,"Fast",IF(Ticket_Table[[#This Row],[resolution_hrs]]&lt;=24,"Normal",IF(Ticket_Table[[#This Row],[resolution_hrs]]&lt;=48,"Slow","Very Slow")))</f>
        <v>Very Slow</v>
      </c>
      <c r="Q4978" s="3">
        <f>YEAR(Ticket_Table[[#This Row],[raised_date]])</f>
        <v>2021</v>
      </c>
    </row>
    <row r="4979" spans="1:17">
      <c r="A4979" t="s">
        <v>5540</v>
      </c>
      <c r="B4979" t="s">
        <v>353</v>
      </c>
      <c r="C4979" t="s">
        <v>133</v>
      </c>
      <c r="D4979" t="s">
        <v>90</v>
      </c>
      <c r="E4979" t="s">
        <v>56</v>
      </c>
      <c r="F4979" t="s">
        <v>70</v>
      </c>
      <c r="G4979" t="s">
        <v>31</v>
      </c>
      <c r="H4979" s="1">
        <v>44574</v>
      </c>
      <c r="I4979" s="2">
        <v>44576.5791666667</v>
      </c>
      <c r="J4979">
        <v>61.9</v>
      </c>
      <c r="K4979" t="s">
        <v>32</v>
      </c>
      <c r="L4979">
        <v>0</v>
      </c>
      <c r="M4979">
        <v>1</v>
      </c>
      <c r="N4979" t="s">
        <v>321</v>
      </c>
      <c r="O4979" s="3" t="str">
        <f>TEXT(Ticket_Table[[#This Row],[raised_date]],"YYYY-MM")</f>
        <v>2022-01</v>
      </c>
      <c r="P4979" s="3" t="str">
        <f>IF(Ticket_Table[[#This Row],[resolution_hrs]]&lt;=4,"Fast",IF(Ticket_Table[[#This Row],[resolution_hrs]]&lt;=24,"Normal",IF(Ticket_Table[[#This Row],[resolution_hrs]]&lt;=48,"Slow","Very Slow")))</f>
        <v>Very Slow</v>
      </c>
      <c r="Q4979" s="3">
        <f>YEAR(Ticket_Table[[#This Row],[raised_date]])</f>
        <v>2022</v>
      </c>
    </row>
    <row r="4980" spans="1:17">
      <c r="A4980" t="s">
        <v>5541</v>
      </c>
      <c r="B4980" t="s">
        <v>828</v>
      </c>
      <c r="C4980" t="s">
        <v>68</v>
      </c>
      <c r="D4980" t="s">
        <v>20</v>
      </c>
      <c r="E4980" t="s">
        <v>37</v>
      </c>
      <c r="F4980" t="s">
        <v>22</v>
      </c>
      <c r="G4980" t="s">
        <v>91</v>
      </c>
      <c r="H4980" s="1">
        <v>44715</v>
      </c>
      <c r="I4980" s="2">
        <v>44718.3833333333</v>
      </c>
      <c r="J4980">
        <v>81.2</v>
      </c>
      <c r="K4980" t="s">
        <v>32</v>
      </c>
      <c r="L4980">
        <v>1</v>
      </c>
      <c r="M4980">
        <v>4</v>
      </c>
      <c r="N4980" t="s">
        <v>988</v>
      </c>
      <c r="O4980" s="3" t="str">
        <f>TEXT(Ticket_Table[[#This Row],[raised_date]],"YYYY-MM")</f>
        <v>2022-06</v>
      </c>
      <c r="P4980" s="3" t="str">
        <f>IF(Ticket_Table[[#This Row],[resolution_hrs]]&lt;=4,"Fast",IF(Ticket_Table[[#This Row],[resolution_hrs]]&lt;=24,"Normal",IF(Ticket_Table[[#This Row],[resolution_hrs]]&lt;=48,"Slow","Very Slow")))</f>
        <v>Very Slow</v>
      </c>
      <c r="Q4980" s="3">
        <f>YEAR(Ticket_Table[[#This Row],[raised_date]])</f>
        <v>2022</v>
      </c>
    </row>
    <row r="4981" spans="1:17">
      <c r="A4981" t="s">
        <v>5542</v>
      </c>
      <c r="B4981" t="s">
        <v>129</v>
      </c>
      <c r="C4981" t="s">
        <v>140</v>
      </c>
      <c r="D4981" t="s">
        <v>90</v>
      </c>
      <c r="E4981" t="s">
        <v>51</v>
      </c>
      <c r="F4981" t="s">
        <v>22</v>
      </c>
      <c r="G4981" t="s">
        <v>23</v>
      </c>
      <c r="H4981" s="1">
        <v>44800</v>
      </c>
      <c r="I4981" s="2">
        <v>44800.0541666667</v>
      </c>
      <c r="J4981">
        <v>1.3</v>
      </c>
      <c r="K4981" t="s">
        <v>24</v>
      </c>
      <c r="L4981">
        <v>0</v>
      </c>
      <c r="M4981">
        <v>3</v>
      </c>
      <c r="N4981" t="s">
        <v>605</v>
      </c>
      <c r="O4981" s="3" t="str">
        <f>TEXT(Ticket_Table[[#This Row],[raised_date]],"YYYY-MM")</f>
        <v>2022-08</v>
      </c>
      <c r="P4981" s="3" t="str">
        <f>IF(Ticket_Table[[#This Row],[resolution_hrs]]&lt;=4,"Fast",IF(Ticket_Table[[#This Row],[resolution_hrs]]&lt;=24,"Normal",IF(Ticket_Table[[#This Row],[resolution_hrs]]&lt;=48,"Slow","Very Slow")))</f>
        <v>Fast</v>
      </c>
      <c r="Q4981" s="3">
        <f>YEAR(Ticket_Table[[#This Row],[raised_date]])</f>
        <v>2022</v>
      </c>
    </row>
    <row r="4982" spans="1:17">
      <c r="A4982" t="s">
        <v>5543</v>
      </c>
      <c r="B4982" t="s">
        <v>361</v>
      </c>
      <c r="C4982" t="s">
        <v>213</v>
      </c>
      <c r="D4982" t="s">
        <v>29</v>
      </c>
      <c r="E4982" t="s">
        <v>21</v>
      </c>
      <c r="F4982" t="s">
        <v>45</v>
      </c>
      <c r="G4982" t="s">
        <v>31</v>
      </c>
      <c r="H4982" s="1">
        <v>45153</v>
      </c>
      <c r="I4982" s="2">
        <v>45153.0541666667</v>
      </c>
      <c r="J4982">
        <v>1.3</v>
      </c>
      <c r="K4982" t="s">
        <v>24</v>
      </c>
      <c r="L4982">
        <v>1</v>
      </c>
      <c r="M4982">
        <v>3</v>
      </c>
      <c r="N4982" t="s">
        <v>1291</v>
      </c>
      <c r="O4982" s="3" t="str">
        <f>TEXT(Ticket_Table[[#This Row],[raised_date]],"YYYY-MM")</f>
        <v>2023-08</v>
      </c>
      <c r="P4982" s="3" t="str">
        <f>IF(Ticket_Table[[#This Row],[resolution_hrs]]&lt;=4,"Fast",IF(Ticket_Table[[#This Row],[resolution_hrs]]&lt;=24,"Normal",IF(Ticket_Table[[#This Row],[resolution_hrs]]&lt;=48,"Slow","Very Slow")))</f>
        <v>Fast</v>
      </c>
      <c r="Q4982" s="3">
        <f>YEAR(Ticket_Table[[#This Row],[raised_date]])</f>
        <v>2023</v>
      </c>
    </row>
    <row r="4983" spans="1:17">
      <c r="A4983" t="s">
        <v>5544</v>
      </c>
      <c r="B4983" t="s">
        <v>485</v>
      </c>
      <c r="C4983" t="s">
        <v>102</v>
      </c>
      <c r="D4983" t="s">
        <v>20</v>
      </c>
      <c r="E4983" t="s">
        <v>37</v>
      </c>
      <c r="F4983" t="s">
        <v>70</v>
      </c>
      <c r="G4983" t="s">
        <v>46</v>
      </c>
      <c r="H4983" s="1">
        <v>44352</v>
      </c>
      <c r="I4983" s="2">
        <v>44353.6916666667</v>
      </c>
      <c r="J4983">
        <v>40.6</v>
      </c>
      <c r="K4983" t="s">
        <v>24</v>
      </c>
      <c r="L4983">
        <v>0</v>
      </c>
      <c r="M4983">
        <v>3</v>
      </c>
      <c r="N4983" t="s">
        <v>315</v>
      </c>
      <c r="O4983" s="3" t="str">
        <f>TEXT(Ticket_Table[[#This Row],[raised_date]],"YYYY-MM")</f>
        <v>2021-06</v>
      </c>
      <c r="P4983" s="3" t="str">
        <f>IF(Ticket_Table[[#This Row],[resolution_hrs]]&lt;=4,"Fast",IF(Ticket_Table[[#This Row],[resolution_hrs]]&lt;=24,"Normal",IF(Ticket_Table[[#This Row],[resolution_hrs]]&lt;=48,"Slow","Very Slow")))</f>
        <v>Slow</v>
      </c>
      <c r="Q4983" s="3">
        <f>YEAR(Ticket_Table[[#This Row],[raised_date]])</f>
        <v>2021</v>
      </c>
    </row>
    <row r="4984" spans="1:17">
      <c r="A4984" t="s">
        <v>5545</v>
      </c>
      <c r="B4984" t="s">
        <v>275</v>
      </c>
      <c r="C4984" t="s">
        <v>68</v>
      </c>
      <c r="D4984" t="s">
        <v>43</v>
      </c>
      <c r="E4984" t="s">
        <v>44</v>
      </c>
      <c r="F4984" t="s">
        <v>22</v>
      </c>
      <c r="G4984" t="s">
        <v>31</v>
      </c>
      <c r="H4984" s="1">
        <v>45125</v>
      </c>
      <c r="I4984" s="2">
        <v>45125.9708333333</v>
      </c>
      <c r="J4984">
        <v>23.3</v>
      </c>
      <c r="K4984" t="s">
        <v>24</v>
      </c>
      <c r="L4984">
        <v>0</v>
      </c>
      <c r="M4984">
        <v>5</v>
      </c>
      <c r="N4984" t="s">
        <v>618</v>
      </c>
      <c r="O4984" s="3" t="str">
        <f>TEXT(Ticket_Table[[#This Row],[raised_date]],"YYYY-MM")</f>
        <v>2023-07</v>
      </c>
      <c r="P4984" s="3" t="str">
        <f>IF(Ticket_Table[[#This Row],[resolution_hrs]]&lt;=4,"Fast",IF(Ticket_Table[[#This Row],[resolution_hrs]]&lt;=24,"Normal",IF(Ticket_Table[[#This Row],[resolution_hrs]]&lt;=48,"Slow","Very Slow")))</f>
        <v>Normal</v>
      </c>
      <c r="Q4984" s="3">
        <f>YEAR(Ticket_Table[[#This Row],[raised_date]])</f>
        <v>2023</v>
      </c>
    </row>
    <row r="4985" spans="1:17">
      <c r="A4985" t="s">
        <v>5546</v>
      </c>
      <c r="B4985" t="s">
        <v>512</v>
      </c>
      <c r="C4985" t="s">
        <v>50</v>
      </c>
      <c r="D4985" t="s">
        <v>29</v>
      </c>
      <c r="E4985" t="s">
        <v>69</v>
      </c>
      <c r="F4985" t="s">
        <v>22</v>
      </c>
      <c r="G4985" t="s">
        <v>23</v>
      </c>
      <c r="H4985" s="1">
        <v>44763</v>
      </c>
      <c r="I4985" s="2">
        <v>44763.8375</v>
      </c>
      <c r="J4985">
        <v>20.1</v>
      </c>
      <c r="K4985" t="s">
        <v>24</v>
      </c>
      <c r="L4985">
        <v>0</v>
      </c>
      <c r="M4985">
        <v>3</v>
      </c>
      <c r="N4985" t="s">
        <v>312</v>
      </c>
      <c r="O4985" s="3" t="str">
        <f>TEXT(Ticket_Table[[#This Row],[raised_date]],"YYYY-MM")</f>
        <v>2022-07</v>
      </c>
      <c r="P4985" s="3" t="str">
        <f>IF(Ticket_Table[[#This Row],[resolution_hrs]]&lt;=4,"Fast",IF(Ticket_Table[[#This Row],[resolution_hrs]]&lt;=24,"Normal",IF(Ticket_Table[[#This Row],[resolution_hrs]]&lt;=48,"Slow","Very Slow")))</f>
        <v>Normal</v>
      </c>
      <c r="Q4985" s="3">
        <f>YEAR(Ticket_Table[[#This Row],[raised_date]])</f>
        <v>2022</v>
      </c>
    </row>
    <row r="4986" spans="1:17">
      <c r="A4986" t="s">
        <v>5547</v>
      </c>
      <c r="B4986" t="s">
        <v>1129</v>
      </c>
      <c r="C4986" t="s">
        <v>60</v>
      </c>
      <c r="D4986" t="s">
        <v>29</v>
      </c>
      <c r="E4986" t="s">
        <v>83</v>
      </c>
      <c r="F4986" t="s">
        <v>38</v>
      </c>
      <c r="G4986" t="s">
        <v>23</v>
      </c>
      <c r="H4986" s="1">
        <v>45071</v>
      </c>
      <c r="I4986" s="2">
        <v>45071.65</v>
      </c>
      <c r="J4986">
        <v>15.6</v>
      </c>
      <c r="K4986" t="s">
        <v>24</v>
      </c>
      <c r="L4986">
        <v>0</v>
      </c>
      <c r="M4986">
        <v>4</v>
      </c>
      <c r="N4986" t="s">
        <v>780</v>
      </c>
      <c r="O4986" s="3" t="str">
        <f>TEXT(Ticket_Table[[#This Row],[raised_date]],"YYYY-MM")</f>
        <v>2023-05</v>
      </c>
      <c r="P4986" s="3" t="str">
        <f>IF(Ticket_Table[[#This Row],[resolution_hrs]]&lt;=4,"Fast",IF(Ticket_Table[[#This Row],[resolution_hrs]]&lt;=24,"Normal",IF(Ticket_Table[[#This Row],[resolution_hrs]]&lt;=48,"Slow","Very Slow")))</f>
        <v>Normal</v>
      </c>
      <c r="Q4986" s="3">
        <f>YEAR(Ticket_Table[[#This Row],[raised_date]])</f>
        <v>2023</v>
      </c>
    </row>
    <row r="4987" spans="1:17">
      <c r="A4987" t="s">
        <v>5548</v>
      </c>
      <c r="B4987" t="s">
        <v>395</v>
      </c>
      <c r="C4987" t="s">
        <v>78</v>
      </c>
      <c r="D4987" t="s">
        <v>20</v>
      </c>
      <c r="E4987" t="s">
        <v>51</v>
      </c>
      <c r="F4987" t="s">
        <v>70</v>
      </c>
      <c r="G4987" t="s">
        <v>46</v>
      </c>
      <c r="H4987" s="1">
        <v>44859</v>
      </c>
      <c r="I4987" s="2">
        <v>44859.8208333333</v>
      </c>
      <c r="J4987">
        <v>19.7</v>
      </c>
      <c r="K4987" t="s">
        <v>24</v>
      </c>
      <c r="L4987">
        <v>0</v>
      </c>
      <c r="M4987">
        <v>3</v>
      </c>
      <c r="N4987" t="s">
        <v>218</v>
      </c>
      <c r="O4987" s="3" t="str">
        <f>TEXT(Ticket_Table[[#This Row],[raised_date]],"YYYY-MM")</f>
        <v>2022-10</v>
      </c>
      <c r="P4987" s="3" t="str">
        <f>IF(Ticket_Table[[#This Row],[resolution_hrs]]&lt;=4,"Fast",IF(Ticket_Table[[#This Row],[resolution_hrs]]&lt;=24,"Normal",IF(Ticket_Table[[#This Row],[resolution_hrs]]&lt;=48,"Slow","Very Slow")))</f>
        <v>Normal</v>
      </c>
      <c r="Q4987" s="3">
        <f>YEAR(Ticket_Table[[#This Row],[raised_date]])</f>
        <v>2022</v>
      </c>
    </row>
    <row r="4988" spans="1:17">
      <c r="A4988" t="s">
        <v>5549</v>
      </c>
      <c r="B4988" t="s">
        <v>2204</v>
      </c>
      <c r="C4988" t="s">
        <v>28</v>
      </c>
      <c r="D4988" t="s">
        <v>20</v>
      </c>
      <c r="E4988" t="s">
        <v>51</v>
      </c>
      <c r="F4988" t="s">
        <v>70</v>
      </c>
      <c r="G4988" t="s">
        <v>74</v>
      </c>
      <c r="H4988" s="1">
        <v>44724</v>
      </c>
      <c r="I4988" s="2">
        <v>44725.1666666667</v>
      </c>
      <c r="J4988">
        <v>28</v>
      </c>
      <c r="K4988" t="s">
        <v>24</v>
      </c>
      <c r="L4988">
        <v>0</v>
      </c>
      <c r="M4988">
        <v>4</v>
      </c>
      <c r="N4988" t="s">
        <v>329</v>
      </c>
      <c r="O4988" s="3" t="str">
        <f>TEXT(Ticket_Table[[#This Row],[raised_date]],"YYYY-MM")</f>
        <v>2022-06</v>
      </c>
      <c r="P4988" s="3" t="str">
        <f>IF(Ticket_Table[[#This Row],[resolution_hrs]]&lt;=4,"Fast",IF(Ticket_Table[[#This Row],[resolution_hrs]]&lt;=24,"Normal",IF(Ticket_Table[[#This Row],[resolution_hrs]]&lt;=48,"Slow","Very Slow")))</f>
        <v>Slow</v>
      </c>
      <c r="Q4988" s="3">
        <f>YEAR(Ticket_Table[[#This Row],[raised_date]])</f>
        <v>2022</v>
      </c>
    </row>
    <row r="4989" spans="1:17">
      <c r="A4989" t="s">
        <v>5550</v>
      </c>
      <c r="B4989" t="s">
        <v>1195</v>
      </c>
      <c r="C4989" t="s">
        <v>60</v>
      </c>
      <c r="D4989" t="s">
        <v>90</v>
      </c>
      <c r="E4989" t="s">
        <v>106</v>
      </c>
      <c r="F4989" t="s">
        <v>22</v>
      </c>
      <c r="G4989" t="s">
        <v>31</v>
      </c>
      <c r="H4989" s="1">
        <v>44528</v>
      </c>
      <c r="I4989" s="2">
        <v>44530.6458333333</v>
      </c>
      <c r="J4989">
        <v>63.5</v>
      </c>
      <c r="K4989" t="s">
        <v>24</v>
      </c>
      <c r="L4989">
        <v>1</v>
      </c>
      <c r="M4989">
        <v>5</v>
      </c>
      <c r="N4989" t="s">
        <v>73</v>
      </c>
      <c r="O4989" s="3" t="str">
        <f>TEXT(Ticket_Table[[#This Row],[raised_date]],"YYYY-MM")</f>
        <v>2021-11</v>
      </c>
      <c r="P4989" s="3" t="str">
        <f>IF(Ticket_Table[[#This Row],[resolution_hrs]]&lt;=4,"Fast",IF(Ticket_Table[[#This Row],[resolution_hrs]]&lt;=24,"Normal",IF(Ticket_Table[[#This Row],[resolution_hrs]]&lt;=48,"Slow","Very Slow")))</f>
        <v>Very Slow</v>
      </c>
      <c r="Q4989" s="3">
        <f>YEAR(Ticket_Table[[#This Row],[raised_date]])</f>
        <v>2021</v>
      </c>
    </row>
    <row r="4990" spans="1:17">
      <c r="A4990" t="s">
        <v>5551</v>
      </c>
      <c r="B4990" t="s">
        <v>428</v>
      </c>
      <c r="C4990" t="s">
        <v>68</v>
      </c>
      <c r="D4990" t="s">
        <v>43</v>
      </c>
      <c r="E4990" t="s">
        <v>51</v>
      </c>
      <c r="F4990" t="s">
        <v>38</v>
      </c>
      <c r="G4990" t="s">
        <v>46</v>
      </c>
      <c r="H4990" s="1">
        <v>44348</v>
      </c>
      <c r="I4990" s="2">
        <v>44348.9708333333</v>
      </c>
      <c r="J4990">
        <v>23.3</v>
      </c>
      <c r="K4990" t="s">
        <v>24</v>
      </c>
      <c r="L4990">
        <v>0</v>
      </c>
      <c r="M4990">
        <v>2</v>
      </c>
      <c r="N4990" t="s">
        <v>132</v>
      </c>
      <c r="O4990" s="3" t="str">
        <f>TEXT(Ticket_Table[[#This Row],[raised_date]],"YYYY-MM")</f>
        <v>2021-06</v>
      </c>
      <c r="P4990" s="3" t="str">
        <f>IF(Ticket_Table[[#This Row],[resolution_hrs]]&lt;=4,"Fast",IF(Ticket_Table[[#This Row],[resolution_hrs]]&lt;=24,"Normal",IF(Ticket_Table[[#This Row],[resolution_hrs]]&lt;=48,"Slow","Very Slow")))</f>
        <v>Normal</v>
      </c>
      <c r="Q4990" s="3">
        <f>YEAR(Ticket_Table[[#This Row],[raised_date]])</f>
        <v>2021</v>
      </c>
    </row>
    <row r="4991" spans="1:17">
      <c r="A4991" t="s">
        <v>5552</v>
      </c>
      <c r="B4991" t="s">
        <v>262</v>
      </c>
      <c r="C4991" t="s">
        <v>28</v>
      </c>
      <c r="D4991" t="s">
        <v>90</v>
      </c>
      <c r="E4991" t="s">
        <v>83</v>
      </c>
      <c r="F4991" t="s">
        <v>70</v>
      </c>
      <c r="G4991" t="s">
        <v>46</v>
      </c>
      <c r="H4991" s="1">
        <v>44764</v>
      </c>
      <c r="I4991" s="2">
        <v>44765.475</v>
      </c>
      <c r="J4991">
        <v>35.4</v>
      </c>
      <c r="K4991" t="s">
        <v>24</v>
      </c>
      <c r="L4991">
        <v>1</v>
      </c>
      <c r="M4991">
        <v>5</v>
      </c>
      <c r="N4991" t="s">
        <v>220</v>
      </c>
      <c r="O4991" s="3" t="str">
        <f>TEXT(Ticket_Table[[#This Row],[raised_date]],"YYYY-MM")</f>
        <v>2022-07</v>
      </c>
      <c r="P4991" s="3" t="str">
        <f>IF(Ticket_Table[[#This Row],[resolution_hrs]]&lt;=4,"Fast",IF(Ticket_Table[[#This Row],[resolution_hrs]]&lt;=24,"Normal",IF(Ticket_Table[[#This Row],[resolution_hrs]]&lt;=48,"Slow","Very Slow")))</f>
        <v>Slow</v>
      </c>
      <c r="Q4991" s="3">
        <f>YEAR(Ticket_Table[[#This Row],[raised_date]])</f>
        <v>2022</v>
      </c>
    </row>
    <row r="4992" spans="1:17">
      <c r="A4992" t="s">
        <v>5553</v>
      </c>
      <c r="B4992" t="s">
        <v>471</v>
      </c>
      <c r="C4992" t="s">
        <v>117</v>
      </c>
      <c r="D4992" t="s">
        <v>90</v>
      </c>
      <c r="E4992" t="s">
        <v>44</v>
      </c>
      <c r="F4992" t="s">
        <v>70</v>
      </c>
      <c r="G4992" t="s">
        <v>46</v>
      </c>
      <c r="H4992" s="1">
        <v>44324</v>
      </c>
      <c r="I4992" s="2">
        <v>44325.9833333333</v>
      </c>
      <c r="J4992">
        <v>47.6</v>
      </c>
      <c r="K4992" t="s">
        <v>24</v>
      </c>
      <c r="L4992">
        <v>3</v>
      </c>
      <c r="M4992">
        <v>5</v>
      </c>
      <c r="N4992" t="s">
        <v>167</v>
      </c>
      <c r="O4992" s="3" t="str">
        <f>TEXT(Ticket_Table[[#This Row],[raised_date]],"YYYY-MM")</f>
        <v>2021-05</v>
      </c>
      <c r="P4992" s="3" t="str">
        <f>IF(Ticket_Table[[#This Row],[resolution_hrs]]&lt;=4,"Fast",IF(Ticket_Table[[#This Row],[resolution_hrs]]&lt;=24,"Normal",IF(Ticket_Table[[#This Row],[resolution_hrs]]&lt;=48,"Slow","Very Slow")))</f>
        <v>Slow</v>
      </c>
      <c r="Q4992" s="3">
        <f>YEAR(Ticket_Table[[#This Row],[raised_date]])</f>
        <v>2021</v>
      </c>
    </row>
    <row r="4993" spans="1:17">
      <c r="A4993" t="s">
        <v>5554</v>
      </c>
      <c r="B4993" t="s">
        <v>146</v>
      </c>
      <c r="C4993" t="s">
        <v>55</v>
      </c>
      <c r="D4993" t="s">
        <v>29</v>
      </c>
      <c r="E4993" t="s">
        <v>69</v>
      </c>
      <c r="F4993" t="s">
        <v>70</v>
      </c>
      <c r="G4993" t="s">
        <v>74</v>
      </c>
      <c r="H4993" s="1">
        <v>44980</v>
      </c>
      <c r="I4993" s="2">
        <v>44980.575</v>
      </c>
      <c r="J4993">
        <v>13.8</v>
      </c>
      <c r="K4993" t="s">
        <v>24</v>
      </c>
      <c r="L4993">
        <v>1</v>
      </c>
      <c r="M4993">
        <v>4</v>
      </c>
      <c r="N4993" t="s">
        <v>937</v>
      </c>
      <c r="O4993" s="3" t="str">
        <f>TEXT(Ticket_Table[[#This Row],[raised_date]],"YYYY-MM")</f>
        <v>2023-02</v>
      </c>
      <c r="P4993" s="3" t="str">
        <f>IF(Ticket_Table[[#This Row],[resolution_hrs]]&lt;=4,"Fast",IF(Ticket_Table[[#This Row],[resolution_hrs]]&lt;=24,"Normal",IF(Ticket_Table[[#This Row],[resolution_hrs]]&lt;=48,"Slow","Very Slow")))</f>
        <v>Normal</v>
      </c>
      <c r="Q4993" s="3">
        <f>YEAR(Ticket_Table[[#This Row],[raised_date]])</f>
        <v>2023</v>
      </c>
    </row>
    <row r="4994" spans="1:17">
      <c r="A4994" t="s">
        <v>5555</v>
      </c>
      <c r="B4994" t="s">
        <v>476</v>
      </c>
      <c r="C4994" t="s">
        <v>68</v>
      </c>
      <c r="D4994" t="s">
        <v>20</v>
      </c>
      <c r="E4994" t="s">
        <v>30</v>
      </c>
      <c r="F4994" t="s">
        <v>70</v>
      </c>
      <c r="G4994" t="s">
        <v>23</v>
      </c>
      <c r="H4994" s="1">
        <v>44992</v>
      </c>
      <c r="I4994" s="2">
        <v>44992.9291666667</v>
      </c>
      <c r="J4994">
        <v>22.3</v>
      </c>
      <c r="K4994" t="s">
        <v>24</v>
      </c>
      <c r="L4994">
        <v>1</v>
      </c>
      <c r="M4994">
        <v>1</v>
      </c>
      <c r="N4994" t="s">
        <v>903</v>
      </c>
      <c r="O4994" s="3" t="str">
        <f>TEXT(Ticket_Table[[#This Row],[raised_date]],"YYYY-MM")</f>
        <v>2023-03</v>
      </c>
      <c r="P4994" s="3" t="str">
        <f>IF(Ticket_Table[[#This Row],[resolution_hrs]]&lt;=4,"Fast",IF(Ticket_Table[[#This Row],[resolution_hrs]]&lt;=24,"Normal",IF(Ticket_Table[[#This Row],[resolution_hrs]]&lt;=48,"Slow","Very Slow")))</f>
        <v>Normal</v>
      </c>
      <c r="Q4994" s="3">
        <f>YEAR(Ticket_Table[[#This Row],[raised_date]])</f>
        <v>2023</v>
      </c>
    </row>
    <row r="4995" spans="1:17">
      <c r="A4995" t="s">
        <v>5556</v>
      </c>
      <c r="B4995" t="s">
        <v>167</v>
      </c>
      <c r="C4995" t="s">
        <v>42</v>
      </c>
      <c r="D4995" t="s">
        <v>29</v>
      </c>
      <c r="E4995" t="s">
        <v>37</v>
      </c>
      <c r="F4995" t="s">
        <v>38</v>
      </c>
      <c r="G4995" t="s">
        <v>23</v>
      </c>
      <c r="H4995" s="1">
        <v>44878</v>
      </c>
      <c r="I4995" s="2">
        <v>44878.3791666667</v>
      </c>
      <c r="J4995">
        <v>9.1</v>
      </c>
      <c r="K4995" t="s">
        <v>24</v>
      </c>
      <c r="L4995">
        <v>0</v>
      </c>
      <c r="M4995">
        <v>5</v>
      </c>
      <c r="N4995" t="s">
        <v>1112</v>
      </c>
      <c r="O4995" s="3" t="str">
        <f>TEXT(Ticket_Table[[#This Row],[raised_date]],"YYYY-MM")</f>
        <v>2022-11</v>
      </c>
      <c r="P4995" s="3" t="str">
        <f>IF(Ticket_Table[[#This Row],[resolution_hrs]]&lt;=4,"Fast",IF(Ticket_Table[[#This Row],[resolution_hrs]]&lt;=24,"Normal",IF(Ticket_Table[[#This Row],[resolution_hrs]]&lt;=48,"Slow","Very Slow")))</f>
        <v>Normal</v>
      </c>
      <c r="Q4995" s="3">
        <f>YEAR(Ticket_Table[[#This Row],[raised_date]])</f>
        <v>2022</v>
      </c>
    </row>
    <row r="4996" spans="1:17">
      <c r="A4996" t="s">
        <v>5557</v>
      </c>
      <c r="B4996" t="s">
        <v>1013</v>
      </c>
      <c r="C4996" t="s">
        <v>133</v>
      </c>
      <c r="D4996" t="s">
        <v>43</v>
      </c>
      <c r="E4996" t="s">
        <v>51</v>
      </c>
      <c r="F4996" t="s">
        <v>45</v>
      </c>
      <c r="G4996" t="s">
        <v>23</v>
      </c>
      <c r="H4996" s="1">
        <v>44320</v>
      </c>
      <c r="I4996" s="2">
        <v>44320.1041666667</v>
      </c>
      <c r="J4996">
        <v>2.5</v>
      </c>
      <c r="K4996" t="s">
        <v>24</v>
      </c>
      <c r="L4996">
        <v>0</v>
      </c>
      <c r="M4996">
        <v>5</v>
      </c>
      <c r="N4996" t="s">
        <v>39</v>
      </c>
      <c r="O4996" s="3" t="str">
        <f>TEXT(Ticket_Table[[#This Row],[raised_date]],"YYYY-MM")</f>
        <v>2021-05</v>
      </c>
      <c r="P4996" s="3" t="str">
        <f>IF(Ticket_Table[[#This Row],[resolution_hrs]]&lt;=4,"Fast",IF(Ticket_Table[[#This Row],[resolution_hrs]]&lt;=24,"Normal",IF(Ticket_Table[[#This Row],[resolution_hrs]]&lt;=48,"Slow","Very Slow")))</f>
        <v>Fast</v>
      </c>
      <c r="Q4996" s="3">
        <f>YEAR(Ticket_Table[[#This Row],[raised_date]])</f>
        <v>2021</v>
      </c>
    </row>
    <row r="4997" spans="1:17">
      <c r="A4997" t="s">
        <v>5558</v>
      </c>
      <c r="B4997" t="s">
        <v>698</v>
      </c>
      <c r="C4997" t="s">
        <v>287</v>
      </c>
      <c r="D4997" t="s">
        <v>90</v>
      </c>
      <c r="E4997" t="s">
        <v>21</v>
      </c>
      <c r="F4997" t="s">
        <v>70</v>
      </c>
      <c r="G4997" t="s">
        <v>23</v>
      </c>
      <c r="H4997" s="1">
        <v>44725</v>
      </c>
      <c r="I4997" s="2">
        <v>44726.475</v>
      </c>
      <c r="J4997">
        <v>35.4</v>
      </c>
      <c r="K4997" t="s">
        <v>24</v>
      </c>
      <c r="L4997">
        <v>1</v>
      </c>
      <c r="M4997">
        <v>5</v>
      </c>
      <c r="N4997" t="s">
        <v>188</v>
      </c>
      <c r="O4997" s="3" t="str">
        <f>TEXT(Ticket_Table[[#This Row],[raised_date]],"YYYY-MM")</f>
        <v>2022-06</v>
      </c>
      <c r="P4997" s="3" t="str">
        <f>IF(Ticket_Table[[#This Row],[resolution_hrs]]&lt;=4,"Fast",IF(Ticket_Table[[#This Row],[resolution_hrs]]&lt;=24,"Normal",IF(Ticket_Table[[#This Row],[resolution_hrs]]&lt;=48,"Slow","Very Slow")))</f>
        <v>Slow</v>
      </c>
      <c r="Q4997" s="3">
        <f>YEAR(Ticket_Table[[#This Row],[raised_date]])</f>
        <v>2022</v>
      </c>
    </row>
    <row r="4998" spans="1:17">
      <c r="A4998" t="s">
        <v>5559</v>
      </c>
      <c r="B4998" t="s">
        <v>549</v>
      </c>
      <c r="C4998" t="s">
        <v>102</v>
      </c>
      <c r="D4998" t="s">
        <v>43</v>
      </c>
      <c r="E4998" t="s">
        <v>56</v>
      </c>
      <c r="F4998" t="s">
        <v>38</v>
      </c>
      <c r="G4998" t="s">
        <v>31</v>
      </c>
      <c r="H4998" s="1">
        <v>44739</v>
      </c>
      <c r="I4998" s="2">
        <v>44740.2041666667</v>
      </c>
      <c r="J4998">
        <v>28.9</v>
      </c>
      <c r="K4998" t="s">
        <v>32</v>
      </c>
      <c r="L4998">
        <v>0</v>
      </c>
      <c r="M4998">
        <v>5</v>
      </c>
      <c r="N4998" t="s">
        <v>227</v>
      </c>
      <c r="O4998" s="3" t="str">
        <f>TEXT(Ticket_Table[[#This Row],[raised_date]],"YYYY-MM")</f>
        <v>2022-06</v>
      </c>
      <c r="P4998" s="3" t="str">
        <f>IF(Ticket_Table[[#This Row],[resolution_hrs]]&lt;=4,"Fast",IF(Ticket_Table[[#This Row],[resolution_hrs]]&lt;=24,"Normal",IF(Ticket_Table[[#This Row],[resolution_hrs]]&lt;=48,"Slow","Very Slow")))</f>
        <v>Slow</v>
      </c>
      <c r="Q4998" s="3">
        <f>YEAR(Ticket_Table[[#This Row],[raised_date]])</f>
        <v>2022</v>
      </c>
    </row>
    <row r="4999" spans="1:17">
      <c r="A4999" t="s">
        <v>5560</v>
      </c>
      <c r="B4999" t="s">
        <v>59</v>
      </c>
      <c r="C4999" t="s">
        <v>28</v>
      </c>
      <c r="D4999" t="s">
        <v>20</v>
      </c>
      <c r="E4999" t="s">
        <v>21</v>
      </c>
      <c r="F4999" t="s">
        <v>38</v>
      </c>
      <c r="G4999" t="s">
        <v>31</v>
      </c>
      <c r="H4999" s="1">
        <v>44561</v>
      </c>
      <c r="I4999" s="2">
        <v>44561.6125</v>
      </c>
      <c r="J4999">
        <v>14.7</v>
      </c>
      <c r="K4999" t="s">
        <v>24</v>
      </c>
      <c r="L4999">
        <v>0</v>
      </c>
      <c r="M4999">
        <v>4</v>
      </c>
      <c r="N4999" t="s">
        <v>605</v>
      </c>
      <c r="O4999" s="3" t="str">
        <f>TEXT(Ticket_Table[[#This Row],[raised_date]],"YYYY-MM")</f>
        <v>2021-12</v>
      </c>
      <c r="P4999" s="3" t="str">
        <f>IF(Ticket_Table[[#This Row],[resolution_hrs]]&lt;=4,"Fast",IF(Ticket_Table[[#This Row],[resolution_hrs]]&lt;=24,"Normal",IF(Ticket_Table[[#This Row],[resolution_hrs]]&lt;=48,"Slow","Very Slow")))</f>
        <v>Normal</v>
      </c>
      <c r="Q4999" s="3">
        <f>YEAR(Ticket_Table[[#This Row],[raised_date]])</f>
        <v>2021</v>
      </c>
    </row>
    <row r="5000" spans="1:17">
      <c r="A5000" t="s">
        <v>5561</v>
      </c>
      <c r="B5000" t="s">
        <v>668</v>
      </c>
      <c r="C5000" t="s">
        <v>261</v>
      </c>
      <c r="D5000" t="s">
        <v>20</v>
      </c>
      <c r="E5000" t="s">
        <v>44</v>
      </c>
      <c r="F5000" t="s">
        <v>45</v>
      </c>
      <c r="G5000" t="s">
        <v>23</v>
      </c>
      <c r="H5000" s="1">
        <v>45099</v>
      </c>
      <c r="I5000" s="2">
        <v>45099.1166666667</v>
      </c>
      <c r="J5000">
        <v>2.8</v>
      </c>
      <c r="K5000" t="s">
        <v>24</v>
      </c>
      <c r="L5000">
        <v>2</v>
      </c>
      <c r="M5000">
        <v>4</v>
      </c>
      <c r="N5000" t="s">
        <v>950</v>
      </c>
      <c r="O5000" s="3" t="str">
        <f>TEXT(Ticket_Table[[#This Row],[raised_date]],"YYYY-MM")</f>
        <v>2023-06</v>
      </c>
      <c r="P5000" s="3" t="str">
        <f>IF(Ticket_Table[[#This Row],[resolution_hrs]]&lt;=4,"Fast",IF(Ticket_Table[[#This Row],[resolution_hrs]]&lt;=24,"Normal",IF(Ticket_Table[[#This Row],[resolution_hrs]]&lt;=48,"Slow","Very Slow")))</f>
        <v>Fast</v>
      </c>
      <c r="Q5000" s="3">
        <f>YEAR(Ticket_Table[[#This Row],[raised_date]])</f>
        <v>2023</v>
      </c>
    </row>
    <row r="5001" spans="1:17">
      <c r="A5001" t="s">
        <v>5562</v>
      </c>
      <c r="B5001" t="s">
        <v>1833</v>
      </c>
      <c r="C5001" t="s">
        <v>102</v>
      </c>
      <c r="D5001" t="s">
        <v>36</v>
      </c>
      <c r="E5001" t="s">
        <v>30</v>
      </c>
      <c r="F5001" t="s">
        <v>22</v>
      </c>
      <c r="G5001" t="s">
        <v>23</v>
      </c>
      <c r="H5001" s="1">
        <v>44339</v>
      </c>
      <c r="I5001" s="2">
        <v>44341.1875</v>
      </c>
      <c r="J5001">
        <v>52.5</v>
      </c>
      <c r="K5001" t="s">
        <v>24</v>
      </c>
      <c r="L5001">
        <v>0</v>
      </c>
      <c r="M5001">
        <v>4</v>
      </c>
      <c r="N5001" t="s">
        <v>420</v>
      </c>
      <c r="O5001" s="3" t="str">
        <f>TEXT(Ticket_Table[[#This Row],[raised_date]],"YYYY-MM")</f>
        <v>2021-05</v>
      </c>
      <c r="P5001" s="3" t="str">
        <f>IF(Ticket_Table[[#This Row],[resolution_hrs]]&lt;=4,"Fast",IF(Ticket_Table[[#This Row],[resolution_hrs]]&lt;=24,"Normal",IF(Ticket_Table[[#This Row],[resolution_hrs]]&lt;=48,"Slow","Very Slow")))</f>
        <v>Very Slow</v>
      </c>
      <c r="Q5001" s="3">
        <f>YEAR(Ticket_Table[[#This Row],[raised_date]])</f>
        <v>2021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tickets_qhiNKN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Priyesh Mane</cp:lastModifiedBy>
  <dcterms:created xsi:type="dcterms:W3CDTF">2026-03-25T17:23:00Z</dcterms:created>
  <dcterms:modified xsi:type="dcterms:W3CDTF">2026-03-26T07:52:32Z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DADD423B38A34081BD5A7A2590CBF600_13</vt:lpwstr>
  </property>
  <property fmtid="{D5CDD505-2E9C-101B-9397-08002B2CF9AE}" pid="3" name="KSOProductBuildVer">
    <vt:lpwstr>1033-12.2.0.23196</vt:lpwstr>
  </property>
</Properties>
</file>